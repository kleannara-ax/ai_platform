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08" activeTab="1"/>
  </bookViews>
  <sheets>
    <sheet name="소각량" sheetId="4" r:id="rId1"/>
    <sheet name="스팀량" sheetId="5" r:id="rId2"/>
    <sheet name="스팀량(적산)" sheetId="13" r:id="rId3"/>
    <sheet name="급수량" sheetId="7" r:id="rId4"/>
    <sheet name="전력" sheetId="8" r:id="rId5"/>
    <sheet name="폐기물" sheetId="9" r:id="rId6"/>
    <sheet name="약품" sheetId="10" r:id="rId7"/>
    <sheet name="TMS" sheetId="11" r:id="rId8"/>
    <sheet name="외부반입" sheetId="6" r:id="rId9"/>
    <sheet name="폐기물발생" sheetId="12" r:id="rId10"/>
    <sheet name="Sheet1" sheetId="14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X20" i="5" l="1"/>
  <c r="Y20" i="5"/>
  <c r="Z20" i="5"/>
  <c r="AA20" i="5"/>
  <c r="AB20" i="5"/>
  <c r="AC20" i="5"/>
  <c r="AD20" i="5"/>
  <c r="AE20" i="5"/>
  <c r="AF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B20" i="5"/>
  <c r="AC19" i="10" l="1"/>
  <c r="AD19" i="10"/>
  <c r="AE19" i="10"/>
  <c r="AF19" i="10"/>
  <c r="AG19" i="10"/>
  <c r="D9" i="9" l="1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E12" i="4" l="1"/>
  <c r="AI9" i="9" l="1"/>
  <c r="AI8" i="9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B8" i="8"/>
  <c r="AH7" i="8" l="1"/>
  <c r="AG7" i="8"/>
  <c r="AH6" i="8"/>
  <c r="AG6" i="8"/>
  <c r="AH5" i="8"/>
  <c r="AG5" i="8"/>
  <c r="AI5" i="8"/>
  <c r="AH8" i="8" l="1"/>
  <c r="AG8" i="8"/>
  <c r="D19" i="10"/>
  <c r="E19" i="10" s="1"/>
  <c r="F19" i="10" s="1"/>
  <c r="G19" i="10" s="1"/>
  <c r="H19" i="10" s="1"/>
  <c r="I19" i="10" s="1"/>
  <c r="J19" i="10" s="1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Y19" i="10" s="1"/>
  <c r="Z19" i="10" s="1"/>
  <c r="AA19" i="10" s="1"/>
  <c r="AB19" i="10" s="1"/>
  <c r="AI19" i="10" l="1"/>
  <c r="AI18" i="10"/>
  <c r="AH18" i="10"/>
  <c r="AH17" i="10"/>
  <c r="AG6" i="4" l="1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17" i="5" l="1"/>
  <c r="AD18" i="5"/>
  <c r="AC18" i="5"/>
  <c r="AF17" i="5"/>
  <c r="AE17" i="5"/>
  <c r="AD17" i="5"/>
  <c r="AD19" i="5" s="1"/>
  <c r="AC17" i="5"/>
  <c r="AC19" i="5" s="1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F12" i="4" l="1"/>
  <c r="C7" i="5"/>
  <c r="C18" i="5" s="1"/>
  <c r="C19" i="5" s="1"/>
  <c r="D7" i="5"/>
  <c r="D18" i="5" s="1"/>
  <c r="D19" i="5" s="1"/>
  <c r="E7" i="5"/>
  <c r="E18" i="5" s="1"/>
  <c r="E19" i="5" s="1"/>
  <c r="F7" i="5"/>
  <c r="F18" i="5" s="1"/>
  <c r="F19" i="5" s="1"/>
  <c r="G7" i="5"/>
  <c r="G18" i="5" s="1"/>
  <c r="G19" i="5" s="1"/>
  <c r="H7" i="5"/>
  <c r="H18" i="5" s="1"/>
  <c r="H19" i="5" s="1"/>
  <c r="I7" i="5"/>
  <c r="I18" i="5" s="1"/>
  <c r="I19" i="5" s="1"/>
  <c r="J7" i="5"/>
  <c r="J18" i="5" s="1"/>
  <c r="J19" i="5" s="1"/>
  <c r="J20" i="5" s="1"/>
  <c r="K7" i="5"/>
  <c r="K18" i="5" s="1"/>
  <c r="K19" i="5" s="1"/>
  <c r="L7" i="5"/>
  <c r="L18" i="5" s="1"/>
  <c r="L19" i="5" s="1"/>
  <c r="M7" i="5"/>
  <c r="M18" i="5" s="1"/>
  <c r="M19" i="5" s="1"/>
  <c r="N7" i="5"/>
  <c r="N18" i="5" s="1"/>
  <c r="N19" i="5" s="1"/>
  <c r="O7" i="5"/>
  <c r="O18" i="5" s="1"/>
  <c r="O19" i="5" s="1"/>
  <c r="P7" i="5"/>
  <c r="P18" i="5" s="1"/>
  <c r="P19" i="5" s="1"/>
  <c r="Q7" i="5"/>
  <c r="Q18" i="5" s="1"/>
  <c r="Q19" i="5" s="1"/>
  <c r="R7" i="5"/>
  <c r="R18" i="5" s="1"/>
  <c r="R19" i="5" s="1"/>
  <c r="S7" i="5"/>
  <c r="S18" i="5" s="1"/>
  <c r="S19" i="5" s="1"/>
  <c r="T7" i="5"/>
  <c r="T18" i="5" s="1"/>
  <c r="T19" i="5" s="1"/>
  <c r="U7" i="5"/>
  <c r="U18" i="5" s="1"/>
  <c r="U19" i="5" s="1"/>
  <c r="V7" i="5"/>
  <c r="V18" i="5" s="1"/>
  <c r="V19" i="5" s="1"/>
  <c r="W7" i="5"/>
  <c r="W18" i="5" s="1"/>
  <c r="W19" i="5" s="1"/>
  <c r="X7" i="5"/>
  <c r="X18" i="5" s="1"/>
  <c r="X19" i="5" s="1"/>
  <c r="Y7" i="5"/>
  <c r="Y18" i="5" s="1"/>
  <c r="Y19" i="5" s="1"/>
  <c r="Z7" i="5"/>
  <c r="Z18" i="5" s="1"/>
  <c r="Z19" i="5" s="1"/>
  <c r="AA7" i="5"/>
  <c r="AA18" i="5" s="1"/>
  <c r="AA19" i="5" s="1"/>
  <c r="AB7" i="5"/>
  <c r="AB18" i="5" s="1"/>
  <c r="AB19" i="5" s="1"/>
  <c r="AC7" i="5"/>
  <c r="AD7" i="5"/>
  <c r="B7" i="5"/>
  <c r="B18" i="5" s="1"/>
  <c r="B19" i="5" s="1"/>
  <c r="U8" i="5" l="1"/>
  <c r="D13" i="10"/>
  <c r="E13" i="10" s="1"/>
  <c r="F13" i="10" s="1"/>
  <c r="G13" i="10" s="1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Z13" i="10" s="1"/>
  <c r="AA13" i="10" s="1"/>
  <c r="AB13" i="10" s="1"/>
  <c r="AC13" i="10" s="1"/>
  <c r="AD13" i="10" s="1"/>
  <c r="AE13" i="10" s="1"/>
  <c r="AF13" i="10" s="1"/>
  <c r="AG13" i="10" s="1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D12" i="4"/>
  <c r="C12" i="4"/>
  <c r="L6" i="7"/>
  <c r="D30" i="10"/>
  <c r="E30" i="10" s="1"/>
  <c r="F30" i="10" s="1"/>
  <c r="G30" i="10" s="1"/>
  <c r="H30" i="10" s="1"/>
  <c r="I30" i="10" s="1"/>
  <c r="J30" i="10" s="1"/>
  <c r="K30" i="10" s="1"/>
  <c r="L30" i="10" s="1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Y30" i="10" s="1"/>
  <c r="Z30" i="10" s="1"/>
  <c r="AA30" i="10" s="1"/>
  <c r="AB30" i="10" s="1"/>
  <c r="AC30" i="10" s="1"/>
  <c r="AD30" i="10" s="1"/>
  <c r="AE30" i="10" s="1"/>
  <c r="AF30" i="10" s="1"/>
  <c r="AG30" i="10" s="1"/>
  <c r="D25" i="10"/>
  <c r="E25" i="10" s="1"/>
  <c r="F25" i="10" s="1"/>
  <c r="G25" i="10" s="1"/>
  <c r="H25" i="10" s="1"/>
  <c r="I25" i="10" s="1"/>
  <c r="J25" i="10" s="1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Y25" i="10" s="1"/>
  <c r="Z25" i="10" s="1"/>
  <c r="AA25" i="10" s="1"/>
  <c r="AB25" i="10" s="1"/>
  <c r="AC25" i="10" s="1"/>
  <c r="AD25" i="10" s="1"/>
  <c r="AE25" i="10" s="1"/>
  <c r="AF25" i="10" s="1"/>
  <c r="AG25" i="10" s="1"/>
  <c r="D16" i="10"/>
  <c r="E16" i="10" s="1"/>
  <c r="F16" i="10" s="1"/>
  <c r="G16" i="10" s="1"/>
  <c r="H16" i="10" s="1"/>
  <c r="I16" i="10" s="1"/>
  <c r="J16" i="10" s="1"/>
  <c r="K16" i="10" s="1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G16" i="10" s="1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D6" i="10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l="1"/>
  <c r="AC6" i="10" s="1"/>
  <c r="AD6" i="10" s="1"/>
  <c r="AE6" i="10" s="1"/>
  <c r="AF6" i="10" s="1"/>
  <c r="AG6" i="10" s="1"/>
  <c r="AH12" i="4"/>
  <c r="F6" i="13"/>
  <c r="D6" i="13"/>
  <c r="B5" i="13"/>
  <c r="B6" i="13" s="1"/>
  <c r="AG16" i="4" l="1"/>
  <c r="AE16" i="4"/>
  <c r="AC16" i="4"/>
  <c r="AA16" i="4"/>
  <c r="Y16" i="4"/>
  <c r="W16" i="4"/>
  <c r="U16" i="4"/>
  <c r="P16" i="4"/>
  <c r="O16" i="4"/>
  <c r="M16" i="4"/>
  <c r="I16" i="4"/>
  <c r="H16" i="4"/>
  <c r="E16" i="4"/>
  <c r="D16" i="4"/>
  <c r="AF16" i="4"/>
  <c r="AD16" i="4"/>
  <c r="AB16" i="4"/>
  <c r="Z16" i="4"/>
  <c r="X16" i="4"/>
  <c r="V16" i="4"/>
  <c r="T16" i="4"/>
  <c r="S16" i="4"/>
  <c r="R16" i="4"/>
  <c r="Q16" i="4"/>
  <c r="N16" i="4"/>
  <c r="L16" i="4"/>
  <c r="K16" i="4"/>
  <c r="J16" i="4"/>
  <c r="G16" i="4"/>
  <c r="F16" i="4"/>
  <c r="F7" i="13" l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D7" i="13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B7" i="13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AF6" i="7"/>
  <c r="C6" i="7"/>
  <c r="D6" i="7"/>
  <c r="E6" i="7"/>
  <c r="F6" i="7"/>
  <c r="G6" i="7"/>
  <c r="H6" i="7"/>
  <c r="I6" i="7"/>
  <c r="J6" i="7"/>
  <c r="K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B6" i="7"/>
  <c r="C9" i="9"/>
  <c r="D6" i="9"/>
  <c r="E6" i="9"/>
  <c r="F6" i="9"/>
  <c r="G6" i="9"/>
  <c r="H6" i="9"/>
  <c r="I6" i="9"/>
  <c r="J6" i="9"/>
  <c r="K6" i="9"/>
  <c r="L6" i="9"/>
  <c r="N6" i="9"/>
  <c r="O6" i="9"/>
  <c r="Q6" i="9"/>
  <c r="R6" i="9"/>
  <c r="S6" i="9"/>
  <c r="T6" i="9"/>
  <c r="U6" i="9"/>
  <c r="V6" i="9"/>
  <c r="W6" i="9"/>
  <c r="X6" i="9"/>
  <c r="Y6" i="9"/>
  <c r="AA6" i="9"/>
  <c r="AB6" i="9"/>
  <c r="AC6" i="9"/>
  <c r="AD6" i="9"/>
  <c r="AE6" i="9"/>
  <c r="AF6" i="9"/>
  <c r="AG6" i="9"/>
  <c r="C6" i="9"/>
  <c r="C34" i="6"/>
  <c r="D34" i="6"/>
  <c r="E34" i="6"/>
  <c r="F34" i="6"/>
  <c r="G34" i="6"/>
  <c r="H34" i="6"/>
  <c r="I34" i="6"/>
  <c r="L34" i="6"/>
  <c r="M34" i="6"/>
  <c r="O34" i="6"/>
  <c r="B34" i="6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9" i="7"/>
  <c r="E31" i="10"/>
  <c r="F31" i="10"/>
  <c r="G31" i="10"/>
  <c r="C8" i="5"/>
  <c r="B8" i="5"/>
  <c r="M8" i="5"/>
  <c r="AI13" i="4"/>
  <c r="AH13" i="4"/>
  <c r="AI7" i="4"/>
  <c r="AH7" i="4"/>
  <c r="D8" i="5"/>
  <c r="E8" i="5"/>
  <c r="F8" i="5"/>
  <c r="G8" i="5"/>
  <c r="H8" i="5"/>
  <c r="I8" i="5"/>
  <c r="J8" i="5"/>
  <c r="K8" i="5"/>
  <c r="L8" i="5"/>
  <c r="N8" i="5"/>
  <c r="O8" i="5"/>
  <c r="P8" i="5"/>
  <c r="Q8" i="5"/>
  <c r="R8" i="5"/>
  <c r="S8" i="5"/>
  <c r="T8" i="5"/>
  <c r="V8" i="5"/>
  <c r="W8" i="5"/>
  <c r="X8" i="5"/>
  <c r="Y8" i="5"/>
  <c r="Z8" i="5"/>
  <c r="AA8" i="5"/>
  <c r="AB8" i="5"/>
  <c r="AC8" i="5"/>
  <c r="AD8" i="5"/>
  <c r="AE7" i="5"/>
  <c r="AF7" i="5"/>
  <c r="AF8" i="5" l="1"/>
  <c r="AF18" i="5"/>
  <c r="AF19" i="5" s="1"/>
  <c r="AE8" i="5"/>
  <c r="AE18" i="5"/>
  <c r="AE19" i="5" s="1"/>
  <c r="AI6" i="10"/>
  <c r="D31" i="10" l="1"/>
  <c r="AI29" i="10" l="1"/>
  <c r="AH29" i="10"/>
  <c r="AI28" i="10"/>
  <c r="AH28" i="10"/>
  <c r="AI27" i="10"/>
  <c r="AH27" i="10"/>
  <c r="AI26" i="10"/>
  <c r="AH26" i="10"/>
  <c r="AI31" i="10" l="1"/>
  <c r="AI30" i="10" l="1"/>
  <c r="K18" i="4" l="1"/>
  <c r="J18" i="4"/>
  <c r="I18" i="4"/>
  <c r="L18" i="4" l="1"/>
  <c r="AH5" i="4" l="1"/>
  <c r="AI5" i="4"/>
  <c r="AH8" i="4"/>
  <c r="AI8" i="4"/>
  <c r="AH9" i="4"/>
  <c r="AI9" i="4"/>
  <c r="AH14" i="4"/>
  <c r="AI14" i="4"/>
  <c r="AH15" i="4"/>
  <c r="AI15" i="4"/>
  <c r="AI4" i="4"/>
  <c r="AH4" i="4"/>
  <c r="AI24" i="10" l="1"/>
  <c r="AH24" i="10"/>
  <c r="AI23" i="10"/>
  <c r="AH23" i="10"/>
  <c r="AI22" i="10"/>
  <c r="AH22" i="10"/>
  <c r="AI21" i="10"/>
  <c r="AH21" i="10"/>
  <c r="AH20" i="10"/>
  <c r="AI15" i="10"/>
  <c r="AH15" i="10"/>
  <c r="AH14" i="10"/>
  <c r="AI11" i="10"/>
  <c r="AH11" i="10"/>
  <c r="AH10" i="10"/>
  <c r="AI8" i="10"/>
  <c r="AH8" i="10"/>
  <c r="AH7" i="10"/>
  <c r="AI5" i="10"/>
  <c r="AH5" i="10"/>
  <c r="AI4" i="10"/>
  <c r="AH4" i="10"/>
  <c r="AH8" i="9"/>
  <c r="AI7" i="9"/>
  <c r="AH7" i="9"/>
  <c r="AI5" i="9"/>
  <c r="AH5" i="9"/>
  <c r="AI4" i="9"/>
  <c r="AH4" i="9"/>
  <c r="AH8" i="7"/>
  <c r="AG8" i="7"/>
  <c r="AH7" i="7"/>
  <c r="AG7" i="7"/>
  <c r="AH5" i="7"/>
  <c r="AG5" i="7"/>
  <c r="AH4" i="7"/>
  <c r="AG4" i="7"/>
  <c r="AH9" i="5"/>
  <c r="AG9" i="5"/>
  <c r="AH6" i="5"/>
  <c r="AG6" i="5"/>
  <c r="AH5" i="5"/>
  <c r="AG5" i="5"/>
  <c r="AH4" i="5"/>
  <c r="AG4" i="5"/>
  <c r="AG17" i="5" l="1"/>
  <c r="AH6" i="7"/>
  <c r="AI6" i="4"/>
  <c r="AH6" i="4"/>
  <c r="AI6" i="9"/>
  <c r="AG9" i="7"/>
  <c r="AH6" i="9"/>
  <c r="AH9" i="9"/>
  <c r="AG6" i="7"/>
  <c r="AH9" i="7"/>
  <c r="AI9" i="10" l="1"/>
  <c r="AI16" i="10"/>
  <c r="AI13" i="10"/>
  <c r="AG18" i="4" l="1"/>
  <c r="AB18" i="4" l="1"/>
  <c r="AA18" i="4"/>
  <c r="Q18" i="4" l="1"/>
  <c r="P18" i="4"/>
  <c r="O18" i="4"/>
  <c r="M18" i="4" l="1"/>
  <c r="E18" i="4" l="1"/>
  <c r="F18" i="4"/>
  <c r="D18" i="4"/>
  <c r="C18" i="4" l="1"/>
  <c r="C2" i="5" l="1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G9" i="12" l="1"/>
  <c r="AG8" i="12"/>
  <c r="AG7" i="12"/>
  <c r="AG6" i="12"/>
  <c r="AG5" i="12"/>
  <c r="AG4" i="12"/>
  <c r="AH12" i="11"/>
  <c r="AH13" i="11"/>
  <c r="AH14" i="11"/>
  <c r="AH6" i="11"/>
  <c r="AH7" i="11"/>
  <c r="AH8" i="11"/>
  <c r="AH15" i="11"/>
  <c r="AH11" i="11"/>
  <c r="AH10" i="11"/>
  <c r="AH9" i="11"/>
  <c r="AH5" i="11"/>
  <c r="AH4" i="11"/>
  <c r="P3" i="6"/>
  <c r="P34" i="6" l="1"/>
  <c r="AE18" i="4" l="1"/>
  <c r="AC18" i="4"/>
  <c r="N18" i="4" l="1"/>
  <c r="AI17" i="4" l="1"/>
  <c r="AH17" i="4"/>
  <c r="H18" i="4" l="1"/>
  <c r="G18" i="4"/>
  <c r="AH11" i="4"/>
  <c r="AI11" i="4"/>
  <c r="AH7" i="5" l="1"/>
  <c r="AG7" i="5"/>
  <c r="AG18" i="5" s="1"/>
  <c r="AG19" i="5" s="1"/>
  <c r="AG8" i="5"/>
  <c r="AH8" i="5"/>
  <c r="AI12" i="4"/>
  <c r="AI18" i="4"/>
  <c r="AI10" i="4"/>
  <c r="C16" i="4" l="1"/>
  <c r="AH20" i="4"/>
  <c r="AH10" i="4"/>
  <c r="AH16" i="4" l="1"/>
  <c r="AH18" i="4" s="1"/>
  <c r="AI16" i="4"/>
</calcChain>
</file>

<file path=xl/sharedStrings.xml><?xml version="1.0" encoding="utf-8"?>
<sst xmlns="http://schemas.openxmlformats.org/spreadsheetml/2006/main" count="184" uniqueCount="132">
  <si>
    <t>폐#1</t>
    <phoneticPr fontId="2" type="noConversion"/>
  </si>
  <si>
    <t>합계</t>
    <phoneticPr fontId="2" type="noConversion"/>
  </si>
  <si>
    <t>구분</t>
    <phoneticPr fontId="2" type="noConversion"/>
  </si>
  <si>
    <t>폐#2</t>
    <phoneticPr fontId="2" type="noConversion"/>
  </si>
  <si>
    <t>자폐</t>
    <phoneticPr fontId="2" type="noConversion"/>
  </si>
  <si>
    <t>재활용</t>
    <phoneticPr fontId="2" type="noConversion"/>
  </si>
  <si>
    <t>분진</t>
    <phoneticPr fontId="2" type="noConversion"/>
  </si>
  <si>
    <t>Nox</t>
    <phoneticPr fontId="2" type="noConversion"/>
  </si>
  <si>
    <t>재고량</t>
    <phoneticPr fontId="2" type="noConversion"/>
  </si>
  <si>
    <t>합계</t>
    <phoneticPr fontId="2" type="noConversion"/>
  </si>
  <si>
    <t>평균</t>
    <phoneticPr fontId="2" type="noConversion"/>
  </si>
  <si>
    <t>기관</t>
    <phoneticPr fontId="2" type="noConversion"/>
  </si>
  <si>
    <t>폐1</t>
    <phoneticPr fontId="2" type="noConversion"/>
  </si>
  <si>
    <t>폐2-1</t>
    <phoneticPr fontId="2" type="noConversion"/>
  </si>
  <si>
    <t>폐2-2</t>
    <phoneticPr fontId="2" type="noConversion"/>
  </si>
  <si>
    <t>구분</t>
    <phoneticPr fontId="2" type="noConversion"/>
  </si>
  <si>
    <t>폐2-T</t>
    <phoneticPr fontId="2" type="noConversion"/>
  </si>
  <si>
    <t>Total</t>
    <phoneticPr fontId="2" type="noConversion"/>
  </si>
  <si>
    <t>폐1-1</t>
    <phoneticPr fontId="2" type="noConversion"/>
  </si>
  <si>
    <t>폐1-2</t>
    <phoneticPr fontId="2" type="noConversion"/>
  </si>
  <si>
    <t>폐2-2</t>
    <phoneticPr fontId="2" type="noConversion"/>
  </si>
  <si>
    <t>Total</t>
    <phoneticPr fontId="2" type="noConversion"/>
  </si>
  <si>
    <t>폐#1-T</t>
    <phoneticPr fontId="2" type="noConversion"/>
  </si>
  <si>
    <t>폐#2-T</t>
    <phoneticPr fontId="2" type="noConversion"/>
  </si>
  <si>
    <t>폐#1</t>
    <phoneticPr fontId="2" type="noConversion"/>
  </si>
  <si>
    <t>폐#2</t>
    <phoneticPr fontId="2" type="noConversion"/>
  </si>
  <si>
    <t>EP</t>
    <phoneticPr fontId="2" type="noConversion"/>
  </si>
  <si>
    <t>비산재</t>
    <phoneticPr fontId="2" type="noConversion"/>
  </si>
  <si>
    <t>바닥재</t>
    <phoneticPr fontId="2" type="noConversion"/>
  </si>
  <si>
    <t>요소수</t>
    <phoneticPr fontId="2" type="noConversion"/>
  </si>
  <si>
    <t>청관재</t>
    <phoneticPr fontId="2" type="noConversion"/>
  </si>
  <si>
    <t>소금</t>
    <phoneticPr fontId="2" type="noConversion"/>
  </si>
  <si>
    <t>가성</t>
    <phoneticPr fontId="2" type="noConversion"/>
  </si>
  <si>
    <t>부생유</t>
    <phoneticPr fontId="2" type="noConversion"/>
  </si>
  <si>
    <t>폐2</t>
    <phoneticPr fontId="2" type="noConversion"/>
  </si>
  <si>
    <t>슬1</t>
    <phoneticPr fontId="2" type="noConversion"/>
  </si>
  <si>
    <t>슬2</t>
    <phoneticPr fontId="2" type="noConversion"/>
  </si>
  <si>
    <t>CO</t>
    <phoneticPr fontId="2" type="noConversion"/>
  </si>
  <si>
    <t>Sox</t>
    <phoneticPr fontId="2" type="noConversion"/>
  </si>
  <si>
    <t>HCl</t>
    <phoneticPr fontId="2" type="noConversion"/>
  </si>
  <si>
    <t>온도</t>
    <phoneticPr fontId="2" type="noConversion"/>
  </si>
  <si>
    <t>폐목재</t>
    <phoneticPr fontId="2" type="noConversion"/>
  </si>
  <si>
    <t>생불</t>
    <phoneticPr fontId="2" type="noConversion"/>
  </si>
  <si>
    <t>폐합성</t>
    <phoneticPr fontId="2" type="noConversion"/>
  </si>
  <si>
    <t>리젝트</t>
    <phoneticPr fontId="2" type="noConversion"/>
  </si>
  <si>
    <t>라가</t>
    <phoneticPr fontId="2" type="noConversion"/>
  </si>
  <si>
    <t>업체명</t>
    <phoneticPr fontId="2" type="noConversion"/>
  </si>
  <si>
    <t>날짜</t>
    <phoneticPr fontId="2" type="noConversion"/>
  </si>
  <si>
    <t>폐#2 1차</t>
    <phoneticPr fontId="2" type="noConversion"/>
  </si>
  <si>
    <t>폐#2 2차</t>
    <phoneticPr fontId="2" type="noConversion"/>
  </si>
  <si>
    <t>적산량</t>
    <phoneticPr fontId="2" type="noConversion"/>
  </si>
  <si>
    <t>생산량</t>
    <phoneticPr fontId="2" type="noConversion"/>
  </si>
  <si>
    <t>반입</t>
    <phoneticPr fontId="2" type="noConversion"/>
  </si>
  <si>
    <t>사용</t>
    <phoneticPr fontId="2" type="noConversion"/>
  </si>
  <si>
    <t>재고</t>
    <phoneticPr fontId="2" type="noConversion"/>
  </si>
  <si>
    <t>재고</t>
    <phoneticPr fontId="2" type="noConversion"/>
  </si>
  <si>
    <t>반입</t>
    <phoneticPr fontId="2" type="noConversion"/>
  </si>
  <si>
    <t>사용</t>
    <phoneticPr fontId="2" type="noConversion"/>
  </si>
  <si>
    <t>가동시간</t>
    <phoneticPr fontId="2" type="noConversion"/>
  </si>
  <si>
    <t>외폐제고</t>
    <phoneticPr fontId="2" type="noConversion"/>
  </si>
  <si>
    <t>누계</t>
    <phoneticPr fontId="2" type="noConversion"/>
  </si>
  <si>
    <t>합계</t>
    <phoneticPr fontId="2" type="noConversion"/>
  </si>
  <si>
    <t>평균</t>
    <phoneticPr fontId="2" type="noConversion"/>
  </si>
  <si>
    <t>자폐</t>
    <phoneticPr fontId="2" type="noConversion"/>
  </si>
  <si>
    <t>외폐</t>
    <phoneticPr fontId="2" type="noConversion"/>
  </si>
  <si>
    <t>합계</t>
    <phoneticPr fontId="2" type="noConversion"/>
  </si>
  <si>
    <t>자폐재고</t>
    <phoneticPr fontId="2" type="noConversion"/>
  </si>
  <si>
    <t>크링커</t>
    <phoneticPr fontId="2" type="noConversion"/>
  </si>
  <si>
    <t>측벽</t>
    <phoneticPr fontId="2" type="noConversion"/>
  </si>
  <si>
    <t>낙차</t>
    <phoneticPr fontId="2" type="noConversion"/>
  </si>
  <si>
    <t>반입</t>
    <phoneticPr fontId="2" type="noConversion"/>
  </si>
  <si>
    <t>재고</t>
    <phoneticPr fontId="2" type="noConversion"/>
  </si>
  <si>
    <t>투입비</t>
    <phoneticPr fontId="2" type="noConversion"/>
  </si>
  <si>
    <t>약품사용량/소각량</t>
    <phoneticPr fontId="2" type="noConversion"/>
  </si>
  <si>
    <t>사용</t>
    <phoneticPr fontId="2" type="noConversion"/>
  </si>
  <si>
    <t>사용</t>
    <phoneticPr fontId="2" type="noConversion"/>
  </si>
  <si>
    <t>발생량</t>
    <phoneticPr fontId="2" type="noConversion"/>
  </si>
  <si>
    <t xml:space="preserve">                                                                                                                              </t>
    <phoneticPr fontId="2" type="noConversion"/>
  </si>
  <si>
    <t>유동상</t>
    <phoneticPr fontId="2" type="noConversion"/>
  </si>
  <si>
    <t>구분</t>
  </si>
  <si>
    <t>합계</t>
  </si>
  <si>
    <t>1호기</t>
    <phoneticPr fontId="2" type="noConversion"/>
  </si>
  <si>
    <t>2호기</t>
    <phoneticPr fontId="2" type="noConversion"/>
  </si>
  <si>
    <t>활성탄</t>
    <phoneticPr fontId="2" type="noConversion"/>
  </si>
  <si>
    <t>반입</t>
    <phoneticPr fontId="2" type="noConversion"/>
  </si>
  <si>
    <t>사용</t>
    <phoneticPr fontId="2" type="noConversion"/>
  </si>
  <si>
    <t>재고</t>
    <phoneticPr fontId="2" type="noConversion"/>
  </si>
  <si>
    <t>폐합성 소각로 약품 및 부생유 사용량 (07월)</t>
    <phoneticPr fontId="2" type="noConversion"/>
  </si>
  <si>
    <t>폐합성 소각로 자폐 발생현황 (07월)</t>
    <phoneticPr fontId="2" type="noConversion"/>
  </si>
  <si>
    <t>재활용 폐합성 반입량 (07월)</t>
    <phoneticPr fontId="2" type="noConversion"/>
  </si>
  <si>
    <t>폐합성 소각로 TMS Data 현황 (07월)</t>
    <phoneticPr fontId="2" type="noConversion"/>
  </si>
  <si>
    <t>폐합성 소각로 폐기물 발생량 (07월)</t>
    <phoneticPr fontId="2" type="noConversion"/>
  </si>
  <si>
    <t>폐합성 소각로 전력 사용량 (07월)</t>
    <phoneticPr fontId="2" type="noConversion"/>
  </si>
  <si>
    <t>폐합성 소각로 보일러 급수량 (07월)</t>
    <phoneticPr fontId="2" type="noConversion"/>
  </si>
  <si>
    <t>폐합성 소각로 스팀 적산량 (07월)</t>
    <phoneticPr fontId="2" type="noConversion"/>
  </si>
  <si>
    <t>폐합성 소각로 스팀 생산량 (07월)</t>
    <phoneticPr fontId="2" type="noConversion"/>
  </si>
  <si>
    <t>폐합성 소각로 소각량(07월)</t>
    <phoneticPr fontId="2" type="noConversion"/>
  </si>
  <si>
    <t>보노아</t>
  </si>
  <si>
    <t>스라이브</t>
  </si>
  <si>
    <t>나투라</t>
  </si>
  <si>
    <t>대한제지</t>
  </si>
  <si>
    <t>신성</t>
  </si>
  <si>
    <t>그린이엔텍</t>
  </si>
  <si>
    <t>금보산업</t>
  </si>
  <si>
    <t>청원es</t>
  </si>
  <si>
    <t>티와이</t>
  </si>
  <si>
    <t>재운산업</t>
  </si>
  <si>
    <t>현진RC</t>
  </si>
  <si>
    <t>중앙이엔비</t>
  </si>
  <si>
    <t>주원</t>
  </si>
  <si>
    <t>태창</t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</si>
  <si>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</si>
  <si>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</si>
  <si>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</si>
  <si>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</si>
  <si>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</si>
  <si>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</si>
  <si>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고</t>
    <phoneticPr fontId="2" type="noConversion"/>
  </si>
  <si>
    <t>고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</si>
  <si>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</si>
  <si>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</si>
  <si>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</si>
  <si>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</si>
  <si>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</si>
  <si>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</si>
  <si>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</si>
  <si>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</si>
  <si>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</si>
  <si>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</si>
  <si>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</si>
  <si>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</si>
  <si>
    <t>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</si>
</sst>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_ "/>
    <numFmt numFmtId="177" formatCode="_-* #,##0.00_-;\-* #,##0.00_-;_-* &quot;-&quot;_-;_-@_-"/>
    <numFmt numFmtId="178" formatCode="0.0_ "/>
    <numFmt numFmtId="179" formatCode="_-* #,##0.000_-;\-* #,##0.000_-;_-* &quot;-&quot;_-;_-@_-"/>
    <numFmt numFmtId="180" formatCode="_-* #,##0.000_-;\-* #,##0.000_-;_-* &quot;-&quot;??_-;_-@_-"/>
    <numFmt numFmtId="181" formatCode="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8"/>
      <color rgb="FF00206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176" fontId="4" fillId="2" borderId="12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0" fontId="4" fillId="2" borderId="9" xfId="0" applyFont="1" applyFill="1" applyBorder="1" applyAlignment="1">
      <alignment horizontal="center" vertical="center"/>
    </xf>
    <xf numFmtId="176" fontId="4" fillId="2" borderId="10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176" fontId="4" fillId="0" borderId="12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9" xfId="0" applyFont="1" applyFill="1" applyBorder="1">
      <alignment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7" fillId="0" borderId="9" xfId="0" applyFont="1" applyFill="1" applyBorder="1">
      <alignment vertical="center"/>
    </xf>
    <xf numFmtId="0" fontId="7" fillId="0" borderId="3" xfId="0" applyFont="1" applyFill="1" applyBorder="1" applyAlignment="1">
      <alignment horizontal="center" vertical="center"/>
    </xf>
    <xf numFmtId="176" fontId="7" fillId="0" borderId="12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9" xfId="0" applyFont="1" applyBorder="1">
      <alignment vertical="center"/>
    </xf>
    <xf numFmtId="41" fontId="8" fillId="0" borderId="1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1" fontId="6" fillId="0" borderId="1" xfId="1" applyFont="1" applyBorder="1">
      <alignment vertical="center"/>
    </xf>
    <xf numFmtId="41" fontId="9" fillId="0" borderId="1" xfId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6" fontId="7" fillId="0" borderId="10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177" fontId="4" fillId="0" borderId="1" xfId="1" applyNumberFormat="1" applyFont="1" applyBorder="1" applyAlignment="1">
      <alignment horizontal="center" vertical="center" shrinkToFit="1"/>
    </xf>
    <xf numFmtId="177" fontId="4" fillId="3" borderId="1" xfId="1" applyNumberFormat="1" applyFont="1" applyFill="1" applyBorder="1" applyAlignment="1">
      <alignment horizontal="center" vertical="center" shrinkToFit="1"/>
    </xf>
    <xf numFmtId="41" fontId="4" fillId="0" borderId="1" xfId="1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center" vertical="center"/>
    </xf>
    <xf numFmtId="43" fontId="3" fillId="0" borderId="0" xfId="0" applyNumberFormat="1" applyFont="1">
      <alignment vertical="center"/>
    </xf>
    <xf numFmtId="178" fontId="3" fillId="0" borderId="17" xfId="0" applyNumberFormat="1" applyFont="1" applyBorder="1" applyAlignment="1">
      <alignment vertical="center" shrinkToFit="1"/>
    </xf>
    <xf numFmtId="0" fontId="10" fillId="4" borderId="0" xfId="0" applyFont="1" applyFill="1">
      <alignment vertical="center"/>
    </xf>
    <xf numFmtId="0" fontId="11" fillId="4" borderId="0" xfId="0" applyFont="1" applyFill="1">
      <alignment vertical="center"/>
    </xf>
    <xf numFmtId="179" fontId="4" fillId="0" borderId="1" xfId="1" applyNumberFormat="1" applyFont="1" applyBorder="1" applyAlignment="1">
      <alignment horizontal="center" vertical="center" shrinkToFit="1"/>
    </xf>
    <xf numFmtId="179" fontId="4" fillId="3" borderId="1" xfId="1" applyNumberFormat="1" applyFont="1" applyFill="1" applyBorder="1" applyAlignment="1">
      <alignment horizontal="center" vertical="center" shrinkToFit="1"/>
    </xf>
    <xf numFmtId="179" fontId="4" fillId="0" borderId="1" xfId="0" applyNumberFormat="1" applyFont="1" applyBorder="1" applyAlignment="1">
      <alignment vertical="center" shrinkToFit="1"/>
    </xf>
    <xf numFmtId="41" fontId="4" fillId="0" borderId="1" xfId="1" applyFont="1" applyBorder="1" applyAlignment="1">
      <alignment horizontal="center" vertical="center" shrinkToFit="1"/>
    </xf>
    <xf numFmtId="179" fontId="4" fillId="0" borderId="1" xfId="0" applyNumberFormat="1" applyFont="1" applyFill="1" applyBorder="1" applyAlignment="1">
      <alignment vertical="center" shrinkToFit="1"/>
    </xf>
    <xf numFmtId="0" fontId="7" fillId="5" borderId="3" xfId="0" applyFont="1" applyFill="1" applyBorder="1">
      <alignment vertical="center"/>
    </xf>
    <xf numFmtId="178" fontId="3" fillId="0" borderId="0" xfId="0" applyNumberFormat="1" applyFont="1" applyAlignment="1">
      <alignment vertical="center" shrinkToFit="1"/>
    </xf>
    <xf numFmtId="0" fontId="7" fillId="5" borderId="1" xfId="0" applyFont="1" applyFill="1" applyBorder="1">
      <alignment vertical="center"/>
    </xf>
    <xf numFmtId="43" fontId="12" fillId="0" borderId="0" xfId="0" applyNumberFormat="1" applyFo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7" xfId="0" applyNumberFormat="1" applyFont="1" applyFill="1" applyBorder="1" applyAlignment="1">
      <alignment horizontal="center" vertical="center"/>
    </xf>
    <xf numFmtId="0" fontId="3" fillId="0" borderId="0" xfId="0" quotePrefix="1" applyFont="1">
      <alignment vertical="center"/>
    </xf>
    <xf numFmtId="177" fontId="3" fillId="0" borderId="0" xfId="0" applyNumberFormat="1" applyFont="1">
      <alignment vertical="center"/>
    </xf>
    <xf numFmtId="0" fontId="13" fillId="0" borderId="0" xfId="0" applyFont="1">
      <alignment vertical="center"/>
    </xf>
    <xf numFmtId="179" fontId="3" fillId="0" borderId="0" xfId="0" applyNumberFormat="1" applyFont="1">
      <alignment vertical="center"/>
    </xf>
    <xf numFmtId="0" fontId="14" fillId="2" borderId="3" xfId="0" applyFont="1" applyFill="1" applyBorder="1">
      <alignment vertical="center"/>
    </xf>
    <xf numFmtId="0" fontId="6" fillId="0" borderId="1" xfId="0" applyFont="1" applyBorder="1">
      <alignment vertical="center"/>
    </xf>
    <xf numFmtId="0" fontId="15" fillId="5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5" borderId="9" xfId="0" applyFont="1" applyFill="1" applyBorder="1">
      <alignment vertical="center"/>
    </xf>
    <xf numFmtId="178" fontId="3" fillId="5" borderId="17" xfId="0" applyNumberFormat="1" applyFont="1" applyFill="1" applyBorder="1" applyAlignment="1">
      <alignment vertical="center" shrinkToFit="1"/>
    </xf>
    <xf numFmtId="0" fontId="3" fillId="5" borderId="9" xfId="0" applyFont="1" applyFill="1" applyBorder="1">
      <alignment vertical="center"/>
    </xf>
    <xf numFmtId="0" fontId="4" fillId="0" borderId="9" xfId="0" applyFont="1" applyBorder="1" applyAlignment="1">
      <alignment vertical="center"/>
    </xf>
    <xf numFmtId="180" fontId="4" fillId="0" borderId="1" xfId="1" applyNumberFormat="1" applyFont="1" applyBorder="1" applyAlignment="1">
      <alignment horizontal="center" vertical="center" shrinkToFit="1"/>
    </xf>
    <xf numFmtId="41" fontId="6" fillId="0" borderId="1" xfId="1" applyNumberFormat="1" applyFont="1" applyBorder="1">
      <alignment vertical="center"/>
    </xf>
    <xf numFmtId="0" fontId="14" fillId="5" borderId="3" xfId="0" applyFont="1" applyFill="1" applyBorder="1">
      <alignment vertical="center"/>
    </xf>
    <xf numFmtId="180" fontId="4" fillId="0" borderId="1" xfId="0" applyNumberFormat="1" applyFont="1" applyBorder="1" applyAlignment="1">
      <alignment vertical="center" shrinkToFit="1"/>
    </xf>
    <xf numFmtId="0" fontId="16" fillId="5" borderId="1" xfId="0" applyFont="1" applyFill="1" applyBorder="1">
      <alignment vertical="center"/>
    </xf>
    <xf numFmtId="0" fontId="17" fillId="5" borderId="1" xfId="0" applyFont="1" applyFill="1" applyBorder="1">
      <alignment vertical="center"/>
    </xf>
    <xf numFmtId="41" fontId="3" fillId="0" borderId="0" xfId="1" applyFont="1" applyBorder="1">
      <alignment vertical="center"/>
    </xf>
    <xf numFmtId="0" fontId="14" fillId="5" borderId="1" xfId="0" applyFont="1" applyFill="1" applyBorder="1">
      <alignment vertical="center"/>
    </xf>
    <xf numFmtId="0" fontId="4" fillId="5" borderId="3" xfId="0" applyFont="1" applyFill="1" applyBorder="1">
      <alignment vertical="center"/>
    </xf>
    <xf numFmtId="179" fontId="4" fillId="0" borderId="1" xfId="1" applyNumberFormat="1" applyFont="1" applyFill="1" applyBorder="1" applyAlignment="1">
      <alignment horizontal="center" vertical="center" shrinkToFit="1"/>
    </xf>
    <xf numFmtId="177" fontId="4" fillId="0" borderId="1" xfId="1" applyNumberFormat="1" applyFont="1" applyFill="1" applyBorder="1" applyAlignment="1">
      <alignment horizontal="center" vertical="center" shrinkToFit="1"/>
    </xf>
    <xf numFmtId="0" fontId="12" fillId="0" borderId="0" xfId="0" applyFont="1" applyBorder="1">
      <alignment vertical="center"/>
    </xf>
    <xf numFmtId="0" fontId="12" fillId="0" borderId="20" xfId="0" applyFont="1" applyBorder="1">
      <alignment vertical="center"/>
    </xf>
    <xf numFmtId="0" fontId="7" fillId="2" borderId="9" xfId="0" applyFont="1" applyFill="1" applyBorder="1">
      <alignment vertical="center"/>
    </xf>
    <xf numFmtId="0" fontId="16" fillId="2" borderId="1" xfId="0" applyFont="1" applyFill="1" applyBorder="1">
      <alignment vertical="center"/>
    </xf>
    <xf numFmtId="0" fontId="13" fillId="5" borderId="9" xfId="0" applyFont="1" applyFill="1" applyBorder="1">
      <alignment vertical="center"/>
    </xf>
    <xf numFmtId="0" fontId="18" fillId="2" borderId="3" xfId="0" applyFont="1" applyFill="1" applyBorder="1">
      <alignment vertical="center"/>
    </xf>
    <xf numFmtId="0" fontId="14" fillId="5" borderId="9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9" fillId="0" borderId="4" xfId="0" applyNumberFormat="1" applyFont="1" applyBorder="1" applyAlignment="1">
      <alignment horizontal="center" vertical="center"/>
    </xf>
    <xf numFmtId="43" fontId="3" fillId="0" borderId="12" xfId="1" applyNumberFormat="1" applyFont="1" applyBorder="1">
      <alignment vertical="center"/>
    </xf>
    <xf numFmtId="43" fontId="3" fillId="0" borderId="9" xfId="1" applyNumberFormat="1" applyFont="1" applyBorder="1">
      <alignment vertical="center"/>
    </xf>
    <xf numFmtId="2" fontId="3" fillId="0" borderId="1" xfId="0" applyNumberFormat="1" applyFont="1" applyBorder="1">
      <alignment vertical="center"/>
    </xf>
    <xf numFmtId="181" fontId="4" fillId="0" borderId="7" xfId="0" applyNumberFormat="1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4" borderId="3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30212647254489E-2"/>
          <c:y val="6.6611859671768747E-2"/>
          <c:w val="0.86272263896016665"/>
          <c:h val="0.85589897808436965"/>
        </c:manualLayout>
      </c:layout>
      <c:lineChart>
        <c:grouping val="standard"/>
        <c:varyColors val="0"/>
        <c:ser>
          <c:idx val="0"/>
          <c:order val="0"/>
          <c:tx>
            <c:strRef>
              <c:f>스팀량!$A$4</c:f>
              <c:strCache>
                <c:ptCount val="1"/>
                <c:pt idx="0">
                  <c:v>폐1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스팀량!$B$4:$AF$4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B-4F05-906C-7CDD2BB2166F}"/>
            </c:ext>
          </c:extLst>
        </c:ser>
        <c:ser>
          <c:idx val="3"/>
          <c:order val="1"/>
          <c:tx>
            <c:strRef>
              <c:f>스팀량!$A$7</c:f>
              <c:strCache>
                <c:ptCount val="1"/>
                <c:pt idx="0">
                  <c:v>폐2-T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스팀량!$B$7:$AF$7</c:f>
              <c:numCache>
                <c:formatCode>General</c:formatCode>
                <c:ptCount val="31"/>
                <c:pt idx="0">
                  <c:v>340</c:v>
                </c:pt>
                <c:pt idx="1">
                  <c:v>341</c:v>
                </c:pt>
                <c:pt idx="2">
                  <c:v>333</c:v>
                </c:pt>
                <c:pt idx="3">
                  <c:v>325</c:v>
                </c:pt>
                <c:pt idx="4">
                  <c:v>325</c:v>
                </c:pt>
                <c:pt idx="5">
                  <c:v>319</c:v>
                </c:pt>
                <c:pt idx="6">
                  <c:v>266</c:v>
                </c:pt>
                <c:pt idx="7">
                  <c:v>275</c:v>
                </c:pt>
                <c:pt idx="8">
                  <c:v>331</c:v>
                </c:pt>
                <c:pt idx="9">
                  <c:v>329</c:v>
                </c:pt>
                <c:pt idx="10">
                  <c:v>333</c:v>
                </c:pt>
                <c:pt idx="11">
                  <c:v>333</c:v>
                </c:pt>
                <c:pt idx="12">
                  <c:v>327</c:v>
                </c:pt>
                <c:pt idx="13">
                  <c:v>323</c:v>
                </c:pt>
                <c:pt idx="14">
                  <c:v>316</c:v>
                </c:pt>
                <c:pt idx="15">
                  <c:v>314</c:v>
                </c:pt>
                <c:pt idx="16">
                  <c:v>316</c:v>
                </c:pt>
                <c:pt idx="17">
                  <c:v>309</c:v>
                </c:pt>
                <c:pt idx="18">
                  <c:v>310</c:v>
                </c:pt>
                <c:pt idx="19">
                  <c:v>321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183</c:v>
                </c:pt>
                <c:pt idx="30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8B-4F05-906C-7CDD2BB2166F}"/>
            </c:ext>
          </c:extLst>
        </c:ser>
        <c:ser>
          <c:idx val="4"/>
          <c:order val="2"/>
          <c:tx>
            <c:strRef>
              <c:f>스팀량!$A$8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스팀량!$B$8:$AF$8</c:f>
              <c:numCache>
                <c:formatCode>General</c:formatCode>
                <c:ptCount val="31"/>
                <c:pt idx="0">
                  <c:v>340</c:v>
                </c:pt>
                <c:pt idx="1">
                  <c:v>341</c:v>
                </c:pt>
                <c:pt idx="2">
                  <c:v>333</c:v>
                </c:pt>
                <c:pt idx="3">
                  <c:v>325</c:v>
                </c:pt>
                <c:pt idx="4">
                  <c:v>325</c:v>
                </c:pt>
                <c:pt idx="5">
                  <c:v>319</c:v>
                </c:pt>
                <c:pt idx="6">
                  <c:v>266</c:v>
                </c:pt>
                <c:pt idx="7">
                  <c:v>275</c:v>
                </c:pt>
                <c:pt idx="8">
                  <c:v>331</c:v>
                </c:pt>
                <c:pt idx="9">
                  <c:v>329</c:v>
                </c:pt>
                <c:pt idx="10">
                  <c:v>333</c:v>
                </c:pt>
                <c:pt idx="11">
                  <c:v>333</c:v>
                </c:pt>
                <c:pt idx="12">
                  <c:v>327</c:v>
                </c:pt>
                <c:pt idx="13">
                  <c:v>323</c:v>
                </c:pt>
                <c:pt idx="14">
                  <c:v>316</c:v>
                </c:pt>
                <c:pt idx="15">
                  <c:v>314</c:v>
                </c:pt>
                <c:pt idx="16">
                  <c:v>316</c:v>
                </c:pt>
                <c:pt idx="17">
                  <c:v>309</c:v>
                </c:pt>
                <c:pt idx="18">
                  <c:v>310</c:v>
                </c:pt>
                <c:pt idx="19">
                  <c:v>321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183</c:v>
                </c:pt>
                <c:pt idx="30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8B-4F05-906C-7CDD2BB21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90336"/>
        <c:axId val="78591872"/>
      </c:lineChart>
      <c:catAx>
        <c:axId val="78590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  <a:effectLst/>
          </c:spPr>
        </c:majorGridlines>
        <c:majorTickMark val="none"/>
        <c:minorTickMark val="none"/>
        <c:tickLblPos val="nextTo"/>
        <c:crossAx val="78591872"/>
        <c:crosses val="autoZero"/>
        <c:auto val="1"/>
        <c:lblAlgn val="ctr"/>
        <c:lblOffset val="100"/>
        <c:noMultiLvlLbl val="0"/>
      </c:catAx>
      <c:valAx>
        <c:axId val="78591872"/>
        <c:scaling>
          <c:orientation val="minMax"/>
          <c:max val="8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톤</a:t>
                </a:r>
                <a:r>
                  <a:rPr lang="en-US" altLang="ko-KR"/>
                  <a:t>/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2335181475096812E-2"/>
              <c:y val="9.7463309815205186E-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78590336"/>
        <c:crosses val="autoZero"/>
        <c:crossBetween val="between"/>
        <c:majorUnit val="5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711924968132882E-2"/>
          <c:y val="7.9724184868740555E-2"/>
          <c:w val="0.86272263896016665"/>
          <c:h val="0.85589897808436965"/>
        </c:manualLayout>
      </c:layout>
      <c:lineChart>
        <c:grouping val="standard"/>
        <c:varyColors val="0"/>
        <c:ser>
          <c:idx val="4"/>
          <c:order val="0"/>
          <c:tx>
            <c:strRef>
              <c:f>급수량!$A$6</c:f>
              <c:strCache>
                <c:ptCount val="1"/>
                <c:pt idx="0">
                  <c:v>폐#1-T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급수량!$B$6:$AF$6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8-437C-AA9C-A6D251846BC8}"/>
            </c:ext>
          </c:extLst>
        </c:ser>
        <c:ser>
          <c:idx val="6"/>
          <c:order val="1"/>
          <c:tx>
            <c:strRef>
              <c:f>급수량!$A$9</c:f>
              <c:strCache>
                <c:ptCount val="1"/>
                <c:pt idx="0">
                  <c:v>폐#2-T</c:v>
                </c:pt>
              </c:strCache>
            </c:strRef>
          </c:tx>
          <c:val>
            <c:numRef>
              <c:f>급수량!$B$9:$AF$9</c:f>
              <c:numCache>
                <c:formatCode>General</c:formatCode>
                <c:ptCount val="31"/>
                <c:pt idx="0">
                  <c:v>369</c:v>
                </c:pt>
                <c:pt idx="1">
                  <c:v>381</c:v>
                </c:pt>
                <c:pt idx="2">
                  <c:v>403</c:v>
                </c:pt>
                <c:pt idx="3">
                  <c:v>406</c:v>
                </c:pt>
                <c:pt idx="4">
                  <c:v>400</c:v>
                </c:pt>
                <c:pt idx="5">
                  <c:v>398</c:v>
                </c:pt>
                <c:pt idx="6">
                  <c:v>386</c:v>
                </c:pt>
                <c:pt idx="7">
                  <c:v>348</c:v>
                </c:pt>
                <c:pt idx="8">
                  <c:v>378</c:v>
                </c:pt>
                <c:pt idx="9">
                  <c:v>376</c:v>
                </c:pt>
                <c:pt idx="10">
                  <c:v>379</c:v>
                </c:pt>
                <c:pt idx="11">
                  <c:v>375</c:v>
                </c:pt>
                <c:pt idx="12">
                  <c:v>386</c:v>
                </c:pt>
                <c:pt idx="13">
                  <c:v>359</c:v>
                </c:pt>
                <c:pt idx="14">
                  <c:v>394</c:v>
                </c:pt>
                <c:pt idx="15">
                  <c:v>410</c:v>
                </c:pt>
                <c:pt idx="16">
                  <c:v>411</c:v>
                </c:pt>
                <c:pt idx="17">
                  <c:v>404</c:v>
                </c:pt>
                <c:pt idx="18">
                  <c:v>413</c:v>
                </c:pt>
                <c:pt idx="19">
                  <c:v>387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218</c:v>
                </c:pt>
                <c:pt idx="30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8-437C-AA9C-A6D251846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77728"/>
        <c:axId val="78787712"/>
      </c:lineChart>
      <c:catAx>
        <c:axId val="787777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  <a:effectLst/>
          </c:spPr>
        </c:majorGridlines>
        <c:majorTickMark val="none"/>
        <c:minorTickMark val="none"/>
        <c:tickLblPos val="nextTo"/>
        <c:crossAx val="78787712"/>
        <c:crosses val="autoZero"/>
        <c:auto val="1"/>
        <c:lblAlgn val="ctr"/>
        <c:lblOffset val="100"/>
        <c:noMultiLvlLbl val="0"/>
      </c:catAx>
      <c:valAx>
        <c:axId val="78787712"/>
        <c:scaling>
          <c:orientation val="minMax"/>
          <c:max val="8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톤</a:t>
                </a:r>
                <a:r>
                  <a:rPr lang="en-US" altLang="ko-KR"/>
                  <a:t>/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2335181475096812E-2"/>
              <c:y val="9.7463309815205186E-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78777728"/>
        <c:crosses val="autoZero"/>
        <c:crossBetween val="between"/>
        <c:majorUnit val="5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30212647254489E-2"/>
          <c:y val="6.6611859671768747E-2"/>
          <c:w val="0.86272263896016665"/>
          <c:h val="0.85589897808436965"/>
        </c:manualLayout>
      </c:layout>
      <c:lineChart>
        <c:grouping val="standard"/>
        <c:varyColors val="0"/>
        <c:ser>
          <c:idx val="4"/>
          <c:order val="0"/>
          <c:tx>
            <c:strRef>
              <c:f>전력!$A$5</c:f>
              <c:strCache>
                <c:ptCount val="1"/>
                <c:pt idx="0">
                  <c:v>폐#1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전력!$B$6:$AF$6</c:f>
              <c:numCache>
                <c:formatCode>General</c:formatCode>
                <c:ptCount val="31"/>
                <c:pt idx="0">
                  <c:v>5120</c:v>
                </c:pt>
                <c:pt idx="1">
                  <c:v>5120</c:v>
                </c:pt>
                <c:pt idx="2">
                  <c:v>5120</c:v>
                </c:pt>
                <c:pt idx="3">
                  <c:v>5120</c:v>
                </c:pt>
                <c:pt idx="4">
                  <c:v>3840</c:v>
                </c:pt>
                <c:pt idx="5">
                  <c:v>5120</c:v>
                </c:pt>
                <c:pt idx="6">
                  <c:v>5120</c:v>
                </c:pt>
                <c:pt idx="7">
                  <c:v>3840</c:v>
                </c:pt>
                <c:pt idx="8">
                  <c:v>5120</c:v>
                </c:pt>
                <c:pt idx="9">
                  <c:v>5120</c:v>
                </c:pt>
                <c:pt idx="10">
                  <c:v>5120</c:v>
                </c:pt>
                <c:pt idx="11">
                  <c:v>5120</c:v>
                </c:pt>
                <c:pt idx="12">
                  <c:v>3840</c:v>
                </c:pt>
                <c:pt idx="13">
                  <c:v>5120</c:v>
                </c:pt>
                <c:pt idx="14">
                  <c:v>5120</c:v>
                </c:pt>
                <c:pt idx="15">
                  <c:v>5120</c:v>
                </c:pt>
                <c:pt idx="16">
                  <c:v>3840</c:v>
                </c:pt>
                <c:pt idx="17">
                  <c:v>5120</c:v>
                </c:pt>
                <c:pt idx="18">
                  <c:v>5120</c:v>
                </c:pt>
                <c:pt idx="19">
                  <c:v>5120</c:v>
                </c:pt>
                <c:pt idx="20">
                  <c:v>3840</c:v>
                </c:pt>
                <c:pt idx="21">
                  <c:v>2560</c:v>
                </c:pt>
                <c:pt idx="22">
                  <c:v>2560</c:v>
                </c:pt>
                <c:pt idx="23">
                  <c:v>2560</c:v>
                </c:pt>
                <c:pt idx="24">
                  <c:v>1280</c:v>
                </c:pt>
                <c:pt idx="25">
                  <c:v>1280</c:v>
                </c:pt>
                <c:pt idx="26">
                  <c:v>1280</c:v>
                </c:pt>
                <c:pt idx="27">
                  <c:v>1280</c:v>
                </c:pt>
                <c:pt idx="28">
                  <c:v>1280</c:v>
                </c:pt>
                <c:pt idx="29">
                  <c:v>3840</c:v>
                </c:pt>
                <c:pt idx="30">
                  <c:v>5120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F-49E0-B4A5-C60B0F50FE80}"/>
            </c:ext>
          </c:extLst>
        </c:ser>
        <c:ser>
          <c:idx val="6"/>
          <c:order val="1"/>
          <c:tx>
            <c:strRef>
              <c:f>전력!$A$6</c:f>
              <c:strCache>
                <c:ptCount val="1"/>
                <c:pt idx="0">
                  <c:v>폐#2</c:v>
                </c:pt>
              </c:strCache>
            </c:strRef>
          </c:tx>
          <c:val>
            <c:numRef>
              <c:f>전력!$B$7:$AF$7</c:f>
              <c:numCache>
                <c:formatCode>General</c:formatCode>
                <c:ptCount val="31"/>
                <c:pt idx="0">
                  <c:v>912</c:v>
                </c:pt>
                <c:pt idx="1">
                  <c:v>888</c:v>
                </c:pt>
                <c:pt idx="2">
                  <c:v>912</c:v>
                </c:pt>
                <c:pt idx="3">
                  <c:v>888</c:v>
                </c:pt>
                <c:pt idx="4">
                  <c:v>888</c:v>
                </c:pt>
                <c:pt idx="5">
                  <c:v>888</c:v>
                </c:pt>
                <c:pt idx="6">
                  <c:v>888</c:v>
                </c:pt>
                <c:pt idx="7">
                  <c:v>888</c:v>
                </c:pt>
                <c:pt idx="8">
                  <c:v>912</c:v>
                </c:pt>
                <c:pt idx="9">
                  <c:v>912</c:v>
                </c:pt>
                <c:pt idx="10">
                  <c:v>864</c:v>
                </c:pt>
                <c:pt idx="11">
                  <c:v>888</c:v>
                </c:pt>
                <c:pt idx="12">
                  <c:v>888</c:v>
                </c:pt>
                <c:pt idx="13">
                  <c:v>912</c:v>
                </c:pt>
                <c:pt idx="14">
                  <c:v>888</c:v>
                </c:pt>
                <c:pt idx="15">
                  <c:v>888</c:v>
                </c:pt>
                <c:pt idx="16">
                  <c:v>888</c:v>
                </c:pt>
                <c:pt idx="17">
                  <c:v>888</c:v>
                </c:pt>
                <c:pt idx="18">
                  <c:v>888</c:v>
                </c:pt>
                <c:pt idx="19">
                  <c:v>912</c:v>
                </c:pt>
                <c:pt idx="20">
                  <c:v>1008</c:v>
                </c:pt>
                <c:pt idx="21">
                  <c:v>888</c:v>
                </c:pt>
                <c:pt idx="22">
                  <c:v>864</c:v>
                </c:pt>
                <c:pt idx="23">
                  <c:v>456</c:v>
                </c:pt>
                <c:pt idx="24">
                  <c:v>624</c:v>
                </c:pt>
                <c:pt idx="25">
                  <c:v>672</c:v>
                </c:pt>
                <c:pt idx="26">
                  <c:v>792</c:v>
                </c:pt>
                <c:pt idx="27">
                  <c:v>912</c:v>
                </c:pt>
                <c:pt idx="28">
                  <c:v>792</c:v>
                </c:pt>
                <c:pt idx="29">
                  <c:v>912</c:v>
                </c:pt>
                <c:pt idx="30">
                  <c:v>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F-49E0-B4A5-C60B0F50FE80}"/>
            </c:ext>
          </c:extLst>
        </c:ser>
        <c:ser>
          <c:idx val="0"/>
          <c:order val="2"/>
          <c:tx>
            <c:strRef>
              <c:f>전력!$A$7</c:f>
              <c:strCache>
                <c:ptCount val="1"/>
                <c:pt idx="0">
                  <c:v>EP</c:v>
                </c:pt>
              </c:strCache>
            </c:strRef>
          </c:tx>
          <c:val>
            <c:numRef>
              <c:f>전력!$B$8:$AF$8</c:f>
              <c:numCache>
                <c:formatCode>General</c:formatCode>
                <c:ptCount val="31"/>
                <c:pt idx="0">
                  <c:v>8112</c:v>
                </c:pt>
                <c:pt idx="1">
                  <c:v>7048</c:v>
                </c:pt>
                <c:pt idx="2">
                  <c:v>7072</c:v>
                </c:pt>
                <c:pt idx="3">
                  <c:v>8088</c:v>
                </c:pt>
                <c:pt idx="4">
                  <c:v>5768</c:v>
                </c:pt>
                <c:pt idx="5">
                  <c:v>7048</c:v>
                </c:pt>
                <c:pt idx="6">
                  <c:v>7048</c:v>
                </c:pt>
                <c:pt idx="7">
                  <c:v>5768</c:v>
                </c:pt>
                <c:pt idx="8">
                  <c:v>7072</c:v>
                </c:pt>
                <c:pt idx="9">
                  <c:v>8112</c:v>
                </c:pt>
                <c:pt idx="10">
                  <c:v>7024</c:v>
                </c:pt>
                <c:pt idx="11">
                  <c:v>7048</c:v>
                </c:pt>
                <c:pt idx="12">
                  <c:v>5768</c:v>
                </c:pt>
                <c:pt idx="13">
                  <c:v>7072</c:v>
                </c:pt>
                <c:pt idx="14">
                  <c:v>8088</c:v>
                </c:pt>
                <c:pt idx="15">
                  <c:v>7048</c:v>
                </c:pt>
                <c:pt idx="16">
                  <c:v>5768</c:v>
                </c:pt>
                <c:pt idx="17">
                  <c:v>7048</c:v>
                </c:pt>
                <c:pt idx="18">
                  <c:v>7048</c:v>
                </c:pt>
                <c:pt idx="19">
                  <c:v>7072</c:v>
                </c:pt>
                <c:pt idx="20">
                  <c:v>5888</c:v>
                </c:pt>
                <c:pt idx="21">
                  <c:v>4488</c:v>
                </c:pt>
                <c:pt idx="22">
                  <c:v>4464</c:v>
                </c:pt>
                <c:pt idx="23">
                  <c:v>4056</c:v>
                </c:pt>
                <c:pt idx="24">
                  <c:v>2944</c:v>
                </c:pt>
                <c:pt idx="25">
                  <c:v>2992</c:v>
                </c:pt>
                <c:pt idx="26">
                  <c:v>3112</c:v>
                </c:pt>
                <c:pt idx="27">
                  <c:v>3232</c:v>
                </c:pt>
                <c:pt idx="28">
                  <c:v>3112</c:v>
                </c:pt>
                <c:pt idx="29">
                  <c:v>5792</c:v>
                </c:pt>
                <c:pt idx="30">
                  <c:v>7024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BF-49E0-B4A5-C60B0F50FE80}"/>
            </c:ext>
          </c:extLst>
        </c:ser>
        <c:ser>
          <c:idx val="1"/>
          <c:order val="3"/>
          <c:tx>
            <c:strRef>
              <c:f>전력!$A$8</c:f>
              <c:strCache>
                <c:ptCount val="1"/>
                <c:pt idx="0">
                  <c:v>Total</c:v>
                </c:pt>
              </c:strCache>
            </c:strRef>
          </c:tx>
          <c:val>
            <c:numRef>
              <c:f>전력!$B$9:$AF$9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BF-49E0-B4A5-C60B0F50F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09440"/>
        <c:axId val="78910976"/>
      </c:lineChart>
      <c:catAx>
        <c:axId val="789094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  <a:prstDash val="sysDash"/>
            </a:ln>
            <a:effectLst/>
          </c:spPr>
        </c:majorGridlines>
        <c:majorTickMark val="none"/>
        <c:minorTickMark val="none"/>
        <c:tickLblPos val="nextTo"/>
        <c:crossAx val="78910976"/>
        <c:crosses val="autoZero"/>
        <c:auto val="1"/>
        <c:lblAlgn val="ctr"/>
        <c:lblOffset val="100"/>
        <c:noMultiLvlLbl val="0"/>
      </c:catAx>
      <c:valAx>
        <c:axId val="78910976"/>
        <c:scaling>
          <c:orientation val="minMax"/>
          <c:max val="13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(kwh/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2335181475096812E-2"/>
              <c:y val="9.7463309815205186E-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78909440"/>
        <c:crosses val="autoZero"/>
        <c:crossBetween val="between"/>
        <c:maj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 paperSize="9" orientation="landscape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 u="sng" baseline="0"/>
              <a:t>비산재 발생량</a:t>
            </a:r>
            <a:r>
              <a:rPr lang="en-US" altLang="ko-KR" sz="1400" u="sng" baseline="0"/>
              <a:t>(</a:t>
            </a:r>
            <a:r>
              <a:rPr lang="ko-KR" altLang="en-US" sz="1400" u="sng" baseline="0"/>
              <a:t>마대</a:t>
            </a:r>
            <a:r>
              <a:rPr lang="en-US" altLang="ko-KR" sz="1400" u="sng" baseline="0"/>
              <a:t>)</a:t>
            </a:r>
            <a:endParaRPr lang="ko-KR" altLang="en-US" sz="1400" u="sng" baseline="0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폐기물!$C$4:$C$6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7-44A7-8C47-E482528118CB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폐기물!$D$4:$D$6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7-44A7-8C47-E482528118CB}"/>
            </c:ext>
          </c:extLst>
        </c:ser>
        <c:ser>
          <c:idx val="2"/>
          <c:order val="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폐기물!$E$4:$E$6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7-44A7-8C47-E482528118CB}"/>
            </c:ext>
          </c:extLst>
        </c:ser>
        <c:ser>
          <c:idx val="3"/>
          <c:order val="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폐기물!$F$4:$F$6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07-44A7-8C47-E482528118CB}"/>
            </c:ext>
          </c:extLst>
        </c:ser>
        <c:ser>
          <c:idx val="4"/>
          <c:order val="4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폐기물!$G$4:$G$6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07-44A7-8C47-E482528118CB}"/>
            </c:ext>
          </c:extLst>
        </c:ser>
        <c:ser>
          <c:idx val="5"/>
          <c:order val="5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폐기물!$H$4:$H$6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07-44A7-8C47-E482528118CB}"/>
            </c:ext>
          </c:extLst>
        </c:ser>
        <c:ser>
          <c:idx val="6"/>
          <c:order val="6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폐기물!$I$4:$I$6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07-44A7-8C47-E482528118CB}"/>
            </c:ext>
          </c:extLst>
        </c:ser>
        <c:ser>
          <c:idx val="7"/>
          <c:order val="7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폐기물!$J$4:$J$6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07-44A7-8C47-E482528118CB}"/>
            </c:ext>
          </c:extLst>
        </c:ser>
        <c:ser>
          <c:idx val="8"/>
          <c:order val="8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폐기물!$K$4:$K$6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07-44A7-8C47-E482528118CB}"/>
            </c:ext>
          </c:extLst>
        </c:ser>
        <c:ser>
          <c:idx val="9"/>
          <c:order val="9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폐기물!$L$4:$L$6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07-44A7-8C47-E482528118CB}"/>
            </c:ext>
          </c:extLst>
        </c:ser>
        <c:ser>
          <c:idx val="10"/>
          <c:order val="1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폐기물!$M$4:$M$6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07-44A7-8C47-E482528118CB}"/>
            </c:ext>
          </c:extLst>
        </c:ser>
        <c:ser>
          <c:idx val="11"/>
          <c:order val="1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폐기물!$N$4:$N$6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407-44A7-8C47-E482528118CB}"/>
            </c:ext>
          </c:extLst>
        </c:ser>
        <c:ser>
          <c:idx val="12"/>
          <c:order val="1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폐기물!$O$4:$O$6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07-44A7-8C47-E482528118CB}"/>
            </c:ext>
          </c:extLst>
        </c:ser>
        <c:ser>
          <c:idx val="13"/>
          <c:order val="1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폐기물!$P$4:$P$6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407-44A7-8C47-E482528118CB}"/>
            </c:ext>
          </c:extLst>
        </c:ser>
        <c:ser>
          <c:idx val="14"/>
          <c:order val="14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폐기물!$Q$4:$Q$6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07-44A7-8C47-E482528118CB}"/>
            </c:ext>
          </c:extLst>
        </c:ser>
        <c:ser>
          <c:idx val="15"/>
          <c:order val="15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폐기물!$R$4:$R$6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407-44A7-8C47-E482528118CB}"/>
            </c:ext>
          </c:extLst>
        </c:ser>
        <c:ser>
          <c:idx val="16"/>
          <c:order val="16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폐기물!$S$4:$S$6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07-44A7-8C47-E482528118CB}"/>
            </c:ext>
          </c:extLst>
        </c:ser>
        <c:ser>
          <c:idx val="17"/>
          <c:order val="17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폐기물!$T$4:$T$6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407-44A7-8C47-E482528118CB}"/>
            </c:ext>
          </c:extLst>
        </c:ser>
        <c:ser>
          <c:idx val="18"/>
          <c:order val="18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폐기물!$U$4:$U$6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407-44A7-8C47-E482528118CB}"/>
            </c:ext>
          </c:extLst>
        </c:ser>
        <c:ser>
          <c:idx val="19"/>
          <c:order val="19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폐기물!$V$4:$V$6</c:f>
              <c:numCache>
                <c:formatCode>General</c:formatCode>
                <c:ptCount val="3"/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407-44A7-8C47-E482528118CB}"/>
            </c:ext>
          </c:extLst>
        </c:ser>
        <c:ser>
          <c:idx val="20"/>
          <c:order val="2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폐기물!$W$4:$W$6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07-44A7-8C47-E482528118CB}"/>
            </c:ext>
          </c:extLst>
        </c:ser>
        <c:ser>
          <c:idx val="21"/>
          <c:order val="2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폐기물!$X$4:$X$6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407-44A7-8C47-E482528118CB}"/>
            </c:ext>
          </c:extLst>
        </c:ser>
        <c:ser>
          <c:idx val="22"/>
          <c:order val="2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폐기물!$Y$4:$Y$6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407-44A7-8C47-E482528118CB}"/>
            </c:ext>
          </c:extLst>
        </c:ser>
        <c:ser>
          <c:idx val="23"/>
          <c:order val="2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폐기물!$Z$4:$Z$6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7-D407-44A7-8C47-E482528118CB}"/>
            </c:ext>
          </c:extLst>
        </c:ser>
        <c:ser>
          <c:idx val="24"/>
          <c:order val="24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폐기물!$AA$4:$AA$6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407-44A7-8C47-E482528118CB}"/>
            </c:ext>
          </c:extLst>
        </c:ser>
        <c:ser>
          <c:idx val="25"/>
          <c:order val="25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폐기물!$AB$4:$AB$6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407-44A7-8C47-E482528118CB}"/>
            </c:ext>
          </c:extLst>
        </c:ser>
        <c:ser>
          <c:idx val="26"/>
          <c:order val="26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폐기물!$AC$4:$AC$6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407-44A7-8C47-E482528118CB}"/>
            </c:ext>
          </c:extLst>
        </c:ser>
        <c:ser>
          <c:idx val="27"/>
          <c:order val="27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폐기물!$AD$4:$AD$6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407-44A7-8C47-E482528118CB}"/>
            </c:ext>
          </c:extLst>
        </c:ser>
        <c:ser>
          <c:idx val="28"/>
          <c:order val="28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폐기물!$AE$4:$AE$6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407-44A7-8C47-E482528118CB}"/>
            </c:ext>
          </c:extLst>
        </c:ser>
        <c:ser>
          <c:idx val="29"/>
          <c:order val="29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폐기물!$AF$4:$AF$6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407-44A7-8C47-E482528118CB}"/>
            </c:ext>
          </c:extLst>
        </c:ser>
        <c:ser>
          <c:idx val="30"/>
          <c:order val="3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폐기물!$B$4:$B$6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폐기물!$AG$4:$AG$6</c:f>
              <c:numCache>
                <c:formatCode>General</c:formatCode>
                <c:ptCount val="3"/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407-44A7-8C47-E482528118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80492416"/>
        <c:axId val="80493952"/>
      </c:barChart>
      <c:catAx>
        <c:axId val="80492416"/>
        <c:scaling>
          <c:orientation val="minMax"/>
        </c:scaling>
        <c:delete val="0"/>
        <c:axPos val="b"/>
        <c:minorGridlines/>
        <c:numFmt formatCode="General" sourceLinked="0"/>
        <c:majorTickMark val="none"/>
        <c:minorTickMark val="none"/>
        <c:tickLblPos val="nextTo"/>
        <c:crossAx val="80493952"/>
        <c:crosses val="autoZero"/>
        <c:auto val="1"/>
        <c:lblAlgn val="ctr"/>
        <c:lblOffset val="100"/>
        <c:noMultiLvlLbl val="0"/>
      </c:catAx>
      <c:valAx>
        <c:axId val="80493952"/>
        <c:scaling>
          <c:orientation val="minMax"/>
        </c:scaling>
        <c:delete val="0"/>
        <c:axPos val="l"/>
        <c:minorGridlines>
          <c:spPr>
            <a:ln>
              <a:solidFill>
                <a:sysClr val="window" lastClr="FFFFFF">
                  <a:lumMod val="65000"/>
                </a:sysClr>
              </a:solidFill>
              <a:prstDash val="sysDash"/>
            </a:ln>
          </c:spPr>
        </c:minorGridlines>
        <c:numFmt formatCode="General" sourceLinked="1"/>
        <c:majorTickMark val="out"/>
        <c:minorTickMark val="none"/>
        <c:tickLblPos val="nextTo"/>
        <c:crossAx val="80492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 u="sng" baseline="0"/>
              <a:t>바닥재 발생량</a:t>
            </a:r>
            <a:r>
              <a:rPr lang="en-US" altLang="ko-KR" sz="1400" u="sng" baseline="0"/>
              <a:t>(</a:t>
            </a:r>
            <a:r>
              <a:rPr lang="ko-KR" altLang="en-US" sz="1400" u="sng" baseline="0"/>
              <a:t>톤</a:t>
            </a:r>
            <a:r>
              <a:rPr lang="en-US" altLang="ko-KR" sz="1400" u="sng" baseline="0"/>
              <a:t>)</a:t>
            </a:r>
            <a:endParaRPr lang="ko-KR" altLang="en-US" sz="1400" u="sng" baseline="0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폐기물!$C$7:$C$9</c:f>
              <c:numCache>
                <c:formatCode>General</c:formatCode>
                <c:ptCount val="3"/>
                <c:pt idx="1">
                  <c:v>26.71</c:v>
                </c:pt>
                <c:pt idx="2">
                  <c:v>26.71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6-4285-A72A-EC470EFCEEF9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폐기물!$D$7:$D$9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6-4285-A72A-EC470EFCEEF9}"/>
            </c:ext>
          </c:extLst>
        </c:ser>
        <c:ser>
          <c:idx val="2"/>
          <c:order val="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폐기물!$E$7:$E$9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6-4285-A72A-EC470EFCEEF9}"/>
            </c:ext>
          </c:extLst>
        </c:ser>
        <c:ser>
          <c:idx val="3"/>
          <c:order val="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폐기물!$F$7:$F$9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6-4285-A72A-EC470EFCEEF9}"/>
            </c:ext>
          </c:extLst>
        </c:ser>
        <c:ser>
          <c:idx val="4"/>
          <c:order val="4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폐기물!$G$7:$G$9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16-4285-A72A-EC470EFCEEF9}"/>
            </c:ext>
          </c:extLst>
        </c:ser>
        <c:ser>
          <c:idx val="5"/>
          <c:order val="5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폐기물!$H$7:$H$9</c:f>
              <c:numCache>
                <c:formatCode>General</c:formatCode>
                <c:ptCount val="3"/>
                <c:pt idx="1">
                  <c:v>25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16-4285-A72A-EC470EFCEEF9}"/>
            </c:ext>
          </c:extLst>
        </c:ser>
        <c:ser>
          <c:idx val="6"/>
          <c:order val="6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폐기물!$I$7:$I$9</c:f>
              <c:numCache>
                <c:formatCode>General</c:formatCode>
                <c:ptCount val="3"/>
                <c:pt idx="1">
                  <c:v>22.3</c:v>
                </c:pt>
                <c:pt idx="2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16-4285-A72A-EC470EFCEEF9}"/>
            </c:ext>
          </c:extLst>
        </c:ser>
        <c:ser>
          <c:idx val="7"/>
          <c:order val="7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폐기물!$J$7:$J$9</c:f>
              <c:numCache>
                <c:formatCode>General</c:formatCode>
                <c:ptCount val="3"/>
                <c:pt idx="1">
                  <c:v>21.29</c:v>
                </c:pt>
                <c:pt idx="2">
                  <c:v>21.29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16-4285-A72A-EC470EFCEEF9}"/>
            </c:ext>
          </c:extLst>
        </c:ser>
        <c:ser>
          <c:idx val="8"/>
          <c:order val="8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폐기물!$K$7:$K$9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16-4285-A72A-EC470EFCEEF9}"/>
            </c:ext>
          </c:extLst>
        </c:ser>
        <c:ser>
          <c:idx val="9"/>
          <c:order val="9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폐기물!$L$7:$L$9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16-4285-A72A-EC470EFCEEF9}"/>
            </c:ext>
          </c:extLst>
        </c:ser>
        <c:ser>
          <c:idx val="10"/>
          <c:order val="1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폐기물!$M$7:$M$9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16-4285-A72A-EC470EFCEEF9}"/>
            </c:ext>
          </c:extLst>
        </c:ser>
        <c:ser>
          <c:idx val="11"/>
          <c:order val="1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폐기물!$N$7:$N$9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16-4285-A72A-EC470EFCEEF9}"/>
            </c:ext>
          </c:extLst>
        </c:ser>
        <c:ser>
          <c:idx val="12"/>
          <c:order val="1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폐기물!$O$7:$O$9</c:f>
              <c:numCache>
                <c:formatCode>General</c:formatCode>
                <c:ptCount val="3"/>
                <c:pt idx="1">
                  <c:v>22.96</c:v>
                </c:pt>
                <c:pt idx="2">
                  <c:v>22.96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16-4285-A72A-EC470EFCEEF9}"/>
            </c:ext>
          </c:extLst>
        </c:ser>
        <c:ser>
          <c:idx val="13"/>
          <c:order val="1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폐기물!$P$7:$P$9</c:f>
              <c:numCache>
                <c:formatCode>General</c:formatCode>
                <c:ptCount val="3"/>
                <c:pt idx="1">
                  <c:v>25.61</c:v>
                </c:pt>
                <c:pt idx="2">
                  <c:v>25.61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816-4285-A72A-EC470EFCEEF9}"/>
            </c:ext>
          </c:extLst>
        </c:ser>
        <c:ser>
          <c:idx val="14"/>
          <c:order val="14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폐기물!$Q$7:$Q$9</c:f>
              <c:numCache>
                <c:formatCode>General</c:formatCode>
                <c:ptCount val="3"/>
                <c:pt idx="1">
                  <c:v>24.64</c:v>
                </c:pt>
                <c:pt idx="2">
                  <c:v>24.64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16-4285-A72A-EC470EFCEEF9}"/>
            </c:ext>
          </c:extLst>
        </c:ser>
        <c:ser>
          <c:idx val="15"/>
          <c:order val="15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폐기물!$R$7:$R$9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816-4285-A72A-EC470EFCEEF9}"/>
            </c:ext>
          </c:extLst>
        </c:ser>
        <c:ser>
          <c:idx val="16"/>
          <c:order val="16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폐기물!$S$7:$S$9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16-4285-A72A-EC470EFCEEF9}"/>
            </c:ext>
          </c:extLst>
        </c:ser>
        <c:ser>
          <c:idx val="17"/>
          <c:order val="17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폐기물!$T$7:$T$9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816-4285-A72A-EC470EFCEEF9}"/>
            </c:ext>
          </c:extLst>
        </c:ser>
        <c:ser>
          <c:idx val="18"/>
          <c:order val="18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폐기물!$U$7:$U$9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816-4285-A72A-EC470EFCEEF9}"/>
            </c:ext>
          </c:extLst>
        </c:ser>
        <c:ser>
          <c:idx val="19"/>
          <c:order val="19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폐기물!$V$7:$V$9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816-4285-A72A-EC470EFCEEF9}"/>
            </c:ext>
          </c:extLst>
        </c:ser>
        <c:ser>
          <c:idx val="20"/>
          <c:order val="2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폐기물!$W$7:$W$9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16-4285-A72A-EC470EFCEEF9}"/>
            </c:ext>
          </c:extLst>
        </c:ser>
        <c:ser>
          <c:idx val="21"/>
          <c:order val="21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폐기물!$X$7:$X$9</c:f>
              <c:numCache>
                <c:formatCode>General</c:formatCode>
                <c:ptCount val="3"/>
                <c:pt idx="1">
                  <c:v>45.44</c:v>
                </c:pt>
                <c:pt idx="2">
                  <c:v>45.44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816-4285-A72A-EC470EFCEEF9}"/>
            </c:ext>
          </c:extLst>
        </c:ser>
        <c:ser>
          <c:idx val="22"/>
          <c:order val="22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폐기물!$Y$7:$Y$9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16-4285-A72A-EC470EFCEEF9}"/>
            </c:ext>
          </c:extLst>
        </c:ser>
        <c:ser>
          <c:idx val="23"/>
          <c:order val="23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폐기물!$Z$7:$Z$9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816-4285-A72A-EC470EFCEEF9}"/>
            </c:ext>
          </c:extLst>
        </c:ser>
        <c:ser>
          <c:idx val="24"/>
          <c:order val="24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폐기물!$AA$7:$AA$9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16-4285-A72A-EC470EFCEEF9}"/>
            </c:ext>
          </c:extLst>
        </c:ser>
        <c:ser>
          <c:idx val="25"/>
          <c:order val="25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폐기물!$AB$7:$AB$9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816-4285-A72A-EC470EFCEEF9}"/>
            </c:ext>
          </c:extLst>
        </c:ser>
        <c:ser>
          <c:idx val="26"/>
          <c:order val="26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폐기물!$AC$7:$AC$9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816-4285-A72A-EC470EFCEEF9}"/>
            </c:ext>
          </c:extLst>
        </c:ser>
        <c:ser>
          <c:idx val="27"/>
          <c:order val="27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폐기물!$AD$7:$AD$9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816-4285-A72A-EC470EFCEEF9}"/>
            </c:ext>
          </c:extLst>
        </c:ser>
        <c:ser>
          <c:idx val="28"/>
          <c:order val="28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폐기물!$AE$7:$AE$9</c:f>
              <c:numCache>
                <c:formatCode>General</c:formatCode>
                <c:ptCount val="3"/>
                <c:pt idx="1">
                  <c:v>14.33</c:v>
                </c:pt>
                <c:pt idx="2">
                  <c:v>14.33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816-4285-A72A-EC470EFCEEF9}"/>
            </c:ext>
          </c:extLst>
        </c:ser>
        <c:ser>
          <c:idx val="29"/>
          <c:order val="29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폐기물!$AF$7:$AF$9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816-4285-A72A-EC470EFCEEF9}"/>
            </c:ext>
          </c:extLst>
        </c:ser>
        <c:ser>
          <c:idx val="30"/>
          <c:order val="3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폐기물!$B$7:$B$9</c:f>
              <c:strCache>
                <c:ptCount val="3"/>
                <c:pt idx="0">
                  <c:v>폐#1</c:v>
                </c:pt>
                <c:pt idx="1">
                  <c:v>폐#2</c:v>
                </c:pt>
                <c:pt idx="2">
                  <c:v>Total</c:v>
                </c:pt>
              </c:strCache>
            </c:strRef>
          </c:cat>
          <c:val>
            <c:numRef>
              <c:f>폐기물!$AG$7:$AG$9</c:f>
              <c:numCache>
                <c:formatCode>General</c:formatCode>
                <c:ptCount val="3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816-4285-A72A-EC470EFCE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80743424"/>
        <c:axId val="80757504"/>
      </c:barChart>
      <c:catAx>
        <c:axId val="80743424"/>
        <c:scaling>
          <c:orientation val="minMax"/>
        </c:scaling>
        <c:delete val="0"/>
        <c:axPos val="b"/>
        <c:minorGridlines/>
        <c:numFmt formatCode="General" sourceLinked="0"/>
        <c:majorTickMark val="none"/>
        <c:minorTickMark val="none"/>
        <c:tickLblPos val="nextTo"/>
        <c:crossAx val="80757504"/>
        <c:crosses val="autoZero"/>
        <c:auto val="1"/>
        <c:lblAlgn val="ctr"/>
        <c:lblOffset val="100"/>
        <c:noMultiLvlLbl val="0"/>
      </c:catAx>
      <c:valAx>
        <c:axId val="80757504"/>
        <c:scaling>
          <c:orientation val="minMax"/>
        </c:scaling>
        <c:delete val="0"/>
        <c:axPos val="l"/>
        <c:minorGridlines>
          <c:spPr>
            <a:ln>
              <a:solidFill>
                <a:sysClr val="window" lastClr="FFFFFF">
                  <a:lumMod val="65000"/>
                </a:sysClr>
              </a:solidFill>
              <a:prstDash val="sysDash"/>
            </a:ln>
          </c:spPr>
        </c:minorGridlines>
        <c:numFmt formatCode="General" sourceLinked="1"/>
        <c:majorTickMark val="out"/>
        <c:minorTickMark val="none"/>
        <c:tickLblPos val="nextTo"/>
        <c:crossAx val="80743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 u="sng" baseline="0"/>
              <a:t>약품사용량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약품!$A$5:$B$5</c:f>
              <c:strCache>
                <c:ptCount val="2"/>
                <c:pt idx="1">
                  <c:v>사용</c:v>
                </c:pt>
              </c:strCache>
            </c:strRef>
          </c:tx>
          <c:val>
            <c:numRef>
              <c:f>약품!$C$5:$AG$5</c:f>
              <c:numCache>
                <c:formatCode>General</c:formatCode>
                <c:ptCount val="31"/>
                <c:pt idx="0">
                  <c:v>450</c:v>
                </c:pt>
                <c:pt idx="1">
                  <c:v>400</c:v>
                </c:pt>
                <c:pt idx="2">
                  <c:v>450</c:v>
                </c:pt>
                <c:pt idx="3">
                  <c:v>400</c:v>
                </c:pt>
                <c:pt idx="4">
                  <c:v>450</c:v>
                </c:pt>
                <c:pt idx="5">
                  <c:v>370</c:v>
                </c:pt>
                <c:pt idx="6">
                  <c:v>550</c:v>
                </c:pt>
                <c:pt idx="7">
                  <c:v>400</c:v>
                </c:pt>
                <c:pt idx="8">
                  <c:v>370</c:v>
                </c:pt>
                <c:pt idx="9">
                  <c:v>360</c:v>
                </c:pt>
                <c:pt idx="10">
                  <c:v>360</c:v>
                </c:pt>
                <c:pt idx="11">
                  <c:v>420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300</c:v>
                </c:pt>
                <c:pt idx="16">
                  <c:v>300</c:v>
                </c:pt>
                <c:pt idx="17">
                  <c:v>440</c:v>
                </c:pt>
                <c:pt idx="18">
                  <c:v>340</c:v>
                </c:pt>
                <c:pt idx="19">
                  <c:v>360</c:v>
                </c:pt>
                <c:pt idx="29">
                  <c:v>300</c:v>
                </c:pt>
                <c:pt idx="3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7-4A7D-8711-91033BBDA23F}"/>
            </c:ext>
          </c:extLst>
        </c:ser>
        <c:ser>
          <c:idx val="4"/>
          <c:order val="1"/>
          <c:tx>
            <c:strRef>
              <c:f>약품!$A$8:$B$8</c:f>
              <c:strCache>
                <c:ptCount val="2"/>
                <c:pt idx="0">
                  <c:v>청관재</c:v>
                </c:pt>
                <c:pt idx="1">
                  <c:v>사용</c:v>
                </c:pt>
              </c:strCache>
            </c:strRef>
          </c:tx>
          <c:val>
            <c:numRef>
              <c:f>약품!$C$8:$AG$8</c:f>
              <c:numCache>
                <c:formatCode>General</c:formatCode>
                <c:ptCount val="3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9">
                  <c:v>30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7-4A7D-8711-91033BBDA23F}"/>
            </c:ext>
          </c:extLst>
        </c:ser>
        <c:ser>
          <c:idx val="7"/>
          <c:order val="2"/>
          <c:tx>
            <c:strRef>
              <c:f>약품!$A$11:$B$11</c:f>
              <c:strCache>
                <c:ptCount val="2"/>
                <c:pt idx="0">
                  <c:v>소금</c:v>
                </c:pt>
                <c:pt idx="1">
                  <c:v>사용</c:v>
                </c:pt>
              </c:strCache>
            </c:strRef>
          </c:tx>
          <c:val>
            <c:numRef>
              <c:f>약품!$C$11:$AG$11</c:f>
              <c:numCache>
                <c:formatCode>General</c:formatCode>
                <c:ptCount val="31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400</c:v>
                </c:pt>
                <c:pt idx="3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7-4A7D-8711-91033BBDA23F}"/>
            </c:ext>
          </c:extLst>
        </c:ser>
        <c:ser>
          <c:idx val="10"/>
          <c:order val="3"/>
          <c:tx>
            <c:strRef>
              <c:f>약품!$A$15:$B$15</c:f>
              <c:strCache>
                <c:ptCount val="2"/>
                <c:pt idx="0">
                  <c:v>가성</c:v>
                </c:pt>
                <c:pt idx="1">
                  <c:v>사용</c:v>
                </c:pt>
              </c:strCache>
            </c:strRef>
          </c:tx>
          <c:val>
            <c:numRef>
              <c:f>약품!$C$15:$AG$15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97-4A7D-8711-91033BBD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14080"/>
        <c:axId val="80815616"/>
      </c:lineChart>
      <c:catAx>
        <c:axId val="8081408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700" baseline="0"/>
            </a:pPr>
            <a:endParaRPr lang="ko-KR"/>
          </a:p>
        </c:txPr>
        <c:crossAx val="80815616"/>
        <c:crosses val="autoZero"/>
        <c:auto val="1"/>
        <c:lblAlgn val="ctr"/>
        <c:lblOffset val="100"/>
        <c:noMultiLvlLbl val="0"/>
      </c:catAx>
      <c:valAx>
        <c:axId val="808156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 baseline="0"/>
            </a:pPr>
            <a:endParaRPr lang="ko-KR"/>
          </a:p>
        </c:txPr>
        <c:crossAx val="8081408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800" baseline="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 u="sng" baseline="0"/>
              <a:t>부생유 사용량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0231140112765683E-2"/>
          <c:y val="0.12980231369691322"/>
          <c:w val="0.90413779349360002"/>
          <c:h val="0.7406513696528686"/>
        </c:manualLayout>
      </c:layout>
      <c:barChart>
        <c:barDir val="col"/>
        <c:grouping val="stacked"/>
        <c:varyColors val="0"/>
        <c:ser>
          <c:idx val="1"/>
          <c:order val="0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약품!$C$21:$C$24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5EE-4A80-96E1-4DD7D9983179}"/>
            </c:ext>
          </c:extLst>
        </c:ser>
        <c:ser>
          <c:idx val="4"/>
          <c:order val="1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약품!$D$21:$D$24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85EE-4A80-96E1-4DD7D9983179}"/>
            </c:ext>
          </c:extLst>
        </c:ser>
        <c:ser>
          <c:idx val="7"/>
          <c:order val="2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약품!$E$21:$E$24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85EE-4A80-96E1-4DD7D9983179}"/>
            </c:ext>
          </c:extLst>
        </c:ser>
        <c:ser>
          <c:idx val="10"/>
          <c:order val="3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약품!$F$21:$F$24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85EE-4A80-96E1-4DD7D9983179}"/>
            </c:ext>
          </c:extLst>
        </c:ser>
        <c:ser>
          <c:idx val="0"/>
          <c:order val="4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약품!$G$21:$G$24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85EE-4A80-96E1-4DD7D9983179}"/>
            </c:ext>
          </c:extLst>
        </c:ser>
        <c:ser>
          <c:idx val="2"/>
          <c:order val="5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약품!$H$21:$H$24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85EE-4A80-96E1-4DD7D9983179}"/>
            </c:ext>
          </c:extLst>
        </c:ser>
        <c:ser>
          <c:idx val="3"/>
          <c:order val="6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약품!$I$21:$I$24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85EE-4A80-96E1-4DD7D9983179}"/>
            </c:ext>
          </c:extLst>
        </c:ser>
        <c:ser>
          <c:idx val="5"/>
          <c:order val="7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약품!$J$21:$J$24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85EE-4A80-96E1-4DD7D9983179}"/>
            </c:ext>
          </c:extLst>
        </c:ser>
        <c:ser>
          <c:idx val="6"/>
          <c:order val="8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약품!$K$21:$K$24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85EE-4A80-96E1-4DD7D9983179}"/>
            </c:ext>
          </c:extLst>
        </c:ser>
        <c:ser>
          <c:idx val="8"/>
          <c:order val="9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약품!$L$21:$L$24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9-85EE-4A80-96E1-4DD7D9983179}"/>
            </c:ext>
          </c:extLst>
        </c:ser>
        <c:ser>
          <c:idx val="9"/>
          <c:order val="10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약품!$M$21:$M$24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A-85EE-4A80-96E1-4DD7D9983179}"/>
            </c:ext>
          </c:extLst>
        </c:ser>
        <c:ser>
          <c:idx val="11"/>
          <c:order val="11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약품!$N$21:$N$24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B-85EE-4A80-96E1-4DD7D9983179}"/>
            </c:ext>
          </c:extLst>
        </c:ser>
        <c:ser>
          <c:idx val="12"/>
          <c:order val="12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약품!$O$21:$O$24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C-85EE-4A80-96E1-4DD7D9983179}"/>
            </c:ext>
          </c:extLst>
        </c:ser>
        <c:ser>
          <c:idx val="13"/>
          <c:order val="13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약품!$P$21:$P$24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D-85EE-4A80-96E1-4DD7D9983179}"/>
            </c:ext>
          </c:extLst>
        </c:ser>
        <c:ser>
          <c:idx val="14"/>
          <c:order val="14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약품!$Q$21:$Q$24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E-85EE-4A80-96E1-4DD7D9983179}"/>
            </c:ext>
          </c:extLst>
        </c:ser>
        <c:ser>
          <c:idx val="15"/>
          <c:order val="15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약품!$R$21:$R$24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F-85EE-4A80-96E1-4DD7D9983179}"/>
            </c:ext>
          </c:extLst>
        </c:ser>
        <c:ser>
          <c:idx val="16"/>
          <c:order val="16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약품!$S$21:$S$24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0-85EE-4A80-96E1-4DD7D9983179}"/>
            </c:ext>
          </c:extLst>
        </c:ser>
        <c:ser>
          <c:idx val="17"/>
          <c:order val="17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약품!$T$21:$T$24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1-85EE-4A80-96E1-4DD7D9983179}"/>
            </c:ext>
          </c:extLst>
        </c:ser>
        <c:ser>
          <c:idx val="18"/>
          <c:order val="18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약품!$U$21:$U$24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2-85EE-4A80-96E1-4DD7D9983179}"/>
            </c:ext>
          </c:extLst>
        </c:ser>
        <c:ser>
          <c:idx val="19"/>
          <c:order val="19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약품!$V$21:$V$24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3-85EE-4A80-96E1-4DD7D9983179}"/>
            </c:ext>
          </c:extLst>
        </c:ser>
        <c:ser>
          <c:idx val="20"/>
          <c:order val="20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약품!$W$21:$W$24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4-85EE-4A80-96E1-4DD7D9983179}"/>
            </c:ext>
          </c:extLst>
        </c:ser>
        <c:ser>
          <c:idx val="21"/>
          <c:order val="21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약품!$X$21:$X$24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5-85EE-4A80-96E1-4DD7D9983179}"/>
            </c:ext>
          </c:extLst>
        </c:ser>
        <c:ser>
          <c:idx val="22"/>
          <c:order val="22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약품!$Y$21:$Y$24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6-85EE-4A80-96E1-4DD7D9983179}"/>
            </c:ext>
          </c:extLst>
        </c:ser>
        <c:ser>
          <c:idx val="23"/>
          <c:order val="23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약품!$Z$21:$Z$24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7-85EE-4A80-96E1-4DD7D9983179}"/>
            </c:ext>
          </c:extLst>
        </c:ser>
        <c:ser>
          <c:idx val="24"/>
          <c:order val="24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약품!$AA$21:$AA$24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8-85EE-4A80-96E1-4DD7D9983179}"/>
            </c:ext>
          </c:extLst>
        </c:ser>
        <c:ser>
          <c:idx val="25"/>
          <c:order val="25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약품!$AB$21:$AB$24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9-85EE-4A80-96E1-4DD7D9983179}"/>
            </c:ext>
          </c:extLst>
        </c:ser>
        <c:ser>
          <c:idx val="26"/>
          <c:order val="26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약품!$AC$21:$AC$24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85EE-4A80-96E1-4DD7D9983179}"/>
            </c:ext>
          </c:extLst>
        </c:ser>
        <c:ser>
          <c:idx val="27"/>
          <c:order val="27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약품!$AD$21:$AD$24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B-85EE-4A80-96E1-4DD7D9983179}"/>
            </c:ext>
          </c:extLst>
        </c:ser>
        <c:ser>
          <c:idx val="28"/>
          <c:order val="28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약품!$AE$21:$AE$24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85EE-4A80-96E1-4DD7D9983179}"/>
            </c:ext>
          </c:extLst>
        </c:ser>
        <c:ser>
          <c:idx val="29"/>
          <c:order val="29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약품!$AF$21:$AF$24</c:f>
              <c:numCache>
                <c:formatCode>General</c:formatCode>
                <c:ptCount val="4"/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5EE-4A80-96E1-4DD7D9983179}"/>
            </c:ext>
          </c:extLst>
        </c:ser>
        <c:ser>
          <c:idx val="30"/>
          <c:order val="30"/>
          <c:invertIfNegative val="0"/>
          <c:cat>
            <c:strRef>
              <c:f>약품!$B$21:$B$24</c:f>
              <c:strCache>
                <c:ptCount val="4"/>
                <c:pt idx="0">
                  <c:v>폐1</c:v>
                </c:pt>
                <c:pt idx="1">
                  <c:v>폐2</c:v>
                </c:pt>
                <c:pt idx="2">
                  <c:v>슬1</c:v>
                </c:pt>
                <c:pt idx="3">
                  <c:v>슬2</c:v>
                </c:pt>
              </c:strCache>
            </c:strRef>
          </c:cat>
          <c:val>
            <c:numRef>
              <c:f>약품!$AG$21:$AG$24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E-85EE-4A80-96E1-4DD7D9983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035840"/>
        <c:axId val="82037376"/>
      </c:barChart>
      <c:catAx>
        <c:axId val="82035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ko-KR"/>
          </a:p>
        </c:txPr>
        <c:crossAx val="82037376"/>
        <c:crosses val="autoZero"/>
        <c:auto val="1"/>
        <c:lblAlgn val="ctr"/>
        <c:lblOffset val="100"/>
        <c:noMultiLvlLbl val="0"/>
      </c:catAx>
      <c:valAx>
        <c:axId val="820373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 baseline="0"/>
            </a:pPr>
            <a:endParaRPr lang="ko-KR"/>
          </a:p>
        </c:txPr>
        <c:crossAx val="82035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 u="sng" baseline="0"/>
              <a:t>폐</a:t>
            </a:r>
            <a:r>
              <a:rPr lang="en-US" altLang="ko-KR" sz="1400" u="sng" baseline="0"/>
              <a:t>#1 TMS Data(30</a:t>
            </a:r>
            <a:r>
              <a:rPr lang="ko-KR" altLang="en-US" sz="1400" u="sng" baseline="0"/>
              <a:t>분</a:t>
            </a:r>
            <a:r>
              <a:rPr lang="en-US" altLang="ko-KR" sz="1400" u="sng" baseline="0"/>
              <a:t>)</a:t>
            </a:r>
            <a:endParaRPr lang="ko-KR" altLang="en-US" sz="1400" u="sng" baseline="0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TMS!$C$4:$C$9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998-4004-A107-3DA853B9B676}"/>
            </c:ext>
          </c:extLst>
        </c:ser>
        <c:ser>
          <c:idx val="1"/>
          <c:order val="1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TMS!$D$4:$D$9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5998-4004-A107-3DA853B9B676}"/>
            </c:ext>
          </c:extLst>
        </c:ser>
        <c:ser>
          <c:idx val="2"/>
          <c:order val="2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TMS!$E$4:$E$9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5998-4004-A107-3DA853B9B676}"/>
            </c:ext>
          </c:extLst>
        </c:ser>
        <c:ser>
          <c:idx val="3"/>
          <c:order val="3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TMS!$F$4:$F$9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5998-4004-A107-3DA853B9B676}"/>
            </c:ext>
          </c:extLst>
        </c:ser>
        <c:ser>
          <c:idx val="4"/>
          <c:order val="4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TMS!$G$4:$G$9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5998-4004-A107-3DA853B9B676}"/>
            </c:ext>
          </c:extLst>
        </c:ser>
        <c:ser>
          <c:idx val="5"/>
          <c:order val="5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TMS!$H$4:$H$9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5998-4004-A107-3DA853B9B676}"/>
            </c:ext>
          </c:extLst>
        </c:ser>
        <c:ser>
          <c:idx val="6"/>
          <c:order val="6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TMS!$I$4:$I$9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5998-4004-A107-3DA853B9B676}"/>
            </c:ext>
          </c:extLst>
        </c:ser>
        <c:ser>
          <c:idx val="7"/>
          <c:order val="7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TMS!$J$4:$J$9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5998-4004-A107-3DA853B9B676}"/>
            </c:ext>
          </c:extLst>
        </c:ser>
        <c:ser>
          <c:idx val="8"/>
          <c:order val="8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TMS!$K$4:$K$9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5998-4004-A107-3DA853B9B676}"/>
            </c:ext>
          </c:extLst>
        </c:ser>
        <c:ser>
          <c:idx val="9"/>
          <c:order val="9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TMS!$L$4:$L$9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5998-4004-A107-3DA853B9B676}"/>
            </c:ext>
          </c:extLst>
        </c:ser>
        <c:ser>
          <c:idx val="10"/>
          <c:order val="10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TMS!$M$4:$M$9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5998-4004-A107-3DA853B9B676}"/>
            </c:ext>
          </c:extLst>
        </c:ser>
        <c:ser>
          <c:idx val="11"/>
          <c:order val="11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TMS!$N$4:$N$9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5998-4004-A107-3DA853B9B676}"/>
            </c:ext>
          </c:extLst>
        </c:ser>
        <c:ser>
          <c:idx val="12"/>
          <c:order val="12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TMS!$O$4:$O$9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5998-4004-A107-3DA853B9B676}"/>
            </c:ext>
          </c:extLst>
        </c:ser>
        <c:ser>
          <c:idx val="13"/>
          <c:order val="13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TMS!$P$4:$P$9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5998-4004-A107-3DA853B9B676}"/>
            </c:ext>
          </c:extLst>
        </c:ser>
        <c:ser>
          <c:idx val="14"/>
          <c:order val="14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TMS!$Q$4:$Q$9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5998-4004-A107-3DA853B9B676}"/>
            </c:ext>
          </c:extLst>
        </c:ser>
        <c:ser>
          <c:idx val="15"/>
          <c:order val="15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TMS!$R$4:$R$9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5998-4004-A107-3DA853B9B676}"/>
            </c:ext>
          </c:extLst>
        </c:ser>
        <c:ser>
          <c:idx val="16"/>
          <c:order val="16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TMS!$S$4:$S$9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5998-4004-A107-3DA853B9B676}"/>
            </c:ext>
          </c:extLst>
        </c:ser>
        <c:ser>
          <c:idx val="17"/>
          <c:order val="17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TMS!$T$4:$T$9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5998-4004-A107-3DA853B9B676}"/>
            </c:ext>
          </c:extLst>
        </c:ser>
        <c:ser>
          <c:idx val="18"/>
          <c:order val="18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TMS!$U$4:$U$9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5998-4004-A107-3DA853B9B676}"/>
            </c:ext>
          </c:extLst>
        </c:ser>
        <c:ser>
          <c:idx val="19"/>
          <c:order val="19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TMS!$V$4:$V$9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5998-4004-A107-3DA853B9B676}"/>
            </c:ext>
          </c:extLst>
        </c:ser>
        <c:ser>
          <c:idx val="20"/>
          <c:order val="20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TMS!$W$4:$W$9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5998-4004-A107-3DA853B9B676}"/>
            </c:ext>
          </c:extLst>
        </c:ser>
        <c:ser>
          <c:idx val="21"/>
          <c:order val="21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TMS!$X$4:$X$9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5998-4004-A107-3DA853B9B676}"/>
            </c:ext>
          </c:extLst>
        </c:ser>
        <c:ser>
          <c:idx val="22"/>
          <c:order val="22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TMS!$Y$4:$Y$9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5998-4004-A107-3DA853B9B676}"/>
            </c:ext>
          </c:extLst>
        </c:ser>
        <c:ser>
          <c:idx val="23"/>
          <c:order val="23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TMS!$Z$4:$Z$9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5998-4004-A107-3DA853B9B676}"/>
            </c:ext>
          </c:extLst>
        </c:ser>
        <c:ser>
          <c:idx val="24"/>
          <c:order val="24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TMS!$AA$4:$AA$9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5998-4004-A107-3DA853B9B676}"/>
            </c:ext>
          </c:extLst>
        </c:ser>
        <c:ser>
          <c:idx val="25"/>
          <c:order val="25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TMS!$AB$4:$AB$9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5998-4004-A107-3DA853B9B676}"/>
            </c:ext>
          </c:extLst>
        </c:ser>
        <c:ser>
          <c:idx val="26"/>
          <c:order val="26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TMS!$AC$4:$AC$9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A-5998-4004-A107-3DA853B9B676}"/>
            </c:ext>
          </c:extLst>
        </c:ser>
        <c:ser>
          <c:idx val="27"/>
          <c:order val="27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TMS!$AD$4:$AD$9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5998-4004-A107-3DA853B9B676}"/>
            </c:ext>
          </c:extLst>
        </c:ser>
        <c:ser>
          <c:idx val="28"/>
          <c:order val="28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TMS!$AE$4:$AE$9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C-5998-4004-A107-3DA853B9B676}"/>
            </c:ext>
          </c:extLst>
        </c:ser>
        <c:ser>
          <c:idx val="29"/>
          <c:order val="29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TMS!$AF$4:$AF$9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D-5998-4004-A107-3DA853B9B676}"/>
            </c:ext>
          </c:extLst>
        </c:ser>
        <c:ser>
          <c:idx val="30"/>
          <c:order val="30"/>
          <c:invertIfNegative val="0"/>
          <c:cat>
            <c:strRef>
              <c:f>TMS!$B$4:$B$9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TMS!$AG$4:$AG$9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E-5998-4004-A107-3DA853B9B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2150528"/>
        <c:axId val="82152064"/>
      </c:barChart>
      <c:catAx>
        <c:axId val="821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2152064"/>
        <c:crosses val="autoZero"/>
        <c:auto val="1"/>
        <c:lblAlgn val="ctr"/>
        <c:lblOffset val="100"/>
        <c:noMultiLvlLbl val="0"/>
      </c:catAx>
      <c:valAx>
        <c:axId val="82152064"/>
        <c:scaling>
          <c:orientation val="minMax"/>
          <c:max val="1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82150528"/>
        <c:crosses val="autoZero"/>
        <c:crossBetween val="between"/>
        <c:majorUnit val="1"/>
        <c:minorUnit val="1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 sz="1400" u="sng" baseline="0"/>
              <a:t>폐</a:t>
            </a:r>
            <a:r>
              <a:rPr lang="en-US" altLang="ko-KR" sz="1400" u="sng" baseline="0"/>
              <a:t>#2 TMS Data(30</a:t>
            </a:r>
            <a:r>
              <a:rPr lang="ko-KR" altLang="en-US" sz="1400" u="sng" baseline="0"/>
              <a:t>분</a:t>
            </a:r>
            <a:r>
              <a:rPr lang="en-US" altLang="ko-KR" sz="1400" u="sng" baseline="0"/>
              <a:t>)</a:t>
            </a:r>
            <a:endParaRPr lang="ko-KR" altLang="en-US" sz="1400" u="sng" baseline="0"/>
          </a:p>
        </c:rich>
      </c:tx>
      <c:layout>
        <c:manualLayout>
          <c:xMode val="edge"/>
          <c:yMode val="edge"/>
          <c:x val="0.38441005452535087"/>
          <c:y val="2.4742260007383752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TMS!$C$10:$C$15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B0A-4A64-B129-35EDDE8AF741}"/>
            </c:ext>
          </c:extLst>
        </c:ser>
        <c:ser>
          <c:idx val="1"/>
          <c:order val="1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TMS!$D$10:$D$15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0B0A-4A64-B129-35EDDE8AF741}"/>
            </c:ext>
          </c:extLst>
        </c:ser>
        <c:ser>
          <c:idx val="2"/>
          <c:order val="2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TMS!$E$10:$E$15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0B0A-4A64-B129-35EDDE8AF741}"/>
            </c:ext>
          </c:extLst>
        </c:ser>
        <c:ser>
          <c:idx val="3"/>
          <c:order val="3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TMS!$F$10:$F$15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0B0A-4A64-B129-35EDDE8AF741}"/>
            </c:ext>
          </c:extLst>
        </c:ser>
        <c:ser>
          <c:idx val="4"/>
          <c:order val="4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TMS!$G$10:$G$15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0A-4A64-B129-35EDDE8AF741}"/>
            </c:ext>
          </c:extLst>
        </c:ser>
        <c:ser>
          <c:idx val="5"/>
          <c:order val="5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TMS!$H$10:$H$15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0B0A-4A64-B129-35EDDE8AF741}"/>
            </c:ext>
          </c:extLst>
        </c:ser>
        <c:ser>
          <c:idx val="6"/>
          <c:order val="6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TMS!$I$10:$I$15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0B0A-4A64-B129-35EDDE8AF741}"/>
            </c:ext>
          </c:extLst>
        </c:ser>
        <c:ser>
          <c:idx val="7"/>
          <c:order val="7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TMS!$J$10:$J$15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0B0A-4A64-B129-35EDDE8AF741}"/>
            </c:ext>
          </c:extLst>
        </c:ser>
        <c:ser>
          <c:idx val="8"/>
          <c:order val="8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TMS!$K$10:$K$15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0B0A-4A64-B129-35EDDE8AF741}"/>
            </c:ext>
          </c:extLst>
        </c:ser>
        <c:ser>
          <c:idx val="9"/>
          <c:order val="9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TMS!$L$10:$L$15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0B0A-4A64-B129-35EDDE8AF741}"/>
            </c:ext>
          </c:extLst>
        </c:ser>
        <c:ser>
          <c:idx val="10"/>
          <c:order val="10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TMS!$M$10:$M$15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0A-4A64-B129-35EDDE8AF741}"/>
            </c:ext>
          </c:extLst>
        </c:ser>
        <c:ser>
          <c:idx val="11"/>
          <c:order val="11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TMS!$N$10:$N$15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0B0A-4A64-B129-35EDDE8AF741}"/>
            </c:ext>
          </c:extLst>
        </c:ser>
        <c:ser>
          <c:idx val="12"/>
          <c:order val="12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TMS!$O$10:$O$15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0B0A-4A64-B129-35EDDE8AF741}"/>
            </c:ext>
          </c:extLst>
        </c:ser>
        <c:ser>
          <c:idx val="13"/>
          <c:order val="13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TMS!$P$10:$P$15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0B0A-4A64-B129-35EDDE8AF741}"/>
            </c:ext>
          </c:extLst>
        </c:ser>
        <c:ser>
          <c:idx val="14"/>
          <c:order val="14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TMS!$Q$10:$Q$15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0B0A-4A64-B129-35EDDE8AF741}"/>
            </c:ext>
          </c:extLst>
        </c:ser>
        <c:ser>
          <c:idx val="15"/>
          <c:order val="15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TMS!$R$10:$R$15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0B0A-4A64-B129-35EDDE8AF741}"/>
            </c:ext>
          </c:extLst>
        </c:ser>
        <c:ser>
          <c:idx val="16"/>
          <c:order val="16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TMS!$S$10:$S$15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0B0A-4A64-B129-35EDDE8AF741}"/>
            </c:ext>
          </c:extLst>
        </c:ser>
        <c:ser>
          <c:idx val="17"/>
          <c:order val="17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TMS!$T$10:$T$15</c:f>
              <c:numCache>
                <c:formatCode>General</c:formatCode>
                <c:ptCount val="6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B0A-4A64-B129-35EDDE8AF741}"/>
            </c:ext>
          </c:extLst>
        </c:ser>
        <c:ser>
          <c:idx val="18"/>
          <c:order val="18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TMS!$U$10:$U$15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0B0A-4A64-B129-35EDDE8AF741}"/>
            </c:ext>
          </c:extLst>
        </c:ser>
        <c:ser>
          <c:idx val="19"/>
          <c:order val="19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TMS!$V$10:$V$15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0B0A-4A64-B129-35EDDE8AF741}"/>
            </c:ext>
          </c:extLst>
        </c:ser>
        <c:ser>
          <c:idx val="20"/>
          <c:order val="20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TMS!$W$10:$W$15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0B0A-4A64-B129-35EDDE8AF741}"/>
            </c:ext>
          </c:extLst>
        </c:ser>
        <c:ser>
          <c:idx val="21"/>
          <c:order val="21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TMS!$X$10:$X$15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0B0A-4A64-B129-35EDDE8AF741}"/>
            </c:ext>
          </c:extLst>
        </c:ser>
        <c:ser>
          <c:idx val="22"/>
          <c:order val="22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TMS!$Y$10:$Y$15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0B0A-4A64-B129-35EDDE8AF741}"/>
            </c:ext>
          </c:extLst>
        </c:ser>
        <c:ser>
          <c:idx val="23"/>
          <c:order val="23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TMS!$Z$10:$Z$15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0B0A-4A64-B129-35EDDE8AF741}"/>
            </c:ext>
          </c:extLst>
        </c:ser>
        <c:ser>
          <c:idx val="24"/>
          <c:order val="24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TMS!$AA$10:$AA$15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0B0A-4A64-B129-35EDDE8AF741}"/>
            </c:ext>
          </c:extLst>
        </c:ser>
        <c:ser>
          <c:idx val="25"/>
          <c:order val="25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TMS!$AB$10:$AB$15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0B0A-4A64-B129-35EDDE8AF741}"/>
            </c:ext>
          </c:extLst>
        </c:ser>
        <c:ser>
          <c:idx val="26"/>
          <c:order val="26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TMS!$AC$10:$AC$15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A-0B0A-4A64-B129-35EDDE8AF741}"/>
            </c:ext>
          </c:extLst>
        </c:ser>
        <c:ser>
          <c:idx val="27"/>
          <c:order val="27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TMS!$AD$10:$AD$15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0B0A-4A64-B129-35EDDE8AF741}"/>
            </c:ext>
          </c:extLst>
        </c:ser>
        <c:ser>
          <c:idx val="28"/>
          <c:order val="28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TMS!$AE$10:$AE$15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C-0B0A-4A64-B129-35EDDE8AF741}"/>
            </c:ext>
          </c:extLst>
        </c:ser>
        <c:ser>
          <c:idx val="29"/>
          <c:order val="29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TMS!$AF$10:$AF$15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B0A-4A64-B129-35EDDE8AF741}"/>
            </c:ext>
          </c:extLst>
        </c:ser>
        <c:ser>
          <c:idx val="30"/>
          <c:order val="30"/>
          <c:invertIfNegative val="0"/>
          <c:cat>
            <c:strRef>
              <c:f>TMS!$B$10:$B$15</c:f>
              <c:strCache>
                <c:ptCount val="6"/>
                <c:pt idx="0">
                  <c:v>분진</c:v>
                </c:pt>
                <c:pt idx="1">
                  <c:v>CO</c:v>
                </c:pt>
                <c:pt idx="2">
                  <c:v>Nox</c:v>
                </c:pt>
                <c:pt idx="3">
                  <c:v>Sox</c:v>
                </c:pt>
                <c:pt idx="4">
                  <c:v>HCl</c:v>
                </c:pt>
                <c:pt idx="5">
                  <c:v>온도</c:v>
                </c:pt>
              </c:strCache>
            </c:strRef>
          </c:cat>
          <c:val>
            <c:numRef>
              <c:f>TMS!$AG$10:$AG$15</c:f>
              <c:numCache>
                <c:formatCode>General</c:formatCode>
                <c:ptCount val="6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B0A-4A64-B129-35EDDE8AF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3421056"/>
        <c:axId val="83422592"/>
      </c:barChart>
      <c:catAx>
        <c:axId val="834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3422592"/>
        <c:crosses val="autoZero"/>
        <c:auto val="1"/>
        <c:lblAlgn val="ctr"/>
        <c:lblOffset val="100"/>
        <c:noMultiLvlLbl val="0"/>
      </c:catAx>
      <c:valAx>
        <c:axId val="83422592"/>
        <c:scaling>
          <c:orientation val="minMax"/>
          <c:max val="1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8342105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25</xdr:row>
      <xdr:rowOff>63498</xdr:rowOff>
    </xdr:from>
    <xdr:to>
      <xdr:col>33</xdr:col>
      <xdr:colOff>560918</xdr:colOff>
      <xdr:row>50</xdr:row>
      <xdr:rowOff>31748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105835</xdr:colOff>
      <xdr:row>9</xdr:row>
      <xdr:rowOff>137582</xdr:rowOff>
    </xdr:from>
    <xdr:to>
      <xdr:col>33</xdr:col>
      <xdr:colOff>539752</xdr:colOff>
      <xdr:row>33</xdr:row>
      <xdr:rowOff>105832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105836</xdr:colOff>
      <xdr:row>8</xdr:row>
      <xdr:rowOff>137582</xdr:rowOff>
    </xdr:from>
    <xdr:to>
      <xdr:col>33</xdr:col>
      <xdr:colOff>359835</xdr:colOff>
      <xdr:row>35</xdr:row>
      <xdr:rowOff>105832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9</xdr:row>
      <xdr:rowOff>158747</xdr:rowOff>
    </xdr:from>
    <xdr:to>
      <xdr:col>16</xdr:col>
      <xdr:colOff>42333</xdr:colOff>
      <xdr:row>35</xdr:row>
      <xdr:rowOff>95249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243416</xdr:colOff>
      <xdr:row>9</xdr:row>
      <xdr:rowOff>194254</xdr:rowOff>
    </xdr:from>
    <xdr:to>
      <xdr:col>34</xdr:col>
      <xdr:colOff>63500</xdr:colOff>
      <xdr:row>35</xdr:row>
      <xdr:rowOff>130756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84665</xdr:colOff>
      <xdr:row>31</xdr:row>
      <xdr:rowOff>52916</xdr:rowOff>
    </xdr:from>
    <xdr:to>
      <xdr:col>18</xdr:col>
      <xdr:colOff>253999</xdr:colOff>
      <xdr:row>49</xdr:row>
      <xdr:rowOff>74083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52916</xdr:colOff>
      <xdr:row>31</xdr:row>
      <xdr:rowOff>42333</xdr:rowOff>
    </xdr:from>
    <xdr:to>
      <xdr:col>34</xdr:col>
      <xdr:colOff>349250</xdr:colOff>
      <xdr:row>49</xdr:row>
      <xdr:rowOff>63500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42332</xdr:colOff>
      <xdr:row>15</xdr:row>
      <xdr:rowOff>63498</xdr:rowOff>
    </xdr:from>
    <xdr:to>
      <xdr:col>16</xdr:col>
      <xdr:colOff>243416</xdr:colOff>
      <xdr:row>34</xdr:row>
      <xdr:rowOff>126999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52916</xdr:colOff>
      <xdr:row>15</xdr:row>
      <xdr:rowOff>63498</xdr:rowOff>
    </xdr:from>
    <xdr:to>
      <xdr:col>33</xdr:col>
      <xdr:colOff>264583</xdr:colOff>
      <xdr:row>34</xdr:row>
      <xdr:rowOff>126999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36;&#47084;&#51648;1&#52789;\&#49548;&#44033;&#50868;&#50689;&#51088;&#47308;\2012&#45380;&#51088;&#47308;\2012&#45380;&#54224;&#54633;&#49457;\&#54224;&#54633;&#49457;&#49548;&#44033;&#47196;&#50868;&#51204;&#51068;&#51648;(2012&#45380;12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각량"/>
      <sheetName val="스팀량"/>
      <sheetName val="스팀량(적산)"/>
      <sheetName val="급수량"/>
      <sheetName val="전력"/>
      <sheetName val="폐기물"/>
      <sheetName val="약품"/>
      <sheetName val="TMS"/>
      <sheetName val="외부반입"/>
      <sheetName val="폐기물발생"/>
    </sheetNames>
    <sheetDataSet>
      <sheetData sheetId="0" refreshError="1">
        <row r="7">
          <cell r="C7">
            <v>68.209999999999994</v>
          </cell>
          <cell r="D7">
            <v>78.37</v>
          </cell>
          <cell r="E7">
            <v>77.2</v>
          </cell>
          <cell r="F7">
            <v>78.959999999999994</v>
          </cell>
          <cell r="G7">
            <v>78.84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zoomScale="142" zoomScaleNormal="14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G16" sqref="AG16"/>
    </sheetView>
  </sheetViews>
  <sheetFormatPr defaultColWidth="9" defaultRowHeight="15.9" customHeight="1" x14ac:dyDescent="0.4"/>
  <cols>
    <col min="1" max="1" width="3.09765625" style="2" customWidth="1"/>
    <col min="2" max="2" width="6.59765625" style="1" customWidth="1"/>
    <col min="3" max="5" width="4.59765625" style="1" customWidth="1"/>
    <col min="6" max="6" width="4.09765625" style="1" customWidth="1"/>
    <col min="7" max="7" width="4.59765625" style="1" customWidth="1"/>
    <col min="8" max="8" width="4.19921875" style="1" customWidth="1"/>
    <col min="9" max="9" width="4.3984375" style="1" customWidth="1"/>
    <col min="10" max="12" width="4.59765625" style="1" customWidth="1"/>
    <col min="13" max="13" width="4.8984375" style="1" customWidth="1"/>
    <col min="14" max="33" width="4.59765625" style="1" customWidth="1"/>
    <col min="34" max="34" width="10.5" style="1" bestFit="1" customWidth="1"/>
    <col min="35" max="35" width="8.69921875" style="1" bestFit="1" customWidth="1"/>
    <col min="36" max="16384" width="9" style="1"/>
  </cols>
  <sheetData>
    <row r="1" spans="1:35" ht="26.25" customHeight="1" x14ac:dyDescent="0.4">
      <c r="A1" s="161" t="s">
        <v>96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35" ht="6.75" customHeight="1" x14ac:dyDescent="0.4"/>
    <row r="3" spans="1:35" ht="17.25" customHeight="1" x14ac:dyDescent="0.4">
      <c r="A3" s="162" t="s">
        <v>2</v>
      </c>
      <c r="B3" s="162"/>
      <c r="C3" s="97">
        <v>1</v>
      </c>
      <c r="D3" s="97">
        <v>2</v>
      </c>
      <c r="E3" s="97">
        <v>3</v>
      </c>
      <c r="F3" s="97">
        <v>4</v>
      </c>
      <c r="G3" s="97">
        <v>5</v>
      </c>
      <c r="H3" s="97">
        <v>6</v>
      </c>
      <c r="I3" s="97">
        <v>7</v>
      </c>
      <c r="J3" s="97">
        <v>8</v>
      </c>
      <c r="K3" s="97">
        <v>9</v>
      </c>
      <c r="L3" s="97">
        <v>10</v>
      </c>
      <c r="M3" s="97">
        <v>11</v>
      </c>
      <c r="N3" s="97">
        <v>12</v>
      </c>
      <c r="O3" s="97">
        <v>13</v>
      </c>
      <c r="P3" s="97">
        <v>14</v>
      </c>
      <c r="Q3" s="97">
        <v>15</v>
      </c>
      <c r="R3" s="97">
        <v>16</v>
      </c>
      <c r="S3" s="97">
        <v>17</v>
      </c>
      <c r="T3" s="97">
        <v>18</v>
      </c>
      <c r="U3" s="97">
        <v>19</v>
      </c>
      <c r="V3" s="97">
        <v>20</v>
      </c>
      <c r="W3" s="97">
        <v>21</v>
      </c>
      <c r="X3" s="97">
        <v>22</v>
      </c>
      <c r="Y3" s="97">
        <v>23</v>
      </c>
      <c r="Z3" s="97">
        <v>24</v>
      </c>
      <c r="AA3" s="97">
        <v>25</v>
      </c>
      <c r="AB3" s="97">
        <v>26</v>
      </c>
      <c r="AC3" s="97">
        <v>27</v>
      </c>
      <c r="AD3" s="97">
        <v>28</v>
      </c>
      <c r="AE3" s="97">
        <v>29</v>
      </c>
      <c r="AF3" s="97">
        <v>30</v>
      </c>
      <c r="AG3" s="97">
        <v>31</v>
      </c>
      <c r="AH3" s="95" t="s">
        <v>61</v>
      </c>
      <c r="AI3" s="95" t="s">
        <v>62</v>
      </c>
    </row>
    <row r="4" spans="1:35" ht="15.9" customHeight="1" x14ac:dyDescent="0.4">
      <c r="A4" s="163" t="s">
        <v>12</v>
      </c>
      <c r="B4" s="5" t="s">
        <v>4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104">
        <f t="shared" ref="AH4:AH17" si="0">SUM(C4:AG4)</f>
        <v>0</v>
      </c>
      <c r="AI4" s="95" t="e">
        <f t="shared" ref="AI4:AI17" si="1">AVERAGE(C4:AG4)</f>
        <v>#DIV/0!</v>
      </c>
    </row>
    <row r="5" spans="1:35" ht="15.9" customHeight="1" x14ac:dyDescent="0.4">
      <c r="A5" s="164"/>
      <c r="B5" s="5" t="s">
        <v>5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104">
        <f t="shared" si="0"/>
        <v>0</v>
      </c>
      <c r="AI5" s="95" t="e">
        <f t="shared" si="1"/>
        <v>#DIV/0!</v>
      </c>
    </row>
    <row r="6" spans="1:35" s="94" customFormat="1" ht="15.9" customHeight="1" x14ac:dyDescent="0.4">
      <c r="A6" s="164"/>
      <c r="B6" s="93" t="s">
        <v>1</v>
      </c>
      <c r="C6" s="105">
        <f>C4+C5</f>
        <v>0</v>
      </c>
      <c r="D6" s="105">
        <f t="shared" ref="D6:AG6" si="2">D4+D5</f>
        <v>0</v>
      </c>
      <c r="E6" s="105">
        <f t="shared" si="2"/>
        <v>0</v>
      </c>
      <c r="F6" s="105">
        <f t="shared" si="2"/>
        <v>0</v>
      </c>
      <c r="G6" s="105">
        <f t="shared" si="2"/>
        <v>0</v>
      </c>
      <c r="H6" s="105">
        <f t="shared" si="2"/>
        <v>0</v>
      </c>
      <c r="I6" s="105">
        <f t="shared" si="2"/>
        <v>0</v>
      </c>
      <c r="J6" s="105">
        <f t="shared" si="2"/>
        <v>0</v>
      </c>
      <c r="K6" s="105">
        <f t="shared" si="2"/>
        <v>0</v>
      </c>
      <c r="L6" s="105">
        <f t="shared" si="2"/>
        <v>0</v>
      </c>
      <c r="M6" s="105">
        <f t="shared" si="2"/>
        <v>0</v>
      </c>
      <c r="N6" s="105">
        <f t="shared" si="2"/>
        <v>0</v>
      </c>
      <c r="O6" s="105">
        <f t="shared" si="2"/>
        <v>0</v>
      </c>
      <c r="P6" s="105">
        <f t="shared" si="2"/>
        <v>0</v>
      </c>
      <c r="Q6" s="105">
        <f t="shared" si="2"/>
        <v>0</v>
      </c>
      <c r="R6" s="105">
        <f t="shared" si="2"/>
        <v>0</v>
      </c>
      <c r="S6" s="105">
        <f t="shared" si="2"/>
        <v>0</v>
      </c>
      <c r="T6" s="105">
        <f t="shared" si="2"/>
        <v>0</v>
      </c>
      <c r="U6" s="105">
        <f t="shared" si="2"/>
        <v>0</v>
      </c>
      <c r="V6" s="105">
        <f t="shared" si="2"/>
        <v>0</v>
      </c>
      <c r="W6" s="105">
        <f t="shared" si="2"/>
        <v>0</v>
      </c>
      <c r="X6" s="105">
        <f t="shared" si="2"/>
        <v>0</v>
      </c>
      <c r="Y6" s="105">
        <f t="shared" si="2"/>
        <v>0</v>
      </c>
      <c r="Z6" s="105">
        <f t="shared" si="2"/>
        <v>0</v>
      </c>
      <c r="AA6" s="105">
        <f t="shared" si="2"/>
        <v>0</v>
      </c>
      <c r="AB6" s="105">
        <f t="shared" si="2"/>
        <v>0</v>
      </c>
      <c r="AC6" s="105">
        <f t="shared" si="2"/>
        <v>0</v>
      </c>
      <c r="AD6" s="105">
        <f t="shared" si="2"/>
        <v>0</v>
      </c>
      <c r="AE6" s="105">
        <f t="shared" si="2"/>
        <v>0</v>
      </c>
      <c r="AF6" s="105">
        <f t="shared" si="2"/>
        <v>0</v>
      </c>
      <c r="AG6" s="105">
        <f t="shared" si="2"/>
        <v>0</v>
      </c>
      <c r="AH6" s="105">
        <f t="shared" si="0"/>
        <v>0</v>
      </c>
      <c r="AI6" s="96">
        <f t="shared" si="1"/>
        <v>0</v>
      </c>
    </row>
    <row r="7" spans="1:35" s="94" customFormat="1" ht="15.9" customHeight="1" x14ac:dyDescent="0.4">
      <c r="A7" s="164"/>
      <c r="B7" s="4" t="s">
        <v>76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05">
        <f t="shared" si="0"/>
        <v>0</v>
      </c>
      <c r="AI7" s="96" t="e">
        <f t="shared" si="1"/>
        <v>#DIV/0!</v>
      </c>
    </row>
    <row r="8" spans="1:35" ht="15.9" customHeight="1" x14ac:dyDescent="0.4">
      <c r="A8" s="164"/>
      <c r="B8" s="73" t="s">
        <v>58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104">
        <f t="shared" si="0"/>
        <v>0</v>
      </c>
      <c r="AI8" s="95" t="e">
        <f t="shared" si="1"/>
        <v>#DIV/0!</v>
      </c>
    </row>
    <row r="9" spans="1:35" ht="15.9" customHeight="1" x14ac:dyDescent="0.4">
      <c r="A9" s="165"/>
      <c r="B9" s="73" t="s">
        <v>59</v>
      </c>
      <c r="C9" s="107">
        <v>50</v>
      </c>
      <c r="D9" s="107">
        <v>50</v>
      </c>
      <c r="E9" s="107">
        <v>50</v>
      </c>
      <c r="F9" s="107">
        <v>80</v>
      </c>
      <c r="G9" s="107">
        <v>80</v>
      </c>
      <c r="H9" s="107">
        <v>80</v>
      </c>
      <c r="I9" s="107">
        <v>80</v>
      </c>
      <c r="J9" s="107">
        <v>80</v>
      </c>
      <c r="K9" s="107">
        <v>80</v>
      </c>
      <c r="L9" s="107">
        <v>80</v>
      </c>
      <c r="M9" s="107">
        <v>80</v>
      </c>
      <c r="N9" s="107">
        <v>80</v>
      </c>
      <c r="O9" s="107">
        <v>80</v>
      </c>
      <c r="P9" s="107">
        <v>70</v>
      </c>
      <c r="Q9" s="107">
        <v>70</v>
      </c>
      <c r="R9" s="107">
        <v>50</v>
      </c>
      <c r="S9" s="107">
        <v>50</v>
      </c>
      <c r="T9" s="107">
        <v>50</v>
      </c>
      <c r="U9" s="107">
        <v>50</v>
      </c>
      <c r="V9" s="107">
        <v>50</v>
      </c>
      <c r="W9" s="107">
        <v>50</v>
      </c>
      <c r="X9" s="107">
        <v>50</v>
      </c>
      <c r="Y9" s="107">
        <v>50</v>
      </c>
      <c r="Z9" s="107">
        <v>50</v>
      </c>
      <c r="AA9" s="107"/>
      <c r="AB9" s="107"/>
      <c r="AC9" s="107"/>
      <c r="AD9" s="107"/>
      <c r="AE9" s="107">
        <v>50</v>
      </c>
      <c r="AF9" s="107">
        <v>50</v>
      </c>
      <c r="AG9" s="107">
        <v>50</v>
      </c>
      <c r="AH9" s="107">
        <f t="shared" si="0"/>
        <v>1690</v>
      </c>
      <c r="AI9" s="107">
        <f t="shared" si="1"/>
        <v>62.592592592592595</v>
      </c>
    </row>
    <row r="10" spans="1:35" ht="15.9" customHeight="1" x14ac:dyDescent="0.4">
      <c r="A10" s="166" t="s">
        <v>34</v>
      </c>
      <c r="B10" s="73" t="s">
        <v>4</v>
      </c>
      <c r="C10" s="131">
        <v>83.94</v>
      </c>
      <c r="D10" s="131">
        <v>82.42</v>
      </c>
      <c r="E10" s="131">
        <v>82.35</v>
      </c>
      <c r="F10" s="131">
        <v>78.95</v>
      </c>
      <c r="G10" s="131">
        <v>85.6</v>
      </c>
      <c r="H10" s="131">
        <v>78.25</v>
      </c>
      <c r="I10" s="131">
        <v>88.33</v>
      </c>
      <c r="J10" s="131">
        <v>84.51</v>
      </c>
      <c r="K10" s="131">
        <v>86.79</v>
      </c>
      <c r="L10" s="131">
        <v>73.47</v>
      </c>
      <c r="M10" s="131">
        <v>83.37</v>
      </c>
      <c r="N10" s="131">
        <v>86.6</v>
      </c>
      <c r="O10" s="131">
        <v>87.17</v>
      </c>
      <c r="P10" s="131">
        <v>82.53</v>
      </c>
      <c r="Q10" s="131">
        <v>86.43</v>
      </c>
      <c r="R10" s="131">
        <v>88.05</v>
      </c>
      <c r="S10" s="131">
        <v>88.96</v>
      </c>
      <c r="T10" s="131">
        <v>87.74</v>
      </c>
      <c r="U10" s="131">
        <v>84.08</v>
      </c>
      <c r="V10" s="131">
        <v>85.58</v>
      </c>
      <c r="W10" s="131"/>
      <c r="X10" s="131"/>
      <c r="Y10" s="131"/>
      <c r="Z10" s="131"/>
      <c r="AA10" s="131"/>
      <c r="AB10" s="131"/>
      <c r="AC10" s="131"/>
      <c r="AD10" s="131"/>
      <c r="AE10" s="131"/>
      <c r="AF10" s="131">
        <v>53.2</v>
      </c>
      <c r="AG10" s="131">
        <v>23.98</v>
      </c>
      <c r="AH10" s="104">
        <f t="shared" si="0"/>
        <v>1762.3</v>
      </c>
      <c r="AI10" s="95">
        <f t="shared" si="1"/>
        <v>80.104545454545459</v>
      </c>
    </row>
    <row r="11" spans="1:35" ht="15.9" customHeight="1" x14ac:dyDescent="0.4">
      <c r="A11" s="168"/>
      <c r="B11" s="73" t="s">
        <v>5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>
        <f t="shared" si="0"/>
        <v>0</v>
      </c>
      <c r="AI11" s="95" t="e">
        <f t="shared" si="1"/>
        <v>#DIV/0!</v>
      </c>
    </row>
    <row r="12" spans="1:35" s="94" customFormat="1" ht="15.9" customHeight="1" x14ac:dyDescent="0.4">
      <c r="A12" s="168"/>
      <c r="B12" s="93" t="s">
        <v>1</v>
      </c>
      <c r="C12" s="105">
        <f>C10+C11</f>
        <v>83.94</v>
      </c>
      <c r="D12" s="105">
        <f t="shared" ref="D12:AG12" si="3">D10+D11</f>
        <v>82.42</v>
      </c>
      <c r="E12" s="105">
        <f t="shared" si="3"/>
        <v>82.35</v>
      </c>
      <c r="F12" s="105">
        <f t="shared" si="3"/>
        <v>78.95</v>
      </c>
      <c r="G12" s="105">
        <f t="shared" si="3"/>
        <v>85.6</v>
      </c>
      <c r="H12" s="105">
        <f t="shared" si="3"/>
        <v>78.25</v>
      </c>
      <c r="I12" s="105">
        <f t="shared" si="3"/>
        <v>88.33</v>
      </c>
      <c r="J12" s="105">
        <f t="shared" si="3"/>
        <v>84.51</v>
      </c>
      <c r="K12" s="105">
        <f t="shared" si="3"/>
        <v>86.79</v>
      </c>
      <c r="L12" s="105">
        <f t="shared" si="3"/>
        <v>73.47</v>
      </c>
      <c r="M12" s="105">
        <f t="shared" si="3"/>
        <v>83.37</v>
      </c>
      <c r="N12" s="105">
        <f t="shared" si="3"/>
        <v>86.6</v>
      </c>
      <c r="O12" s="105">
        <f t="shared" si="3"/>
        <v>87.17</v>
      </c>
      <c r="P12" s="105">
        <f t="shared" si="3"/>
        <v>82.53</v>
      </c>
      <c r="Q12" s="105">
        <f t="shared" si="3"/>
        <v>86.43</v>
      </c>
      <c r="R12" s="105">
        <f t="shared" si="3"/>
        <v>88.05</v>
      </c>
      <c r="S12" s="105">
        <f t="shared" si="3"/>
        <v>88.96</v>
      </c>
      <c r="T12" s="105">
        <f t="shared" si="3"/>
        <v>87.74</v>
      </c>
      <c r="U12" s="105">
        <f t="shared" si="3"/>
        <v>84.08</v>
      </c>
      <c r="V12" s="105">
        <f t="shared" si="3"/>
        <v>85.58</v>
      </c>
      <c r="W12" s="105">
        <f t="shared" si="3"/>
        <v>0</v>
      </c>
      <c r="X12" s="105">
        <f t="shared" si="3"/>
        <v>0</v>
      </c>
      <c r="Y12" s="105">
        <f t="shared" si="3"/>
        <v>0</v>
      </c>
      <c r="Z12" s="105">
        <f t="shared" si="3"/>
        <v>0</v>
      </c>
      <c r="AA12" s="105">
        <f t="shared" si="3"/>
        <v>0</v>
      </c>
      <c r="AB12" s="105">
        <f t="shared" si="3"/>
        <v>0</v>
      </c>
      <c r="AC12" s="105">
        <f t="shared" si="3"/>
        <v>0</v>
      </c>
      <c r="AD12" s="105">
        <f t="shared" si="3"/>
        <v>0</v>
      </c>
      <c r="AE12" s="105">
        <f t="shared" si="3"/>
        <v>0</v>
      </c>
      <c r="AF12" s="105">
        <f t="shared" si="3"/>
        <v>53.2</v>
      </c>
      <c r="AG12" s="105">
        <f t="shared" si="3"/>
        <v>23.98</v>
      </c>
      <c r="AH12" s="105">
        <f>SUM(C12:AG12)</f>
        <v>1762.3</v>
      </c>
      <c r="AI12" s="96">
        <f t="shared" si="1"/>
        <v>56.848387096774189</v>
      </c>
    </row>
    <row r="13" spans="1:35" s="94" customFormat="1" ht="15.9" customHeight="1" x14ac:dyDescent="0.4">
      <c r="A13" s="168"/>
      <c r="B13" s="4" t="s">
        <v>76</v>
      </c>
      <c r="C13" s="141">
        <v>83.94</v>
      </c>
      <c r="D13" s="141">
        <v>82.42</v>
      </c>
      <c r="E13" s="141">
        <v>82.35</v>
      </c>
      <c r="F13" s="141">
        <v>78.95</v>
      </c>
      <c r="G13" s="141">
        <v>85.6</v>
      </c>
      <c r="H13" s="141">
        <v>78.25</v>
      </c>
      <c r="I13" s="141">
        <v>88.33</v>
      </c>
      <c r="J13" s="141">
        <v>84.51</v>
      </c>
      <c r="K13" s="141">
        <v>86.79</v>
      </c>
      <c r="L13" s="141">
        <v>73.47</v>
      </c>
      <c r="M13" s="141">
        <v>83.37</v>
      </c>
      <c r="N13" s="141">
        <v>86.6</v>
      </c>
      <c r="O13" s="141">
        <v>87.17</v>
      </c>
      <c r="P13" s="141">
        <v>85.23</v>
      </c>
      <c r="Q13" s="141">
        <v>86.43</v>
      </c>
      <c r="R13" s="141">
        <v>88.05</v>
      </c>
      <c r="S13" s="141">
        <v>88.96</v>
      </c>
      <c r="T13" s="141">
        <v>87.74</v>
      </c>
      <c r="U13" s="141">
        <v>84.08</v>
      </c>
      <c r="V13" s="141">
        <v>85.58</v>
      </c>
      <c r="W13" s="141"/>
      <c r="X13" s="141"/>
      <c r="Y13" s="141"/>
      <c r="Z13" s="141"/>
      <c r="AA13" s="141"/>
      <c r="AB13" s="141"/>
      <c r="AC13" s="141"/>
      <c r="AD13" s="141"/>
      <c r="AE13" s="141"/>
      <c r="AF13" s="141">
        <v>53.2</v>
      </c>
      <c r="AG13" s="141">
        <v>23.98</v>
      </c>
      <c r="AH13" s="105">
        <f t="shared" si="0"/>
        <v>1765</v>
      </c>
      <c r="AI13" s="96">
        <f t="shared" si="1"/>
        <v>80.227272727272734</v>
      </c>
    </row>
    <row r="14" spans="1:35" ht="15.9" customHeight="1" x14ac:dyDescent="0.4">
      <c r="A14" s="168"/>
      <c r="B14" s="3" t="s">
        <v>58</v>
      </c>
      <c r="C14" s="95">
        <v>24</v>
      </c>
      <c r="D14" s="95">
        <v>24</v>
      </c>
      <c r="E14" s="95">
        <v>24</v>
      </c>
      <c r="F14" s="95">
        <v>24</v>
      </c>
      <c r="G14" s="95">
        <v>24</v>
      </c>
      <c r="H14" s="95">
        <v>24</v>
      </c>
      <c r="I14" s="95">
        <v>24</v>
      </c>
      <c r="J14" s="95">
        <v>24</v>
      </c>
      <c r="K14" s="95">
        <v>24</v>
      </c>
      <c r="L14" s="95">
        <v>24</v>
      </c>
      <c r="M14" s="95">
        <v>24</v>
      </c>
      <c r="N14" s="95">
        <v>24</v>
      </c>
      <c r="O14" s="95">
        <v>24</v>
      </c>
      <c r="P14" s="95">
        <v>24</v>
      </c>
      <c r="Q14" s="95">
        <v>24</v>
      </c>
      <c r="R14" s="95">
        <v>24</v>
      </c>
      <c r="S14" s="95">
        <v>24</v>
      </c>
      <c r="T14" s="95">
        <v>24</v>
      </c>
      <c r="U14" s="95">
        <v>24</v>
      </c>
      <c r="V14" s="95">
        <v>24</v>
      </c>
      <c r="W14" s="95"/>
      <c r="X14" s="95"/>
      <c r="Y14" s="95"/>
      <c r="Z14" s="95"/>
      <c r="AA14" s="95"/>
      <c r="AB14" s="95"/>
      <c r="AC14" s="95"/>
      <c r="AD14" s="95"/>
      <c r="AE14" s="95"/>
      <c r="AF14" s="95">
        <v>13.5</v>
      </c>
      <c r="AG14" s="95">
        <v>7</v>
      </c>
      <c r="AH14" s="104">
        <f t="shared" si="0"/>
        <v>500.5</v>
      </c>
      <c r="AI14" s="95">
        <f t="shared" si="1"/>
        <v>22.75</v>
      </c>
    </row>
    <row r="15" spans="1:35" ht="15.9" customHeight="1" x14ac:dyDescent="0.4">
      <c r="A15" s="169"/>
      <c r="B15" s="3" t="s">
        <v>66</v>
      </c>
      <c r="C15" s="107">
        <v>60</v>
      </c>
      <c r="D15" s="107">
        <v>60</v>
      </c>
      <c r="E15" s="107">
        <v>60</v>
      </c>
      <c r="F15" s="107">
        <v>50</v>
      </c>
      <c r="G15" s="107">
        <v>50</v>
      </c>
      <c r="H15" s="107">
        <v>60</v>
      </c>
      <c r="I15" s="107">
        <v>50</v>
      </c>
      <c r="J15" s="107">
        <v>50</v>
      </c>
      <c r="K15" s="107">
        <v>50</v>
      </c>
      <c r="L15" s="107">
        <v>50</v>
      </c>
      <c r="M15" s="107">
        <v>50</v>
      </c>
      <c r="N15" s="107">
        <v>50</v>
      </c>
      <c r="O15" s="107">
        <v>50</v>
      </c>
      <c r="P15" s="107">
        <v>50</v>
      </c>
      <c r="Q15" s="107">
        <v>50</v>
      </c>
      <c r="R15" s="107">
        <v>50</v>
      </c>
      <c r="S15" s="107">
        <v>50</v>
      </c>
      <c r="T15" s="107">
        <v>50</v>
      </c>
      <c r="U15" s="107">
        <v>50</v>
      </c>
      <c r="V15" s="107">
        <v>50</v>
      </c>
      <c r="W15" s="107">
        <v>50</v>
      </c>
      <c r="X15" s="107">
        <v>50</v>
      </c>
      <c r="Y15" s="107">
        <v>60</v>
      </c>
      <c r="Z15" s="107">
        <v>60</v>
      </c>
      <c r="AA15" s="107"/>
      <c r="AB15" s="107"/>
      <c r="AC15" s="107"/>
      <c r="AD15" s="107"/>
      <c r="AE15" s="107">
        <v>150</v>
      </c>
      <c r="AF15" s="107">
        <v>150</v>
      </c>
      <c r="AG15" s="107">
        <v>170</v>
      </c>
      <c r="AH15" s="107">
        <f t="shared" si="0"/>
        <v>1730</v>
      </c>
      <c r="AI15" s="107">
        <f t="shared" si="1"/>
        <v>64.074074074074076</v>
      </c>
    </row>
    <row r="16" spans="1:35" ht="15.9" customHeight="1" x14ac:dyDescent="0.4">
      <c r="A16" s="166" t="s">
        <v>65</v>
      </c>
      <c r="B16" s="10" t="s">
        <v>63</v>
      </c>
      <c r="C16" s="106">
        <f>C10+C4</f>
        <v>83.94</v>
      </c>
      <c r="D16" s="106">
        <f>D10+D4</f>
        <v>82.42</v>
      </c>
      <c r="E16" s="106">
        <f>E10+E4</f>
        <v>82.35</v>
      </c>
      <c r="F16" s="106">
        <f>F10+F4</f>
        <v>78.95</v>
      </c>
      <c r="G16" s="106">
        <f t="shared" ref="G16:AG16" si="4">G10+G4</f>
        <v>85.6</v>
      </c>
      <c r="H16" s="106">
        <f t="shared" si="4"/>
        <v>78.25</v>
      </c>
      <c r="I16" s="106">
        <f t="shared" si="4"/>
        <v>88.33</v>
      </c>
      <c r="J16" s="106">
        <f t="shared" si="4"/>
        <v>84.51</v>
      </c>
      <c r="K16" s="106">
        <f t="shared" si="4"/>
        <v>86.79</v>
      </c>
      <c r="L16" s="106">
        <f t="shared" si="4"/>
        <v>73.47</v>
      </c>
      <c r="M16" s="106">
        <f t="shared" si="4"/>
        <v>83.37</v>
      </c>
      <c r="N16" s="106">
        <f t="shared" si="4"/>
        <v>86.6</v>
      </c>
      <c r="O16" s="106">
        <f t="shared" si="4"/>
        <v>87.17</v>
      </c>
      <c r="P16" s="106">
        <f t="shared" si="4"/>
        <v>82.53</v>
      </c>
      <c r="Q16" s="106">
        <f t="shared" si="4"/>
        <v>86.43</v>
      </c>
      <c r="R16" s="106">
        <f t="shared" si="4"/>
        <v>88.05</v>
      </c>
      <c r="S16" s="106">
        <f t="shared" si="4"/>
        <v>88.96</v>
      </c>
      <c r="T16" s="106">
        <f t="shared" si="4"/>
        <v>87.74</v>
      </c>
      <c r="U16" s="106">
        <f t="shared" si="4"/>
        <v>84.08</v>
      </c>
      <c r="V16" s="106">
        <f t="shared" si="4"/>
        <v>85.58</v>
      </c>
      <c r="W16" s="106">
        <f t="shared" si="4"/>
        <v>0</v>
      </c>
      <c r="X16" s="106">
        <f t="shared" si="4"/>
        <v>0</v>
      </c>
      <c r="Y16" s="106">
        <f t="shared" si="4"/>
        <v>0</v>
      </c>
      <c r="Z16" s="106">
        <f t="shared" si="4"/>
        <v>0</v>
      </c>
      <c r="AA16" s="106">
        <f t="shared" si="4"/>
        <v>0</v>
      </c>
      <c r="AB16" s="106">
        <f t="shared" si="4"/>
        <v>0</v>
      </c>
      <c r="AC16" s="106">
        <f t="shared" si="4"/>
        <v>0</v>
      </c>
      <c r="AD16" s="106">
        <f t="shared" si="4"/>
        <v>0</v>
      </c>
      <c r="AE16" s="106">
        <f t="shared" si="4"/>
        <v>0</v>
      </c>
      <c r="AF16" s="106">
        <f t="shared" si="4"/>
        <v>53.2</v>
      </c>
      <c r="AG16" s="106">
        <f t="shared" si="4"/>
        <v>23.98</v>
      </c>
      <c r="AH16" s="106">
        <f t="shared" si="0"/>
        <v>1762.3</v>
      </c>
      <c r="AI16" s="106">
        <f t="shared" si="1"/>
        <v>56.848387096774189</v>
      </c>
    </row>
    <row r="17" spans="1:35" ht="15.9" customHeight="1" x14ac:dyDescent="0.4">
      <c r="A17" s="167"/>
      <c r="B17" s="10" t="s">
        <v>64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08">
        <f t="shared" si="0"/>
        <v>0</v>
      </c>
      <c r="AI17" s="108" t="e">
        <f t="shared" si="1"/>
        <v>#DIV/0!</v>
      </c>
    </row>
    <row r="18" spans="1:35" ht="15.9" customHeight="1" x14ac:dyDescent="0.4">
      <c r="C18" s="112">
        <f t="shared" ref="C18:Q18" si="5">C5+C11</f>
        <v>0</v>
      </c>
      <c r="D18" s="112">
        <f t="shared" si="5"/>
        <v>0</v>
      </c>
      <c r="E18" s="112">
        <f t="shared" si="5"/>
        <v>0</v>
      </c>
      <c r="F18" s="112">
        <f t="shared" si="5"/>
        <v>0</v>
      </c>
      <c r="G18" s="112">
        <f t="shared" si="5"/>
        <v>0</v>
      </c>
      <c r="H18" s="112">
        <f t="shared" si="5"/>
        <v>0</v>
      </c>
      <c r="I18" s="112">
        <f t="shared" si="5"/>
        <v>0</v>
      </c>
      <c r="J18" s="112">
        <f t="shared" si="5"/>
        <v>0</v>
      </c>
      <c r="K18" s="112">
        <f t="shared" si="5"/>
        <v>0</v>
      </c>
      <c r="L18" s="112">
        <f t="shared" si="5"/>
        <v>0</v>
      </c>
      <c r="M18" s="112">
        <f t="shared" si="5"/>
        <v>0</v>
      </c>
      <c r="N18" s="112">
        <f t="shared" si="5"/>
        <v>0</v>
      </c>
      <c r="O18" s="112">
        <f t="shared" si="5"/>
        <v>0</v>
      </c>
      <c r="P18" s="112">
        <f t="shared" si="5"/>
        <v>0</v>
      </c>
      <c r="Q18" s="112">
        <f t="shared" si="5"/>
        <v>0</v>
      </c>
      <c r="R18" s="112"/>
      <c r="S18" s="112"/>
      <c r="T18" s="112"/>
      <c r="U18" s="112"/>
      <c r="V18" s="112"/>
      <c r="W18" s="112"/>
      <c r="X18" s="112"/>
      <c r="Y18" s="112"/>
      <c r="Z18" s="112"/>
      <c r="AA18" s="112">
        <f>AA5+AA11</f>
        <v>0</v>
      </c>
      <c r="AB18" s="112">
        <f>AB5+AB11</f>
        <v>0</v>
      </c>
      <c r="AC18" s="112">
        <f>AC5+AC11</f>
        <v>0</v>
      </c>
      <c r="AD18" s="112"/>
      <c r="AE18" s="112">
        <f>AE5+AE11</f>
        <v>0</v>
      </c>
      <c r="AF18" s="112"/>
      <c r="AG18" s="112">
        <f>AG5+AG11</f>
        <v>0</v>
      </c>
      <c r="AH18" s="120">
        <f>AH16+AH17</f>
        <v>1762.3</v>
      </c>
      <c r="AI18" s="100">
        <f>AH6+AH12</f>
        <v>1762.3</v>
      </c>
    </row>
    <row r="19" spans="1:35" ht="15.9" customHeight="1" x14ac:dyDescent="0.4">
      <c r="K19" s="102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</row>
    <row r="20" spans="1:35" ht="15.9" customHeight="1" x14ac:dyDescent="0.4">
      <c r="AH20" s="122">
        <f>AH6+AH12</f>
        <v>1762.3</v>
      </c>
    </row>
  </sheetData>
  <mergeCells count="5">
    <mergeCell ref="A1:AH1"/>
    <mergeCell ref="A3:B3"/>
    <mergeCell ref="A4:A9"/>
    <mergeCell ref="A16:A17"/>
    <mergeCell ref="A10:A15"/>
  </mergeCells>
  <phoneticPr fontId="2" type="noConversion"/>
  <pageMargins left="0.19685039370078741" right="0.23622047244094491" top="0.74803149606299213" bottom="0.35433070866141736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tabSelected="1" zoomScaleNormal="100" workbookViewId="0">
      <selection activeCell="W12" sqref="W12"/>
    </sheetView>
  </sheetViews>
  <sheetFormatPr defaultColWidth="9" defaultRowHeight="15.9" customHeight="1" x14ac:dyDescent="0.4"/>
  <cols>
    <col min="1" max="1" width="6.09765625" style="1" customWidth="1"/>
    <col min="2" max="32" width="3.8984375" style="1" customWidth="1"/>
    <col min="33" max="42" width="8.5" style="1" customWidth="1"/>
    <col min="43" max="53" width="11.59765625" style="1" customWidth="1"/>
    <col min="54" max="54" width="14.19921875" style="1" customWidth="1"/>
    <col min="55" max="77" width="5.8984375" style="1" customWidth="1"/>
    <col min="78" max="78" width="6.69921875" style="1" customWidth="1"/>
    <col min="79" max="16384" width="9" style="1"/>
  </cols>
  <sheetData>
    <row r="1" spans="1:36" ht="26.25" customHeight="1" x14ac:dyDescent="0.4">
      <c r="A1" s="161" t="s">
        <v>95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36" ht="14.25" customHeight="1" thickBot="1" x14ac:dyDescent="0.45">
      <c r="B2" s="110">
        <f>B4/24</f>
        <v>0</v>
      </c>
      <c r="C2" s="110">
        <f t="shared" ref="C2:AF2" si="0">C4/24</f>
        <v>0</v>
      </c>
      <c r="D2" s="110">
        <f t="shared" si="0"/>
        <v>0</v>
      </c>
      <c r="E2" s="110">
        <f t="shared" si="0"/>
        <v>0</v>
      </c>
      <c r="F2" s="110">
        <f t="shared" si="0"/>
        <v>0</v>
      </c>
      <c r="G2" s="110">
        <f t="shared" si="0"/>
        <v>0</v>
      </c>
      <c r="H2" s="110">
        <f t="shared" si="0"/>
        <v>0</v>
      </c>
      <c r="I2" s="110">
        <f t="shared" si="0"/>
        <v>0</v>
      </c>
      <c r="J2" s="110">
        <f t="shared" si="0"/>
        <v>0</v>
      </c>
      <c r="K2" s="110">
        <f t="shared" si="0"/>
        <v>0</v>
      </c>
      <c r="L2" s="110">
        <f t="shared" si="0"/>
        <v>0</v>
      </c>
      <c r="M2" s="110">
        <f t="shared" si="0"/>
        <v>0</v>
      </c>
      <c r="N2" s="110">
        <f t="shared" si="0"/>
        <v>0</v>
      </c>
      <c r="O2" s="110">
        <f t="shared" si="0"/>
        <v>0</v>
      </c>
      <c r="P2" s="110">
        <f t="shared" si="0"/>
        <v>0</v>
      </c>
      <c r="Q2" s="110">
        <f t="shared" si="0"/>
        <v>0</v>
      </c>
      <c r="R2" s="110">
        <f t="shared" si="0"/>
        <v>0</v>
      </c>
      <c r="S2" s="110">
        <f t="shared" si="0"/>
        <v>0</v>
      </c>
      <c r="T2" s="110">
        <f t="shared" si="0"/>
        <v>0</v>
      </c>
      <c r="U2" s="110">
        <f t="shared" si="0"/>
        <v>0</v>
      </c>
      <c r="V2" s="110">
        <f t="shared" si="0"/>
        <v>0</v>
      </c>
      <c r="W2" s="110">
        <f t="shared" si="0"/>
        <v>0</v>
      </c>
      <c r="X2" s="110">
        <f t="shared" si="0"/>
        <v>0</v>
      </c>
      <c r="Y2" s="110">
        <f t="shared" si="0"/>
        <v>0</v>
      </c>
      <c r="Z2" s="110">
        <f t="shared" si="0"/>
        <v>0</v>
      </c>
      <c r="AA2" s="110">
        <f t="shared" si="0"/>
        <v>0</v>
      </c>
      <c r="AB2" s="110">
        <f t="shared" si="0"/>
        <v>0</v>
      </c>
      <c r="AC2" s="110">
        <f t="shared" si="0"/>
        <v>0</v>
      </c>
      <c r="AD2" s="110">
        <f t="shared" si="0"/>
        <v>0</v>
      </c>
      <c r="AE2" s="110">
        <f t="shared" si="0"/>
        <v>0</v>
      </c>
      <c r="AF2" s="110">
        <f t="shared" si="0"/>
        <v>0</v>
      </c>
    </row>
    <row r="3" spans="1:36" ht="17.25" customHeight="1" thickBot="1" x14ac:dyDescent="0.45">
      <c r="A3" s="36" t="s">
        <v>15</v>
      </c>
      <c r="B3" s="37">
        <v>1</v>
      </c>
      <c r="C3" s="37">
        <v>2</v>
      </c>
      <c r="D3" s="37">
        <v>3</v>
      </c>
      <c r="E3" s="37">
        <v>4</v>
      </c>
      <c r="F3" s="37">
        <v>5</v>
      </c>
      <c r="G3" s="37">
        <v>6</v>
      </c>
      <c r="H3" s="37">
        <v>7</v>
      </c>
      <c r="I3" s="37">
        <v>8</v>
      </c>
      <c r="J3" s="37">
        <v>9</v>
      </c>
      <c r="K3" s="37">
        <v>10</v>
      </c>
      <c r="L3" s="37">
        <v>11</v>
      </c>
      <c r="M3" s="37">
        <v>12</v>
      </c>
      <c r="N3" s="37">
        <v>13</v>
      </c>
      <c r="O3" s="37">
        <v>14</v>
      </c>
      <c r="P3" s="37">
        <v>15</v>
      </c>
      <c r="Q3" s="37">
        <v>16</v>
      </c>
      <c r="R3" s="37">
        <v>17</v>
      </c>
      <c r="S3" s="37">
        <v>18</v>
      </c>
      <c r="T3" s="37">
        <v>19</v>
      </c>
      <c r="U3" s="37">
        <v>20</v>
      </c>
      <c r="V3" s="37">
        <v>21</v>
      </c>
      <c r="W3" s="37">
        <v>22</v>
      </c>
      <c r="X3" s="37">
        <v>23</v>
      </c>
      <c r="Y3" s="37">
        <v>24</v>
      </c>
      <c r="Z3" s="37">
        <v>25</v>
      </c>
      <c r="AA3" s="37">
        <v>26</v>
      </c>
      <c r="AB3" s="37">
        <v>27</v>
      </c>
      <c r="AC3" s="37">
        <v>28</v>
      </c>
      <c r="AD3" s="37">
        <v>29</v>
      </c>
      <c r="AE3" s="37">
        <v>30</v>
      </c>
      <c r="AF3" s="37">
        <v>31</v>
      </c>
      <c r="AG3" s="37" t="s">
        <v>9</v>
      </c>
      <c r="AH3" s="38" t="s">
        <v>10</v>
      </c>
    </row>
    <row r="4" spans="1:36" ht="15.9" customHeight="1" thickTop="1" x14ac:dyDescent="0.4">
      <c r="A4" s="32" t="s">
        <v>12</v>
      </c>
      <c r="B4" s="123"/>
      <c r="C4" s="33"/>
      <c r="D4" s="33"/>
      <c r="E4" s="33"/>
      <c r="F4" s="33"/>
      <c r="G4" s="33"/>
      <c r="H4" s="33"/>
      <c r="I4" s="33"/>
      <c r="J4" s="33"/>
      <c r="K4" s="33"/>
      <c r="L4" s="123"/>
      <c r="M4" s="33"/>
      <c r="N4" s="33"/>
      <c r="O4" s="33"/>
      <c r="P4" s="33"/>
      <c r="Q4" s="147"/>
      <c r="R4" s="12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>
        <f t="shared" ref="AG4:AG9" si="1">SUM(B4:AF4)</f>
        <v>0</v>
      </c>
      <c r="AH4" s="35" t="e">
        <f t="shared" ref="AH4:AH9" si="2">AVERAGE(B4:AF4)</f>
        <v>#DIV/0!</v>
      </c>
    </row>
    <row r="5" spans="1:36" ht="15.9" customHeight="1" x14ac:dyDescent="0.4">
      <c r="A5" s="27" t="s">
        <v>13</v>
      </c>
      <c r="B5" s="138">
        <v>133</v>
      </c>
      <c r="C5" s="126">
        <v>134</v>
      </c>
      <c r="D5" s="126">
        <v>133</v>
      </c>
      <c r="E5" s="126">
        <v>131</v>
      </c>
      <c r="F5" s="11">
        <v>132</v>
      </c>
      <c r="G5" s="11">
        <v>131</v>
      </c>
      <c r="H5" s="11">
        <v>104</v>
      </c>
      <c r="I5" s="11">
        <v>101</v>
      </c>
      <c r="J5" s="11">
        <v>125</v>
      </c>
      <c r="K5" s="11">
        <v>127</v>
      </c>
      <c r="L5" s="138">
        <v>131</v>
      </c>
      <c r="M5" s="126">
        <v>128</v>
      </c>
      <c r="N5" s="126">
        <v>126</v>
      </c>
      <c r="O5" s="126">
        <v>123</v>
      </c>
      <c r="P5" s="126">
        <v>124</v>
      </c>
      <c r="Q5" s="126">
        <v>126</v>
      </c>
      <c r="R5" s="138">
        <v>125</v>
      </c>
      <c r="S5" s="126">
        <v>122</v>
      </c>
      <c r="T5" s="126">
        <v>123</v>
      </c>
      <c r="U5" s="126">
        <v>124</v>
      </c>
      <c r="V5" s="126"/>
      <c r="W5" s="126"/>
      <c r="X5" s="126"/>
      <c r="Y5" s="126"/>
      <c r="Z5" s="11"/>
      <c r="AA5" s="11"/>
      <c r="AB5" s="126"/>
      <c r="AC5" s="126"/>
      <c r="AD5" s="11"/>
      <c r="AE5" s="11">
        <v>86</v>
      </c>
      <c r="AF5" s="11">
        <v>70</v>
      </c>
      <c r="AG5" s="10">
        <f t="shared" si="1"/>
        <v>2659</v>
      </c>
      <c r="AH5" s="28">
        <f t="shared" si="2"/>
        <v>120.86363636363636</v>
      </c>
    </row>
    <row r="6" spans="1:36" ht="15.9" customHeight="1" x14ac:dyDescent="0.4">
      <c r="A6" s="27" t="s">
        <v>14</v>
      </c>
      <c r="B6" s="138">
        <v>207</v>
      </c>
      <c r="C6" s="126">
        <v>207</v>
      </c>
      <c r="D6" s="126">
        <v>200</v>
      </c>
      <c r="E6" s="126">
        <v>194</v>
      </c>
      <c r="F6" s="11">
        <v>193</v>
      </c>
      <c r="G6" s="11">
        <v>188</v>
      </c>
      <c r="H6" s="11">
        <v>162</v>
      </c>
      <c r="I6" s="11">
        <v>174</v>
      </c>
      <c r="J6" s="11">
        <v>206</v>
      </c>
      <c r="K6" s="11">
        <v>202</v>
      </c>
      <c r="L6" s="138">
        <v>202</v>
      </c>
      <c r="M6" s="126">
        <v>205</v>
      </c>
      <c r="N6" s="126">
        <v>201</v>
      </c>
      <c r="O6" s="126">
        <v>200</v>
      </c>
      <c r="P6" s="126">
        <v>192</v>
      </c>
      <c r="Q6" s="126">
        <v>188</v>
      </c>
      <c r="R6" s="138">
        <v>191</v>
      </c>
      <c r="S6" s="126">
        <v>187</v>
      </c>
      <c r="T6" s="126">
        <v>187</v>
      </c>
      <c r="U6" s="126">
        <v>197</v>
      </c>
      <c r="V6" s="126"/>
      <c r="W6" s="126"/>
      <c r="X6" s="126"/>
      <c r="Y6" s="126"/>
      <c r="Z6" s="11"/>
      <c r="AA6" s="11"/>
      <c r="AB6" s="126"/>
      <c r="AC6" s="126"/>
      <c r="AD6" s="11"/>
      <c r="AE6" s="11">
        <v>97</v>
      </c>
      <c r="AF6" s="11">
        <v>68</v>
      </c>
      <c r="AG6" s="10">
        <f t="shared" si="1"/>
        <v>4048</v>
      </c>
      <c r="AH6" s="28">
        <f t="shared" si="2"/>
        <v>184</v>
      </c>
    </row>
    <row r="7" spans="1:36" ht="15.9" customHeight="1" x14ac:dyDescent="0.4">
      <c r="A7" s="25" t="s">
        <v>16</v>
      </c>
      <c r="B7" s="13">
        <f>B5+B6</f>
        <v>340</v>
      </c>
      <c r="C7" s="13">
        <f t="shared" ref="C7:AD7" si="3">C5+C6</f>
        <v>341</v>
      </c>
      <c r="D7" s="13">
        <f t="shared" si="3"/>
        <v>333</v>
      </c>
      <c r="E7" s="13">
        <f t="shared" si="3"/>
        <v>325</v>
      </c>
      <c r="F7" s="13">
        <f t="shared" si="3"/>
        <v>325</v>
      </c>
      <c r="G7" s="13">
        <f t="shared" si="3"/>
        <v>319</v>
      </c>
      <c r="H7" s="13">
        <f t="shared" si="3"/>
        <v>266</v>
      </c>
      <c r="I7" s="13">
        <f t="shared" si="3"/>
        <v>275</v>
      </c>
      <c r="J7" s="13">
        <f t="shared" si="3"/>
        <v>331</v>
      </c>
      <c r="K7" s="13">
        <f t="shared" si="3"/>
        <v>329</v>
      </c>
      <c r="L7" s="13">
        <f t="shared" si="3"/>
        <v>333</v>
      </c>
      <c r="M7" s="13">
        <f t="shared" si="3"/>
        <v>333</v>
      </c>
      <c r="N7" s="13">
        <f t="shared" si="3"/>
        <v>327</v>
      </c>
      <c r="O7" s="13">
        <f t="shared" si="3"/>
        <v>323</v>
      </c>
      <c r="P7" s="13">
        <f t="shared" si="3"/>
        <v>316</v>
      </c>
      <c r="Q7" s="13">
        <f t="shared" si="3"/>
        <v>314</v>
      </c>
      <c r="R7" s="13">
        <f t="shared" si="3"/>
        <v>316</v>
      </c>
      <c r="S7" s="13">
        <f t="shared" si="3"/>
        <v>309</v>
      </c>
      <c r="T7" s="13">
        <f t="shared" si="3"/>
        <v>310</v>
      </c>
      <c r="U7" s="13">
        <f t="shared" si="3"/>
        <v>321</v>
      </c>
      <c r="V7" s="13">
        <f t="shared" si="3"/>
        <v>0</v>
      </c>
      <c r="W7" s="13">
        <f t="shared" si="3"/>
        <v>0</v>
      </c>
      <c r="X7" s="13">
        <f t="shared" si="3"/>
        <v>0</v>
      </c>
      <c r="Y7" s="13">
        <f t="shared" si="3"/>
        <v>0</v>
      </c>
      <c r="Z7" s="13">
        <f t="shared" si="3"/>
        <v>0</v>
      </c>
      <c r="AA7" s="13">
        <f t="shared" si="3"/>
        <v>0</v>
      </c>
      <c r="AB7" s="13">
        <f t="shared" si="3"/>
        <v>0</v>
      </c>
      <c r="AC7" s="13">
        <f t="shared" si="3"/>
        <v>0</v>
      </c>
      <c r="AD7" s="13">
        <f t="shared" si="3"/>
        <v>0</v>
      </c>
      <c r="AE7" s="13">
        <f t="shared" ref="AE7:AF7" si="4">AE5+AE6</f>
        <v>183</v>
      </c>
      <c r="AF7" s="13">
        <f t="shared" si="4"/>
        <v>138</v>
      </c>
      <c r="AG7" s="14">
        <f t="shared" si="1"/>
        <v>6707</v>
      </c>
      <c r="AH7" s="26">
        <f t="shared" si="2"/>
        <v>216.35483870967741</v>
      </c>
    </row>
    <row r="8" spans="1:36" ht="15.9" customHeight="1" x14ac:dyDescent="0.4">
      <c r="A8" s="25" t="s">
        <v>17</v>
      </c>
      <c r="B8" s="13">
        <f>B4+B7</f>
        <v>340</v>
      </c>
      <c r="C8" s="13">
        <f>C4+C7</f>
        <v>341</v>
      </c>
      <c r="D8" s="13">
        <f t="shared" ref="D8:AF8" si="5">D4+D7</f>
        <v>333</v>
      </c>
      <c r="E8" s="13">
        <f t="shared" si="5"/>
        <v>325</v>
      </c>
      <c r="F8" s="13">
        <f t="shared" si="5"/>
        <v>325</v>
      </c>
      <c r="G8" s="13">
        <f t="shared" si="5"/>
        <v>319</v>
      </c>
      <c r="H8" s="13">
        <f t="shared" si="5"/>
        <v>266</v>
      </c>
      <c r="I8" s="13">
        <f t="shared" si="5"/>
        <v>275</v>
      </c>
      <c r="J8" s="13">
        <f t="shared" si="5"/>
        <v>331</v>
      </c>
      <c r="K8" s="13">
        <f t="shared" si="5"/>
        <v>329</v>
      </c>
      <c r="L8" s="13">
        <f t="shared" si="5"/>
        <v>333</v>
      </c>
      <c r="M8" s="13">
        <f t="shared" si="5"/>
        <v>333</v>
      </c>
      <c r="N8" s="13">
        <f t="shared" si="5"/>
        <v>327</v>
      </c>
      <c r="O8" s="13">
        <f t="shared" si="5"/>
        <v>323</v>
      </c>
      <c r="P8" s="13">
        <f t="shared" si="5"/>
        <v>316</v>
      </c>
      <c r="Q8" s="13">
        <f t="shared" si="5"/>
        <v>314</v>
      </c>
      <c r="R8" s="13">
        <f t="shared" si="5"/>
        <v>316</v>
      </c>
      <c r="S8" s="13">
        <f t="shared" si="5"/>
        <v>309</v>
      </c>
      <c r="T8" s="13">
        <f t="shared" si="5"/>
        <v>310</v>
      </c>
      <c r="U8" s="13">
        <f t="shared" si="5"/>
        <v>321</v>
      </c>
      <c r="V8" s="13">
        <f t="shared" si="5"/>
        <v>0</v>
      </c>
      <c r="W8" s="13">
        <f t="shared" si="5"/>
        <v>0</v>
      </c>
      <c r="X8" s="13">
        <f t="shared" si="5"/>
        <v>0</v>
      </c>
      <c r="Y8" s="13">
        <f t="shared" si="5"/>
        <v>0</v>
      </c>
      <c r="Z8" s="13">
        <f t="shared" si="5"/>
        <v>0</v>
      </c>
      <c r="AA8" s="13">
        <f t="shared" si="5"/>
        <v>0</v>
      </c>
      <c r="AB8" s="13">
        <f t="shared" si="5"/>
        <v>0</v>
      </c>
      <c r="AC8" s="13">
        <f t="shared" si="5"/>
        <v>0</v>
      </c>
      <c r="AD8" s="13">
        <f t="shared" si="5"/>
        <v>0</v>
      </c>
      <c r="AE8" s="13">
        <f t="shared" si="5"/>
        <v>183</v>
      </c>
      <c r="AF8" s="13">
        <f t="shared" si="5"/>
        <v>138</v>
      </c>
      <c r="AG8" s="14">
        <f t="shared" si="1"/>
        <v>6707</v>
      </c>
      <c r="AH8" s="26">
        <f t="shared" si="2"/>
        <v>216.35483870967741</v>
      </c>
    </row>
    <row r="9" spans="1:36" ht="15.9" customHeight="1" thickBot="1" x14ac:dyDescent="0.45">
      <c r="A9" s="29" t="s">
        <v>11</v>
      </c>
      <c r="B9" s="127">
        <v>133</v>
      </c>
      <c r="C9" s="127">
        <v>134</v>
      </c>
      <c r="D9" s="127">
        <v>133</v>
      </c>
      <c r="E9" s="127">
        <v>131</v>
      </c>
      <c r="F9" s="74">
        <v>132</v>
      </c>
      <c r="G9" s="74">
        <v>131</v>
      </c>
      <c r="H9" s="74">
        <v>104</v>
      </c>
      <c r="I9" s="74">
        <v>101</v>
      </c>
      <c r="J9" s="74">
        <v>125</v>
      </c>
      <c r="K9" s="130">
        <v>127</v>
      </c>
      <c r="L9" s="148">
        <v>131</v>
      </c>
      <c r="M9" s="127">
        <v>128</v>
      </c>
      <c r="N9" s="127">
        <v>126</v>
      </c>
      <c r="O9" s="127">
        <v>123</v>
      </c>
      <c r="P9" s="127">
        <v>124</v>
      </c>
      <c r="Q9" s="127">
        <v>126</v>
      </c>
      <c r="R9" s="146">
        <v>125</v>
      </c>
      <c r="S9" s="129">
        <v>122</v>
      </c>
      <c r="T9" s="129">
        <v>123</v>
      </c>
      <c r="U9" s="129">
        <v>124</v>
      </c>
      <c r="V9" s="129"/>
      <c r="W9" s="129"/>
      <c r="X9" s="129"/>
      <c r="Y9" s="129"/>
      <c r="Z9" s="9"/>
      <c r="AA9" s="9"/>
      <c r="AB9" s="129"/>
      <c r="AC9" s="129"/>
      <c r="AD9" s="9"/>
      <c r="AE9" s="9">
        <v>86</v>
      </c>
      <c r="AF9" s="9">
        <v>70</v>
      </c>
      <c r="AG9" s="30">
        <f t="shared" si="1"/>
        <v>2659</v>
      </c>
      <c r="AH9" s="31">
        <f t="shared" si="2"/>
        <v>120.86363636363636</v>
      </c>
    </row>
    <row r="10" spans="1:36" ht="15.9" customHeight="1" x14ac:dyDescent="0.4">
      <c r="A10" s="15"/>
      <c r="B10" s="101" t="s">
        <v>112</v>
      </c>
      <c r="C10" s="101" t="s">
        <v>111</v>
      </c>
      <c r="D10" s="101" t="s">
        <v>113</v>
      </c>
      <c r="E10" s="101" t="s">
        <v>114</v>
      </c>
      <c r="F10" s="101" t="s">
        <v>115</v>
      </c>
      <c r="G10" s="101" t="s">
        <v>116</v>
      </c>
      <c r="H10" s="101" t="s">
        <v>117</v>
      </c>
      <c r="I10" s="101" t="s">
        <v>118</v>
      </c>
      <c r="J10" s="101" t="s">
        <v>111</v>
      </c>
      <c r="K10" s="101" t="s">
        <v>119</v>
      </c>
      <c r="L10" s="101" t="s">
        <v>120</v>
      </c>
      <c r="M10" s="101" t="s">
        <v>121</v>
      </c>
      <c r="N10" s="101" t="s">
        <v>122</v>
      </c>
      <c r="O10" s="101" t="s">
        <v>123</v>
      </c>
      <c r="P10" s="101" t="s">
        <v>124</v>
      </c>
      <c r="Q10" s="101" t="s">
        <v>125</v>
      </c>
      <c r="R10" s="101" t="s">
        <v>126</v>
      </c>
      <c r="S10" s="128" t="s">
        <v>127</v>
      </c>
      <c r="T10" s="101" t="s">
        <v>128</v>
      </c>
      <c r="U10" s="101" t="s">
        <v>129</v>
      </c>
      <c r="V10" s="101"/>
      <c r="W10" s="101"/>
      <c r="X10" s="101"/>
      <c r="Y10" s="101"/>
      <c r="Z10" s="101"/>
      <c r="AA10" s="101"/>
      <c r="AB10" s="101"/>
      <c r="AC10" s="101"/>
      <c r="AD10" s="101"/>
      <c r="AE10" s="101" t="s">
        <v>130</v>
      </c>
      <c r="AF10" s="101" t="s">
        <v>131</v>
      </c>
      <c r="AG10" s="101"/>
      <c r="AH10" s="101"/>
    </row>
    <row r="11" spans="1:36" ht="15.9" customHeight="1" x14ac:dyDescent="0.4">
      <c r="A11" s="18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9"/>
      <c r="AH11" s="20"/>
    </row>
    <row r="12" spans="1:36" ht="15.9" customHeight="1" x14ac:dyDescent="0.4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/>
    </row>
    <row r="13" spans="1:36" ht="15.9" customHeight="1" x14ac:dyDescent="0.4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0"/>
      <c r="AJ13" s="137"/>
    </row>
    <row r="14" spans="1:36" ht="15.9" customHeight="1" x14ac:dyDescent="0.4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/>
    </row>
    <row r="15" spans="1:36" ht="15.9" customHeight="1" x14ac:dyDescent="0.4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/>
    </row>
    <row r="16" spans="1:36" ht="15.9" customHeight="1" x14ac:dyDescent="0.4">
      <c r="A16" s="18" t="s">
        <v>79</v>
      </c>
      <c r="B16" s="19">
        <v>1</v>
      </c>
      <c r="C16" s="19">
        <v>2</v>
      </c>
      <c r="D16" s="19">
        <v>3</v>
      </c>
      <c r="E16" s="19">
        <v>4</v>
      </c>
      <c r="F16" s="19">
        <v>5</v>
      </c>
      <c r="G16" s="19">
        <v>6</v>
      </c>
      <c r="H16" s="19">
        <v>7</v>
      </c>
      <c r="I16" s="19">
        <v>8</v>
      </c>
      <c r="J16" s="19">
        <v>9</v>
      </c>
      <c r="K16" s="19">
        <v>10</v>
      </c>
      <c r="L16" s="19">
        <v>11</v>
      </c>
      <c r="M16" s="19">
        <v>12</v>
      </c>
      <c r="N16" s="19">
        <v>13</v>
      </c>
      <c r="O16" s="19">
        <v>14</v>
      </c>
      <c r="P16" s="19">
        <v>15</v>
      </c>
      <c r="Q16" s="19">
        <v>16</v>
      </c>
      <c r="R16" s="19">
        <v>17</v>
      </c>
      <c r="S16" s="19">
        <v>18</v>
      </c>
      <c r="T16" s="19">
        <v>19</v>
      </c>
      <c r="U16" s="19">
        <v>20</v>
      </c>
      <c r="V16" s="19">
        <v>21</v>
      </c>
      <c r="W16" s="19">
        <v>22</v>
      </c>
      <c r="X16" s="19">
        <v>23</v>
      </c>
      <c r="Y16" s="19">
        <v>24</v>
      </c>
      <c r="Z16" s="19">
        <v>25</v>
      </c>
      <c r="AA16" s="19">
        <v>26</v>
      </c>
      <c r="AB16" s="19">
        <v>27</v>
      </c>
      <c r="AC16" s="19">
        <v>28</v>
      </c>
      <c r="AD16" s="19">
        <v>29</v>
      </c>
      <c r="AE16" s="19">
        <v>30</v>
      </c>
      <c r="AF16" s="19">
        <v>31</v>
      </c>
      <c r="AG16" s="19" t="s">
        <v>80</v>
      </c>
      <c r="AH16" s="20"/>
      <c r="AJ16" s="121"/>
    </row>
    <row r="17" spans="1:34" ht="15.9" customHeight="1" x14ac:dyDescent="0.4">
      <c r="A17" s="18" t="s">
        <v>81</v>
      </c>
      <c r="B17" s="19">
        <f>B9-B5</f>
        <v>0</v>
      </c>
      <c r="C17" s="19">
        <f t="shared" ref="C17:AG17" si="6">C9-C5</f>
        <v>0</v>
      </c>
      <c r="D17" s="19">
        <f t="shared" si="6"/>
        <v>0</v>
      </c>
      <c r="E17" s="19">
        <f t="shared" si="6"/>
        <v>0</v>
      </c>
      <c r="F17" s="19">
        <f t="shared" si="6"/>
        <v>0</v>
      </c>
      <c r="G17" s="19">
        <f t="shared" si="6"/>
        <v>0</v>
      </c>
      <c r="H17" s="19">
        <f t="shared" si="6"/>
        <v>0</v>
      </c>
      <c r="I17" s="19">
        <f t="shared" si="6"/>
        <v>0</v>
      </c>
      <c r="J17" s="19">
        <f t="shared" si="6"/>
        <v>0</v>
      </c>
      <c r="K17" s="19">
        <f t="shared" si="6"/>
        <v>0</v>
      </c>
      <c r="L17" s="19">
        <f t="shared" si="6"/>
        <v>0</v>
      </c>
      <c r="M17" s="19">
        <f t="shared" si="6"/>
        <v>0</v>
      </c>
      <c r="N17" s="19">
        <f t="shared" si="6"/>
        <v>0</v>
      </c>
      <c r="O17" s="19">
        <f t="shared" si="6"/>
        <v>0</v>
      </c>
      <c r="P17" s="19">
        <f t="shared" si="6"/>
        <v>0</v>
      </c>
      <c r="Q17" s="19">
        <f t="shared" si="6"/>
        <v>0</v>
      </c>
      <c r="R17" s="19">
        <f t="shared" si="6"/>
        <v>0</v>
      </c>
      <c r="S17" s="19">
        <f t="shared" si="6"/>
        <v>0</v>
      </c>
      <c r="T17" s="19">
        <f t="shared" si="6"/>
        <v>0</v>
      </c>
      <c r="U17" s="19">
        <f t="shared" si="6"/>
        <v>0</v>
      </c>
      <c r="V17" s="19">
        <f t="shared" si="6"/>
        <v>0</v>
      </c>
      <c r="W17" s="19">
        <f t="shared" si="6"/>
        <v>0</v>
      </c>
      <c r="X17" s="19">
        <f t="shared" si="6"/>
        <v>0</v>
      </c>
      <c r="Y17" s="19">
        <f t="shared" si="6"/>
        <v>0</v>
      </c>
      <c r="Z17" s="19">
        <f t="shared" si="6"/>
        <v>0</v>
      </c>
      <c r="AA17" s="19">
        <f t="shared" si="6"/>
        <v>0</v>
      </c>
      <c r="AB17" s="19">
        <f t="shared" si="6"/>
        <v>0</v>
      </c>
      <c r="AC17" s="19">
        <f t="shared" si="6"/>
        <v>0</v>
      </c>
      <c r="AD17" s="19">
        <f t="shared" si="6"/>
        <v>0</v>
      </c>
      <c r="AE17" s="19">
        <f t="shared" si="6"/>
        <v>0</v>
      </c>
      <c r="AF17" s="19">
        <f t="shared" si="6"/>
        <v>0</v>
      </c>
      <c r="AG17" s="19">
        <f t="shared" si="6"/>
        <v>0</v>
      </c>
      <c r="AH17" s="20"/>
    </row>
    <row r="18" spans="1:34" ht="15.75" customHeight="1" x14ac:dyDescent="0.4">
      <c r="A18" s="18" t="s">
        <v>82</v>
      </c>
      <c r="B18" s="19">
        <f>B7</f>
        <v>340</v>
      </c>
      <c r="C18" s="19">
        <f t="shared" ref="C18:AG18" si="7">C7</f>
        <v>341</v>
      </c>
      <c r="D18" s="19">
        <f t="shared" si="7"/>
        <v>333</v>
      </c>
      <c r="E18" s="19">
        <f t="shared" si="7"/>
        <v>325</v>
      </c>
      <c r="F18" s="19">
        <f t="shared" si="7"/>
        <v>325</v>
      </c>
      <c r="G18" s="19">
        <f t="shared" si="7"/>
        <v>319</v>
      </c>
      <c r="H18" s="19">
        <f t="shared" si="7"/>
        <v>266</v>
      </c>
      <c r="I18" s="19">
        <f t="shared" si="7"/>
        <v>275</v>
      </c>
      <c r="J18" s="19">
        <f t="shared" si="7"/>
        <v>331</v>
      </c>
      <c r="K18" s="19">
        <f t="shared" si="7"/>
        <v>329</v>
      </c>
      <c r="L18" s="19">
        <f t="shared" si="7"/>
        <v>333</v>
      </c>
      <c r="M18" s="19">
        <f t="shared" si="7"/>
        <v>333</v>
      </c>
      <c r="N18" s="19">
        <f t="shared" si="7"/>
        <v>327</v>
      </c>
      <c r="O18" s="19">
        <f t="shared" si="7"/>
        <v>323</v>
      </c>
      <c r="P18" s="19">
        <f t="shared" si="7"/>
        <v>316</v>
      </c>
      <c r="Q18" s="19">
        <f t="shared" si="7"/>
        <v>314</v>
      </c>
      <c r="R18" s="19">
        <f t="shared" si="7"/>
        <v>316</v>
      </c>
      <c r="S18" s="19">
        <f t="shared" si="7"/>
        <v>309</v>
      </c>
      <c r="T18" s="19">
        <f t="shared" si="7"/>
        <v>310</v>
      </c>
      <c r="U18" s="19">
        <f t="shared" si="7"/>
        <v>321</v>
      </c>
      <c r="V18" s="19">
        <f t="shared" si="7"/>
        <v>0</v>
      </c>
      <c r="W18" s="19">
        <f t="shared" si="7"/>
        <v>0</v>
      </c>
      <c r="X18" s="19">
        <f t="shared" si="7"/>
        <v>0</v>
      </c>
      <c r="Y18" s="19">
        <f t="shared" si="7"/>
        <v>0</v>
      </c>
      <c r="Z18" s="19">
        <f t="shared" si="7"/>
        <v>0</v>
      </c>
      <c r="AA18" s="19">
        <f t="shared" si="7"/>
        <v>0</v>
      </c>
      <c r="AB18" s="19">
        <f t="shared" si="7"/>
        <v>0</v>
      </c>
      <c r="AC18" s="19">
        <f t="shared" si="7"/>
        <v>0</v>
      </c>
      <c r="AD18" s="19">
        <f t="shared" si="7"/>
        <v>0</v>
      </c>
      <c r="AE18" s="19">
        <f t="shared" si="7"/>
        <v>183</v>
      </c>
      <c r="AF18" s="19">
        <f t="shared" si="7"/>
        <v>138</v>
      </c>
      <c r="AG18" s="19">
        <f t="shared" si="7"/>
        <v>6707</v>
      </c>
      <c r="AH18" s="20"/>
    </row>
    <row r="19" spans="1:34" ht="15.9" customHeight="1" x14ac:dyDescent="0.4">
      <c r="A19" s="18" t="s">
        <v>80</v>
      </c>
      <c r="B19" s="19">
        <f t="shared" ref="B19:AG19" si="8">SUM(B17:B18)</f>
        <v>340</v>
      </c>
      <c r="C19" s="19">
        <f t="shared" si="8"/>
        <v>341</v>
      </c>
      <c r="D19" s="19">
        <f t="shared" si="8"/>
        <v>333</v>
      </c>
      <c r="E19" s="19">
        <f t="shared" si="8"/>
        <v>325</v>
      </c>
      <c r="F19" s="19">
        <f t="shared" si="8"/>
        <v>325</v>
      </c>
      <c r="G19" s="19">
        <f t="shared" si="8"/>
        <v>319</v>
      </c>
      <c r="H19" s="19">
        <f t="shared" si="8"/>
        <v>266</v>
      </c>
      <c r="I19" s="19">
        <f t="shared" si="8"/>
        <v>275</v>
      </c>
      <c r="J19" s="19">
        <f t="shared" si="8"/>
        <v>331</v>
      </c>
      <c r="K19" s="19">
        <f t="shared" si="8"/>
        <v>329</v>
      </c>
      <c r="L19" s="19">
        <f t="shared" si="8"/>
        <v>333</v>
      </c>
      <c r="M19" s="19">
        <f t="shared" si="8"/>
        <v>333</v>
      </c>
      <c r="N19" s="19">
        <f t="shared" si="8"/>
        <v>327</v>
      </c>
      <c r="O19" s="19">
        <f t="shared" si="8"/>
        <v>323</v>
      </c>
      <c r="P19" s="19">
        <f t="shared" si="8"/>
        <v>316</v>
      </c>
      <c r="Q19" s="19">
        <f t="shared" si="8"/>
        <v>314</v>
      </c>
      <c r="R19" s="19">
        <f t="shared" si="8"/>
        <v>316</v>
      </c>
      <c r="S19" s="19">
        <f t="shared" si="8"/>
        <v>309</v>
      </c>
      <c r="T19" s="19">
        <f t="shared" si="8"/>
        <v>310</v>
      </c>
      <c r="U19" s="19">
        <f t="shared" si="8"/>
        <v>321</v>
      </c>
      <c r="V19" s="19">
        <f t="shared" si="8"/>
        <v>0</v>
      </c>
      <c r="W19" s="19">
        <f t="shared" si="8"/>
        <v>0</v>
      </c>
      <c r="X19" s="19">
        <f t="shared" si="8"/>
        <v>0</v>
      </c>
      <c r="Y19" s="19">
        <f t="shared" si="8"/>
        <v>0</v>
      </c>
      <c r="Z19" s="19">
        <f t="shared" si="8"/>
        <v>0</v>
      </c>
      <c r="AA19" s="19">
        <f t="shared" si="8"/>
        <v>0</v>
      </c>
      <c r="AB19" s="19">
        <f t="shared" si="8"/>
        <v>0</v>
      </c>
      <c r="AC19" s="19">
        <f t="shared" si="8"/>
        <v>0</v>
      </c>
      <c r="AD19" s="19">
        <f t="shared" si="8"/>
        <v>0</v>
      </c>
      <c r="AE19" s="19">
        <f t="shared" si="8"/>
        <v>183</v>
      </c>
      <c r="AF19" s="19">
        <f t="shared" si="8"/>
        <v>138</v>
      </c>
      <c r="AG19" s="19">
        <f t="shared" si="8"/>
        <v>6707</v>
      </c>
      <c r="AH19" s="20"/>
    </row>
    <row r="20" spans="1:34" ht="15.9" customHeight="1" x14ac:dyDescent="0.4">
      <c r="A20" s="18"/>
      <c r="B20" s="19">
        <f>B19-B18</f>
        <v>0</v>
      </c>
      <c r="C20" s="19">
        <f t="shared" ref="C20:W20" si="9">C19-C18</f>
        <v>0</v>
      </c>
      <c r="D20" s="19">
        <f t="shared" si="9"/>
        <v>0</v>
      </c>
      <c r="E20" s="19">
        <f t="shared" si="9"/>
        <v>0</v>
      </c>
      <c r="F20" s="19">
        <f t="shared" si="9"/>
        <v>0</v>
      </c>
      <c r="G20" s="19">
        <f t="shared" si="9"/>
        <v>0</v>
      </c>
      <c r="H20" s="19">
        <f t="shared" si="9"/>
        <v>0</v>
      </c>
      <c r="I20" s="19">
        <f t="shared" si="9"/>
        <v>0</v>
      </c>
      <c r="J20" s="19">
        <f t="shared" si="9"/>
        <v>0</v>
      </c>
      <c r="K20" s="19">
        <f t="shared" si="9"/>
        <v>0</v>
      </c>
      <c r="L20" s="19">
        <f t="shared" si="9"/>
        <v>0</v>
      </c>
      <c r="M20" s="19">
        <f t="shared" si="9"/>
        <v>0</v>
      </c>
      <c r="N20" s="19">
        <f t="shared" si="9"/>
        <v>0</v>
      </c>
      <c r="O20" s="19">
        <f t="shared" si="9"/>
        <v>0</v>
      </c>
      <c r="P20" s="19">
        <f t="shared" si="9"/>
        <v>0</v>
      </c>
      <c r="Q20" s="19">
        <f t="shared" si="9"/>
        <v>0</v>
      </c>
      <c r="R20" s="19">
        <f t="shared" si="9"/>
        <v>0</v>
      </c>
      <c r="S20" s="19">
        <f t="shared" si="9"/>
        <v>0</v>
      </c>
      <c r="T20" s="19">
        <f t="shared" si="9"/>
        <v>0</v>
      </c>
      <c r="U20" s="19">
        <f t="shared" si="9"/>
        <v>0</v>
      </c>
      <c r="V20" s="19">
        <f t="shared" si="9"/>
        <v>0</v>
      </c>
      <c r="W20" s="19">
        <f t="shared" si="9"/>
        <v>0</v>
      </c>
      <c r="X20" s="19">
        <f t="shared" ref="X20" si="10">X19-X18</f>
        <v>0</v>
      </c>
      <c r="Y20" s="19">
        <f t="shared" ref="Y20" si="11">Y19-Y18</f>
        <v>0</v>
      </c>
      <c r="Z20" s="19">
        <f t="shared" ref="Z20" si="12">Z19-Z18</f>
        <v>0</v>
      </c>
      <c r="AA20" s="19">
        <f t="shared" ref="AA20" si="13">AA19-AA18</f>
        <v>0</v>
      </c>
      <c r="AB20" s="19">
        <f t="shared" ref="AB20" si="14">AB19-AB18</f>
        <v>0</v>
      </c>
      <c r="AC20" s="19">
        <f t="shared" ref="AC20" si="15">AC19-AC18</f>
        <v>0</v>
      </c>
      <c r="AD20" s="19">
        <f t="shared" ref="AD20" si="16">AD19-AD18</f>
        <v>0</v>
      </c>
      <c r="AE20" s="19">
        <f t="shared" ref="AE20" si="17">AE19-AE18</f>
        <v>0</v>
      </c>
      <c r="AF20" s="19">
        <f t="shared" ref="AF20" si="18">AF19-AF18</f>
        <v>0</v>
      </c>
      <c r="AG20" s="19"/>
      <c r="AH20" s="20"/>
    </row>
    <row r="21" spans="1:34" ht="15.9" customHeight="1" x14ac:dyDescent="0.4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0"/>
    </row>
    <row r="22" spans="1:34" ht="15.9" customHeight="1" x14ac:dyDescent="0.4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/>
    </row>
    <row r="23" spans="1:34" ht="15.9" customHeight="1" x14ac:dyDescent="0.4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0"/>
    </row>
    <row r="24" spans="1:34" ht="15.9" customHeight="1" x14ac:dyDescent="0.4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20"/>
    </row>
    <row r="25" spans="1:34" ht="15.9" customHeight="1" x14ac:dyDescent="0.4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0"/>
    </row>
    <row r="26" spans="1:34" ht="15.9" customHeight="1" x14ac:dyDescent="0.4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0"/>
    </row>
    <row r="27" spans="1:34" ht="15.9" customHeight="1" x14ac:dyDescent="0.4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0"/>
    </row>
    <row r="28" spans="1:34" ht="15.9" customHeight="1" x14ac:dyDescent="0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1:34" ht="15.9" customHeight="1" x14ac:dyDescent="0.4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20"/>
    </row>
    <row r="30" spans="1:34" ht="15.9" customHeight="1" x14ac:dyDescent="0.4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0"/>
    </row>
    <row r="31" spans="1:34" ht="15.9" customHeight="1" x14ac:dyDescent="0.4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20"/>
    </row>
    <row r="32" spans="1:34" ht="15.9" customHeigh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20"/>
    </row>
    <row r="33" spans="1:34" ht="15.9" customHeight="1" x14ac:dyDescent="0.4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20"/>
    </row>
    <row r="34" spans="1:34" ht="15.9" customHeight="1" x14ac:dyDescent="0.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20"/>
    </row>
    <row r="35" spans="1:34" ht="15.9" customHeight="1" thickBot="1" x14ac:dyDescent="0.4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3"/>
    </row>
  </sheetData>
  <mergeCells count="1">
    <mergeCell ref="A1:AH1"/>
  </mergeCells>
  <phoneticPr fontId="2" type="noConversion"/>
  <pageMargins left="0.3" right="0.23622047244094491" top="0.67" bottom="0.35433070866141736" header="0.31496062992125984" footer="0.31496062992125984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topLeftCell="A13" zoomScale="106" zoomScaleNormal="106" workbookViewId="0">
      <selection activeCell="G36" sqref="G36"/>
    </sheetView>
  </sheetViews>
  <sheetFormatPr defaultColWidth="9" defaultRowHeight="15.9" customHeight="1" x14ac:dyDescent="0.4"/>
  <cols>
    <col min="1" max="1" width="6.09765625" style="70" customWidth="1"/>
    <col min="2" max="7" width="13.59765625" style="19" customWidth="1"/>
    <col min="8" max="34" width="6.59765625" style="19" customWidth="1"/>
    <col min="35" max="44" width="8.5" style="19" customWidth="1"/>
    <col min="45" max="55" width="11.59765625" style="19" customWidth="1"/>
    <col min="56" max="56" width="14.19921875" style="19" customWidth="1"/>
    <col min="57" max="79" width="5.8984375" style="19" customWidth="1"/>
    <col min="80" max="80" width="6.69921875" style="19" customWidth="1"/>
    <col min="81" max="16384" width="9" style="19"/>
  </cols>
  <sheetData>
    <row r="1" spans="1:36" ht="26.25" customHeight="1" x14ac:dyDescent="0.4">
      <c r="A1" s="174" t="s">
        <v>94</v>
      </c>
      <c r="B1" s="174"/>
      <c r="C1" s="174"/>
      <c r="D1" s="174"/>
      <c r="E1" s="174"/>
      <c r="F1" s="174"/>
      <c r="G1" s="174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</row>
    <row r="2" spans="1:36" ht="8.25" customHeight="1" x14ac:dyDescent="0.4"/>
    <row r="3" spans="1:36" ht="20.100000000000001" customHeight="1" x14ac:dyDescent="0.4">
      <c r="A3" s="170" t="s">
        <v>47</v>
      </c>
      <c r="B3" s="172" t="s">
        <v>0</v>
      </c>
      <c r="C3" s="173"/>
      <c r="D3" s="172" t="s">
        <v>48</v>
      </c>
      <c r="E3" s="173"/>
      <c r="F3" s="162" t="s">
        <v>49</v>
      </c>
      <c r="G3" s="162"/>
    </row>
    <row r="4" spans="1:36" ht="20.100000000000001" customHeight="1" x14ac:dyDescent="0.4">
      <c r="A4" s="171"/>
      <c r="B4" s="6" t="s">
        <v>50</v>
      </c>
      <c r="C4" s="6" t="s">
        <v>51</v>
      </c>
      <c r="D4" s="6" t="s">
        <v>50</v>
      </c>
      <c r="E4" s="6" t="s">
        <v>51</v>
      </c>
      <c r="F4" s="6" t="s">
        <v>50</v>
      </c>
      <c r="G4" s="6" t="s">
        <v>51</v>
      </c>
    </row>
    <row r="5" spans="1:36" ht="20.100000000000001" customHeight="1" x14ac:dyDescent="0.4">
      <c r="A5" s="72">
        <v>1</v>
      </c>
      <c r="B5" s="132">
        <f>C5</f>
        <v>0</v>
      </c>
      <c r="C5" s="88"/>
      <c r="D5" s="124">
        <v>133</v>
      </c>
      <c r="E5" s="124">
        <v>133</v>
      </c>
      <c r="F5" s="124">
        <v>207</v>
      </c>
      <c r="G5" s="124">
        <v>207</v>
      </c>
    </row>
    <row r="6" spans="1:36" ht="20.100000000000001" customHeight="1" x14ac:dyDescent="0.4">
      <c r="A6" s="72">
        <v>2</v>
      </c>
      <c r="B6" s="87">
        <f>B5+C6</f>
        <v>0</v>
      </c>
      <c r="C6" s="88"/>
      <c r="D6" s="87">
        <f>D5+E6</f>
        <v>267</v>
      </c>
      <c r="E6" s="124">
        <v>134</v>
      </c>
      <c r="F6" s="87">
        <f>F5+G6</f>
        <v>414</v>
      </c>
      <c r="G6" s="124">
        <v>207</v>
      </c>
    </row>
    <row r="7" spans="1:36" ht="20.100000000000001" customHeight="1" x14ac:dyDescent="0.4">
      <c r="A7" s="72">
        <v>3</v>
      </c>
      <c r="B7" s="87">
        <f t="shared" ref="B7:B35" si="0">B6+C7</f>
        <v>0</v>
      </c>
      <c r="C7" s="88"/>
      <c r="D7" s="87">
        <f t="shared" ref="D7:D35" si="1">D6+E7</f>
        <v>400</v>
      </c>
      <c r="E7" s="124">
        <v>133</v>
      </c>
      <c r="F7" s="87">
        <f t="shared" ref="F7:F35" si="2">F6+G7</f>
        <v>614</v>
      </c>
      <c r="G7" s="85">
        <v>200</v>
      </c>
    </row>
    <row r="8" spans="1:36" ht="20.100000000000001" customHeight="1" x14ac:dyDescent="0.4">
      <c r="A8" s="72">
        <v>4</v>
      </c>
      <c r="B8" s="87">
        <f t="shared" si="0"/>
        <v>0</v>
      </c>
      <c r="C8" s="88"/>
      <c r="D8" s="87">
        <f t="shared" si="1"/>
        <v>531</v>
      </c>
      <c r="E8" s="124">
        <v>131</v>
      </c>
      <c r="F8" s="87">
        <f t="shared" si="2"/>
        <v>808</v>
      </c>
      <c r="G8" s="124">
        <v>194</v>
      </c>
    </row>
    <row r="9" spans="1:36" ht="20.100000000000001" customHeight="1" x14ac:dyDescent="0.4">
      <c r="A9" s="72">
        <v>5</v>
      </c>
      <c r="B9" s="87">
        <f t="shared" si="0"/>
        <v>0</v>
      </c>
      <c r="C9" s="88"/>
      <c r="D9" s="87">
        <f t="shared" si="1"/>
        <v>663</v>
      </c>
      <c r="E9" s="124">
        <v>132</v>
      </c>
      <c r="F9" s="87">
        <f t="shared" si="2"/>
        <v>1001</v>
      </c>
      <c r="G9" s="85">
        <v>193</v>
      </c>
    </row>
    <row r="10" spans="1:36" ht="20.100000000000001" customHeight="1" x14ac:dyDescent="0.4">
      <c r="A10" s="72">
        <v>6</v>
      </c>
      <c r="B10" s="87">
        <f t="shared" si="0"/>
        <v>0</v>
      </c>
      <c r="C10" s="88"/>
      <c r="D10" s="87">
        <f t="shared" si="1"/>
        <v>794</v>
      </c>
      <c r="E10" s="124">
        <v>131</v>
      </c>
      <c r="F10" s="87">
        <f t="shared" si="2"/>
        <v>1189</v>
      </c>
      <c r="G10" s="124">
        <v>188</v>
      </c>
    </row>
    <row r="11" spans="1:36" ht="20.100000000000001" customHeight="1" x14ac:dyDescent="0.4">
      <c r="A11" s="72">
        <v>7</v>
      </c>
      <c r="B11" s="87">
        <f t="shared" si="0"/>
        <v>0</v>
      </c>
      <c r="C11" s="88"/>
      <c r="D11" s="87">
        <f t="shared" si="1"/>
        <v>898</v>
      </c>
      <c r="E11" s="124">
        <v>104</v>
      </c>
      <c r="F11" s="87">
        <f t="shared" si="2"/>
        <v>1351</v>
      </c>
      <c r="G11" s="85">
        <v>162</v>
      </c>
    </row>
    <row r="12" spans="1:36" ht="20.100000000000001" customHeight="1" x14ac:dyDescent="0.4">
      <c r="A12" s="72">
        <v>8</v>
      </c>
      <c r="B12" s="87">
        <f t="shared" si="0"/>
        <v>0</v>
      </c>
      <c r="C12" s="88"/>
      <c r="D12" s="87">
        <f t="shared" si="1"/>
        <v>999</v>
      </c>
      <c r="E12" s="124">
        <v>101</v>
      </c>
      <c r="F12" s="87">
        <f t="shared" si="2"/>
        <v>1525</v>
      </c>
      <c r="G12" s="124">
        <v>174</v>
      </c>
    </row>
    <row r="13" spans="1:36" ht="20.100000000000001" customHeight="1" x14ac:dyDescent="0.4">
      <c r="A13" s="72">
        <v>9</v>
      </c>
      <c r="B13" s="87">
        <f t="shared" si="0"/>
        <v>0</v>
      </c>
      <c r="C13" s="88"/>
      <c r="D13" s="87">
        <f t="shared" si="1"/>
        <v>1124</v>
      </c>
      <c r="E13" s="124">
        <v>125</v>
      </c>
      <c r="F13" s="87">
        <f t="shared" si="2"/>
        <v>1731</v>
      </c>
      <c r="G13" s="85">
        <v>206</v>
      </c>
    </row>
    <row r="14" spans="1:36" ht="20.100000000000001" customHeight="1" x14ac:dyDescent="0.4">
      <c r="A14" s="72">
        <v>10</v>
      </c>
      <c r="B14" s="87">
        <f t="shared" si="0"/>
        <v>0</v>
      </c>
      <c r="C14" s="88"/>
      <c r="D14" s="87">
        <f t="shared" si="1"/>
        <v>1251</v>
      </c>
      <c r="E14" s="124">
        <v>127</v>
      </c>
      <c r="F14" s="87">
        <f t="shared" si="2"/>
        <v>1933</v>
      </c>
      <c r="G14" s="124">
        <v>202</v>
      </c>
    </row>
    <row r="15" spans="1:36" ht="20.100000000000001" customHeight="1" x14ac:dyDescent="0.4">
      <c r="A15" s="72">
        <v>11</v>
      </c>
      <c r="B15" s="87">
        <f t="shared" si="0"/>
        <v>0</v>
      </c>
      <c r="C15" s="88"/>
      <c r="D15" s="87">
        <f t="shared" si="1"/>
        <v>1382</v>
      </c>
      <c r="E15" s="124">
        <v>131</v>
      </c>
      <c r="F15" s="87">
        <f t="shared" si="2"/>
        <v>2135</v>
      </c>
      <c r="G15" s="85">
        <v>202</v>
      </c>
    </row>
    <row r="16" spans="1:36" ht="20.100000000000001" customHeight="1" x14ac:dyDescent="0.4">
      <c r="A16" s="72">
        <v>12</v>
      </c>
      <c r="B16" s="87">
        <f t="shared" si="0"/>
        <v>0</v>
      </c>
      <c r="C16" s="88"/>
      <c r="D16" s="87">
        <f t="shared" si="1"/>
        <v>1510</v>
      </c>
      <c r="E16" s="124">
        <v>128</v>
      </c>
      <c r="F16" s="87">
        <f t="shared" si="2"/>
        <v>2340</v>
      </c>
      <c r="G16" s="124">
        <v>205</v>
      </c>
    </row>
    <row r="17" spans="1:7" ht="20.100000000000001" customHeight="1" x14ac:dyDescent="0.4">
      <c r="A17" s="72">
        <v>13</v>
      </c>
      <c r="B17" s="87">
        <f t="shared" si="0"/>
        <v>0</v>
      </c>
      <c r="C17" s="88"/>
      <c r="D17" s="87">
        <f t="shared" si="1"/>
        <v>1636</v>
      </c>
      <c r="E17" s="124">
        <v>126</v>
      </c>
      <c r="F17" s="87">
        <f t="shared" si="2"/>
        <v>2541</v>
      </c>
      <c r="G17" s="85">
        <v>201</v>
      </c>
    </row>
    <row r="18" spans="1:7" ht="20.100000000000001" customHeight="1" x14ac:dyDescent="0.4">
      <c r="A18" s="72">
        <v>14</v>
      </c>
      <c r="B18" s="87">
        <f t="shared" si="0"/>
        <v>0</v>
      </c>
      <c r="C18" s="88"/>
      <c r="D18" s="87">
        <f t="shared" si="1"/>
        <v>1759</v>
      </c>
      <c r="E18" s="124">
        <v>123</v>
      </c>
      <c r="F18" s="87">
        <f t="shared" si="2"/>
        <v>2741</v>
      </c>
      <c r="G18" s="124">
        <v>200</v>
      </c>
    </row>
    <row r="19" spans="1:7" ht="20.100000000000001" customHeight="1" x14ac:dyDescent="0.4">
      <c r="A19" s="72">
        <v>15</v>
      </c>
      <c r="B19" s="87">
        <f t="shared" si="0"/>
        <v>0</v>
      </c>
      <c r="C19" s="88"/>
      <c r="D19" s="87">
        <f t="shared" si="1"/>
        <v>1883</v>
      </c>
      <c r="E19" s="124">
        <v>124</v>
      </c>
      <c r="F19" s="87">
        <f t="shared" si="2"/>
        <v>2933</v>
      </c>
      <c r="G19" s="85">
        <v>192</v>
      </c>
    </row>
    <row r="20" spans="1:7" ht="20.100000000000001" customHeight="1" x14ac:dyDescent="0.4">
      <c r="A20" s="72">
        <v>16</v>
      </c>
      <c r="B20" s="87">
        <f t="shared" si="0"/>
        <v>0</v>
      </c>
      <c r="C20" s="88"/>
      <c r="D20" s="87">
        <f t="shared" si="1"/>
        <v>2009</v>
      </c>
      <c r="E20" s="124">
        <v>126</v>
      </c>
      <c r="F20" s="87">
        <f t="shared" si="2"/>
        <v>3121</v>
      </c>
      <c r="G20" s="124">
        <v>188</v>
      </c>
    </row>
    <row r="21" spans="1:7" ht="20.100000000000001" customHeight="1" x14ac:dyDescent="0.4">
      <c r="A21" s="72">
        <v>17</v>
      </c>
      <c r="B21" s="87">
        <f t="shared" si="0"/>
        <v>0</v>
      </c>
      <c r="C21" s="88"/>
      <c r="D21" s="87">
        <f t="shared" si="1"/>
        <v>2134</v>
      </c>
      <c r="E21" s="124">
        <v>125</v>
      </c>
      <c r="F21" s="87">
        <f t="shared" si="2"/>
        <v>3312</v>
      </c>
      <c r="G21" s="85">
        <v>191</v>
      </c>
    </row>
    <row r="22" spans="1:7" ht="20.100000000000001" customHeight="1" x14ac:dyDescent="0.4">
      <c r="A22" s="72">
        <v>18</v>
      </c>
      <c r="B22" s="87">
        <f t="shared" si="0"/>
        <v>0</v>
      </c>
      <c r="C22" s="88"/>
      <c r="D22" s="87">
        <f t="shared" si="1"/>
        <v>2256</v>
      </c>
      <c r="E22" s="124">
        <v>122</v>
      </c>
      <c r="F22" s="87">
        <f t="shared" si="2"/>
        <v>3499</v>
      </c>
      <c r="G22" s="124">
        <v>187</v>
      </c>
    </row>
    <row r="23" spans="1:7" ht="20.100000000000001" customHeight="1" x14ac:dyDescent="0.4">
      <c r="A23" s="72">
        <v>19</v>
      </c>
      <c r="B23" s="87">
        <f t="shared" si="0"/>
        <v>0</v>
      </c>
      <c r="C23" s="88"/>
      <c r="D23" s="87">
        <f t="shared" si="1"/>
        <v>2379</v>
      </c>
      <c r="E23" s="124">
        <v>123</v>
      </c>
      <c r="F23" s="87">
        <f t="shared" si="2"/>
        <v>3686</v>
      </c>
      <c r="G23" s="85">
        <v>187</v>
      </c>
    </row>
    <row r="24" spans="1:7" ht="20.100000000000001" customHeight="1" x14ac:dyDescent="0.4">
      <c r="A24" s="72">
        <v>20</v>
      </c>
      <c r="B24" s="87">
        <f t="shared" si="0"/>
        <v>0</v>
      </c>
      <c r="C24" s="88"/>
      <c r="D24" s="87">
        <f t="shared" si="1"/>
        <v>2503</v>
      </c>
      <c r="E24" s="124">
        <v>124</v>
      </c>
      <c r="F24" s="87">
        <f t="shared" si="2"/>
        <v>3883</v>
      </c>
      <c r="G24" s="124">
        <v>197</v>
      </c>
    </row>
    <row r="25" spans="1:7" ht="20.100000000000001" customHeight="1" x14ac:dyDescent="0.4">
      <c r="A25" s="72">
        <v>21</v>
      </c>
      <c r="B25" s="87">
        <f t="shared" si="0"/>
        <v>0</v>
      </c>
      <c r="C25" s="88"/>
      <c r="D25" s="87">
        <f t="shared" si="1"/>
        <v>2503</v>
      </c>
      <c r="E25" s="124"/>
      <c r="F25" s="87">
        <f t="shared" si="2"/>
        <v>3883</v>
      </c>
      <c r="G25" s="85"/>
    </row>
    <row r="26" spans="1:7" ht="20.100000000000001" customHeight="1" x14ac:dyDescent="0.4">
      <c r="A26" s="72">
        <v>22</v>
      </c>
      <c r="B26" s="87">
        <f t="shared" si="0"/>
        <v>0</v>
      </c>
      <c r="C26" s="88"/>
      <c r="D26" s="87">
        <f t="shared" si="1"/>
        <v>2503</v>
      </c>
      <c r="E26" s="124"/>
      <c r="F26" s="87">
        <f t="shared" si="2"/>
        <v>3883</v>
      </c>
      <c r="G26" s="124"/>
    </row>
    <row r="27" spans="1:7" ht="20.100000000000001" customHeight="1" x14ac:dyDescent="0.4">
      <c r="A27" s="72">
        <v>23</v>
      </c>
      <c r="B27" s="87">
        <f t="shared" si="0"/>
        <v>0</v>
      </c>
      <c r="C27" s="88"/>
      <c r="D27" s="87">
        <f t="shared" si="1"/>
        <v>2503</v>
      </c>
      <c r="E27" s="124"/>
      <c r="F27" s="87">
        <f t="shared" si="2"/>
        <v>3883</v>
      </c>
      <c r="G27" s="85"/>
    </row>
    <row r="28" spans="1:7" ht="20.100000000000001" customHeight="1" x14ac:dyDescent="0.4">
      <c r="A28" s="72">
        <v>24</v>
      </c>
      <c r="B28" s="87">
        <f t="shared" si="0"/>
        <v>0</v>
      </c>
      <c r="C28" s="88"/>
      <c r="D28" s="87">
        <f t="shared" si="1"/>
        <v>2503</v>
      </c>
      <c r="E28" s="124"/>
      <c r="F28" s="87">
        <f t="shared" si="2"/>
        <v>3883</v>
      </c>
      <c r="G28" s="124"/>
    </row>
    <row r="29" spans="1:7" ht="20.100000000000001" customHeight="1" x14ac:dyDescent="0.4">
      <c r="A29" s="72">
        <v>25</v>
      </c>
      <c r="B29" s="87">
        <f t="shared" si="0"/>
        <v>0</v>
      </c>
      <c r="C29" s="88"/>
      <c r="D29" s="87">
        <f t="shared" si="1"/>
        <v>2503</v>
      </c>
      <c r="E29" s="124"/>
      <c r="F29" s="87">
        <f t="shared" si="2"/>
        <v>3883</v>
      </c>
      <c r="G29" s="85"/>
    </row>
    <row r="30" spans="1:7" ht="20.100000000000001" customHeight="1" x14ac:dyDescent="0.4">
      <c r="A30" s="72">
        <v>26</v>
      </c>
      <c r="B30" s="87">
        <f t="shared" si="0"/>
        <v>0</v>
      </c>
      <c r="C30" s="88"/>
      <c r="D30" s="87">
        <f t="shared" si="1"/>
        <v>2503</v>
      </c>
      <c r="E30" s="124"/>
      <c r="F30" s="87">
        <f t="shared" si="2"/>
        <v>3883</v>
      </c>
      <c r="G30" s="124"/>
    </row>
    <row r="31" spans="1:7" ht="20.100000000000001" customHeight="1" x14ac:dyDescent="0.4">
      <c r="A31" s="72">
        <v>27</v>
      </c>
      <c r="B31" s="87">
        <f t="shared" si="0"/>
        <v>0</v>
      </c>
      <c r="C31" s="88"/>
      <c r="D31" s="87">
        <f t="shared" si="1"/>
        <v>2503</v>
      </c>
      <c r="E31" s="124"/>
      <c r="F31" s="87">
        <f t="shared" si="2"/>
        <v>3883</v>
      </c>
      <c r="G31" s="85"/>
    </row>
    <row r="32" spans="1:7" ht="20.100000000000001" customHeight="1" x14ac:dyDescent="0.4">
      <c r="A32" s="72">
        <v>28</v>
      </c>
      <c r="B32" s="87">
        <f t="shared" si="0"/>
        <v>0</v>
      </c>
      <c r="C32" s="88"/>
      <c r="D32" s="87">
        <f t="shared" si="1"/>
        <v>2503</v>
      </c>
      <c r="E32" s="124"/>
      <c r="F32" s="87">
        <f t="shared" si="2"/>
        <v>3883</v>
      </c>
      <c r="G32" s="124"/>
    </row>
    <row r="33" spans="1:7" ht="20.100000000000001" customHeight="1" x14ac:dyDescent="0.4">
      <c r="A33" s="72">
        <v>29</v>
      </c>
      <c r="B33" s="87">
        <f t="shared" si="0"/>
        <v>0</v>
      </c>
      <c r="C33" s="88"/>
      <c r="D33" s="87">
        <f t="shared" si="1"/>
        <v>2503</v>
      </c>
      <c r="E33" s="124"/>
      <c r="F33" s="87">
        <f t="shared" si="2"/>
        <v>3883</v>
      </c>
      <c r="G33" s="85"/>
    </row>
    <row r="34" spans="1:7" ht="20.100000000000001" customHeight="1" x14ac:dyDescent="0.4">
      <c r="A34" s="72">
        <v>30</v>
      </c>
      <c r="B34" s="87">
        <f t="shared" si="0"/>
        <v>0</v>
      </c>
      <c r="C34" s="88"/>
      <c r="D34" s="87">
        <f t="shared" si="1"/>
        <v>2589</v>
      </c>
      <c r="E34" s="124">
        <v>86</v>
      </c>
      <c r="F34" s="87">
        <f t="shared" si="2"/>
        <v>3980</v>
      </c>
      <c r="G34" s="124">
        <v>97</v>
      </c>
    </row>
    <row r="35" spans="1:7" ht="20.100000000000001" customHeight="1" x14ac:dyDescent="0.4">
      <c r="A35" s="72">
        <v>31</v>
      </c>
      <c r="B35" s="87">
        <f t="shared" si="0"/>
        <v>0</v>
      </c>
      <c r="C35" s="88"/>
      <c r="D35" s="87">
        <f t="shared" si="1"/>
        <v>2659</v>
      </c>
      <c r="E35" s="124">
        <v>70</v>
      </c>
      <c r="F35" s="87">
        <f t="shared" si="2"/>
        <v>4048</v>
      </c>
      <c r="G35" s="85">
        <v>68</v>
      </c>
    </row>
  </sheetData>
  <mergeCells count="5">
    <mergeCell ref="A3:A4"/>
    <mergeCell ref="B3:C3"/>
    <mergeCell ref="D3:E3"/>
    <mergeCell ref="F3:G3"/>
    <mergeCell ref="A1:G1"/>
  </mergeCells>
  <phoneticPr fontId="2" type="noConversion"/>
  <pageMargins left="0.31496062992125984" right="0.23622047244094491" top="0.6692913385826772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"/>
  <sheetViews>
    <sheetView zoomScaleNormal="100" workbookViewId="0">
      <selection activeCell="AF9" sqref="AF9"/>
    </sheetView>
  </sheetViews>
  <sheetFormatPr defaultColWidth="9" defaultRowHeight="15.9" customHeight="1" x14ac:dyDescent="0.4"/>
  <cols>
    <col min="1" max="1" width="6.09765625" style="1" customWidth="1"/>
    <col min="2" max="6" width="3.8984375" style="1" customWidth="1"/>
    <col min="7" max="7" width="4.09765625" style="1" bestFit="1" customWidth="1"/>
    <col min="8" max="32" width="3.8984375" style="1" customWidth="1"/>
    <col min="33" max="42" width="8.5" style="1" customWidth="1"/>
    <col min="43" max="53" width="11.59765625" style="1" customWidth="1"/>
    <col min="54" max="54" width="14.19921875" style="1" customWidth="1"/>
    <col min="55" max="77" width="5.8984375" style="1" customWidth="1"/>
    <col min="78" max="78" width="6.69921875" style="1" customWidth="1"/>
    <col min="79" max="16384" width="9" style="1"/>
  </cols>
  <sheetData>
    <row r="1" spans="1:34" ht="26.25" customHeight="1" x14ac:dyDescent="0.4">
      <c r="A1" s="161" t="s">
        <v>93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34" ht="8.25" customHeight="1" thickBot="1" x14ac:dyDescent="0.45"/>
    <row r="3" spans="1:34" ht="17.25" customHeight="1" thickBot="1" x14ac:dyDescent="0.45">
      <c r="A3" s="36" t="s">
        <v>15</v>
      </c>
      <c r="B3" s="37">
        <v>1</v>
      </c>
      <c r="C3" s="37">
        <v>2</v>
      </c>
      <c r="D3" s="37">
        <v>3</v>
      </c>
      <c r="E3" s="37">
        <v>4</v>
      </c>
      <c r="F3" s="37">
        <v>5</v>
      </c>
      <c r="G3" s="37">
        <v>6</v>
      </c>
      <c r="H3" s="37">
        <v>7</v>
      </c>
      <c r="I3" s="37">
        <v>8</v>
      </c>
      <c r="J3" s="37">
        <v>9</v>
      </c>
      <c r="K3" s="37">
        <v>10</v>
      </c>
      <c r="L3" s="37">
        <v>11</v>
      </c>
      <c r="M3" s="37">
        <v>12</v>
      </c>
      <c r="N3" s="37">
        <v>13</v>
      </c>
      <c r="O3" s="37">
        <v>14</v>
      </c>
      <c r="P3" s="37">
        <v>15</v>
      </c>
      <c r="Q3" s="37">
        <v>16</v>
      </c>
      <c r="R3" s="37">
        <v>17</v>
      </c>
      <c r="S3" s="37">
        <v>18</v>
      </c>
      <c r="T3" s="37">
        <v>19</v>
      </c>
      <c r="U3" s="37">
        <v>20</v>
      </c>
      <c r="V3" s="37">
        <v>21</v>
      </c>
      <c r="W3" s="37">
        <v>22</v>
      </c>
      <c r="X3" s="37">
        <v>23</v>
      </c>
      <c r="Y3" s="37">
        <v>24</v>
      </c>
      <c r="Z3" s="37">
        <v>25</v>
      </c>
      <c r="AA3" s="37">
        <v>26</v>
      </c>
      <c r="AB3" s="37">
        <v>27</v>
      </c>
      <c r="AC3" s="37">
        <v>28</v>
      </c>
      <c r="AD3" s="37">
        <v>29</v>
      </c>
      <c r="AE3" s="37">
        <v>30</v>
      </c>
      <c r="AF3" s="37">
        <v>31</v>
      </c>
      <c r="AG3" s="37" t="s">
        <v>9</v>
      </c>
      <c r="AH3" s="38" t="s">
        <v>10</v>
      </c>
    </row>
    <row r="4" spans="1:34" ht="15.9" customHeight="1" thickTop="1" x14ac:dyDescent="0.4">
      <c r="A4" s="42" t="s">
        <v>18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4">
        <f>SUM(B4:AF4)</f>
        <v>0</v>
      </c>
      <c r="AH4" s="45" t="e">
        <f>AVERAGE(B4:AF4)</f>
        <v>#DIV/0!</v>
      </c>
    </row>
    <row r="5" spans="1:34" ht="15.9" customHeight="1" x14ac:dyDescent="0.4">
      <c r="A5" s="46" t="s">
        <v>19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8">
        <f t="shared" ref="AG5" si="0">SUM(B5:AF5)</f>
        <v>0</v>
      </c>
      <c r="AH5" s="49" t="e">
        <f t="shared" ref="AH5" si="1">AVERAGE(B5:AF5)</f>
        <v>#DIV/0!</v>
      </c>
    </row>
    <row r="6" spans="1:34" ht="15.9" customHeight="1" thickBot="1" x14ac:dyDescent="0.45">
      <c r="A6" s="56" t="s">
        <v>22</v>
      </c>
      <c r="B6" s="39">
        <f>B4+B5</f>
        <v>0</v>
      </c>
      <c r="C6" s="39">
        <f t="shared" ref="C6:AE6" si="2">C4+C5</f>
        <v>0</v>
      </c>
      <c r="D6" s="39">
        <f t="shared" si="2"/>
        <v>0</v>
      </c>
      <c r="E6" s="39">
        <f t="shared" si="2"/>
        <v>0</v>
      </c>
      <c r="F6" s="39">
        <f t="shared" si="2"/>
        <v>0</v>
      </c>
      <c r="G6" s="39">
        <f t="shared" si="2"/>
        <v>0</v>
      </c>
      <c r="H6" s="39">
        <f t="shared" si="2"/>
        <v>0</v>
      </c>
      <c r="I6" s="39">
        <f t="shared" si="2"/>
        <v>0</v>
      </c>
      <c r="J6" s="39">
        <f t="shared" si="2"/>
        <v>0</v>
      </c>
      <c r="K6" s="39">
        <f t="shared" si="2"/>
        <v>0</v>
      </c>
      <c r="L6" s="39">
        <f t="shared" si="2"/>
        <v>0</v>
      </c>
      <c r="M6" s="39">
        <f t="shared" si="2"/>
        <v>0</v>
      </c>
      <c r="N6" s="39">
        <f t="shared" si="2"/>
        <v>0</v>
      </c>
      <c r="O6" s="39">
        <f t="shared" si="2"/>
        <v>0</v>
      </c>
      <c r="P6" s="39">
        <f t="shared" si="2"/>
        <v>0</v>
      </c>
      <c r="Q6" s="39">
        <f t="shared" si="2"/>
        <v>0</v>
      </c>
      <c r="R6" s="39">
        <f t="shared" si="2"/>
        <v>0</v>
      </c>
      <c r="S6" s="39">
        <f t="shared" si="2"/>
        <v>0</v>
      </c>
      <c r="T6" s="39">
        <f t="shared" si="2"/>
        <v>0</v>
      </c>
      <c r="U6" s="39">
        <f t="shared" si="2"/>
        <v>0</v>
      </c>
      <c r="V6" s="39">
        <f t="shared" si="2"/>
        <v>0</v>
      </c>
      <c r="W6" s="39">
        <f t="shared" si="2"/>
        <v>0</v>
      </c>
      <c r="X6" s="39">
        <f t="shared" si="2"/>
        <v>0</v>
      </c>
      <c r="Y6" s="39">
        <f t="shared" si="2"/>
        <v>0</v>
      </c>
      <c r="Z6" s="39">
        <f t="shared" si="2"/>
        <v>0</v>
      </c>
      <c r="AA6" s="39">
        <f t="shared" si="2"/>
        <v>0</v>
      </c>
      <c r="AB6" s="39">
        <f t="shared" si="2"/>
        <v>0</v>
      </c>
      <c r="AC6" s="39">
        <f t="shared" si="2"/>
        <v>0</v>
      </c>
      <c r="AD6" s="39">
        <f t="shared" si="2"/>
        <v>0</v>
      </c>
      <c r="AE6" s="39">
        <f t="shared" si="2"/>
        <v>0</v>
      </c>
      <c r="AF6" s="39">
        <f>AF4+AF5</f>
        <v>0</v>
      </c>
      <c r="AG6" s="57">
        <f>SUM(B6:AF6)</f>
        <v>0</v>
      </c>
      <c r="AH6" s="58">
        <f>AVERAGE(B6:AF6)</f>
        <v>0</v>
      </c>
    </row>
    <row r="7" spans="1:34" ht="15.9" customHeight="1" x14ac:dyDescent="0.4">
      <c r="A7" s="51" t="s">
        <v>13</v>
      </c>
      <c r="B7" s="133">
        <v>162</v>
      </c>
      <c r="C7" s="133">
        <v>163</v>
      </c>
      <c r="D7" s="133">
        <v>180</v>
      </c>
      <c r="E7" s="133">
        <v>180</v>
      </c>
      <c r="F7" s="133">
        <v>179</v>
      </c>
      <c r="G7" s="133">
        <v>177</v>
      </c>
      <c r="H7" s="133">
        <v>170</v>
      </c>
      <c r="I7" s="133">
        <v>164</v>
      </c>
      <c r="J7" s="133">
        <v>176</v>
      </c>
      <c r="K7" s="133">
        <v>175</v>
      </c>
      <c r="L7" s="133">
        <v>177</v>
      </c>
      <c r="M7" s="133">
        <v>172</v>
      </c>
      <c r="N7" s="133">
        <v>173</v>
      </c>
      <c r="O7" s="133">
        <v>169</v>
      </c>
      <c r="P7" s="133">
        <v>173</v>
      </c>
      <c r="Q7" s="133">
        <v>175</v>
      </c>
      <c r="R7" s="133">
        <v>176</v>
      </c>
      <c r="S7" s="133">
        <v>171</v>
      </c>
      <c r="T7" s="133">
        <v>175</v>
      </c>
      <c r="U7" s="133">
        <v>170</v>
      </c>
      <c r="V7" s="133"/>
      <c r="W7" s="133"/>
      <c r="X7" s="133"/>
      <c r="Y7" s="133"/>
      <c r="Z7" s="133"/>
      <c r="AA7" s="133"/>
      <c r="AB7" s="133"/>
      <c r="AC7" s="133"/>
      <c r="AD7" s="133"/>
      <c r="AE7" s="133">
        <v>111</v>
      </c>
      <c r="AF7" s="133">
        <v>82</v>
      </c>
      <c r="AG7" s="53">
        <f>SUM(B7:AF7)</f>
        <v>3650</v>
      </c>
      <c r="AH7" s="54">
        <f>AVERAGE(B7:AF7)</f>
        <v>165.90909090909091</v>
      </c>
    </row>
    <row r="8" spans="1:34" ht="15.9" customHeight="1" x14ac:dyDescent="0.4">
      <c r="A8" s="46" t="s">
        <v>20</v>
      </c>
      <c r="B8" s="47">
        <v>207</v>
      </c>
      <c r="C8" s="47">
        <v>218</v>
      </c>
      <c r="D8" s="47">
        <v>223</v>
      </c>
      <c r="E8" s="47">
        <v>226</v>
      </c>
      <c r="F8" s="47">
        <v>221</v>
      </c>
      <c r="G8" s="47">
        <v>221</v>
      </c>
      <c r="H8" s="47">
        <v>216</v>
      </c>
      <c r="I8" s="47">
        <v>184</v>
      </c>
      <c r="J8" s="47">
        <v>202</v>
      </c>
      <c r="K8" s="47">
        <v>201</v>
      </c>
      <c r="L8" s="47">
        <v>202</v>
      </c>
      <c r="M8" s="47">
        <v>203</v>
      </c>
      <c r="N8" s="47">
        <v>213</v>
      </c>
      <c r="O8" s="47">
        <v>190</v>
      </c>
      <c r="P8" s="47">
        <v>221</v>
      </c>
      <c r="Q8" s="47">
        <v>235</v>
      </c>
      <c r="R8" s="47">
        <v>235</v>
      </c>
      <c r="S8" s="47">
        <v>233</v>
      </c>
      <c r="T8" s="47">
        <v>238</v>
      </c>
      <c r="U8" s="47">
        <v>217</v>
      </c>
      <c r="V8" s="47"/>
      <c r="W8" s="47"/>
      <c r="X8" s="47"/>
      <c r="Y8" s="47"/>
      <c r="Z8" s="47"/>
      <c r="AA8" s="47"/>
      <c r="AB8" s="47"/>
      <c r="AC8" s="47"/>
      <c r="AD8" s="47"/>
      <c r="AE8" s="47">
        <v>107</v>
      </c>
      <c r="AF8" s="47">
        <v>75</v>
      </c>
      <c r="AG8" s="48">
        <f>SUM(B8:AF8)</f>
        <v>4488</v>
      </c>
      <c r="AH8" s="49">
        <f>AVERAGE(B8:AF8)</f>
        <v>204</v>
      </c>
    </row>
    <row r="9" spans="1:34" ht="15.9" customHeight="1" thickBot="1" x14ac:dyDescent="0.45">
      <c r="A9" s="56" t="s">
        <v>23</v>
      </c>
      <c r="B9" s="39">
        <f>B7+B8</f>
        <v>369</v>
      </c>
      <c r="C9" s="39">
        <f t="shared" ref="C9:AF9" si="3">C7+C8</f>
        <v>381</v>
      </c>
      <c r="D9" s="39">
        <f t="shared" si="3"/>
        <v>403</v>
      </c>
      <c r="E9" s="39">
        <f t="shared" si="3"/>
        <v>406</v>
      </c>
      <c r="F9" s="39">
        <f t="shared" si="3"/>
        <v>400</v>
      </c>
      <c r="G9" s="39">
        <f t="shared" si="3"/>
        <v>398</v>
      </c>
      <c r="H9" s="39">
        <f t="shared" si="3"/>
        <v>386</v>
      </c>
      <c r="I9" s="39">
        <f t="shared" si="3"/>
        <v>348</v>
      </c>
      <c r="J9" s="39">
        <f t="shared" si="3"/>
        <v>378</v>
      </c>
      <c r="K9" s="39">
        <f t="shared" si="3"/>
        <v>376</v>
      </c>
      <c r="L9" s="39">
        <f t="shared" si="3"/>
        <v>379</v>
      </c>
      <c r="M9" s="39">
        <f t="shared" si="3"/>
        <v>375</v>
      </c>
      <c r="N9" s="39">
        <f t="shared" si="3"/>
        <v>386</v>
      </c>
      <c r="O9" s="39">
        <f t="shared" si="3"/>
        <v>359</v>
      </c>
      <c r="P9" s="39">
        <f t="shared" si="3"/>
        <v>394</v>
      </c>
      <c r="Q9" s="39">
        <f t="shared" si="3"/>
        <v>410</v>
      </c>
      <c r="R9" s="39">
        <f t="shared" si="3"/>
        <v>411</v>
      </c>
      <c r="S9" s="39">
        <f t="shared" si="3"/>
        <v>404</v>
      </c>
      <c r="T9" s="39">
        <f t="shared" si="3"/>
        <v>413</v>
      </c>
      <c r="U9" s="39">
        <f t="shared" si="3"/>
        <v>387</v>
      </c>
      <c r="V9" s="39">
        <f t="shared" si="3"/>
        <v>0</v>
      </c>
      <c r="W9" s="39">
        <f t="shared" si="3"/>
        <v>0</v>
      </c>
      <c r="X9" s="39">
        <f t="shared" si="3"/>
        <v>0</v>
      </c>
      <c r="Y9" s="39">
        <f t="shared" si="3"/>
        <v>0</v>
      </c>
      <c r="Z9" s="39">
        <f t="shared" si="3"/>
        <v>0</v>
      </c>
      <c r="AA9" s="39">
        <f t="shared" si="3"/>
        <v>0</v>
      </c>
      <c r="AB9" s="39">
        <f t="shared" si="3"/>
        <v>0</v>
      </c>
      <c r="AC9" s="39">
        <f t="shared" si="3"/>
        <v>0</v>
      </c>
      <c r="AD9" s="39">
        <f t="shared" si="3"/>
        <v>0</v>
      </c>
      <c r="AE9" s="39">
        <f t="shared" si="3"/>
        <v>218</v>
      </c>
      <c r="AF9" s="39">
        <f t="shared" si="3"/>
        <v>157</v>
      </c>
      <c r="AG9" s="40">
        <f>SUM(B9:AF9)</f>
        <v>8138</v>
      </c>
      <c r="AH9" s="41">
        <f>AVERAGE(B9:AF9)</f>
        <v>262.51612903225805</v>
      </c>
    </row>
    <row r="10" spans="1:34" ht="15.9" customHeight="1" x14ac:dyDescent="0.4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7"/>
    </row>
    <row r="11" spans="1:34" ht="15.9" customHeight="1" x14ac:dyDescent="0.4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1:34" ht="15.9" customHeight="1" x14ac:dyDescent="0.4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/>
    </row>
    <row r="13" spans="1:34" ht="15.9" customHeight="1" x14ac:dyDescent="0.4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0"/>
    </row>
    <row r="14" spans="1:34" ht="15.9" customHeight="1" x14ac:dyDescent="0.4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/>
    </row>
    <row r="15" spans="1:34" ht="15.9" customHeight="1" x14ac:dyDescent="0.4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/>
    </row>
    <row r="16" spans="1:34" ht="15.9" customHeight="1" x14ac:dyDescent="0.4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/>
    </row>
    <row r="17" spans="1:34" ht="15.9" customHeight="1" x14ac:dyDescent="0.4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/>
    </row>
    <row r="18" spans="1:34" ht="15.9" customHeight="1" x14ac:dyDescent="0.4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/>
    </row>
    <row r="19" spans="1:34" ht="15.9" customHeight="1" x14ac:dyDescent="0.4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0"/>
    </row>
    <row r="20" spans="1:34" ht="15.9" customHeight="1" x14ac:dyDescent="0.4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/>
    </row>
    <row r="21" spans="1:34" ht="15.9" customHeight="1" x14ac:dyDescent="0.4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0"/>
    </row>
    <row r="22" spans="1:34" ht="15.9" customHeight="1" x14ac:dyDescent="0.4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/>
    </row>
    <row r="23" spans="1:34" ht="15.9" customHeight="1" x14ac:dyDescent="0.4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0"/>
    </row>
    <row r="24" spans="1:34" ht="15.9" customHeight="1" x14ac:dyDescent="0.4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20"/>
    </row>
    <row r="25" spans="1:34" ht="15.9" customHeight="1" x14ac:dyDescent="0.4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0"/>
    </row>
    <row r="26" spans="1:34" ht="15.9" customHeight="1" x14ac:dyDescent="0.4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0"/>
    </row>
    <row r="27" spans="1:34" ht="15.9" customHeight="1" x14ac:dyDescent="0.4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0"/>
    </row>
    <row r="28" spans="1:34" ht="15.9" customHeight="1" x14ac:dyDescent="0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1:34" ht="15.9" customHeight="1" x14ac:dyDescent="0.4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20"/>
    </row>
    <row r="30" spans="1:34" ht="15.9" customHeight="1" x14ac:dyDescent="0.4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0"/>
    </row>
    <row r="31" spans="1:34" ht="15.9" customHeight="1" x14ac:dyDescent="0.4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20"/>
    </row>
    <row r="32" spans="1:34" ht="15.9" customHeigh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20"/>
    </row>
    <row r="33" spans="1:34" ht="15.9" customHeight="1" x14ac:dyDescent="0.4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20"/>
    </row>
    <row r="34" spans="1:34" ht="15.9" customHeight="1" thickBot="1" x14ac:dyDescent="0.45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3"/>
    </row>
  </sheetData>
  <mergeCells count="1">
    <mergeCell ref="A1:AH1"/>
  </mergeCells>
  <phoneticPr fontId="2" type="noConversion"/>
  <pageMargins left="0.3" right="0.23622047244094491" top="0.67" bottom="0.35433070866141736" header="0.31496062992125984" footer="0.31496062992125984"/>
  <pageSetup paperSize="9" scale="90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zoomScale="142" zoomScaleNormal="142" workbookViewId="0">
      <selection activeCell="AF7" sqref="AF7"/>
    </sheetView>
  </sheetViews>
  <sheetFormatPr defaultColWidth="9" defaultRowHeight="15.9" customHeight="1" x14ac:dyDescent="0.4"/>
  <cols>
    <col min="1" max="1" width="5.09765625" style="1" customWidth="1"/>
    <col min="2" max="17" width="4.09765625" style="1" customWidth="1"/>
    <col min="18" max="19" width="5" style="1" customWidth="1"/>
    <col min="20" max="31" width="4.09765625" style="1" customWidth="1"/>
    <col min="32" max="32" width="4.5" style="1" customWidth="1"/>
    <col min="33" max="33" width="6" style="1" customWidth="1"/>
    <col min="34" max="34" width="5.3984375" style="1" customWidth="1"/>
    <col min="35" max="42" width="8.5" style="1" customWidth="1"/>
    <col min="43" max="53" width="11.59765625" style="1" customWidth="1"/>
    <col min="54" max="54" width="14.19921875" style="1" customWidth="1"/>
    <col min="55" max="77" width="5.8984375" style="1" customWidth="1"/>
    <col min="78" max="78" width="6.69921875" style="1" customWidth="1"/>
    <col min="79" max="16384" width="9" style="1"/>
  </cols>
  <sheetData>
    <row r="1" spans="1:35" ht="26.25" customHeight="1" x14ac:dyDescent="0.4">
      <c r="A1" s="161" t="s">
        <v>92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35" ht="8.25" customHeight="1" thickBot="1" x14ac:dyDescent="0.45"/>
    <row r="3" spans="1:35" ht="17.25" customHeight="1" thickBot="1" x14ac:dyDescent="0.45">
      <c r="A3" s="36" t="s">
        <v>15</v>
      </c>
      <c r="B3" s="37">
        <v>1</v>
      </c>
      <c r="C3" s="37">
        <v>2</v>
      </c>
      <c r="D3" s="37">
        <v>3</v>
      </c>
      <c r="E3" s="37">
        <v>4</v>
      </c>
      <c r="F3" s="37">
        <v>5</v>
      </c>
      <c r="G3" s="37">
        <v>6</v>
      </c>
      <c r="H3" s="37">
        <v>7</v>
      </c>
      <c r="I3" s="37">
        <v>8</v>
      </c>
      <c r="J3" s="37">
        <v>9</v>
      </c>
      <c r="K3" s="37">
        <v>10</v>
      </c>
      <c r="L3" s="37">
        <v>11</v>
      </c>
      <c r="M3" s="37">
        <v>12</v>
      </c>
      <c r="N3" s="37">
        <v>13</v>
      </c>
      <c r="O3" s="37">
        <v>14</v>
      </c>
      <c r="P3" s="37">
        <v>15</v>
      </c>
      <c r="Q3" s="37">
        <v>16</v>
      </c>
      <c r="R3" s="86">
        <v>17</v>
      </c>
      <c r="S3" s="86">
        <v>18</v>
      </c>
      <c r="T3" s="86">
        <v>19</v>
      </c>
      <c r="U3" s="86">
        <v>20</v>
      </c>
      <c r="V3" s="86">
        <v>21</v>
      </c>
      <c r="W3" s="86">
        <v>22</v>
      </c>
      <c r="X3" s="86">
        <v>23</v>
      </c>
      <c r="Y3" s="86">
        <v>24</v>
      </c>
      <c r="Z3" s="86">
        <v>25</v>
      </c>
      <c r="AA3" s="86">
        <v>26</v>
      </c>
      <c r="AB3" s="86">
        <v>27</v>
      </c>
      <c r="AC3" s="86">
        <v>28</v>
      </c>
      <c r="AD3" s="86">
        <v>29</v>
      </c>
      <c r="AE3" s="86">
        <v>30</v>
      </c>
      <c r="AF3" s="86">
        <v>31</v>
      </c>
      <c r="AG3" s="37" t="s">
        <v>9</v>
      </c>
      <c r="AH3" s="38" t="s">
        <v>10</v>
      </c>
    </row>
    <row r="4" spans="1:35" ht="17.25" customHeight="1" thickTop="1" x14ac:dyDescent="0.4">
      <c r="A4" s="150"/>
      <c r="B4" s="151">
        <v>676</v>
      </c>
      <c r="C4" s="151">
        <v>677</v>
      </c>
      <c r="D4" s="151">
        <v>678</v>
      </c>
      <c r="E4" s="151">
        <v>680</v>
      </c>
      <c r="F4" s="151">
        <v>681</v>
      </c>
      <c r="G4" s="151">
        <v>682</v>
      </c>
      <c r="H4" s="151">
        <v>683</v>
      </c>
      <c r="I4" s="151">
        <v>684</v>
      </c>
      <c r="J4" s="151">
        <v>685</v>
      </c>
      <c r="K4" s="151">
        <v>687</v>
      </c>
      <c r="L4" s="151">
        <v>688</v>
      </c>
      <c r="M4" s="151">
        <v>689</v>
      </c>
      <c r="N4" s="151">
        <v>690</v>
      </c>
      <c r="O4" s="151">
        <v>691</v>
      </c>
      <c r="P4" s="151">
        <v>693</v>
      </c>
      <c r="Q4" s="151">
        <v>694</v>
      </c>
      <c r="R4" s="152">
        <v>695</v>
      </c>
      <c r="S4" s="152">
        <v>697</v>
      </c>
      <c r="T4" s="152">
        <v>698</v>
      </c>
      <c r="U4" s="152">
        <v>699</v>
      </c>
      <c r="V4" s="152">
        <v>700</v>
      </c>
      <c r="W4" s="152">
        <v>701</v>
      </c>
      <c r="X4" s="152">
        <v>703</v>
      </c>
      <c r="Y4" s="152">
        <v>704</v>
      </c>
      <c r="Z4" s="152">
        <v>705</v>
      </c>
      <c r="AA4" s="152">
        <v>706</v>
      </c>
      <c r="AB4" s="152">
        <v>707</v>
      </c>
      <c r="AC4" s="152">
        <v>708</v>
      </c>
      <c r="AD4" s="152">
        <v>709</v>
      </c>
      <c r="AE4" s="152">
        <v>710</v>
      </c>
      <c r="AF4" s="152">
        <v>711</v>
      </c>
      <c r="AG4" s="151"/>
      <c r="AH4" s="153"/>
    </row>
    <row r="5" spans="1:35" ht="15.9" customHeight="1" x14ac:dyDescent="0.4">
      <c r="A5" s="42" t="s">
        <v>24</v>
      </c>
      <c r="B5" s="151">
        <v>2080</v>
      </c>
      <c r="C5" s="151">
        <v>1040</v>
      </c>
      <c r="D5" s="151">
        <v>1040</v>
      </c>
      <c r="E5" s="151">
        <v>2080</v>
      </c>
      <c r="F5" s="151">
        <v>1040</v>
      </c>
      <c r="G5" s="151">
        <v>1040</v>
      </c>
      <c r="H5" s="151">
        <v>1040</v>
      </c>
      <c r="I5" s="151">
        <v>1040</v>
      </c>
      <c r="J5" s="151">
        <v>1040</v>
      </c>
      <c r="K5" s="151">
        <v>2080</v>
      </c>
      <c r="L5" s="151">
        <v>1040</v>
      </c>
      <c r="M5" s="151">
        <v>1040</v>
      </c>
      <c r="N5" s="151">
        <v>1040</v>
      </c>
      <c r="O5" s="151">
        <v>1040</v>
      </c>
      <c r="P5" s="151">
        <v>2080</v>
      </c>
      <c r="Q5" s="151">
        <v>1040</v>
      </c>
      <c r="R5" s="152">
        <v>1040</v>
      </c>
      <c r="S5" s="152">
        <v>1040</v>
      </c>
      <c r="T5" s="152">
        <v>1040</v>
      </c>
      <c r="U5" s="152">
        <v>1040</v>
      </c>
      <c r="V5" s="152">
        <v>1040</v>
      </c>
      <c r="W5" s="152">
        <v>1040</v>
      </c>
      <c r="X5" s="152">
        <v>1040</v>
      </c>
      <c r="Y5" s="152">
        <v>1040</v>
      </c>
      <c r="Z5" s="152">
        <v>1040</v>
      </c>
      <c r="AA5" s="152">
        <v>1040</v>
      </c>
      <c r="AB5" s="152">
        <v>1040</v>
      </c>
      <c r="AC5" s="152">
        <v>1040</v>
      </c>
      <c r="AD5" s="152">
        <v>1040</v>
      </c>
      <c r="AE5" s="152">
        <v>1040</v>
      </c>
      <c r="AF5" s="152">
        <v>1040</v>
      </c>
      <c r="AG5" s="78">
        <f>SUM(B5:AF5)</f>
        <v>36400</v>
      </c>
      <c r="AH5" s="79">
        <f>AVERAGE(B5:AF5)</f>
        <v>1174.1935483870968</v>
      </c>
      <c r="AI5" s="1">
        <f>SUM(AF5)</f>
        <v>1040</v>
      </c>
    </row>
    <row r="6" spans="1:35" ht="15.9" customHeight="1" x14ac:dyDescent="0.4">
      <c r="A6" s="46" t="s">
        <v>25</v>
      </c>
      <c r="B6" s="75">
        <v>5120</v>
      </c>
      <c r="C6" s="78">
        <v>5120</v>
      </c>
      <c r="D6" s="78">
        <v>5120</v>
      </c>
      <c r="E6" s="78">
        <v>5120</v>
      </c>
      <c r="F6" s="78">
        <v>3840</v>
      </c>
      <c r="G6" s="78">
        <v>5120</v>
      </c>
      <c r="H6" s="78">
        <v>5120</v>
      </c>
      <c r="I6" s="78">
        <v>3840</v>
      </c>
      <c r="J6" s="78">
        <v>5120</v>
      </c>
      <c r="K6" s="78">
        <v>5120</v>
      </c>
      <c r="L6" s="78">
        <v>5120</v>
      </c>
      <c r="M6" s="78">
        <v>5120</v>
      </c>
      <c r="N6" s="78">
        <v>3840</v>
      </c>
      <c r="O6" s="78">
        <v>5120</v>
      </c>
      <c r="P6" s="78">
        <v>5120</v>
      </c>
      <c r="Q6" s="78">
        <v>5120</v>
      </c>
      <c r="R6" s="78">
        <v>3840</v>
      </c>
      <c r="S6" s="78">
        <v>5120</v>
      </c>
      <c r="T6" s="78">
        <v>5120</v>
      </c>
      <c r="U6" s="78">
        <v>5120</v>
      </c>
      <c r="V6" s="78">
        <v>3840</v>
      </c>
      <c r="W6" s="78">
        <v>2560</v>
      </c>
      <c r="X6" s="78">
        <v>2560</v>
      </c>
      <c r="Y6" s="78">
        <v>2560</v>
      </c>
      <c r="Z6" s="78">
        <v>1280</v>
      </c>
      <c r="AA6" s="78">
        <v>1280</v>
      </c>
      <c r="AB6" s="78">
        <v>1280</v>
      </c>
      <c r="AC6" s="2">
        <v>1280</v>
      </c>
      <c r="AD6" s="78">
        <v>1280</v>
      </c>
      <c r="AE6" s="78">
        <v>3840</v>
      </c>
      <c r="AF6" s="78">
        <v>5120</v>
      </c>
      <c r="AG6" s="89">
        <f>SUM(B6:AF6)</f>
        <v>124160</v>
      </c>
      <c r="AH6" s="90">
        <f>AVERAGE(B6:AF6)</f>
        <v>4005.1612903225805</v>
      </c>
    </row>
    <row r="7" spans="1:35" ht="15.9" customHeight="1" x14ac:dyDescent="0.4">
      <c r="A7" s="46" t="s">
        <v>26</v>
      </c>
      <c r="B7" s="76">
        <v>912</v>
      </c>
      <c r="C7" s="89">
        <v>888</v>
      </c>
      <c r="D7" s="89">
        <v>912</v>
      </c>
      <c r="E7" s="89">
        <v>888</v>
      </c>
      <c r="F7" s="89">
        <v>888</v>
      </c>
      <c r="G7" s="89">
        <v>888</v>
      </c>
      <c r="H7" s="89">
        <v>888</v>
      </c>
      <c r="I7" s="89">
        <v>888</v>
      </c>
      <c r="J7" s="89">
        <v>912</v>
      </c>
      <c r="K7" s="89">
        <v>912</v>
      </c>
      <c r="L7" s="89">
        <v>864</v>
      </c>
      <c r="M7" s="89">
        <v>888</v>
      </c>
      <c r="N7" s="89">
        <v>888</v>
      </c>
      <c r="O7" s="89">
        <v>912</v>
      </c>
      <c r="P7" s="89">
        <v>888</v>
      </c>
      <c r="Q7" s="89">
        <v>888</v>
      </c>
      <c r="R7" s="89">
        <v>888</v>
      </c>
      <c r="S7" s="89">
        <v>888</v>
      </c>
      <c r="T7" s="89">
        <v>888</v>
      </c>
      <c r="U7" s="89">
        <v>912</v>
      </c>
      <c r="V7" s="89">
        <v>1008</v>
      </c>
      <c r="W7" s="89">
        <v>888</v>
      </c>
      <c r="X7" s="89">
        <v>864</v>
      </c>
      <c r="Y7" s="89">
        <v>456</v>
      </c>
      <c r="Z7" s="89">
        <v>624</v>
      </c>
      <c r="AA7" s="89">
        <v>672</v>
      </c>
      <c r="AB7" s="89">
        <v>792</v>
      </c>
      <c r="AC7" s="89">
        <v>912</v>
      </c>
      <c r="AD7" s="89">
        <v>792</v>
      </c>
      <c r="AE7" s="89">
        <v>912</v>
      </c>
      <c r="AF7" s="89">
        <v>864</v>
      </c>
      <c r="AG7" s="89">
        <f>SUM(B7:AF7)</f>
        <v>26664</v>
      </c>
      <c r="AH7" s="90">
        <f>AVERAGE(B7:AF7)</f>
        <v>860.12903225806451</v>
      </c>
    </row>
    <row r="8" spans="1:35" ht="15.9" customHeight="1" thickBot="1" x14ac:dyDescent="0.45">
      <c r="A8" s="59" t="s">
        <v>17</v>
      </c>
      <c r="B8" s="76">
        <f>SUM(B5:B7)</f>
        <v>8112</v>
      </c>
      <c r="C8" s="76">
        <v>7048</v>
      </c>
      <c r="D8" s="76">
        <f t="shared" ref="D8:AF8" si="0">SUM(D5:D7)</f>
        <v>7072</v>
      </c>
      <c r="E8" s="76">
        <f t="shared" si="0"/>
        <v>8088</v>
      </c>
      <c r="F8" s="76">
        <f t="shared" si="0"/>
        <v>5768</v>
      </c>
      <c r="G8" s="76">
        <f t="shared" si="0"/>
        <v>7048</v>
      </c>
      <c r="H8" s="76">
        <f t="shared" si="0"/>
        <v>7048</v>
      </c>
      <c r="I8" s="76">
        <f t="shared" si="0"/>
        <v>5768</v>
      </c>
      <c r="J8" s="76">
        <f t="shared" si="0"/>
        <v>7072</v>
      </c>
      <c r="K8" s="76">
        <f t="shared" si="0"/>
        <v>8112</v>
      </c>
      <c r="L8" s="76">
        <f t="shared" si="0"/>
        <v>7024</v>
      </c>
      <c r="M8" s="76">
        <f t="shared" si="0"/>
        <v>7048</v>
      </c>
      <c r="N8" s="76">
        <f t="shared" si="0"/>
        <v>5768</v>
      </c>
      <c r="O8" s="76">
        <f t="shared" si="0"/>
        <v>7072</v>
      </c>
      <c r="P8" s="76">
        <f t="shared" si="0"/>
        <v>8088</v>
      </c>
      <c r="Q8" s="76">
        <f t="shared" si="0"/>
        <v>7048</v>
      </c>
      <c r="R8" s="76">
        <f t="shared" si="0"/>
        <v>5768</v>
      </c>
      <c r="S8" s="76">
        <f t="shared" si="0"/>
        <v>7048</v>
      </c>
      <c r="T8" s="76">
        <f t="shared" si="0"/>
        <v>7048</v>
      </c>
      <c r="U8" s="76">
        <f t="shared" si="0"/>
        <v>7072</v>
      </c>
      <c r="V8" s="76">
        <f t="shared" si="0"/>
        <v>5888</v>
      </c>
      <c r="W8" s="76">
        <f t="shared" si="0"/>
        <v>4488</v>
      </c>
      <c r="X8" s="76">
        <f t="shared" si="0"/>
        <v>4464</v>
      </c>
      <c r="Y8" s="76">
        <f t="shared" si="0"/>
        <v>4056</v>
      </c>
      <c r="Z8" s="76">
        <f t="shared" si="0"/>
        <v>2944</v>
      </c>
      <c r="AA8" s="76">
        <f t="shared" si="0"/>
        <v>2992</v>
      </c>
      <c r="AB8" s="76">
        <f t="shared" si="0"/>
        <v>3112</v>
      </c>
      <c r="AC8" s="76">
        <f t="shared" si="0"/>
        <v>3232</v>
      </c>
      <c r="AD8" s="76">
        <f t="shared" si="0"/>
        <v>3112</v>
      </c>
      <c r="AE8" s="76">
        <f t="shared" si="0"/>
        <v>5792</v>
      </c>
      <c r="AF8" s="76">
        <f t="shared" si="0"/>
        <v>7024</v>
      </c>
      <c r="AG8" s="91">
        <f>SUM(B8:AF8)</f>
        <v>187224</v>
      </c>
      <c r="AH8" s="92">
        <f>AVERAGE(B8:AF8)</f>
        <v>6039.4838709677415</v>
      </c>
    </row>
    <row r="9" spans="1:35" ht="15.9" customHeight="1" thickBot="1" x14ac:dyDescent="0.45">
      <c r="A9" s="18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19"/>
      <c r="AH9" s="20"/>
    </row>
    <row r="10" spans="1:35" ht="15.9" customHeight="1" x14ac:dyDescent="0.4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/>
    </row>
    <row r="11" spans="1:35" ht="15.9" customHeight="1" x14ac:dyDescent="0.4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1:35" ht="15.9" customHeight="1" x14ac:dyDescent="0.4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/>
    </row>
    <row r="13" spans="1:35" ht="15.9" customHeight="1" x14ac:dyDescent="0.4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0"/>
    </row>
    <row r="14" spans="1:35" ht="15.9" customHeight="1" x14ac:dyDescent="0.4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/>
    </row>
    <row r="15" spans="1:35" ht="15.9" customHeight="1" x14ac:dyDescent="0.4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/>
    </row>
    <row r="16" spans="1:35" ht="15.9" customHeight="1" x14ac:dyDescent="0.4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/>
    </row>
    <row r="17" spans="1:34" ht="15.9" customHeight="1" x14ac:dyDescent="0.4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/>
    </row>
    <row r="18" spans="1:34" ht="15.9" customHeight="1" x14ac:dyDescent="0.4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/>
    </row>
    <row r="19" spans="1:34" ht="15.9" customHeight="1" x14ac:dyDescent="0.4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0"/>
    </row>
    <row r="20" spans="1:34" ht="15.9" customHeight="1" x14ac:dyDescent="0.4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/>
    </row>
    <row r="21" spans="1:34" ht="15.9" customHeight="1" x14ac:dyDescent="0.4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0"/>
    </row>
    <row r="22" spans="1:34" ht="15.9" customHeight="1" x14ac:dyDescent="0.4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/>
    </row>
    <row r="23" spans="1:34" ht="15.9" customHeight="1" x14ac:dyDescent="0.4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0"/>
    </row>
    <row r="24" spans="1:34" ht="15.9" customHeight="1" x14ac:dyDescent="0.4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20"/>
    </row>
    <row r="25" spans="1:34" ht="15.9" customHeight="1" x14ac:dyDescent="0.4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0"/>
    </row>
    <row r="26" spans="1:34" ht="15.9" customHeight="1" x14ac:dyDescent="0.4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0"/>
    </row>
    <row r="27" spans="1:34" ht="15.9" customHeight="1" x14ac:dyDescent="0.4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0"/>
    </row>
    <row r="28" spans="1:34" ht="15.9" customHeight="1" x14ac:dyDescent="0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1:34" ht="15.9" customHeight="1" x14ac:dyDescent="0.4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20"/>
    </row>
    <row r="30" spans="1:34" ht="15.9" customHeight="1" x14ac:dyDescent="0.4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0"/>
    </row>
    <row r="31" spans="1:34" ht="15.9" customHeight="1" x14ac:dyDescent="0.4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20"/>
    </row>
    <row r="32" spans="1:34" ht="15.9" customHeigh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20"/>
    </row>
    <row r="33" spans="1:34" ht="15.9" customHeight="1" x14ac:dyDescent="0.4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20"/>
    </row>
    <row r="34" spans="1:34" ht="15.9" customHeight="1" x14ac:dyDescent="0.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20"/>
    </row>
    <row r="35" spans="1:34" ht="15.9" customHeight="1" x14ac:dyDescent="0.4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20"/>
    </row>
    <row r="36" spans="1:34" ht="15.9" customHeight="1" thickBot="1" x14ac:dyDescent="0.45">
      <c r="A36" s="2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2"/>
      <c r="AH36" s="23"/>
    </row>
    <row r="37" spans="1:34" ht="15.9" customHeight="1" thickBot="1" x14ac:dyDescent="0.4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</sheetData>
  <mergeCells count="1">
    <mergeCell ref="A1:AH1"/>
  </mergeCells>
  <phoneticPr fontId="2" type="noConversion"/>
  <pageMargins left="0.3" right="0.23622047244094491" top="0.67" bottom="0.35433070866141736" header="0.31496062992125984" footer="0.31496062992125984"/>
  <pageSetup paperSize="9"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"/>
  <sheetViews>
    <sheetView zoomScale="124" zoomScaleNormal="124" workbookViewId="0">
      <selection activeCell="AG5" sqref="AG5"/>
    </sheetView>
  </sheetViews>
  <sheetFormatPr defaultColWidth="9" defaultRowHeight="15.9" customHeight="1" x14ac:dyDescent="0.4"/>
  <cols>
    <col min="1" max="1" width="5.19921875" style="1" customWidth="1"/>
    <col min="2" max="2" width="6.09765625" style="1" customWidth="1"/>
    <col min="3" max="33" width="3.8984375" style="1" customWidth="1"/>
    <col min="34" max="43" width="8.5" style="1" customWidth="1"/>
    <col min="44" max="54" width="11.59765625" style="1" customWidth="1"/>
    <col min="55" max="55" width="14.19921875" style="1" customWidth="1"/>
    <col min="56" max="78" width="5.8984375" style="1" customWidth="1"/>
    <col min="79" max="79" width="6.69921875" style="1" customWidth="1"/>
    <col min="80" max="16384" width="9" style="1"/>
  </cols>
  <sheetData>
    <row r="1" spans="1:35" ht="26.25" customHeight="1" x14ac:dyDescent="0.4">
      <c r="B1" s="161" t="s">
        <v>91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</row>
    <row r="2" spans="1:35" ht="8.25" customHeight="1" thickBot="1" x14ac:dyDescent="0.45"/>
    <row r="3" spans="1:35" ht="17.25" customHeight="1" thickBot="1" x14ac:dyDescent="0.45">
      <c r="A3" s="175" t="s">
        <v>15</v>
      </c>
      <c r="B3" s="176"/>
      <c r="C3" s="37">
        <v>1</v>
      </c>
      <c r="D3" s="37">
        <v>2</v>
      </c>
      <c r="E3" s="37">
        <v>3</v>
      </c>
      <c r="F3" s="37">
        <v>4</v>
      </c>
      <c r="G3" s="37">
        <v>5</v>
      </c>
      <c r="H3" s="37">
        <v>6</v>
      </c>
      <c r="I3" s="37">
        <v>7</v>
      </c>
      <c r="J3" s="37">
        <v>8</v>
      </c>
      <c r="K3" s="37">
        <v>9</v>
      </c>
      <c r="L3" s="37">
        <v>10</v>
      </c>
      <c r="M3" s="37">
        <v>11</v>
      </c>
      <c r="N3" s="37">
        <v>12</v>
      </c>
      <c r="O3" s="37">
        <v>13</v>
      </c>
      <c r="P3" s="37">
        <v>14</v>
      </c>
      <c r="Q3" s="37">
        <v>15</v>
      </c>
      <c r="R3" s="37">
        <v>16</v>
      </c>
      <c r="S3" s="37">
        <v>17</v>
      </c>
      <c r="T3" s="37">
        <v>18</v>
      </c>
      <c r="U3" s="37">
        <v>19</v>
      </c>
      <c r="V3" s="37">
        <v>20</v>
      </c>
      <c r="W3" s="37">
        <v>21</v>
      </c>
      <c r="X3" s="37">
        <v>22</v>
      </c>
      <c r="Y3" s="37">
        <v>23</v>
      </c>
      <c r="Z3" s="37">
        <v>24</v>
      </c>
      <c r="AA3" s="37">
        <v>25</v>
      </c>
      <c r="AB3" s="37">
        <v>26</v>
      </c>
      <c r="AC3" s="37">
        <v>27</v>
      </c>
      <c r="AD3" s="37">
        <v>28</v>
      </c>
      <c r="AE3" s="37">
        <v>29</v>
      </c>
      <c r="AF3" s="37">
        <v>30</v>
      </c>
      <c r="AG3" s="37">
        <v>31</v>
      </c>
      <c r="AH3" s="37" t="s">
        <v>9</v>
      </c>
      <c r="AI3" s="38" t="s">
        <v>10</v>
      </c>
    </row>
    <row r="4" spans="1:35" ht="15.9" customHeight="1" thickTop="1" x14ac:dyDescent="0.4">
      <c r="A4" s="177" t="s">
        <v>27</v>
      </c>
      <c r="B4" s="61" t="s">
        <v>24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44">
        <f t="shared" ref="AH4:AH9" si="0">SUM(C4:AG4)</f>
        <v>0</v>
      </c>
      <c r="AI4" s="45" t="e">
        <f t="shared" ref="AI4:AI7" si="1">AVERAGE(C4:AG4)</f>
        <v>#DIV/0!</v>
      </c>
    </row>
    <row r="5" spans="1:35" ht="15.9" customHeight="1" x14ac:dyDescent="0.4">
      <c r="A5" s="178"/>
      <c r="B5" s="4" t="s">
        <v>25</v>
      </c>
      <c r="C5" s="126">
        <v>4</v>
      </c>
      <c r="D5" s="126">
        <v>4</v>
      </c>
      <c r="E5" s="126">
        <v>4</v>
      </c>
      <c r="F5" s="126">
        <v>4</v>
      </c>
      <c r="G5" s="126">
        <v>4</v>
      </c>
      <c r="H5" s="126">
        <v>4</v>
      </c>
      <c r="I5" s="126">
        <v>4</v>
      </c>
      <c r="J5" s="126">
        <v>4</v>
      </c>
      <c r="K5" s="126">
        <v>4</v>
      </c>
      <c r="L5" s="126">
        <v>4</v>
      </c>
      <c r="M5" s="126">
        <v>4</v>
      </c>
      <c r="N5" s="126">
        <v>4</v>
      </c>
      <c r="O5" s="126">
        <v>4</v>
      </c>
      <c r="P5" s="126">
        <v>4</v>
      </c>
      <c r="Q5" s="126">
        <v>4</v>
      </c>
      <c r="R5" s="126">
        <v>4</v>
      </c>
      <c r="S5" s="126">
        <v>4</v>
      </c>
      <c r="T5" s="126">
        <v>4</v>
      </c>
      <c r="U5" s="126">
        <v>4</v>
      </c>
      <c r="V5" s="126">
        <v>4</v>
      </c>
      <c r="W5" s="126">
        <v>2</v>
      </c>
      <c r="X5" s="126">
        <v>2</v>
      </c>
      <c r="Y5" s="126">
        <v>2</v>
      </c>
      <c r="Z5" s="126"/>
      <c r="AA5" s="126"/>
      <c r="AB5" s="126"/>
      <c r="AC5" s="126"/>
      <c r="AD5" s="126"/>
      <c r="AE5" s="126"/>
      <c r="AF5" s="126">
        <v>2</v>
      </c>
      <c r="AG5" s="126">
        <v>2</v>
      </c>
      <c r="AH5" s="48">
        <f t="shared" si="0"/>
        <v>90</v>
      </c>
      <c r="AI5" s="49">
        <f t="shared" si="1"/>
        <v>3.6</v>
      </c>
    </row>
    <row r="6" spans="1:35" ht="15.9" customHeight="1" x14ac:dyDescent="0.4">
      <c r="A6" s="178"/>
      <c r="B6" s="4" t="s">
        <v>21</v>
      </c>
      <c r="C6" s="126">
        <f>C4+C5</f>
        <v>4</v>
      </c>
      <c r="D6" s="126">
        <f t="shared" ref="D6:AG6" si="2">D4+D5</f>
        <v>4</v>
      </c>
      <c r="E6" s="126">
        <f t="shared" si="2"/>
        <v>4</v>
      </c>
      <c r="F6" s="126">
        <f t="shared" si="2"/>
        <v>4</v>
      </c>
      <c r="G6" s="126">
        <f t="shared" si="2"/>
        <v>4</v>
      </c>
      <c r="H6" s="126">
        <f t="shared" si="2"/>
        <v>4</v>
      </c>
      <c r="I6" s="126">
        <f t="shared" si="2"/>
        <v>4</v>
      </c>
      <c r="J6" s="126">
        <f t="shared" si="2"/>
        <v>4</v>
      </c>
      <c r="K6" s="126">
        <f t="shared" si="2"/>
        <v>4</v>
      </c>
      <c r="L6" s="126">
        <f t="shared" si="2"/>
        <v>4</v>
      </c>
      <c r="M6" s="126">
        <v>4</v>
      </c>
      <c r="N6" s="126">
        <f t="shared" si="2"/>
        <v>4</v>
      </c>
      <c r="O6" s="126">
        <f t="shared" si="2"/>
        <v>4</v>
      </c>
      <c r="P6" s="126">
        <v>4</v>
      </c>
      <c r="Q6" s="126">
        <f t="shared" si="2"/>
        <v>4</v>
      </c>
      <c r="R6" s="126">
        <f t="shared" si="2"/>
        <v>4</v>
      </c>
      <c r="S6" s="126">
        <f t="shared" si="2"/>
        <v>4</v>
      </c>
      <c r="T6" s="126">
        <f t="shared" si="2"/>
        <v>4</v>
      </c>
      <c r="U6" s="126">
        <f t="shared" si="2"/>
        <v>4</v>
      </c>
      <c r="V6" s="126">
        <f t="shared" si="2"/>
        <v>4</v>
      </c>
      <c r="W6" s="126">
        <f t="shared" si="2"/>
        <v>2</v>
      </c>
      <c r="X6" s="126">
        <f t="shared" si="2"/>
        <v>2</v>
      </c>
      <c r="Y6" s="126">
        <f t="shared" si="2"/>
        <v>2</v>
      </c>
      <c r="Z6" s="126"/>
      <c r="AA6" s="126">
        <f t="shared" si="2"/>
        <v>0</v>
      </c>
      <c r="AB6" s="126">
        <f t="shared" si="2"/>
        <v>0</v>
      </c>
      <c r="AC6" s="126">
        <f t="shared" si="2"/>
        <v>0</v>
      </c>
      <c r="AD6" s="126">
        <f t="shared" si="2"/>
        <v>0</v>
      </c>
      <c r="AE6" s="126">
        <f t="shared" si="2"/>
        <v>0</v>
      </c>
      <c r="AF6" s="126">
        <f t="shared" si="2"/>
        <v>2</v>
      </c>
      <c r="AG6" s="126">
        <f t="shared" si="2"/>
        <v>2</v>
      </c>
      <c r="AH6" s="48">
        <f t="shared" si="0"/>
        <v>90</v>
      </c>
      <c r="AI6" s="49">
        <f t="shared" si="1"/>
        <v>3</v>
      </c>
    </row>
    <row r="7" spans="1:35" ht="15.9" customHeight="1" x14ac:dyDescent="0.4">
      <c r="A7" s="178" t="s">
        <v>28</v>
      </c>
      <c r="B7" s="4" t="s">
        <v>24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48">
        <f t="shared" si="0"/>
        <v>0</v>
      </c>
      <c r="AI7" s="49" t="e">
        <f t="shared" si="1"/>
        <v>#DIV/0!</v>
      </c>
    </row>
    <row r="8" spans="1:35" ht="15.9" customHeight="1" x14ac:dyDescent="0.4">
      <c r="A8" s="178"/>
      <c r="B8" s="4" t="s">
        <v>25</v>
      </c>
      <c r="C8" s="126">
        <v>26.71</v>
      </c>
      <c r="D8" s="126"/>
      <c r="E8" s="126"/>
      <c r="F8" s="126"/>
      <c r="G8" s="126"/>
      <c r="H8" s="126">
        <v>25</v>
      </c>
      <c r="I8" s="126">
        <v>22.3</v>
      </c>
      <c r="J8" s="126">
        <v>21.29</v>
      </c>
      <c r="K8" s="126"/>
      <c r="L8" s="126"/>
      <c r="M8" s="126"/>
      <c r="N8" s="126"/>
      <c r="O8" s="126">
        <v>22.96</v>
      </c>
      <c r="P8" s="126">
        <v>25.61</v>
      </c>
      <c r="Q8" s="126">
        <v>24.64</v>
      </c>
      <c r="R8" s="126"/>
      <c r="S8" s="126"/>
      <c r="T8" s="126"/>
      <c r="U8" s="126"/>
      <c r="V8" s="126"/>
      <c r="W8" s="126"/>
      <c r="X8" s="126">
        <v>45.44</v>
      </c>
      <c r="Y8" s="126"/>
      <c r="Z8" s="126"/>
      <c r="AA8" s="126"/>
      <c r="AB8" s="126"/>
      <c r="AC8" s="126"/>
      <c r="AD8" s="126"/>
      <c r="AE8" s="126">
        <v>14.33</v>
      </c>
      <c r="AF8" s="126"/>
      <c r="AG8" s="126"/>
      <c r="AH8" s="48">
        <f t="shared" si="0"/>
        <v>228.28</v>
      </c>
      <c r="AI8" s="158">
        <f>AVERAGE(C8:AG8)</f>
        <v>25.364444444444445</v>
      </c>
    </row>
    <row r="9" spans="1:35" ht="15.9" customHeight="1" thickBot="1" x14ac:dyDescent="0.45">
      <c r="A9" s="179"/>
      <c r="B9" s="62" t="s">
        <v>17</v>
      </c>
      <c r="C9" s="50">
        <f>C7+C8</f>
        <v>26.71</v>
      </c>
      <c r="D9" s="50">
        <f t="shared" ref="D9:AG9" si="3">D7+D8</f>
        <v>0</v>
      </c>
      <c r="E9" s="50">
        <f t="shared" si="3"/>
        <v>0</v>
      </c>
      <c r="F9" s="50">
        <f t="shared" si="3"/>
        <v>0</v>
      </c>
      <c r="G9" s="50">
        <f t="shared" si="3"/>
        <v>0</v>
      </c>
      <c r="H9" s="50">
        <f t="shared" si="3"/>
        <v>25</v>
      </c>
      <c r="I9" s="50">
        <f t="shared" si="3"/>
        <v>22.3</v>
      </c>
      <c r="J9" s="50">
        <f t="shared" si="3"/>
        <v>21.29</v>
      </c>
      <c r="K9" s="50">
        <f t="shared" si="3"/>
        <v>0</v>
      </c>
      <c r="L9" s="50">
        <f t="shared" si="3"/>
        <v>0</v>
      </c>
      <c r="M9" s="50">
        <f t="shared" si="3"/>
        <v>0</v>
      </c>
      <c r="N9" s="50">
        <f t="shared" si="3"/>
        <v>0</v>
      </c>
      <c r="O9" s="50">
        <f t="shared" si="3"/>
        <v>22.96</v>
      </c>
      <c r="P9" s="50">
        <f t="shared" si="3"/>
        <v>25.61</v>
      </c>
      <c r="Q9" s="50">
        <f t="shared" si="3"/>
        <v>24.64</v>
      </c>
      <c r="R9" s="50">
        <f t="shared" si="3"/>
        <v>0</v>
      </c>
      <c r="S9" s="50">
        <f t="shared" si="3"/>
        <v>0</v>
      </c>
      <c r="T9" s="50">
        <f t="shared" si="3"/>
        <v>0</v>
      </c>
      <c r="U9" s="50">
        <f t="shared" si="3"/>
        <v>0</v>
      </c>
      <c r="V9" s="50">
        <f t="shared" si="3"/>
        <v>0</v>
      </c>
      <c r="W9" s="50">
        <f t="shared" si="3"/>
        <v>0</v>
      </c>
      <c r="X9" s="50">
        <f t="shared" si="3"/>
        <v>45.44</v>
      </c>
      <c r="Y9" s="50">
        <f t="shared" si="3"/>
        <v>0</v>
      </c>
      <c r="Z9" s="50">
        <f t="shared" si="3"/>
        <v>0</v>
      </c>
      <c r="AA9" s="50">
        <f t="shared" si="3"/>
        <v>0</v>
      </c>
      <c r="AB9" s="50">
        <f t="shared" si="3"/>
        <v>0</v>
      </c>
      <c r="AC9" s="50">
        <f t="shared" si="3"/>
        <v>0</v>
      </c>
      <c r="AD9" s="50">
        <f t="shared" si="3"/>
        <v>0</v>
      </c>
      <c r="AE9" s="50">
        <f t="shared" si="3"/>
        <v>14.33</v>
      </c>
      <c r="AF9" s="50">
        <f t="shared" si="3"/>
        <v>0</v>
      </c>
      <c r="AG9" s="50">
        <f t="shared" si="3"/>
        <v>0</v>
      </c>
      <c r="AH9" s="48">
        <f t="shared" si="0"/>
        <v>228.28</v>
      </c>
      <c r="AI9" s="158">
        <f>AVERAGE(C9:AG9)</f>
        <v>7.3638709677419358</v>
      </c>
    </row>
    <row r="10" spans="1:35" ht="15.9" customHeight="1" x14ac:dyDescent="0.4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7"/>
    </row>
    <row r="11" spans="1:35" ht="15.9" customHeight="1" x14ac:dyDescent="0.4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20"/>
    </row>
    <row r="12" spans="1:35" ht="15.9" customHeight="1" x14ac:dyDescent="0.4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/>
    </row>
    <row r="13" spans="1:35" ht="15.9" customHeight="1" x14ac:dyDescent="0.4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20"/>
    </row>
    <row r="14" spans="1:35" ht="15.9" customHeight="1" x14ac:dyDescent="0.4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0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/>
    </row>
    <row r="15" spans="1:35" ht="15.9" customHeight="1" x14ac:dyDescent="0.4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0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20"/>
    </row>
    <row r="16" spans="1:35" ht="15.9" customHeight="1" x14ac:dyDescent="0.4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20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/>
    </row>
    <row r="17" spans="1:35" ht="15.9" customHeight="1" x14ac:dyDescent="0.4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0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20"/>
    </row>
    <row r="18" spans="1:35" ht="15.9" customHeight="1" x14ac:dyDescent="0.4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/>
    </row>
    <row r="19" spans="1:35" ht="15.9" customHeight="1" x14ac:dyDescent="0.4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0"/>
    </row>
    <row r="20" spans="1:35" ht="15.9" customHeight="1" x14ac:dyDescent="0.4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/>
    </row>
    <row r="21" spans="1:35" ht="15.9" customHeight="1" x14ac:dyDescent="0.4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0"/>
    </row>
    <row r="22" spans="1:35" ht="15.9" customHeight="1" x14ac:dyDescent="0.4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/>
    </row>
    <row r="23" spans="1:35" ht="15.9" customHeight="1" x14ac:dyDescent="0.4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0"/>
    </row>
    <row r="24" spans="1:35" ht="15.9" customHeight="1" x14ac:dyDescent="0.4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20"/>
    </row>
    <row r="25" spans="1:35" ht="15.9" customHeight="1" x14ac:dyDescent="0.4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35" ht="15.9" customHeight="1" x14ac:dyDescent="0.4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20"/>
    </row>
    <row r="27" spans="1:35" ht="15.9" customHeight="1" x14ac:dyDescent="0.4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0"/>
    </row>
    <row r="28" spans="1:35" ht="15.9" customHeight="1" x14ac:dyDescent="0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20"/>
    </row>
    <row r="29" spans="1:35" ht="15.9" customHeight="1" x14ac:dyDescent="0.4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0"/>
    </row>
    <row r="30" spans="1:35" ht="15.9" customHeight="1" x14ac:dyDescent="0.4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0"/>
    </row>
    <row r="31" spans="1:35" ht="15.9" customHeight="1" x14ac:dyDescent="0.4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20"/>
    </row>
    <row r="32" spans="1:35" ht="15.9" customHeigh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0"/>
    </row>
    <row r="33" spans="1:35" ht="15.9" customHeight="1" x14ac:dyDescent="0.4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0"/>
    </row>
    <row r="34" spans="1:35" ht="15.9" customHeight="1" x14ac:dyDescent="0.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0"/>
    </row>
    <row r="35" spans="1:35" ht="15.9" customHeight="1" x14ac:dyDescent="0.4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20"/>
    </row>
    <row r="36" spans="1:35" ht="15.9" customHeight="1" thickBot="1" x14ac:dyDescent="0.4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3"/>
    </row>
  </sheetData>
  <mergeCells count="4">
    <mergeCell ref="B1:AI1"/>
    <mergeCell ref="A3:B3"/>
    <mergeCell ref="A4:A6"/>
    <mergeCell ref="A7:A9"/>
  </mergeCells>
  <phoneticPr fontId="2" type="noConversion"/>
  <pageMargins left="0.31496062992125984" right="0.23622047244094491" top="0.6692913385826772" bottom="0.35433070866141736" header="0.31496062992125984" footer="0.31496062992125984"/>
  <pageSetup paperSize="9"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topLeftCell="I7" zoomScaleNormal="100" workbookViewId="0">
      <selection activeCell="T14" sqref="T14"/>
    </sheetView>
  </sheetViews>
  <sheetFormatPr defaultColWidth="9" defaultRowHeight="15.9" customHeight="1" x14ac:dyDescent="0.4"/>
  <cols>
    <col min="1" max="1" width="4.59765625" style="1" customWidth="1"/>
    <col min="2" max="2" width="5.09765625" style="1" customWidth="1"/>
    <col min="3" max="8" width="4.3984375" style="1" customWidth="1"/>
    <col min="9" max="9" width="4.8984375" style="1" customWidth="1"/>
    <col min="10" max="33" width="4.3984375" style="1" customWidth="1"/>
    <col min="34" max="35" width="5.3984375" style="1" customWidth="1"/>
    <col min="36" max="43" width="8.5" style="1" customWidth="1"/>
    <col min="44" max="54" width="11.59765625" style="1" customWidth="1"/>
    <col min="55" max="55" width="14.19921875" style="1" customWidth="1"/>
    <col min="56" max="78" width="5.8984375" style="1" customWidth="1"/>
    <col min="79" max="79" width="6.69921875" style="1" customWidth="1"/>
    <col min="80" max="16384" width="9" style="1"/>
  </cols>
  <sheetData>
    <row r="1" spans="1:35" ht="26.25" customHeight="1" x14ac:dyDescent="0.55000000000000004">
      <c r="B1" s="183" t="s">
        <v>87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</row>
    <row r="2" spans="1:35" ht="8.25" customHeight="1" thickBot="1" x14ac:dyDescent="0.45"/>
    <row r="3" spans="1:35" ht="12.9" customHeight="1" thickBot="1" x14ac:dyDescent="0.45">
      <c r="A3" s="175" t="s">
        <v>15</v>
      </c>
      <c r="B3" s="176"/>
      <c r="C3" s="37">
        <v>1</v>
      </c>
      <c r="D3" s="37">
        <v>2</v>
      </c>
      <c r="E3" s="37">
        <v>3</v>
      </c>
      <c r="F3" s="37">
        <v>4</v>
      </c>
      <c r="G3" s="37">
        <v>5</v>
      </c>
      <c r="H3" s="37">
        <v>6</v>
      </c>
      <c r="I3" s="37">
        <v>7</v>
      </c>
      <c r="J3" s="37">
        <v>8</v>
      </c>
      <c r="K3" s="37">
        <v>9</v>
      </c>
      <c r="L3" s="37">
        <v>10</v>
      </c>
      <c r="M3" s="37">
        <v>11</v>
      </c>
      <c r="N3" s="37">
        <v>12</v>
      </c>
      <c r="O3" s="37">
        <v>13</v>
      </c>
      <c r="P3" s="37">
        <v>14</v>
      </c>
      <c r="Q3" s="37">
        <v>15</v>
      </c>
      <c r="R3" s="37">
        <v>16</v>
      </c>
      <c r="S3" s="37">
        <v>17</v>
      </c>
      <c r="T3" s="37">
        <v>18</v>
      </c>
      <c r="U3" s="37">
        <v>19</v>
      </c>
      <c r="V3" s="37">
        <v>20</v>
      </c>
      <c r="W3" s="37">
        <v>21</v>
      </c>
      <c r="X3" s="37">
        <v>22</v>
      </c>
      <c r="Y3" s="37">
        <v>23</v>
      </c>
      <c r="Z3" s="37">
        <v>24</v>
      </c>
      <c r="AA3" s="37">
        <v>25</v>
      </c>
      <c r="AB3" s="37">
        <v>26</v>
      </c>
      <c r="AC3" s="37">
        <v>27</v>
      </c>
      <c r="AD3" s="37">
        <v>28</v>
      </c>
      <c r="AE3" s="37">
        <v>29</v>
      </c>
      <c r="AF3" s="37">
        <v>30</v>
      </c>
      <c r="AG3" s="37">
        <v>31</v>
      </c>
      <c r="AH3" s="37" t="s">
        <v>9</v>
      </c>
      <c r="AI3" s="38" t="s">
        <v>10</v>
      </c>
    </row>
    <row r="4" spans="1:35" ht="12.9" customHeight="1" thickTop="1" x14ac:dyDescent="0.4">
      <c r="A4" s="177" t="s">
        <v>29</v>
      </c>
      <c r="B4" s="61" t="s">
        <v>52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60">
        <v>11180</v>
      </c>
      <c r="AD4" s="75"/>
      <c r="AE4" s="75"/>
      <c r="AF4" s="75"/>
      <c r="AG4" s="109"/>
      <c r="AH4" s="78">
        <f>SUM(C4:AG4)</f>
        <v>11180</v>
      </c>
      <c r="AI4" s="79">
        <f>AVERAGE(C4:AG4)</f>
        <v>11180</v>
      </c>
    </row>
    <row r="5" spans="1:35" ht="12.9" customHeight="1" x14ac:dyDescent="0.4">
      <c r="A5" s="178"/>
      <c r="B5" s="12" t="s">
        <v>74</v>
      </c>
      <c r="C5" s="80">
        <v>450</v>
      </c>
      <c r="D5" s="80">
        <v>400</v>
      </c>
      <c r="E5" s="80">
        <v>450</v>
      </c>
      <c r="F5" s="80">
        <v>400</v>
      </c>
      <c r="G5" s="80">
        <v>450</v>
      </c>
      <c r="H5" s="80">
        <v>370</v>
      </c>
      <c r="I5" s="80">
        <v>550</v>
      </c>
      <c r="J5" s="80">
        <v>400</v>
      </c>
      <c r="K5" s="80">
        <v>370</v>
      </c>
      <c r="L5" s="80">
        <v>360</v>
      </c>
      <c r="M5" s="80">
        <v>360</v>
      </c>
      <c r="N5" s="80">
        <v>420</v>
      </c>
      <c r="O5" s="80">
        <v>360</v>
      </c>
      <c r="P5" s="80">
        <v>360</v>
      </c>
      <c r="Q5" s="80">
        <v>360</v>
      </c>
      <c r="R5" s="80">
        <v>300</v>
      </c>
      <c r="S5" s="80">
        <v>300</v>
      </c>
      <c r="T5" s="80">
        <v>440</v>
      </c>
      <c r="U5" s="80">
        <v>340</v>
      </c>
      <c r="V5" s="80">
        <v>360</v>
      </c>
      <c r="W5" s="80"/>
      <c r="X5" s="80"/>
      <c r="Y5" s="80"/>
      <c r="Z5" s="80"/>
      <c r="AA5" s="80"/>
      <c r="AB5" s="80"/>
      <c r="AC5" s="80"/>
      <c r="AD5" s="80"/>
      <c r="AE5" s="80"/>
      <c r="AF5" s="80">
        <v>300</v>
      </c>
      <c r="AG5" s="80">
        <v>60</v>
      </c>
      <c r="AH5" s="81">
        <f t="shared" ref="AH5:AH24" si="0">SUM(C5:AG5)</f>
        <v>8160</v>
      </c>
      <c r="AI5" s="82">
        <f t="shared" ref="AI5:AI24" si="1">AVERAGE(C5:AG5)</f>
        <v>370.90909090909093</v>
      </c>
    </row>
    <row r="6" spans="1:35" ht="12.9" customHeight="1" x14ac:dyDescent="0.4">
      <c r="A6" s="178"/>
      <c r="B6" s="4" t="s">
        <v>54</v>
      </c>
      <c r="C6" s="76">
        <v>13590</v>
      </c>
      <c r="D6" s="76">
        <f>C6+D4-D5</f>
        <v>13190</v>
      </c>
      <c r="E6" s="76">
        <f t="shared" ref="E6:AG6" si="2">D6+E4-E5</f>
        <v>12740</v>
      </c>
      <c r="F6" s="76">
        <f t="shared" si="2"/>
        <v>12340</v>
      </c>
      <c r="G6" s="76">
        <f t="shared" si="2"/>
        <v>11890</v>
      </c>
      <c r="H6" s="76">
        <f t="shared" si="2"/>
        <v>11520</v>
      </c>
      <c r="I6" s="76">
        <f t="shared" si="2"/>
        <v>10970</v>
      </c>
      <c r="J6" s="76">
        <f t="shared" si="2"/>
        <v>10570</v>
      </c>
      <c r="K6" s="76">
        <f t="shared" si="2"/>
        <v>10200</v>
      </c>
      <c r="L6" s="76">
        <f t="shared" si="2"/>
        <v>9840</v>
      </c>
      <c r="M6" s="76">
        <f t="shared" si="2"/>
        <v>9480</v>
      </c>
      <c r="N6" s="76">
        <f t="shared" si="2"/>
        <v>9060</v>
      </c>
      <c r="O6" s="76">
        <f t="shared" si="2"/>
        <v>8700</v>
      </c>
      <c r="P6" s="76">
        <f t="shared" si="2"/>
        <v>8340</v>
      </c>
      <c r="Q6" s="76">
        <f t="shared" si="2"/>
        <v>7980</v>
      </c>
      <c r="R6" s="76">
        <f t="shared" si="2"/>
        <v>7680</v>
      </c>
      <c r="S6" s="76">
        <f t="shared" si="2"/>
        <v>7380</v>
      </c>
      <c r="T6" s="76">
        <f t="shared" si="2"/>
        <v>6940</v>
      </c>
      <c r="U6" s="76">
        <f t="shared" si="2"/>
        <v>6600</v>
      </c>
      <c r="V6" s="76">
        <f t="shared" si="2"/>
        <v>6240</v>
      </c>
      <c r="W6" s="76">
        <f t="shared" si="2"/>
        <v>6240</v>
      </c>
      <c r="X6" s="76">
        <f t="shared" si="2"/>
        <v>6240</v>
      </c>
      <c r="Y6" s="76">
        <f t="shared" si="2"/>
        <v>6240</v>
      </c>
      <c r="Z6" s="76">
        <f t="shared" si="2"/>
        <v>6240</v>
      </c>
      <c r="AA6" s="76">
        <f t="shared" si="2"/>
        <v>6240</v>
      </c>
      <c r="AB6" s="76">
        <f t="shared" si="2"/>
        <v>6240</v>
      </c>
      <c r="AC6" s="76">
        <f t="shared" si="2"/>
        <v>17420</v>
      </c>
      <c r="AD6" s="76">
        <f t="shared" si="2"/>
        <v>17420</v>
      </c>
      <c r="AE6" s="76">
        <f t="shared" si="2"/>
        <v>17420</v>
      </c>
      <c r="AF6" s="76">
        <f t="shared" si="2"/>
        <v>17120</v>
      </c>
      <c r="AG6" s="76">
        <f t="shared" si="2"/>
        <v>17060</v>
      </c>
      <c r="AH6" s="80"/>
      <c r="AI6" s="82">
        <f>AVERAGE(C6:AH6)</f>
        <v>10294.516129032258</v>
      </c>
    </row>
    <row r="7" spans="1:35" ht="12.9" customHeight="1" x14ac:dyDescent="0.4">
      <c r="A7" s="178" t="s">
        <v>30</v>
      </c>
      <c r="B7" s="4" t="s">
        <v>52</v>
      </c>
      <c r="C7" s="125"/>
      <c r="D7" s="76"/>
      <c r="E7" s="76"/>
      <c r="F7" s="76"/>
      <c r="G7" s="111"/>
      <c r="H7" s="111"/>
      <c r="I7" s="76"/>
      <c r="J7" s="111"/>
      <c r="K7" s="76"/>
      <c r="L7" s="76"/>
      <c r="M7" s="76"/>
      <c r="N7" s="76"/>
      <c r="O7" s="76"/>
      <c r="P7" s="76"/>
      <c r="Q7" s="76"/>
      <c r="R7" s="111"/>
      <c r="S7" s="76"/>
      <c r="T7" s="111"/>
      <c r="U7" s="135"/>
      <c r="V7" s="76"/>
      <c r="W7" s="76"/>
      <c r="X7" s="76"/>
      <c r="Y7" s="76"/>
      <c r="Z7" s="111"/>
      <c r="AA7" s="76"/>
      <c r="AB7" s="111"/>
      <c r="AC7" s="76"/>
      <c r="AD7" s="111"/>
      <c r="AE7" s="159">
        <v>3010</v>
      </c>
      <c r="AF7" s="76"/>
      <c r="AG7" s="76"/>
      <c r="AH7" s="81">
        <f t="shared" si="0"/>
        <v>3010</v>
      </c>
      <c r="AI7" s="82"/>
    </row>
    <row r="8" spans="1:35" ht="12.9" customHeight="1" x14ac:dyDescent="0.4">
      <c r="A8" s="178"/>
      <c r="B8" s="12" t="s">
        <v>53</v>
      </c>
      <c r="C8" s="80">
        <v>50</v>
      </c>
      <c r="D8" s="80">
        <v>50</v>
      </c>
      <c r="E8" s="80">
        <v>50</v>
      </c>
      <c r="F8" s="80">
        <v>50</v>
      </c>
      <c r="G8" s="80">
        <v>50</v>
      </c>
      <c r="H8" s="80">
        <v>50</v>
      </c>
      <c r="I8" s="80">
        <v>50</v>
      </c>
      <c r="J8" s="80">
        <v>50</v>
      </c>
      <c r="K8" s="80">
        <v>50</v>
      </c>
      <c r="L8" s="80">
        <v>50</v>
      </c>
      <c r="M8" s="80">
        <v>50</v>
      </c>
      <c r="N8" s="80">
        <v>50</v>
      </c>
      <c r="O8" s="80">
        <v>50</v>
      </c>
      <c r="P8" s="80">
        <v>50</v>
      </c>
      <c r="Q8" s="80">
        <v>50</v>
      </c>
      <c r="R8" s="80">
        <v>50</v>
      </c>
      <c r="S8" s="80">
        <v>50</v>
      </c>
      <c r="T8" s="80">
        <v>50</v>
      </c>
      <c r="U8" s="80">
        <v>50</v>
      </c>
      <c r="V8" s="80">
        <v>50</v>
      </c>
      <c r="W8" s="80"/>
      <c r="X8" s="80"/>
      <c r="Y8" s="80"/>
      <c r="Z8" s="80"/>
      <c r="AA8" s="80"/>
      <c r="AB8" s="80"/>
      <c r="AC8" s="80"/>
      <c r="AD8" s="80"/>
      <c r="AE8" s="80"/>
      <c r="AF8" s="80">
        <v>30</v>
      </c>
      <c r="AG8" s="80">
        <v>10</v>
      </c>
      <c r="AH8" s="81">
        <f t="shared" si="0"/>
        <v>1040</v>
      </c>
      <c r="AI8" s="82">
        <f t="shared" si="1"/>
        <v>47.272727272727273</v>
      </c>
    </row>
    <row r="9" spans="1:35" ht="12.9" customHeight="1" x14ac:dyDescent="0.4">
      <c r="A9" s="178"/>
      <c r="B9" s="4" t="s">
        <v>55</v>
      </c>
      <c r="C9" s="76">
        <v>2540</v>
      </c>
      <c r="D9" s="76">
        <f>C9+D7-D8</f>
        <v>2490</v>
      </c>
      <c r="E9" s="76">
        <f t="shared" ref="E9:AG9" si="3">D9+E7-E8</f>
        <v>2440</v>
      </c>
      <c r="F9" s="76">
        <f t="shared" si="3"/>
        <v>2390</v>
      </c>
      <c r="G9" s="76">
        <f t="shared" si="3"/>
        <v>2340</v>
      </c>
      <c r="H9" s="76">
        <f t="shared" si="3"/>
        <v>2290</v>
      </c>
      <c r="I9" s="76">
        <f t="shared" si="3"/>
        <v>2240</v>
      </c>
      <c r="J9" s="76">
        <f t="shared" si="3"/>
        <v>2190</v>
      </c>
      <c r="K9" s="76">
        <f t="shared" si="3"/>
        <v>2140</v>
      </c>
      <c r="L9" s="76">
        <f t="shared" si="3"/>
        <v>2090</v>
      </c>
      <c r="M9" s="76">
        <f t="shared" si="3"/>
        <v>2040</v>
      </c>
      <c r="N9" s="76">
        <f t="shared" si="3"/>
        <v>1990</v>
      </c>
      <c r="O9" s="76">
        <f t="shared" si="3"/>
        <v>1940</v>
      </c>
      <c r="P9" s="76">
        <f t="shared" si="3"/>
        <v>1890</v>
      </c>
      <c r="Q9" s="76">
        <f t="shared" si="3"/>
        <v>1840</v>
      </c>
      <c r="R9" s="76">
        <f t="shared" si="3"/>
        <v>1790</v>
      </c>
      <c r="S9" s="76">
        <f t="shared" si="3"/>
        <v>1740</v>
      </c>
      <c r="T9" s="76">
        <f t="shared" si="3"/>
        <v>1690</v>
      </c>
      <c r="U9" s="76">
        <f t="shared" si="3"/>
        <v>1640</v>
      </c>
      <c r="V9" s="76">
        <f t="shared" si="3"/>
        <v>1590</v>
      </c>
      <c r="W9" s="76">
        <f t="shared" si="3"/>
        <v>1590</v>
      </c>
      <c r="X9" s="76">
        <f t="shared" si="3"/>
        <v>1590</v>
      </c>
      <c r="Y9" s="76">
        <f t="shared" si="3"/>
        <v>1590</v>
      </c>
      <c r="Z9" s="76">
        <f t="shared" si="3"/>
        <v>1590</v>
      </c>
      <c r="AA9" s="76">
        <f t="shared" si="3"/>
        <v>1590</v>
      </c>
      <c r="AB9" s="76">
        <f t="shared" si="3"/>
        <v>1590</v>
      </c>
      <c r="AC9" s="76">
        <f t="shared" si="3"/>
        <v>1590</v>
      </c>
      <c r="AD9" s="76">
        <f t="shared" si="3"/>
        <v>1590</v>
      </c>
      <c r="AE9" s="76">
        <f t="shared" si="3"/>
        <v>4600</v>
      </c>
      <c r="AF9" s="76">
        <f t="shared" si="3"/>
        <v>4570</v>
      </c>
      <c r="AG9" s="76">
        <f t="shared" si="3"/>
        <v>4560</v>
      </c>
      <c r="AH9" s="80"/>
      <c r="AI9" s="82">
        <f t="shared" si="1"/>
        <v>2185.483870967742</v>
      </c>
    </row>
    <row r="10" spans="1:35" ht="12.9" customHeight="1" x14ac:dyDescent="0.4">
      <c r="A10" s="179" t="s">
        <v>31</v>
      </c>
      <c r="B10" s="4" t="s">
        <v>56</v>
      </c>
      <c r="C10" s="83"/>
      <c r="D10" s="111"/>
      <c r="E10" s="111"/>
      <c r="F10" s="111"/>
      <c r="G10" s="111"/>
      <c r="H10" s="111"/>
      <c r="I10" s="111"/>
      <c r="J10" s="111"/>
      <c r="K10" s="111"/>
      <c r="L10" s="159">
        <v>14400</v>
      </c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81">
        <f t="shared" si="0"/>
        <v>14400</v>
      </c>
      <c r="AI10" s="82"/>
    </row>
    <row r="11" spans="1:35" ht="12.9" customHeight="1" x14ac:dyDescent="0.4">
      <c r="A11" s="181"/>
      <c r="B11" s="12" t="s">
        <v>53</v>
      </c>
      <c r="C11" s="80">
        <v>400</v>
      </c>
      <c r="D11" s="80">
        <v>400</v>
      </c>
      <c r="E11" s="80">
        <v>400</v>
      </c>
      <c r="F11" s="80">
        <v>400</v>
      </c>
      <c r="G11" s="80">
        <v>400</v>
      </c>
      <c r="H11" s="80">
        <v>400</v>
      </c>
      <c r="I11" s="80">
        <v>400</v>
      </c>
      <c r="J11" s="80">
        <v>400</v>
      </c>
      <c r="K11" s="80">
        <v>400</v>
      </c>
      <c r="L11" s="80">
        <v>400</v>
      </c>
      <c r="M11" s="80">
        <v>400</v>
      </c>
      <c r="N11" s="80">
        <v>400</v>
      </c>
      <c r="O11" s="80">
        <v>400</v>
      </c>
      <c r="P11" s="80">
        <v>400</v>
      </c>
      <c r="Q11" s="80">
        <v>400</v>
      </c>
      <c r="R11" s="80">
        <v>400</v>
      </c>
      <c r="S11" s="80">
        <v>400</v>
      </c>
      <c r="T11" s="80">
        <v>400</v>
      </c>
      <c r="U11" s="80">
        <v>400</v>
      </c>
      <c r="V11" s="80">
        <v>400</v>
      </c>
      <c r="W11" s="80">
        <v>200</v>
      </c>
      <c r="X11" s="80">
        <v>200</v>
      </c>
      <c r="Y11" s="80">
        <v>200</v>
      </c>
      <c r="Z11" s="80">
        <v>200</v>
      </c>
      <c r="AA11" s="80">
        <v>200</v>
      </c>
      <c r="AB11" s="80">
        <v>200</v>
      </c>
      <c r="AC11" s="80">
        <v>200</v>
      </c>
      <c r="AD11" s="80">
        <v>200</v>
      </c>
      <c r="AE11" s="80">
        <v>200</v>
      </c>
      <c r="AF11" s="80">
        <v>400</v>
      </c>
      <c r="AG11" s="80">
        <v>400</v>
      </c>
      <c r="AH11" s="81">
        <f t="shared" si="0"/>
        <v>10600</v>
      </c>
      <c r="AI11" s="82">
        <f t="shared" si="1"/>
        <v>341.93548387096774</v>
      </c>
    </row>
    <row r="12" spans="1:35" ht="12.9" customHeight="1" x14ac:dyDescent="0.4">
      <c r="A12" s="181"/>
      <c r="B12" s="149" t="s">
        <v>78</v>
      </c>
      <c r="C12" s="111"/>
      <c r="D12" s="111"/>
      <c r="E12" s="111"/>
      <c r="F12" s="111"/>
      <c r="G12" s="111"/>
      <c r="H12" s="111"/>
      <c r="I12" s="111">
        <v>1440</v>
      </c>
      <c r="J12" s="111"/>
      <c r="K12" s="111"/>
      <c r="L12" s="111"/>
      <c r="M12" s="111"/>
      <c r="N12" s="111">
        <v>1440</v>
      </c>
      <c r="O12" s="111"/>
      <c r="P12" s="111"/>
      <c r="Q12" s="111"/>
      <c r="R12" s="111"/>
      <c r="S12" s="111"/>
      <c r="T12" s="111"/>
      <c r="U12" s="111"/>
      <c r="V12" s="111">
        <v>1440</v>
      </c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81"/>
      <c r="AI12" s="82"/>
    </row>
    <row r="13" spans="1:35" ht="12.9" customHeight="1" x14ac:dyDescent="0.4">
      <c r="A13" s="177"/>
      <c r="B13" s="4" t="s">
        <v>55</v>
      </c>
      <c r="C13" s="76">
        <v>9290</v>
      </c>
      <c r="D13" s="76">
        <f>C13+D10-D11-D12</f>
        <v>8890</v>
      </c>
      <c r="E13" s="76">
        <f t="shared" ref="E13:AG13" si="4">D13+E10-E11-E12</f>
        <v>8490</v>
      </c>
      <c r="F13" s="76">
        <f t="shared" si="4"/>
        <v>8090</v>
      </c>
      <c r="G13" s="76">
        <f t="shared" si="4"/>
        <v>7690</v>
      </c>
      <c r="H13" s="76">
        <f t="shared" si="4"/>
        <v>7290</v>
      </c>
      <c r="I13" s="76">
        <f t="shared" si="4"/>
        <v>5450</v>
      </c>
      <c r="J13" s="76">
        <f t="shared" si="4"/>
        <v>5050</v>
      </c>
      <c r="K13" s="76">
        <f t="shared" si="4"/>
        <v>4650</v>
      </c>
      <c r="L13" s="76">
        <f t="shared" si="4"/>
        <v>18650</v>
      </c>
      <c r="M13" s="76">
        <f t="shared" si="4"/>
        <v>18250</v>
      </c>
      <c r="N13" s="76">
        <f t="shared" si="4"/>
        <v>16410</v>
      </c>
      <c r="O13" s="76">
        <f t="shared" si="4"/>
        <v>16010</v>
      </c>
      <c r="P13" s="76">
        <f t="shared" si="4"/>
        <v>15610</v>
      </c>
      <c r="Q13" s="76">
        <f t="shared" si="4"/>
        <v>15210</v>
      </c>
      <c r="R13" s="76">
        <f t="shared" si="4"/>
        <v>14810</v>
      </c>
      <c r="S13" s="76">
        <f t="shared" si="4"/>
        <v>14410</v>
      </c>
      <c r="T13" s="76">
        <f t="shared" si="4"/>
        <v>14010</v>
      </c>
      <c r="U13" s="76">
        <f t="shared" si="4"/>
        <v>13610</v>
      </c>
      <c r="V13" s="76">
        <f t="shared" si="4"/>
        <v>11770</v>
      </c>
      <c r="W13" s="76">
        <f t="shared" si="4"/>
        <v>11570</v>
      </c>
      <c r="X13" s="76">
        <f t="shared" si="4"/>
        <v>11370</v>
      </c>
      <c r="Y13" s="76">
        <f t="shared" si="4"/>
        <v>11170</v>
      </c>
      <c r="Z13" s="76">
        <f t="shared" si="4"/>
        <v>10970</v>
      </c>
      <c r="AA13" s="76">
        <f t="shared" si="4"/>
        <v>10770</v>
      </c>
      <c r="AB13" s="76">
        <f t="shared" si="4"/>
        <v>10570</v>
      </c>
      <c r="AC13" s="76">
        <f t="shared" si="4"/>
        <v>10370</v>
      </c>
      <c r="AD13" s="76">
        <f t="shared" si="4"/>
        <v>10170</v>
      </c>
      <c r="AE13" s="76">
        <f t="shared" si="4"/>
        <v>9970</v>
      </c>
      <c r="AF13" s="76">
        <f t="shared" si="4"/>
        <v>9570</v>
      </c>
      <c r="AG13" s="76">
        <f t="shared" si="4"/>
        <v>9170</v>
      </c>
      <c r="AH13" s="80"/>
      <c r="AI13" s="82">
        <f>AVERAGE(C13:AG13)</f>
        <v>11268.064516129032</v>
      </c>
    </row>
    <row r="14" spans="1:35" ht="12.9" customHeight="1" x14ac:dyDescent="0.4">
      <c r="A14" s="179" t="s">
        <v>32</v>
      </c>
      <c r="B14" s="4" t="s">
        <v>56</v>
      </c>
      <c r="C14" s="83"/>
      <c r="D14" s="83"/>
      <c r="E14" s="83"/>
      <c r="F14" s="111"/>
      <c r="G14" s="83"/>
      <c r="H14" s="83"/>
      <c r="I14" s="83"/>
      <c r="J14" s="111"/>
      <c r="K14" s="111"/>
      <c r="L14" s="83"/>
      <c r="M14" s="83"/>
      <c r="N14" s="83"/>
      <c r="O14" s="111"/>
      <c r="P14" s="83"/>
      <c r="Q14" s="83"/>
      <c r="R14" s="111"/>
      <c r="S14" s="83"/>
      <c r="T14" s="83"/>
      <c r="U14" s="111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1">
        <f t="shared" si="0"/>
        <v>0</v>
      </c>
      <c r="AI14" s="82"/>
    </row>
    <row r="15" spans="1:35" ht="12.9" customHeight="1" x14ac:dyDescent="0.4">
      <c r="A15" s="181"/>
      <c r="B15" s="12" t="s">
        <v>57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1">
        <f t="shared" si="0"/>
        <v>0</v>
      </c>
      <c r="AI15" s="82" t="e">
        <f t="shared" si="1"/>
        <v>#DIV/0!</v>
      </c>
    </row>
    <row r="16" spans="1:35" ht="12.9" customHeight="1" x14ac:dyDescent="0.4">
      <c r="A16" s="177"/>
      <c r="B16" s="4" t="s">
        <v>55</v>
      </c>
      <c r="C16" s="76"/>
      <c r="D16" s="76">
        <f>C16+D14-D15</f>
        <v>0</v>
      </c>
      <c r="E16" s="76">
        <f t="shared" ref="E16:AG16" si="5">D16+E14-E15</f>
        <v>0</v>
      </c>
      <c r="F16" s="76">
        <f t="shared" si="5"/>
        <v>0</v>
      </c>
      <c r="G16" s="76">
        <f t="shared" si="5"/>
        <v>0</v>
      </c>
      <c r="H16" s="76">
        <f t="shared" si="5"/>
        <v>0</v>
      </c>
      <c r="I16" s="76">
        <f t="shared" si="5"/>
        <v>0</v>
      </c>
      <c r="J16" s="76">
        <f t="shared" si="5"/>
        <v>0</v>
      </c>
      <c r="K16" s="76">
        <f t="shared" si="5"/>
        <v>0</v>
      </c>
      <c r="L16" s="76">
        <f t="shared" si="5"/>
        <v>0</v>
      </c>
      <c r="M16" s="76">
        <f t="shared" si="5"/>
        <v>0</v>
      </c>
      <c r="N16" s="76">
        <f t="shared" si="5"/>
        <v>0</v>
      </c>
      <c r="O16" s="76">
        <f t="shared" si="5"/>
        <v>0</v>
      </c>
      <c r="P16" s="76">
        <f t="shared" si="5"/>
        <v>0</v>
      </c>
      <c r="Q16" s="76">
        <f t="shared" si="5"/>
        <v>0</v>
      </c>
      <c r="R16" s="76">
        <f t="shared" si="5"/>
        <v>0</v>
      </c>
      <c r="S16" s="76">
        <f t="shared" si="5"/>
        <v>0</v>
      </c>
      <c r="T16" s="76">
        <f t="shared" si="5"/>
        <v>0</v>
      </c>
      <c r="U16" s="76">
        <f t="shared" si="5"/>
        <v>0</v>
      </c>
      <c r="V16" s="76">
        <f t="shared" si="5"/>
        <v>0</v>
      </c>
      <c r="W16" s="76">
        <f t="shared" si="5"/>
        <v>0</v>
      </c>
      <c r="X16" s="76">
        <f t="shared" si="5"/>
        <v>0</v>
      </c>
      <c r="Y16" s="76">
        <f t="shared" si="5"/>
        <v>0</v>
      </c>
      <c r="Z16" s="76">
        <f t="shared" si="5"/>
        <v>0</v>
      </c>
      <c r="AA16" s="76">
        <f t="shared" si="5"/>
        <v>0</v>
      </c>
      <c r="AB16" s="76">
        <f t="shared" si="5"/>
        <v>0</v>
      </c>
      <c r="AC16" s="76">
        <f t="shared" si="5"/>
        <v>0</v>
      </c>
      <c r="AD16" s="76">
        <f t="shared" si="5"/>
        <v>0</v>
      </c>
      <c r="AE16" s="76">
        <f t="shared" si="5"/>
        <v>0</v>
      </c>
      <c r="AF16" s="76">
        <f t="shared" si="5"/>
        <v>0</v>
      </c>
      <c r="AG16" s="76">
        <f t="shared" si="5"/>
        <v>0</v>
      </c>
      <c r="AH16" s="81"/>
      <c r="AI16" s="82">
        <f t="shared" si="1"/>
        <v>0</v>
      </c>
    </row>
    <row r="17" spans="1:36" ht="12.9" customHeight="1" x14ac:dyDescent="0.4">
      <c r="A17" s="179" t="s">
        <v>83</v>
      </c>
      <c r="B17" s="4" t="s">
        <v>84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81">
        <f>SUM(C17:AG17)</f>
        <v>0</v>
      </c>
      <c r="AI17" s="82"/>
    </row>
    <row r="18" spans="1:36" ht="12.9" customHeight="1" x14ac:dyDescent="0.4">
      <c r="A18" s="181"/>
      <c r="B18" s="12" t="s">
        <v>85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>
        <f>SUM(C18:AG18)</f>
        <v>0</v>
      </c>
      <c r="AI18" s="82" t="e">
        <f>AVERAGE(C18:AG18)</f>
        <v>#DIV/0!</v>
      </c>
    </row>
    <row r="19" spans="1:36" ht="12.9" customHeight="1" x14ac:dyDescent="0.4">
      <c r="A19" s="177"/>
      <c r="B19" s="4" t="s">
        <v>86</v>
      </c>
      <c r="C19" s="76"/>
      <c r="D19" s="76">
        <f>C19+C17-C18</f>
        <v>0</v>
      </c>
      <c r="E19" s="76">
        <f t="shared" ref="E19:AB19" si="6">D19+D17-D18</f>
        <v>0</v>
      </c>
      <c r="F19" s="76">
        <f t="shared" si="6"/>
        <v>0</v>
      </c>
      <c r="G19" s="76">
        <f t="shared" si="6"/>
        <v>0</v>
      </c>
      <c r="H19" s="76">
        <f t="shared" si="6"/>
        <v>0</v>
      </c>
      <c r="I19" s="76">
        <f t="shared" si="6"/>
        <v>0</v>
      </c>
      <c r="J19" s="76">
        <f t="shared" si="6"/>
        <v>0</v>
      </c>
      <c r="K19" s="76">
        <f t="shared" si="6"/>
        <v>0</v>
      </c>
      <c r="L19" s="76">
        <f t="shared" si="6"/>
        <v>0</v>
      </c>
      <c r="M19" s="76">
        <f t="shared" si="6"/>
        <v>0</v>
      </c>
      <c r="N19" s="76">
        <f t="shared" si="6"/>
        <v>0</v>
      </c>
      <c r="O19" s="76">
        <f t="shared" si="6"/>
        <v>0</v>
      </c>
      <c r="P19" s="76">
        <f t="shared" si="6"/>
        <v>0</v>
      </c>
      <c r="Q19" s="76">
        <f t="shared" si="6"/>
        <v>0</v>
      </c>
      <c r="R19" s="76">
        <f t="shared" si="6"/>
        <v>0</v>
      </c>
      <c r="S19" s="76">
        <f t="shared" si="6"/>
        <v>0</v>
      </c>
      <c r="T19" s="76">
        <f t="shared" si="6"/>
        <v>0</v>
      </c>
      <c r="U19" s="76">
        <f t="shared" si="6"/>
        <v>0</v>
      </c>
      <c r="V19" s="76">
        <f t="shared" si="6"/>
        <v>0</v>
      </c>
      <c r="W19" s="76">
        <f t="shared" si="6"/>
        <v>0</v>
      </c>
      <c r="X19" s="76">
        <f t="shared" si="6"/>
        <v>0</v>
      </c>
      <c r="Y19" s="76">
        <f t="shared" si="6"/>
        <v>0</v>
      </c>
      <c r="Z19" s="76">
        <f t="shared" si="6"/>
        <v>0</v>
      </c>
      <c r="AA19" s="76">
        <f t="shared" si="6"/>
        <v>0</v>
      </c>
      <c r="AB19" s="76">
        <f t="shared" si="6"/>
        <v>0</v>
      </c>
      <c r="AC19" s="76">
        <f t="shared" ref="AC19" si="7">AB19+AB17-AB18</f>
        <v>0</v>
      </c>
      <c r="AD19" s="76">
        <f t="shared" ref="AD19" si="8">AC19+AC17-AC18</f>
        <v>0</v>
      </c>
      <c r="AE19" s="76">
        <f t="shared" ref="AE19" si="9">AD19+AD17-AD18</f>
        <v>0</v>
      </c>
      <c r="AF19" s="76">
        <f t="shared" ref="AF19" si="10">AE19+AE17-AE18</f>
        <v>0</v>
      </c>
      <c r="AG19" s="76">
        <f t="shared" ref="AG19" si="11">AF19+AF17-AF18</f>
        <v>0</v>
      </c>
      <c r="AH19" s="81"/>
      <c r="AI19" s="82">
        <f>AVERAGE(C19:AG19)</f>
        <v>0</v>
      </c>
    </row>
    <row r="20" spans="1:36" ht="12.9" customHeight="1" x14ac:dyDescent="0.4">
      <c r="A20" s="178" t="s">
        <v>33</v>
      </c>
      <c r="B20" s="98" t="s">
        <v>56</v>
      </c>
      <c r="C20" s="83"/>
      <c r="D20" s="111"/>
      <c r="E20" s="111"/>
      <c r="F20" s="111"/>
      <c r="G20" s="83"/>
      <c r="H20" s="83"/>
      <c r="I20" s="83"/>
      <c r="J20" s="83"/>
      <c r="K20" s="83"/>
      <c r="L20" s="83"/>
      <c r="M20" s="83"/>
      <c r="N20" s="83"/>
      <c r="O20" s="83"/>
      <c r="P20" s="111"/>
      <c r="Q20" s="136"/>
      <c r="R20" s="83"/>
      <c r="S20" s="83"/>
      <c r="T20" s="83"/>
      <c r="U20" s="83"/>
      <c r="V20" s="83"/>
      <c r="W20" s="111"/>
      <c r="X20" s="83"/>
      <c r="Y20" s="83"/>
      <c r="Z20" s="83"/>
      <c r="AA20" s="111"/>
      <c r="AB20" s="83"/>
      <c r="AC20" s="83"/>
      <c r="AD20" s="83"/>
      <c r="AE20" s="83"/>
      <c r="AF20" s="83"/>
      <c r="AG20" s="111"/>
      <c r="AH20" s="81">
        <f t="shared" si="0"/>
        <v>0</v>
      </c>
      <c r="AI20" s="82"/>
    </row>
    <row r="21" spans="1:36" ht="12.9" customHeight="1" x14ac:dyDescent="0.4">
      <c r="A21" s="178"/>
      <c r="B21" s="12" t="s">
        <v>12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1">
        <f t="shared" si="0"/>
        <v>0</v>
      </c>
      <c r="AI21" s="82" t="e">
        <f t="shared" si="1"/>
        <v>#DIV/0!</v>
      </c>
    </row>
    <row r="22" spans="1:36" ht="12.9" customHeight="1" x14ac:dyDescent="0.4">
      <c r="A22" s="178"/>
      <c r="B22" s="12" t="s">
        <v>34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>
        <v>1000</v>
      </c>
      <c r="AG22" s="80"/>
      <c r="AH22" s="81">
        <f t="shared" si="0"/>
        <v>1000</v>
      </c>
      <c r="AI22" s="82">
        <f t="shared" si="1"/>
        <v>1000</v>
      </c>
    </row>
    <row r="23" spans="1:36" ht="12.9" customHeight="1" x14ac:dyDescent="0.4">
      <c r="A23" s="178"/>
      <c r="B23" s="12" t="s">
        <v>35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1">
        <f t="shared" si="0"/>
        <v>0</v>
      </c>
      <c r="AI23" s="82" t="e">
        <f t="shared" si="1"/>
        <v>#DIV/0!</v>
      </c>
    </row>
    <row r="24" spans="1:36" ht="12.9" customHeight="1" x14ac:dyDescent="0.4">
      <c r="A24" s="178"/>
      <c r="B24" s="12" t="s">
        <v>36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1">
        <f t="shared" si="0"/>
        <v>0</v>
      </c>
      <c r="AI24" s="82" t="e">
        <f t="shared" si="1"/>
        <v>#DIV/0!</v>
      </c>
    </row>
    <row r="25" spans="1:36" ht="12.9" customHeight="1" thickBot="1" x14ac:dyDescent="0.45">
      <c r="A25" s="182"/>
      <c r="B25" s="8" t="s">
        <v>8</v>
      </c>
      <c r="C25" s="84">
        <v>5000</v>
      </c>
      <c r="D25" s="84">
        <f>C25+D20-D21-D22-D23-D24</f>
        <v>5000</v>
      </c>
      <c r="E25" s="84">
        <f t="shared" ref="E25:AG25" si="12">D25+E20-E21-E22-E23-E24</f>
        <v>5000</v>
      </c>
      <c r="F25" s="84">
        <f t="shared" si="12"/>
        <v>5000</v>
      </c>
      <c r="G25" s="84">
        <f t="shared" si="12"/>
        <v>5000</v>
      </c>
      <c r="H25" s="84">
        <f t="shared" si="12"/>
        <v>5000</v>
      </c>
      <c r="I25" s="84">
        <f t="shared" si="12"/>
        <v>5000</v>
      </c>
      <c r="J25" s="84">
        <f t="shared" si="12"/>
        <v>5000</v>
      </c>
      <c r="K25" s="84">
        <f t="shared" si="12"/>
        <v>5000</v>
      </c>
      <c r="L25" s="84">
        <f t="shared" si="12"/>
        <v>5000</v>
      </c>
      <c r="M25" s="84">
        <f t="shared" si="12"/>
        <v>5000</v>
      </c>
      <c r="N25" s="84">
        <f t="shared" si="12"/>
        <v>5000</v>
      </c>
      <c r="O25" s="84">
        <f t="shared" si="12"/>
        <v>5000</v>
      </c>
      <c r="P25" s="84">
        <f t="shared" si="12"/>
        <v>5000</v>
      </c>
      <c r="Q25" s="84">
        <f t="shared" si="12"/>
        <v>5000</v>
      </c>
      <c r="R25" s="84">
        <f t="shared" si="12"/>
        <v>5000</v>
      </c>
      <c r="S25" s="84">
        <f t="shared" si="12"/>
        <v>5000</v>
      </c>
      <c r="T25" s="84">
        <f t="shared" si="12"/>
        <v>5000</v>
      </c>
      <c r="U25" s="84">
        <f t="shared" si="12"/>
        <v>5000</v>
      </c>
      <c r="V25" s="84">
        <f t="shared" si="12"/>
        <v>5000</v>
      </c>
      <c r="W25" s="84">
        <f t="shared" si="12"/>
        <v>5000</v>
      </c>
      <c r="X25" s="84">
        <f t="shared" si="12"/>
        <v>5000</v>
      </c>
      <c r="Y25" s="84">
        <f t="shared" si="12"/>
        <v>5000</v>
      </c>
      <c r="Z25" s="84">
        <f t="shared" si="12"/>
        <v>5000</v>
      </c>
      <c r="AA25" s="84">
        <f t="shared" si="12"/>
        <v>5000</v>
      </c>
      <c r="AB25" s="84">
        <f t="shared" si="12"/>
        <v>5000</v>
      </c>
      <c r="AC25" s="84">
        <f t="shared" si="12"/>
        <v>5000</v>
      </c>
      <c r="AD25" s="84">
        <f t="shared" si="12"/>
        <v>5000</v>
      </c>
      <c r="AE25" s="84">
        <f t="shared" si="12"/>
        <v>5000</v>
      </c>
      <c r="AF25" s="84">
        <f t="shared" si="12"/>
        <v>4000</v>
      </c>
      <c r="AG25" s="84">
        <f t="shared" si="12"/>
        <v>4000</v>
      </c>
      <c r="AH25" s="144"/>
      <c r="AI25" s="99"/>
    </row>
    <row r="26" spans="1:36" ht="15.9" customHeight="1" x14ac:dyDescent="0.4">
      <c r="A26" s="180" t="s">
        <v>67</v>
      </c>
      <c r="B26" s="115" t="s">
        <v>68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7">
        <f t="shared" ref="AH26:AH29" si="13">SUM(C26:AG26)</f>
        <v>0</v>
      </c>
      <c r="AI26" s="118" t="e">
        <f t="shared" ref="AI26:AI31" si="14">AVERAGE(C26:AG26)</f>
        <v>#DIV/0!</v>
      </c>
    </row>
    <row r="27" spans="1:36" ht="15.9" customHeight="1" x14ac:dyDescent="0.4">
      <c r="A27" s="181"/>
      <c r="B27" s="115" t="s">
        <v>69</v>
      </c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7">
        <f t="shared" si="13"/>
        <v>0</v>
      </c>
      <c r="AI27" s="118" t="e">
        <f t="shared" si="14"/>
        <v>#DIV/0!</v>
      </c>
    </row>
    <row r="28" spans="1:36" ht="15.9" customHeight="1" x14ac:dyDescent="0.4">
      <c r="A28" s="181"/>
      <c r="B28" s="4" t="s">
        <v>70</v>
      </c>
      <c r="C28" s="135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35"/>
      <c r="AC28" s="135"/>
      <c r="AD28" s="111"/>
      <c r="AE28" s="111"/>
      <c r="AF28" s="111"/>
      <c r="AG28" s="111"/>
      <c r="AH28" s="81">
        <f t="shared" si="13"/>
        <v>0</v>
      </c>
      <c r="AI28" s="82" t="e">
        <f t="shared" si="14"/>
        <v>#DIV/0!</v>
      </c>
    </row>
    <row r="29" spans="1:36" ht="15.9" customHeight="1" x14ac:dyDescent="0.4">
      <c r="A29" s="181"/>
      <c r="B29" s="12" t="s">
        <v>75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145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1">
        <f t="shared" si="13"/>
        <v>0</v>
      </c>
      <c r="AI29" s="82" t="e">
        <f t="shared" si="14"/>
        <v>#DIV/0!</v>
      </c>
    </row>
    <row r="30" spans="1:36" ht="15.9" customHeight="1" x14ac:dyDescent="0.4">
      <c r="A30" s="177"/>
      <c r="B30" s="4" t="s">
        <v>71</v>
      </c>
      <c r="C30" s="111"/>
      <c r="D30" s="83">
        <f>C30+D28-D29</f>
        <v>0</v>
      </c>
      <c r="E30" s="83">
        <f t="shared" ref="E30:AG30" si="15">D30+E28-E29</f>
        <v>0</v>
      </c>
      <c r="F30" s="83">
        <f t="shared" si="15"/>
        <v>0</v>
      </c>
      <c r="G30" s="83">
        <f t="shared" si="15"/>
        <v>0</v>
      </c>
      <c r="H30" s="83">
        <f t="shared" si="15"/>
        <v>0</v>
      </c>
      <c r="I30" s="83">
        <f t="shared" si="15"/>
        <v>0</v>
      </c>
      <c r="J30" s="83">
        <f t="shared" si="15"/>
        <v>0</v>
      </c>
      <c r="K30" s="83">
        <f t="shared" si="15"/>
        <v>0</v>
      </c>
      <c r="L30" s="83">
        <f t="shared" si="15"/>
        <v>0</v>
      </c>
      <c r="M30" s="83">
        <f t="shared" si="15"/>
        <v>0</v>
      </c>
      <c r="N30" s="83">
        <f t="shared" si="15"/>
        <v>0</v>
      </c>
      <c r="O30" s="83">
        <f t="shared" si="15"/>
        <v>0</v>
      </c>
      <c r="P30" s="83">
        <f t="shared" si="15"/>
        <v>0</v>
      </c>
      <c r="Q30" s="83">
        <f t="shared" si="15"/>
        <v>0</v>
      </c>
      <c r="R30" s="83">
        <f t="shared" si="15"/>
        <v>0</v>
      </c>
      <c r="S30" s="83">
        <f t="shared" si="15"/>
        <v>0</v>
      </c>
      <c r="T30" s="83">
        <f t="shared" si="15"/>
        <v>0</v>
      </c>
      <c r="U30" s="83">
        <f t="shared" si="15"/>
        <v>0</v>
      </c>
      <c r="V30" s="83">
        <f t="shared" si="15"/>
        <v>0</v>
      </c>
      <c r="W30" s="83">
        <f t="shared" si="15"/>
        <v>0</v>
      </c>
      <c r="X30" s="83">
        <f t="shared" si="15"/>
        <v>0</v>
      </c>
      <c r="Y30" s="83">
        <f t="shared" si="15"/>
        <v>0</v>
      </c>
      <c r="Z30" s="83">
        <f t="shared" si="15"/>
        <v>0</v>
      </c>
      <c r="AA30" s="83">
        <f t="shared" si="15"/>
        <v>0</v>
      </c>
      <c r="AB30" s="83">
        <f t="shared" si="15"/>
        <v>0</v>
      </c>
      <c r="AC30" s="83">
        <f t="shared" si="15"/>
        <v>0</v>
      </c>
      <c r="AD30" s="83">
        <f t="shared" si="15"/>
        <v>0</v>
      </c>
      <c r="AE30" s="83">
        <f t="shared" si="15"/>
        <v>0</v>
      </c>
      <c r="AF30" s="83">
        <f t="shared" si="15"/>
        <v>0</v>
      </c>
      <c r="AG30" s="83">
        <f t="shared" si="15"/>
        <v>0</v>
      </c>
      <c r="AH30" s="111"/>
      <c r="AI30" s="82">
        <f t="shared" si="14"/>
        <v>0</v>
      </c>
    </row>
    <row r="31" spans="1:36" ht="15.9" customHeight="1" x14ac:dyDescent="0.4">
      <c r="A31" s="3"/>
      <c r="B31" s="3" t="s">
        <v>72</v>
      </c>
      <c r="C31" s="11"/>
      <c r="D31" s="11">
        <f>D29*2*1000/[1]소각량!D7</f>
        <v>0</v>
      </c>
      <c r="E31" s="11">
        <f>E29*2*1000/[1]소각량!E7</f>
        <v>0</v>
      </c>
      <c r="F31" s="11">
        <f>F29*2*1000/[1]소각량!F7</f>
        <v>0</v>
      </c>
      <c r="G31" s="11">
        <f>G29*2*1000/[1]소각량!G7</f>
        <v>0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3">
        <f t="shared" si="14"/>
        <v>0</v>
      </c>
      <c r="AJ31" s="119" t="s">
        <v>73</v>
      </c>
    </row>
    <row r="32" spans="1:36" ht="15.9" customHeight="1" x14ac:dyDescent="0.4">
      <c r="A32" s="18"/>
      <c r="B32" s="19"/>
      <c r="C32" s="19"/>
      <c r="D32" s="19"/>
      <c r="E32" s="19"/>
      <c r="F32" s="19"/>
      <c r="G32" s="19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20"/>
    </row>
    <row r="33" spans="1:35" ht="15.9" customHeight="1" x14ac:dyDescent="0.4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0"/>
    </row>
    <row r="34" spans="1:35" ht="15.9" customHeight="1" x14ac:dyDescent="0.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20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0"/>
    </row>
    <row r="35" spans="1:35" ht="15.9" customHeight="1" x14ac:dyDescent="0.4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20"/>
    </row>
    <row r="36" spans="1:35" ht="15.9" customHeight="1" x14ac:dyDescent="0.4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20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20"/>
    </row>
    <row r="37" spans="1:35" ht="15.9" customHeight="1" x14ac:dyDescent="0.4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20"/>
    </row>
    <row r="38" spans="1:35" ht="15.9" customHeight="1" x14ac:dyDescent="0.4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20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20"/>
    </row>
    <row r="39" spans="1:35" ht="15.9" customHeight="1" x14ac:dyDescent="0.4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0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</row>
    <row r="40" spans="1:35" ht="15.9" customHeight="1" x14ac:dyDescent="0.4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20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20"/>
    </row>
    <row r="41" spans="1:35" ht="15.9" customHeight="1" x14ac:dyDescent="0.4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20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20"/>
    </row>
    <row r="42" spans="1:35" ht="15.9" customHeight="1" x14ac:dyDescent="0.4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0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35" ht="15.9" customHeight="1" x14ac:dyDescent="0.4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20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</row>
    <row r="44" spans="1:35" ht="15.9" customHeight="1" thickBot="1" x14ac:dyDescent="0.45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3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3"/>
    </row>
  </sheetData>
  <mergeCells count="9">
    <mergeCell ref="A26:A30"/>
    <mergeCell ref="A20:A25"/>
    <mergeCell ref="B1:AI1"/>
    <mergeCell ref="A3:B3"/>
    <mergeCell ref="A4:A6"/>
    <mergeCell ref="A7:A9"/>
    <mergeCell ref="A14:A16"/>
    <mergeCell ref="A10:A13"/>
    <mergeCell ref="A17:A19"/>
  </mergeCells>
  <phoneticPr fontId="2" type="noConversion"/>
  <pageMargins left="0.2" right="0.22" top="0.6692913385826772" bottom="0.35433070866141736" header="0.31496062992125984" footer="0.31496062992125984"/>
  <pageSetup paperSize="9" scale="8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zoomScale="150" zoomScaleNormal="150" workbookViewId="0">
      <selection activeCell="AG12" sqref="AG12"/>
    </sheetView>
  </sheetViews>
  <sheetFormatPr defaultColWidth="9" defaultRowHeight="15.9" customHeight="1" x14ac:dyDescent="0.4"/>
  <cols>
    <col min="1" max="1" width="5.19921875" style="1" customWidth="1"/>
    <col min="2" max="2" width="6.09765625" style="1" customWidth="1"/>
    <col min="3" max="34" width="4.09765625" style="1" customWidth="1"/>
    <col min="35" max="42" width="8.5" style="1" customWidth="1"/>
    <col min="43" max="53" width="11.59765625" style="1" customWidth="1"/>
    <col min="54" max="54" width="14.19921875" style="1" customWidth="1"/>
    <col min="55" max="77" width="5.8984375" style="1" customWidth="1"/>
    <col min="78" max="78" width="6.69921875" style="1" customWidth="1"/>
    <col min="79" max="16384" width="9" style="1"/>
  </cols>
  <sheetData>
    <row r="1" spans="1:34" ht="26.25" customHeight="1" x14ac:dyDescent="0.4">
      <c r="B1" s="161" t="s">
        <v>90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</row>
    <row r="2" spans="1:34" ht="8.25" customHeight="1" thickBot="1" x14ac:dyDescent="0.45"/>
    <row r="3" spans="1:34" ht="17.25" customHeight="1" thickBot="1" x14ac:dyDescent="0.45">
      <c r="A3" s="175" t="s">
        <v>15</v>
      </c>
      <c r="B3" s="176"/>
      <c r="C3" s="113">
        <v>1</v>
      </c>
      <c r="D3" s="114">
        <v>2</v>
      </c>
      <c r="E3" s="113">
        <v>3</v>
      </c>
      <c r="F3" s="113">
        <v>4</v>
      </c>
      <c r="G3" s="113">
        <v>5</v>
      </c>
      <c r="H3" s="113">
        <v>6</v>
      </c>
      <c r="I3" s="113">
        <v>7</v>
      </c>
      <c r="J3" s="113">
        <v>8</v>
      </c>
      <c r="K3" s="113">
        <v>9</v>
      </c>
      <c r="L3" s="113">
        <v>10</v>
      </c>
      <c r="M3" s="113">
        <v>11</v>
      </c>
      <c r="N3" s="113">
        <v>12</v>
      </c>
      <c r="O3" s="113">
        <v>13</v>
      </c>
      <c r="P3" s="113">
        <v>14</v>
      </c>
      <c r="Q3" s="113">
        <v>15</v>
      </c>
      <c r="R3" s="113">
        <v>16</v>
      </c>
      <c r="S3" s="113">
        <v>17</v>
      </c>
      <c r="T3" s="113">
        <v>18</v>
      </c>
      <c r="U3" s="113">
        <v>19</v>
      </c>
      <c r="V3" s="113">
        <v>20</v>
      </c>
      <c r="W3" s="113">
        <v>21</v>
      </c>
      <c r="X3" s="113">
        <v>22</v>
      </c>
      <c r="Y3" s="113">
        <v>23</v>
      </c>
      <c r="Z3" s="113">
        <v>24</v>
      </c>
      <c r="AA3" s="113">
        <v>25</v>
      </c>
      <c r="AB3" s="113">
        <v>26</v>
      </c>
      <c r="AC3" s="113">
        <v>27</v>
      </c>
      <c r="AD3" s="113">
        <v>28</v>
      </c>
      <c r="AE3" s="113">
        <v>29</v>
      </c>
      <c r="AF3" s="113">
        <v>30</v>
      </c>
      <c r="AG3" s="37">
        <v>31</v>
      </c>
      <c r="AH3" s="38" t="s">
        <v>9</v>
      </c>
    </row>
    <row r="4" spans="1:34" ht="17.25" customHeight="1" thickTop="1" x14ac:dyDescent="0.4">
      <c r="A4" s="177" t="s">
        <v>24</v>
      </c>
      <c r="B4" s="61" t="s">
        <v>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69">
        <f>SUM(C4:AG4)</f>
        <v>0</v>
      </c>
    </row>
    <row r="5" spans="1:34" ht="17.25" customHeight="1" x14ac:dyDescent="0.4">
      <c r="A5" s="178"/>
      <c r="B5" s="4" t="s">
        <v>37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65">
        <f t="shared" ref="AH5:AH9" si="0">SUM(C5:AG5)</f>
        <v>0</v>
      </c>
    </row>
    <row r="6" spans="1:34" ht="17.25" customHeight="1" x14ac:dyDescent="0.4">
      <c r="A6" s="178"/>
      <c r="B6" s="4" t="s">
        <v>7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65">
        <f t="shared" si="0"/>
        <v>0</v>
      </c>
    </row>
    <row r="7" spans="1:34" ht="17.25" customHeight="1" x14ac:dyDescent="0.4">
      <c r="A7" s="178"/>
      <c r="B7" s="4" t="s">
        <v>38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65">
        <f t="shared" si="0"/>
        <v>0</v>
      </c>
    </row>
    <row r="8" spans="1:34" ht="17.25" customHeight="1" x14ac:dyDescent="0.4">
      <c r="A8" s="178"/>
      <c r="B8" s="4" t="s">
        <v>39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65">
        <f t="shared" si="0"/>
        <v>0</v>
      </c>
    </row>
    <row r="9" spans="1:34" ht="17.25" customHeight="1" thickBot="1" x14ac:dyDescent="0.45">
      <c r="A9" s="179"/>
      <c r="B9" s="62" t="s">
        <v>40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67">
        <f t="shared" si="0"/>
        <v>0</v>
      </c>
    </row>
    <row r="10" spans="1:34" ht="17.25" customHeight="1" x14ac:dyDescent="0.4">
      <c r="A10" s="184" t="s">
        <v>3</v>
      </c>
      <c r="B10" s="63" t="s">
        <v>6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64">
        <f>SUM(C10:AG10)</f>
        <v>0</v>
      </c>
    </row>
    <row r="11" spans="1:34" ht="17.25" customHeight="1" x14ac:dyDescent="0.4">
      <c r="A11" s="178"/>
      <c r="B11" s="4" t="s">
        <v>37</v>
      </c>
      <c r="C11" s="47"/>
      <c r="D11" s="47"/>
      <c r="E11" s="47"/>
      <c r="F11" s="47"/>
      <c r="G11" s="47">
        <v>1</v>
      </c>
      <c r="H11" s="47"/>
      <c r="I11" s="47"/>
      <c r="J11" s="47"/>
      <c r="K11" s="47"/>
      <c r="L11" s="47"/>
      <c r="M11" s="47">
        <v>1</v>
      </c>
      <c r="N11" s="47"/>
      <c r="O11" s="47"/>
      <c r="P11" s="47"/>
      <c r="Q11" s="47"/>
      <c r="R11" s="47"/>
      <c r="S11" s="47"/>
      <c r="T11" s="47"/>
      <c r="U11" s="47"/>
      <c r="V11" s="126"/>
      <c r="W11" s="126"/>
      <c r="X11" s="126"/>
      <c r="Y11" s="126"/>
      <c r="Z11" s="126"/>
      <c r="AA11" s="47"/>
      <c r="AB11" s="47"/>
      <c r="AC11" s="47"/>
      <c r="AD11" s="47"/>
      <c r="AE11" s="47"/>
      <c r="AF11" s="47">
        <v>1</v>
      </c>
      <c r="AG11" s="47"/>
      <c r="AH11" s="65">
        <f t="shared" ref="AH11:AH14" si="1">SUM(C11:AG11)</f>
        <v>3</v>
      </c>
    </row>
    <row r="12" spans="1:34" ht="17.25" customHeight="1" x14ac:dyDescent="0.4">
      <c r="A12" s="178"/>
      <c r="B12" s="4" t="s">
        <v>7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>
        <v>1</v>
      </c>
      <c r="U12" s="47"/>
      <c r="V12" s="126"/>
      <c r="W12" s="126"/>
      <c r="X12" s="126"/>
      <c r="Y12" s="126"/>
      <c r="Z12" s="126"/>
      <c r="AA12" s="47"/>
      <c r="AB12" s="47"/>
      <c r="AC12" s="47"/>
      <c r="AD12" s="47"/>
      <c r="AE12" s="47"/>
      <c r="AF12" s="47"/>
      <c r="AG12" s="47">
        <v>2</v>
      </c>
      <c r="AH12" s="65">
        <f t="shared" si="1"/>
        <v>3</v>
      </c>
    </row>
    <row r="13" spans="1:34" ht="17.25" customHeight="1" x14ac:dyDescent="0.4">
      <c r="A13" s="178"/>
      <c r="B13" s="4" t="s">
        <v>38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126"/>
      <c r="W13" s="126"/>
      <c r="X13" s="126"/>
      <c r="Y13" s="126"/>
      <c r="Z13" s="126"/>
      <c r="AA13" s="47"/>
      <c r="AB13" s="47"/>
      <c r="AC13" s="47"/>
      <c r="AD13" s="47"/>
      <c r="AE13" s="47"/>
      <c r="AF13" s="47"/>
      <c r="AG13" s="47"/>
      <c r="AH13" s="65">
        <f t="shared" si="1"/>
        <v>0</v>
      </c>
    </row>
    <row r="14" spans="1:34" ht="17.25" customHeight="1" x14ac:dyDescent="0.4">
      <c r="A14" s="178"/>
      <c r="B14" s="4" t="s">
        <v>39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65">
        <f t="shared" si="1"/>
        <v>0</v>
      </c>
    </row>
    <row r="15" spans="1:34" ht="17.25" customHeight="1" thickBot="1" x14ac:dyDescent="0.45">
      <c r="A15" s="182"/>
      <c r="B15" s="60" t="s">
        <v>40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67">
        <f t="shared" ref="AH15" si="2">SUM(C15:AG15)</f>
        <v>0</v>
      </c>
    </row>
    <row r="16" spans="1:34" ht="15.9" customHeight="1" x14ac:dyDescent="0.4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</row>
    <row r="17" spans="1:34" ht="15.9" customHeight="1" x14ac:dyDescent="0.4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8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/>
    </row>
    <row r="18" spans="1:34" ht="15.9" customHeight="1" x14ac:dyDescent="0.4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8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0"/>
    </row>
    <row r="19" spans="1:34" ht="15.9" customHeight="1" x14ac:dyDescent="0.4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8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0"/>
    </row>
    <row r="20" spans="1:34" ht="15.9" customHeight="1" x14ac:dyDescent="0.4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8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/>
    </row>
    <row r="21" spans="1:34" ht="15.9" customHeight="1" x14ac:dyDescent="0.4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8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0"/>
    </row>
    <row r="22" spans="1:34" ht="15.9" customHeight="1" x14ac:dyDescent="0.4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8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20"/>
    </row>
    <row r="23" spans="1:34" ht="15.9" customHeight="1" x14ac:dyDescent="0.4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8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0"/>
    </row>
    <row r="24" spans="1:34" ht="15.9" customHeight="1" x14ac:dyDescent="0.4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8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20"/>
    </row>
    <row r="25" spans="1:34" ht="15.9" customHeight="1" x14ac:dyDescent="0.4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8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0"/>
    </row>
    <row r="26" spans="1:34" ht="15.9" customHeight="1" x14ac:dyDescent="0.4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8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0"/>
    </row>
    <row r="27" spans="1:34" ht="15.9" customHeight="1" x14ac:dyDescent="0.4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0"/>
    </row>
    <row r="28" spans="1:34" ht="15.9" customHeight="1" x14ac:dyDescent="0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1:34" ht="15.9" customHeight="1" x14ac:dyDescent="0.4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20"/>
    </row>
    <row r="30" spans="1:34" ht="15.9" customHeight="1" x14ac:dyDescent="0.4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0"/>
    </row>
    <row r="31" spans="1:34" ht="15.9" customHeight="1" x14ac:dyDescent="0.4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8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20"/>
    </row>
    <row r="32" spans="1:34" ht="15.9" customHeight="1" x14ac:dyDescent="0.4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8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20"/>
    </row>
    <row r="33" spans="1:34" ht="15.9" customHeight="1" x14ac:dyDescent="0.4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8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20"/>
    </row>
    <row r="34" spans="1:34" ht="15.9" customHeight="1" x14ac:dyDescent="0.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8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20"/>
    </row>
    <row r="35" spans="1:34" ht="15.9" customHeight="1" thickBot="1" x14ac:dyDescent="0.4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1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3"/>
    </row>
  </sheetData>
  <mergeCells count="4">
    <mergeCell ref="A10:A15"/>
    <mergeCell ref="B1:AH1"/>
    <mergeCell ref="A3:B3"/>
    <mergeCell ref="A4:A9"/>
  </mergeCells>
  <phoneticPr fontId="2" type="noConversion"/>
  <pageMargins left="0.31496062992125984" right="0.23622047244094491" top="0.6692913385826772" bottom="0.35433070866141736" header="0.31496062992125984" footer="0.31496062992125984"/>
  <pageSetup paperSize="9" scale="8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zoomScaleNormal="100" workbookViewId="0">
      <selection activeCell="H36" sqref="H36"/>
    </sheetView>
  </sheetViews>
  <sheetFormatPr defaultColWidth="9" defaultRowHeight="15.9" customHeight="1" x14ac:dyDescent="0.4"/>
  <cols>
    <col min="1" max="1" width="6.69921875" style="2" customWidth="1"/>
    <col min="2" max="15" width="11.59765625" style="1" customWidth="1"/>
    <col min="16" max="16" width="12.09765625" style="1" customWidth="1"/>
    <col min="17" max="16384" width="9" style="1"/>
  </cols>
  <sheetData>
    <row r="1" spans="1:16" ht="22.5" customHeight="1" thickBot="1" x14ac:dyDescent="0.45">
      <c r="A1" s="185" t="s">
        <v>89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7"/>
    </row>
    <row r="2" spans="1:16" ht="15.9" customHeight="1" x14ac:dyDescent="0.4">
      <c r="A2" s="24" t="s">
        <v>46</v>
      </c>
      <c r="B2" s="154" t="s">
        <v>97</v>
      </c>
      <c r="C2" s="154" t="s">
        <v>98</v>
      </c>
      <c r="D2" s="154" t="s">
        <v>99</v>
      </c>
      <c r="E2" s="154" t="s">
        <v>100</v>
      </c>
      <c r="F2" s="154" t="s">
        <v>101</v>
      </c>
      <c r="G2" s="154" t="s">
        <v>102</v>
      </c>
      <c r="H2" s="154" t="s">
        <v>103</v>
      </c>
      <c r="I2" s="154" t="s">
        <v>104</v>
      </c>
      <c r="J2" s="154" t="s">
        <v>105</v>
      </c>
      <c r="K2" s="154" t="s">
        <v>106</v>
      </c>
      <c r="L2" s="154" t="s">
        <v>107</v>
      </c>
      <c r="M2" s="154" t="s">
        <v>108</v>
      </c>
      <c r="N2" s="154" t="s">
        <v>109</v>
      </c>
      <c r="O2" s="154" t="s">
        <v>110</v>
      </c>
      <c r="P2" s="7" t="s">
        <v>60</v>
      </c>
    </row>
    <row r="3" spans="1:16" ht="15.9" customHeight="1" x14ac:dyDescent="0.4">
      <c r="A3" s="68">
        <v>1</v>
      </c>
      <c r="B3" s="157"/>
      <c r="C3" s="157"/>
      <c r="D3" s="157">
        <v>26.71</v>
      </c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5">
        <f>SUM(B3:O3)</f>
        <v>26.71</v>
      </c>
    </row>
    <row r="4" spans="1:16" ht="15.9" customHeight="1" x14ac:dyDescent="0.4">
      <c r="A4" s="27">
        <v>2</v>
      </c>
      <c r="B4" s="157"/>
      <c r="C4" s="157"/>
      <c r="D4" s="157">
        <v>17.39</v>
      </c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5">
        <f t="shared" ref="P4:P33" si="0">SUM(B4:O4)</f>
        <v>17.39</v>
      </c>
    </row>
    <row r="5" spans="1:16" ht="15.9" customHeight="1" x14ac:dyDescent="0.4">
      <c r="A5" s="27">
        <v>3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5">
        <f t="shared" si="0"/>
        <v>0</v>
      </c>
    </row>
    <row r="6" spans="1:16" ht="15.9" customHeight="1" x14ac:dyDescent="0.4">
      <c r="A6" s="27">
        <v>4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5">
        <f t="shared" si="0"/>
        <v>0</v>
      </c>
    </row>
    <row r="7" spans="1:16" ht="15.9" customHeight="1" x14ac:dyDescent="0.4">
      <c r="A7" s="27">
        <v>5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5">
        <f t="shared" si="0"/>
        <v>0</v>
      </c>
    </row>
    <row r="8" spans="1:16" ht="15.9" customHeight="1" x14ac:dyDescent="0.4">
      <c r="A8" s="27">
        <v>6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5">
        <f t="shared" si="0"/>
        <v>0</v>
      </c>
    </row>
    <row r="9" spans="1:16" ht="15.9" customHeight="1" x14ac:dyDescent="0.4">
      <c r="A9" s="27">
        <v>7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5">
        <f t="shared" si="0"/>
        <v>0</v>
      </c>
    </row>
    <row r="10" spans="1:16" ht="15.9" customHeight="1" x14ac:dyDescent="0.4">
      <c r="A10" s="27">
        <v>8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5">
        <f t="shared" si="0"/>
        <v>0</v>
      </c>
    </row>
    <row r="11" spans="1:16" ht="15.9" customHeight="1" x14ac:dyDescent="0.4">
      <c r="A11" s="27">
        <v>9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5">
        <f t="shared" si="0"/>
        <v>0</v>
      </c>
    </row>
    <row r="12" spans="1:16" ht="15.9" customHeight="1" x14ac:dyDescent="0.4">
      <c r="A12" s="27">
        <v>10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5">
        <f t="shared" si="0"/>
        <v>0</v>
      </c>
    </row>
    <row r="13" spans="1:16" ht="15.9" customHeight="1" x14ac:dyDescent="0.4">
      <c r="A13" s="27">
        <v>11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5">
        <f t="shared" si="0"/>
        <v>0</v>
      </c>
    </row>
    <row r="14" spans="1:16" ht="15.9" customHeight="1" x14ac:dyDescent="0.4">
      <c r="A14" s="27">
        <v>12</v>
      </c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5">
        <f t="shared" si="0"/>
        <v>0</v>
      </c>
    </row>
    <row r="15" spans="1:16" ht="15.9" customHeight="1" x14ac:dyDescent="0.4">
      <c r="A15" s="27">
        <v>13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5">
        <f t="shared" si="0"/>
        <v>0</v>
      </c>
    </row>
    <row r="16" spans="1:16" ht="15.9" customHeight="1" x14ac:dyDescent="0.4">
      <c r="A16" s="27">
        <v>14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5">
        <f t="shared" si="0"/>
        <v>0</v>
      </c>
    </row>
    <row r="17" spans="1:16" ht="15.9" customHeight="1" x14ac:dyDescent="0.4">
      <c r="A17" s="27">
        <v>15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5">
        <f t="shared" si="0"/>
        <v>0</v>
      </c>
    </row>
    <row r="18" spans="1:16" ht="15.9" customHeight="1" x14ac:dyDescent="0.4">
      <c r="A18" s="27">
        <v>16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5">
        <f t="shared" si="0"/>
        <v>0</v>
      </c>
    </row>
    <row r="19" spans="1:16" ht="15.9" customHeight="1" x14ac:dyDescent="0.4">
      <c r="A19" s="27">
        <v>17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5">
        <f t="shared" si="0"/>
        <v>0</v>
      </c>
    </row>
    <row r="20" spans="1:16" ht="15.9" customHeight="1" x14ac:dyDescent="0.4">
      <c r="A20" s="27">
        <v>18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5">
        <f t="shared" si="0"/>
        <v>0</v>
      </c>
    </row>
    <row r="21" spans="1:16" ht="15.9" customHeight="1" x14ac:dyDescent="0.4">
      <c r="A21" s="27">
        <v>19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5">
        <f t="shared" si="0"/>
        <v>0</v>
      </c>
    </row>
    <row r="22" spans="1:16" ht="15.9" customHeight="1" x14ac:dyDescent="0.4">
      <c r="A22" s="27">
        <v>20</v>
      </c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5">
        <f t="shared" si="0"/>
        <v>0</v>
      </c>
    </row>
    <row r="23" spans="1:16" ht="15.9" customHeight="1" x14ac:dyDescent="0.4">
      <c r="A23" s="27">
        <v>21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5">
        <f t="shared" si="0"/>
        <v>0</v>
      </c>
    </row>
    <row r="24" spans="1:16" ht="15.9" customHeight="1" x14ac:dyDescent="0.4">
      <c r="A24" s="27">
        <v>22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5">
        <f t="shared" si="0"/>
        <v>0</v>
      </c>
    </row>
    <row r="25" spans="1:16" ht="15.9" customHeight="1" x14ac:dyDescent="0.4">
      <c r="A25" s="27">
        <v>23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5">
        <f t="shared" si="0"/>
        <v>0</v>
      </c>
    </row>
    <row r="26" spans="1:16" ht="15.9" customHeight="1" x14ac:dyDescent="0.4">
      <c r="A26" s="27">
        <v>24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5">
        <f t="shared" si="0"/>
        <v>0</v>
      </c>
    </row>
    <row r="27" spans="1:16" ht="15.9" customHeight="1" x14ac:dyDescent="0.4">
      <c r="A27" s="27">
        <v>25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5">
        <f t="shared" si="0"/>
        <v>0</v>
      </c>
    </row>
    <row r="28" spans="1:16" ht="15.9" customHeight="1" x14ac:dyDescent="0.4">
      <c r="A28" s="27">
        <v>26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5">
        <f t="shared" si="0"/>
        <v>0</v>
      </c>
    </row>
    <row r="29" spans="1:16" ht="15.9" customHeight="1" x14ac:dyDescent="0.4">
      <c r="A29" s="27">
        <v>27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5">
        <f t="shared" si="0"/>
        <v>0</v>
      </c>
    </row>
    <row r="30" spans="1:16" ht="15.9" customHeight="1" x14ac:dyDescent="0.4">
      <c r="A30" s="27">
        <v>28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5">
        <f t="shared" si="0"/>
        <v>0</v>
      </c>
    </row>
    <row r="31" spans="1:16" ht="15.9" customHeight="1" x14ac:dyDescent="0.4">
      <c r="A31" s="27">
        <v>29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5">
        <f t="shared" si="0"/>
        <v>0</v>
      </c>
    </row>
    <row r="32" spans="1:16" ht="15.9" customHeight="1" x14ac:dyDescent="0.4">
      <c r="A32" s="27">
        <v>30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5">
        <f t="shared" si="0"/>
        <v>0</v>
      </c>
    </row>
    <row r="33" spans="1:16" ht="15.9" customHeight="1" x14ac:dyDescent="0.4">
      <c r="A33" s="27">
        <v>31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5">
        <f t="shared" si="0"/>
        <v>0</v>
      </c>
    </row>
    <row r="34" spans="1:16" ht="15.9" customHeight="1" thickBot="1" x14ac:dyDescent="0.45">
      <c r="A34" s="29" t="s">
        <v>1</v>
      </c>
      <c r="B34" s="156">
        <f>SUM(B3:B33)</f>
        <v>0</v>
      </c>
      <c r="C34" s="156">
        <f t="shared" ref="C34:O34" si="1">SUM(C3:C33)</f>
        <v>0</v>
      </c>
      <c r="D34" s="156">
        <f t="shared" si="1"/>
        <v>44.1</v>
      </c>
      <c r="E34" s="156">
        <f t="shared" si="1"/>
        <v>0</v>
      </c>
      <c r="F34" s="156">
        <f t="shared" si="1"/>
        <v>0</v>
      </c>
      <c r="G34" s="156">
        <f t="shared" si="1"/>
        <v>0</v>
      </c>
      <c r="H34" s="156">
        <f t="shared" si="1"/>
        <v>0</v>
      </c>
      <c r="I34" s="156">
        <f t="shared" si="1"/>
        <v>0</v>
      </c>
      <c r="J34" s="156"/>
      <c r="K34" s="156"/>
      <c r="L34" s="156">
        <f t="shared" si="1"/>
        <v>0</v>
      </c>
      <c r="M34" s="156">
        <f t="shared" si="1"/>
        <v>0</v>
      </c>
      <c r="N34" s="156"/>
      <c r="O34" s="156">
        <f t="shared" si="1"/>
        <v>0</v>
      </c>
      <c r="P34" s="156">
        <f t="shared" ref="P34" si="2">SUM(P3:P33)</f>
        <v>44.1</v>
      </c>
    </row>
  </sheetData>
  <mergeCells count="1">
    <mergeCell ref="A1:P1"/>
  </mergeCells>
  <phoneticPr fontId="2" type="noConversion"/>
  <pageMargins left="0.21" right="0.22" top="0.76" bottom="0.35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zoomScale="130" zoomScaleNormal="130" workbookViewId="0">
      <selection activeCell="AF9" sqref="AF9"/>
    </sheetView>
  </sheetViews>
  <sheetFormatPr defaultColWidth="9" defaultRowHeight="15.9" customHeight="1" x14ac:dyDescent="0.4"/>
  <cols>
    <col min="1" max="1" width="6.09765625" style="1" customWidth="1"/>
    <col min="2" max="32" width="4.3984375" style="1" customWidth="1"/>
    <col min="33" max="33" width="6" style="1" customWidth="1"/>
    <col min="34" max="41" width="8.5" style="1" customWidth="1"/>
    <col min="42" max="52" width="11.59765625" style="1" customWidth="1"/>
    <col min="53" max="53" width="14.19921875" style="1" customWidth="1"/>
    <col min="54" max="76" width="5.8984375" style="1" customWidth="1"/>
    <col min="77" max="77" width="6.69921875" style="1" customWidth="1"/>
    <col min="78" max="16384" width="9" style="1"/>
  </cols>
  <sheetData>
    <row r="1" spans="1:33" ht="26.25" customHeight="1" x14ac:dyDescent="0.4">
      <c r="A1" s="161" t="s">
        <v>88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</row>
    <row r="2" spans="1:33" ht="8.25" customHeight="1" thickBot="1" x14ac:dyDescent="0.45"/>
    <row r="3" spans="1:33" ht="39.75" customHeight="1" thickBot="1" x14ac:dyDescent="0.45">
      <c r="A3" s="36" t="s">
        <v>2</v>
      </c>
      <c r="B3" s="37">
        <v>1</v>
      </c>
      <c r="C3" s="37">
        <v>2</v>
      </c>
      <c r="D3" s="37">
        <v>3</v>
      </c>
      <c r="E3" s="37">
        <v>4</v>
      </c>
      <c r="F3" s="37">
        <v>5</v>
      </c>
      <c r="G3" s="37">
        <v>6</v>
      </c>
      <c r="H3" s="37">
        <v>7</v>
      </c>
      <c r="I3" s="37">
        <v>8</v>
      </c>
      <c r="J3" s="37">
        <v>9</v>
      </c>
      <c r="K3" s="37">
        <v>10</v>
      </c>
      <c r="L3" s="37">
        <v>11</v>
      </c>
      <c r="M3" s="37">
        <v>12</v>
      </c>
      <c r="N3" s="37">
        <v>13</v>
      </c>
      <c r="O3" s="37">
        <v>14</v>
      </c>
      <c r="P3" s="37">
        <v>15</v>
      </c>
      <c r="Q3" s="37">
        <v>16</v>
      </c>
      <c r="R3" s="37">
        <v>17</v>
      </c>
      <c r="S3" s="37">
        <v>18</v>
      </c>
      <c r="T3" s="37">
        <v>19</v>
      </c>
      <c r="U3" s="37">
        <v>20</v>
      </c>
      <c r="V3" s="37">
        <v>21</v>
      </c>
      <c r="W3" s="37">
        <v>22</v>
      </c>
      <c r="X3" s="37">
        <v>23</v>
      </c>
      <c r="Y3" s="37">
        <v>24</v>
      </c>
      <c r="Z3" s="37">
        <v>25</v>
      </c>
      <c r="AA3" s="37">
        <v>26</v>
      </c>
      <c r="AB3" s="37">
        <v>27</v>
      </c>
      <c r="AC3" s="37">
        <v>28</v>
      </c>
      <c r="AD3" s="37">
        <v>29</v>
      </c>
      <c r="AE3" s="37">
        <v>30</v>
      </c>
      <c r="AF3" s="37">
        <v>31</v>
      </c>
      <c r="AG3" s="38" t="s">
        <v>9</v>
      </c>
    </row>
    <row r="4" spans="1:33" ht="39.75" customHeight="1" thickTop="1" x14ac:dyDescent="0.4">
      <c r="A4" s="42" t="s">
        <v>41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69">
        <f>SUM(B4:AF4)</f>
        <v>0</v>
      </c>
    </row>
    <row r="5" spans="1:33" ht="39.75" customHeight="1" x14ac:dyDescent="0.4">
      <c r="A5" s="46" t="s">
        <v>42</v>
      </c>
      <c r="B5" s="47">
        <v>5</v>
      </c>
      <c r="C5" s="47">
        <v>5</v>
      </c>
      <c r="D5" s="47">
        <v>5</v>
      </c>
      <c r="E5" s="47">
        <v>5</v>
      </c>
      <c r="F5" s="47"/>
      <c r="G5" s="47">
        <v>5</v>
      </c>
      <c r="H5" s="47">
        <v>5</v>
      </c>
      <c r="I5" s="47">
        <v>5</v>
      </c>
      <c r="J5" s="47">
        <v>5</v>
      </c>
      <c r="K5" s="47">
        <v>5</v>
      </c>
      <c r="L5" s="47">
        <v>5</v>
      </c>
      <c r="M5" s="47">
        <v>5</v>
      </c>
      <c r="N5" s="47">
        <v>5</v>
      </c>
      <c r="O5" s="47">
        <v>5</v>
      </c>
      <c r="P5" s="47">
        <v>5</v>
      </c>
      <c r="Q5" s="47">
        <v>5</v>
      </c>
      <c r="R5" s="47">
        <v>5</v>
      </c>
      <c r="S5" s="47">
        <v>5</v>
      </c>
      <c r="T5" s="47">
        <v>5</v>
      </c>
      <c r="U5" s="47">
        <v>5</v>
      </c>
      <c r="V5" s="47">
        <v>5</v>
      </c>
      <c r="W5" s="47">
        <v>5</v>
      </c>
      <c r="X5" s="47">
        <v>5</v>
      </c>
      <c r="Y5" s="47">
        <v>5</v>
      </c>
      <c r="Z5" s="47">
        <v>5</v>
      </c>
      <c r="AA5" s="47">
        <v>5</v>
      </c>
      <c r="AB5" s="47">
        <v>5</v>
      </c>
      <c r="AC5" s="47">
        <v>5</v>
      </c>
      <c r="AD5" s="47">
        <v>5</v>
      </c>
      <c r="AE5" s="47">
        <v>5</v>
      </c>
      <c r="AF5" s="47">
        <v>5</v>
      </c>
      <c r="AG5" s="65">
        <f t="shared" ref="AG5:AG9" si="0">SUM(B5:AF5)</f>
        <v>150</v>
      </c>
    </row>
    <row r="6" spans="1:33" ht="39.75" customHeight="1" x14ac:dyDescent="0.4">
      <c r="A6" s="46" t="s">
        <v>43</v>
      </c>
      <c r="B6" s="47">
        <v>21</v>
      </c>
      <c r="C6" s="47">
        <v>25</v>
      </c>
      <c r="D6" s="47">
        <v>23</v>
      </c>
      <c r="E6" s="47">
        <v>23</v>
      </c>
      <c r="F6" s="47">
        <v>25</v>
      </c>
      <c r="G6" s="47">
        <v>26</v>
      </c>
      <c r="H6" s="47"/>
      <c r="I6" s="47"/>
      <c r="J6" s="47">
        <v>27</v>
      </c>
      <c r="K6" s="47">
        <v>21</v>
      </c>
      <c r="L6" s="47">
        <v>36</v>
      </c>
      <c r="M6" s="47">
        <v>27</v>
      </c>
      <c r="N6" s="47">
        <v>29</v>
      </c>
      <c r="O6" s="47">
        <v>23</v>
      </c>
      <c r="P6" s="47">
        <v>32</v>
      </c>
      <c r="Q6" s="47">
        <v>36</v>
      </c>
      <c r="R6" s="47">
        <v>33</v>
      </c>
      <c r="S6" s="47">
        <v>22</v>
      </c>
      <c r="T6" s="47">
        <v>26</v>
      </c>
      <c r="U6" s="47">
        <v>26</v>
      </c>
      <c r="V6" s="47"/>
      <c r="W6" s="47"/>
      <c r="X6" s="47">
        <v>9</v>
      </c>
      <c r="Y6" s="47">
        <v>8</v>
      </c>
      <c r="Z6" s="47">
        <v>21</v>
      </c>
      <c r="AA6" s="47">
        <v>20</v>
      </c>
      <c r="AB6" s="47">
        <v>20</v>
      </c>
      <c r="AC6" s="47"/>
      <c r="AD6" s="47"/>
      <c r="AE6" s="47">
        <v>22</v>
      </c>
      <c r="AF6" s="47">
        <v>22</v>
      </c>
      <c r="AG6" s="65">
        <f t="shared" si="0"/>
        <v>603</v>
      </c>
    </row>
    <row r="7" spans="1:33" ht="39.75" customHeight="1" x14ac:dyDescent="0.4">
      <c r="A7" s="46" t="s">
        <v>44</v>
      </c>
      <c r="B7" s="47">
        <v>5</v>
      </c>
      <c r="C7" s="47">
        <v>7</v>
      </c>
      <c r="D7" s="47">
        <v>6</v>
      </c>
      <c r="E7" s="47">
        <v>7</v>
      </c>
      <c r="F7" s="47">
        <v>5</v>
      </c>
      <c r="G7" s="47">
        <v>5</v>
      </c>
      <c r="H7" s="47"/>
      <c r="I7" s="47"/>
      <c r="J7" s="47">
        <v>5</v>
      </c>
      <c r="K7" s="47">
        <v>5</v>
      </c>
      <c r="L7" s="47">
        <v>6</v>
      </c>
      <c r="M7" s="47">
        <v>4</v>
      </c>
      <c r="N7" s="47">
        <v>4</v>
      </c>
      <c r="O7" s="47">
        <v>5</v>
      </c>
      <c r="P7" s="47">
        <v>5</v>
      </c>
      <c r="Q7" s="47">
        <v>7</v>
      </c>
      <c r="R7" s="47">
        <v>5</v>
      </c>
      <c r="S7" s="47">
        <v>4</v>
      </c>
      <c r="T7" s="47">
        <v>3</v>
      </c>
      <c r="U7" s="47">
        <v>3</v>
      </c>
      <c r="V7" s="47"/>
      <c r="W7" s="47"/>
      <c r="X7" s="47">
        <v>4</v>
      </c>
      <c r="Y7" s="47">
        <v>4</v>
      </c>
      <c r="Z7" s="47">
        <v>4</v>
      </c>
      <c r="AA7" s="47">
        <v>6</v>
      </c>
      <c r="AB7" s="47">
        <v>6</v>
      </c>
      <c r="AC7" s="47"/>
      <c r="AD7" s="47"/>
      <c r="AE7" s="47">
        <v>5</v>
      </c>
      <c r="AF7" s="47">
        <v>4</v>
      </c>
      <c r="AG7" s="65">
        <f t="shared" si="0"/>
        <v>124</v>
      </c>
    </row>
    <row r="8" spans="1:33" ht="39.75" customHeight="1" x14ac:dyDescent="0.4">
      <c r="A8" s="46" t="s">
        <v>45</v>
      </c>
      <c r="B8" s="47">
        <v>5</v>
      </c>
      <c r="C8" s="47">
        <v>5</v>
      </c>
      <c r="D8" s="47">
        <v>5</v>
      </c>
      <c r="E8" s="47">
        <v>5</v>
      </c>
      <c r="F8" s="47">
        <v>5</v>
      </c>
      <c r="G8" s="47">
        <v>5</v>
      </c>
      <c r="H8" s="47"/>
      <c r="I8" s="47"/>
      <c r="J8" s="47">
        <v>4</v>
      </c>
      <c r="K8" s="47">
        <v>5</v>
      </c>
      <c r="L8" s="47">
        <v>5</v>
      </c>
      <c r="M8" s="47">
        <v>5</v>
      </c>
      <c r="N8" s="47">
        <v>5</v>
      </c>
      <c r="O8" s="47">
        <v>5</v>
      </c>
      <c r="P8" s="47">
        <v>5</v>
      </c>
      <c r="Q8" s="47">
        <v>5</v>
      </c>
      <c r="R8" s="47">
        <v>5</v>
      </c>
      <c r="S8" s="47">
        <v>5</v>
      </c>
      <c r="T8" s="47">
        <v>5</v>
      </c>
      <c r="U8" s="47">
        <v>5</v>
      </c>
      <c r="V8" s="47"/>
      <c r="W8" s="47"/>
      <c r="X8" s="47">
        <v>5</v>
      </c>
      <c r="Y8" s="47">
        <v>5</v>
      </c>
      <c r="Z8" s="47">
        <v>5</v>
      </c>
      <c r="AA8" s="47">
        <v>5</v>
      </c>
      <c r="AB8" s="47">
        <v>5</v>
      </c>
      <c r="AC8" s="47"/>
      <c r="AD8" s="47"/>
      <c r="AE8" s="47">
        <v>5</v>
      </c>
      <c r="AF8" s="47">
        <v>5</v>
      </c>
      <c r="AG8" s="65">
        <f t="shared" si="0"/>
        <v>124</v>
      </c>
    </row>
    <row r="9" spans="1:33" ht="39.75" customHeight="1" thickBot="1" x14ac:dyDescent="0.45">
      <c r="A9" s="59" t="s">
        <v>8</v>
      </c>
      <c r="B9" s="55">
        <v>60</v>
      </c>
      <c r="C9" s="55">
        <v>60</v>
      </c>
      <c r="D9" s="55">
        <v>60</v>
      </c>
      <c r="E9" s="55">
        <v>60</v>
      </c>
      <c r="F9" s="55">
        <v>60</v>
      </c>
      <c r="G9" s="55">
        <v>60</v>
      </c>
      <c r="H9" s="55">
        <v>50</v>
      </c>
      <c r="I9" s="55">
        <v>50</v>
      </c>
      <c r="J9" s="55">
        <v>50</v>
      </c>
      <c r="K9" s="55">
        <v>50</v>
      </c>
      <c r="L9" s="55">
        <v>50</v>
      </c>
      <c r="M9" s="55">
        <v>50</v>
      </c>
      <c r="N9" s="55">
        <v>50</v>
      </c>
      <c r="O9" s="55">
        <v>50</v>
      </c>
      <c r="P9" s="55">
        <v>50</v>
      </c>
      <c r="Q9" s="55">
        <v>50</v>
      </c>
      <c r="R9" s="55">
        <v>50</v>
      </c>
      <c r="S9" s="55">
        <v>50</v>
      </c>
      <c r="T9" s="55">
        <v>50</v>
      </c>
      <c r="U9" s="55">
        <v>50</v>
      </c>
      <c r="V9" s="55">
        <v>50</v>
      </c>
      <c r="W9" s="55">
        <v>50</v>
      </c>
      <c r="X9" s="55">
        <v>50</v>
      </c>
      <c r="Y9" s="55">
        <v>60</v>
      </c>
      <c r="Z9" s="55">
        <v>70</v>
      </c>
      <c r="AA9" s="55">
        <v>80</v>
      </c>
      <c r="AB9" s="55">
        <v>90</v>
      </c>
      <c r="AC9" s="55">
        <v>90</v>
      </c>
      <c r="AD9" s="55">
        <v>150</v>
      </c>
      <c r="AE9" s="55">
        <v>150</v>
      </c>
      <c r="AF9" s="55">
        <v>150</v>
      </c>
      <c r="AG9" s="66">
        <f t="shared" si="0"/>
        <v>2050</v>
      </c>
    </row>
    <row r="18" spans="9:9" ht="15.9" customHeight="1" x14ac:dyDescent="0.4">
      <c r="I18" s="1" t="s">
        <v>77</v>
      </c>
    </row>
  </sheetData>
  <mergeCells count="1">
    <mergeCell ref="A1:AG1"/>
  </mergeCells>
  <phoneticPr fontId="2" type="noConversion"/>
  <pageMargins left="0.31496062992125984" right="0.23622047244094491" top="0.6692913385826772" bottom="0.35433070866141736" header="0.31496062992125984" footer="0.31496062992125984"/>
  <pageSetup paperSize="9" scale="8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7" sqref="R17"/>
    </sheetView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소각량</vt:lpstr>
      <vt:lpstr>스팀량</vt:lpstr>
      <vt:lpstr>스팀량(적산)</vt:lpstr>
      <vt:lpstr>급수량</vt:lpstr>
      <vt:lpstr>전력</vt:lpstr>
      <vt:lpstr>폐기물</vt:lpstr>
      <vt:lpstr>약품</vt:lpstr>
      <vt:lpstr>TMS</vt:lpstr>
      <vt:lpstr>외부반입</vt:lpstr>
      <vt:lpstr>폐기물발생</vt:lpstr>
      <vt:lpstr>Sheet1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User</cp:lastModifiedBy>
  <cp:lastPrinted>2011-07-01T01:05:39Z</cp:lastPrinted>
  <dcterms:created xsi:type="dcterms:W3CDTF">2010-12-17T00:32:47Z</dcterms:created>
  <dcterms:modified xsi:type="dcterms:W3CDTF">2026-08-03T01:01:37Z</dcterms:modified>
</cp:coreProperties>
</file>