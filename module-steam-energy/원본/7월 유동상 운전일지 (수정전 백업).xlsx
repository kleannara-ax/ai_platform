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6416" windowHeight="8688" tabRatio="865" firstSheet="4" activeTab="31"/>
  </bookViews>
  <sheets>
    <sheet name="1" sheetId="15" r:id="rId1"/>
    <sheet name="2" sheetId="3" r:id="rId2"/>
    <sheet name="3" sheetId="16" r:id="rId3"/>
    <sheet name="4" sheetId="17" r:id="rId4"/>
    <sheet name="5" sheetId="18" r:id="rId5"/>
    <sheet name="6" sheetId="19" r:id="rId6"/>
    <sheet name="7" sheetId="20" r:id="rId7"/>
    <sheet name="8" sheetId="21" r:id="rId8"/>
    <sheet name="9" sheetId="22" r:id="rId9"/>
    <sheet name="10" sheetId="23" r:id="rId10"/>
    <sheet name="11" sheetId="24" r:id="rId11"/>
    <sheet name="12" sheetId="25" r:id="rId12"/>
    <sheet name="13" sheetId="26" r:id="rId13"/>
    <sheet name="14" sheetId="27" r:id="rId14"/>
    <sheet name="15" sheetId="28" r:id="rId15"/>
    <sheet name="16" sheetId="29" r:id="rId16"/>
    <sheet name="17" sheetId="31" r:id="rId17"/>
    <sheet name="18" sheetId="30" r:id="rId18"/>
    <sheet name="19" sheetId="33" r:id="rId19"/>
    <sheet name="20" sheetId="34" r:id="rId20"/>
    <sheet name="21" sheetId="35" r:id="rId21"/>
    <sheet name="22" sheetId="36" r:id="rId22"/>
    <sheet name="23" sheetId="37" r:id="rId23"/>
    <sheet name="24" sheetId="38" r:id="rId24"/>
    <sheet name="25" sheetId="39" r:id="rId25"/>
    <sheet name="26" sheetId="40" r:id="rId26"/>
    <sheet name="27" sheetId="41" r:id="rId27"/>
    <sheet name="28" sheetId="43" r:id="rId28"/>
    <sheet name="29" sheetId="44" r:id="rId29"/>
    <sheet name="30" sheetId="45" r:id="rId30"/>
    <sheet name="31" sheetId="54" r:id="rId31"/>
    <sheet name="요약(약품)" sheetId="47" r:id="rId32"/>
    <sheet name="요약(그외)" sheetId="49" r:id="rId33"/>
    <sheet name="함수율" sheetId="53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5" i="54" l="1"/>
  <c r="S26" i="54"/>
  <c r="S27" i="54"/>
  <c r="S28" i="54"/>
  <c r="S29" i="54"/>
  <c r="S24" i="54"/>
  <c r="Y18" i="54"/>
  <c r="W14" i="54"/>
  <c r="W12" i="54"/>
  <c r="U8" i="54"/>
  <c r="R8" i="54"/>
  <c r="G8" i="54"/>
  <c r="D8" i="54"/>
  <c r="X8" i="54"/>
  <c r="G19" i="36"/>
  <c r="X10" i="47"/>
  <c r="J25" i="33"/>
  <c r="K11" i="49"/>
  <c r="D31" i="19"/>
  <c r="N4" i="53"/>
  <c r="N5" i="53"/>
  <c r="N6" i="53"/>
  <c r="N7" i="53"/>
  <c r="N8" i="53"/>
  <c r="N9" i="53"/>
  <c r="N10" i="53"/>
  <c r="N11" i="53"/>
  <c r="N12" i="53"/>
  <c r="N13" i="53"/>
  <c r="N14" i="53"/>
  <c r="N15" i="53"/>
  <c r="N16" i="53"/>
  <c r="N17" i="53"/>
  <c r="N18" i="53"/>
  <c r="N19" i="53"/>
  <c r="N20" i="53"/>
  <c r="N21" i="53"/>
  <c r="N22" i="53"/>
  <c r="N23" i="53"/>
  <c r="N24" i="53"/>
  <c r="N25" i="53"/>
  <c r="N26" i="53"/>
  <c r="N27" i="53"/>
  <c r="N28" i="53"/>
  <c r="N29" i="53"/>
  <c r="N30" i="53"/>
  <c r="N31" i="53"/>
  <c r="N32" i="53"/>
  <c r="N33" i="53"/>
  <c r="N34" i="53"/>
  <c r="N35" i="53"/>
  <c r="N36" i="53"/>
  <c r="N37" i="53"/>
  <c r="N38" i="53"/>
  <c r="N39" i="53"/>
  <c r="N40" i="53"/>
  <c r="N41" i="53"/>
  <c r="N42" i="53"/>
  <c r="N43" i="53"/>
  <c r="N44" i="53"/>
  <c r="N45" i="53"/>
  <c r="N46" i="53"/>
  <c r="N47" i="53"/>
  <c r="N48" i="53"/>
  <c r="N49" i="53"/>
  <c r="N50" i="53"/>
  <c r="N51" i="53"/>
  <c r="N52" i="53"/>
  <c r="N53" i="53"/>
  <c r="N54" i="53"/>
  <c r="N55" i="53"/>
  <c r="N56" i="53"/>
  <c r="N57" i="53"/>
  <c r="N58" i="53"/>
  <c r="N59" i="53"/>
  <c r="N60" i="53"/>
  <c r="N61" i="53"/>
  <c r="N62" i="53"/>
  <c r="N63" i="53"/>
  <c r="N64" i="53"/>
  <c r="N65" i="53"/>
  <c r="N66" i="53"/>
  <c r="N67" i="53"/>
  <c r="N68" i="53"/>
  <c r="N69" i="53"/>
  <c r="N70" i="53"/>
  <c r="N71" i="53"/>
  <c r="N72" i="53"/>
  <c r="N73" i="53"/>
  <c r="N74" i="53"/>
  <c r="N75" i="53"/>
  <c r="N76" i="53"/>
  <c r="N77" i="53"/>
  <c r="N78" i="53"/>
  <c r="N79" i="53"/>
  <c r="N80" i="53"/>
  <c r="N81" i="53"/>
  <c r="N82" i="53"/>
  <c r="N83" i="53"/>
  <c r="N84" i="53"/>
  <c r="N85" i="53"/>
  <c r="N86" i="53"/>
  <c r="N87" i="53"/>
  <c r="N88" i="53"/>
  <c r="N89" i="53"/>
  <c r="N90" i="53"/>
  <c r="N91" i="53"/>
  <c r="N92" i="53"/>
  <c r="N93" i="53"/>
  <c r="N94" i="53"/>
  <c r="N95" i="53"/>
  <c r="N3" i="53"/>
  <c r="G19" i="15"/>
  <c r="G19" i="3"/>
  <c r="G19" i="16"/>
  <c r="G19" i="17"/>
  <c r="G19" i="18"/>
  <c r="G19" i="19"/>
  <c r="G19" i="21"/>
  <c r="G19" i="22"/>
  <c r="G19" i="23"/>
  <c r="G19" i="24"/>
  <c r="G19" i="25"/>
  <c r="G19" i="26"/>
  <c r="G19" i="27"/>
  <c r="G19" i="28"/>
  <c r="G19" i="29"/>
  <c r="G19" i="31"/>
  <c r="G19" i="30"/>
  <c r="G19" i="33"/>
  <c r="G19" i="34"/>
  <c r="G19" i="35"/>
  <c r="G19" i="37"/>
  <c r="G19" i="38"/>
  <c r="G19" i="39"/>
  <c r="G19" i="40"/>
  <c r="G19" i="41"/>
  <c r="G19" i="43"/>
  <c r="G19" i="44"/>
  <c r="G19" i="45"/>
  <c r="G19" i="54"/>
  <c r="D25" i="24"/>
  <c r="S25" i="23" l="1"/>
  <c r="S26" i="23"/>
  <c r="S27" i="23"/>
  <c r="S28" i="23"/>
  <c r="S29" i="23"/>
  <c r="S24" i="23"/>
  <c r="C20" i="54"/>
  <c r="C20" i="45"/>
  <c r="C20" i="44"/>
  <c r="C20" i="43"/>
  <c r="C20" i="41"/>
  <c r="C20" i="40"/>
  <c r="C20" i="39"/>
  <c r="C20" i="38"/>
  <c r="C20" i="37"/>
  <c r="C20" i="36"/>
  <c r="C20" i="35"/>
  <c r="C20" i="34"/>
  <c r="C20" i="33"/>
  <c r="C20" i="30"/>
  <c r="C20" i="31"/>
  <c r="C20" i="29"/>
  <c r="C20" i="28"/>
  <c r="C20" i="27"/>
  <c r="C20" i="26"/>
  <c r="C20" i="25"/>
  <c r="C20" i="24"/>
  <c r="C20" i="23"/>
  <c r="C20" i="22"/>
  <c r="C20" i="21"/>
  <c r="C20" i="20"/>
  <c r="C20" i="19"/>
  <c r="C20" i="18"/>
  <c r="C20" i="17"/>
  <c r="C20" i="16"/>
  <c r="C20" i="3"/>
  <c r="AG4" i="47" l="1"/>
  <c r="S29" i="47"/>
  <c r="T29" i="47"/>
  <c r="S24" i="45"/>
  <c r="S25" i="45"/>
  <c r="S26" i="45"/>
  <c r="S27" i="45"/>
  <c r="S28" i="45"/>
  <c r="S29" i="45"/>
  <c r="S24" i="44"/>
  <c r="S25" i="44"/>
  <c r="S26" i="44"/>
  <c r="S27" i="44"/>
  <c r="S28" i="44"/>
  <c r="S29" i="44"/>
  <c r="S24" i="43"/>
  <c r="S25" i="43"/>
  <c r="S26" i="43"/>
  <c r="S27" i="43"/>
  <c r="S28" i="43"/>
  <c r="S29" i="43"/>
  <c r="S24" i="41"/>
  <c r="S25" i="41"/>
  <c r="S26" i="41"/>
  <c r="S27" i="41"/>
  <c r="S28" i="41"/>
  <c r="S29" i="41"/>
  <c r="S24" i="40"/>
  <c r="S25" i="40"/>
  <c r="S26" i="40"/>
  <c r="S27" i="40"/>
  <c r="S28" i="40"/>
  <c r="S29" i="40"/>
  <c r="S24" i="39"/>
  <c r="S25" i="39"/>
  <c r="S26" i="39"/>
  <c r="S27" i="39"/>
  <c r="S28" i="39"/>
  <c r="S29" i="39"/>
  <c r="S24" i="38"/>
  <c r="S25" i="38"/>
  <c r="S26" i="38"/>
  <c r="S27" i="38"/>
  <c r="S28" i="38"/>
  <c r="S29" i="38"/>
  <c r="S24" i="37"/>
  <c r="S25" i="37"/>
  <c r="S26" i="37"/>
  <c r="S27" i="37"/>
  <c r="S28" i="37"/>
  <c r="S29" i="37"/>
  <c r="S24" i="36"/>
  <c r="S25" i="36"/>
  <c r="S26" i="36"/>
  <c r="S27" i="36"/>
  <c r="S28" i="36"/>
  <c r="S29" i="36"/>
  <c r="S24" i="35"/>
  <c r="S25" i="35"/>
  <c r="S26" i="35"/>
  <c r="S27" i="35"/>
  <c r="S28" i="35"/>
  <c r="S29" i="35"/>
  <c r="S24" i="34"/>
  <c r="S25" i="34"/>
  <c r="S26" i="34"/>
  <c r="S27" i="34"/>
  <c r="S28" i="34"/>
  <c r="S29" i="34"/>
  <c r="S24" i="33"/>
  <c r="S25" i="33"/>
  <c r="S26" i="33"/>
  <c r="S27" i="33"/>
  <c r="S28" i="33"/>
  <c r="S29" i="33"/>
  <c r="S24" i="30"/>
  <c r="S25" i="30"/>
  <c r="S26" i="30"/>
  <c r="S27" i="30"/>
  <c r="S28" i="30"/>
  <c r="S29" i="30"/>
  <c r="S24" i="31"/>
  <c r="S25" i="31"/>
  <c r="S26" i="31"/>
  <c r="S27" i="31"/>
  <c r="S28" i="31"/>
  <c r="S29" i="31"/>
  <c r="S24" i="29"/>
  <c r="S25" i="29"/>
  <c r="S26" i="29"/>
  <c r="S27" i="29"/>
  <c r="S28" i="29"/>
  <c r="S29" i="29"/>
  <c r="S24" i="28"/>
  <c r="S25" i="28"/>
  <c r="S26" i="28"/>
  <c r="S27" i="28"/>
  <c r="S28" i="28"/>
  <c r="S29" i="28"/>
  <c r="S24" i="27"/>
  <c r="S25" i="27"/>
  <c r="S26" i="27"/>
  <c r="S27" i="27"/>
  <c r="S28" i="27"/>
  <c r="S29" i="27"/>
  <c r="S24" i="26"/>
  <c r="S25" i="26"/>
  <c r="S26" i="26"/>
  <c r="S27" i="26"/>
  <c r="S28" i="26"/>
  <c r="S29" i="26"/>
  <c r="S24" i="25"/>
  <c r="S25" i="25"/>
  <c r="S26" i="25"/>
  <c r="S27" i="25"/>
  <c r="S28" i="25"/>
  <c r="S29" i="25"/>
  <c r="S24" i="24"/>
  <c r="S25" i="24"/>
  <c r="S26" i="24"/>
  <c r="S27" i="24"/>
  <c r="S28" i="24"/>
  <c r="S29" i="24"/>
  <c r="S24" i="22"/>
  <c r="S25" i="22"/>
  <c r="S26" i="22"/>
  <c r="S27" i="22"/>
  <c r="S28" i="22"/>
  <c r="S29" i="22"/>
  <c r="S24" i="21"/>
  <c r="S25" i="21"/>
  <c r="S26" i="21"/>
  <c r="S27" i="21"/>
  <c r="S28" i="21"/>
  <c r="S29" i="21"/>
  <c r="S24" i="20"/>
  <c r="S25" i="20"/>
  <c r="S26" i="20"/>
  <c r="S27" i="20"/>
  <c r="S28" i="20"/>
  <c r="S29" i="20"/>
  <c r="S24" i="19"/>
  <c r="S25" i="19"/>
  <c r="S26" i="19"/>
  <c r="S27" i="19"/>
  <c r="S28" i="19"/>
  <c r="S29" i="19"/>
  <c r="S24" i="18"/>
  <c r="S25" i="18"/>
  <c r="S26" i="18"/>
  <c r="S27" i="18"/>
  <c r="S28" i="18"/>
  <c r="S29" i="18"/>
  <c r="S24" i="17"/>
  <c r="S25" i="17"/>
  <c r="S26" i="17"/>
  <c r="S27" i="17"/>
  <c r="S28" i="17"/>
  <c r="S29" i="17"/>
  <c r="S24" i="16"/>
  <c r="S25" i="16"/>
  <c r="S26" i="16"/>
  <c r="S27" i="16"/>
  <c r="S28" i="16"/>
  <c r="S29" i="16"/>
  <c r="S24" i="3"/>
  <c r="S25" i="3"/>
  <c r="S26" i="3"/>
  <c r="S27" i="3"/>
  <c r="S28" i="3"/>
  <c r="S29" i="3"/>
  <c r="AI6" i="49"/>
  <c r="AI9" i="49"/>
  <c r="AI10" i="49"/>
  <c r="AH6" i="49"/>
  <c r="AH9" i="49"/>
  <c r="AH10" i="49"/>
  <c r="S22" i="47"/>
  <c r="S23" i="47"/>
  <c r="S20" i="47"/>
  <c r="S19" i="47"/>
  <c r="S17" i="47"/>
  <c r="S16" i="47"/>
  <c r="S14" i="47"/>
  <c r="S13" i="47"/>
  <c r="S11" i="47"/>
  <c r="S10" i="47"/>
  <c r="S8" i="47"/>
  <c r="S7" i="47"/>
  <c r="S25" i="47"/>
  <c r="S28" i="47"/>
  <c r="T28" i="47"/>
  <c r="T27" i="47"/>
  <c r="T25" i="47"/>
  <c r="T23" i="47"/>
  <c r="T22" i="47"/>
  <c r="T20" i="47"/>
  <c r="T19" i="47"/>
  <c r="T17" i="47"/>
  <c r="T16" i="47"/>
  <c r="T14" i="47"/>
  <c r="T13" i="47"/>
  <c r="T11" i="47"/>
  <c r="T10" i="47"/>
  <c r="T8" i="47"/>
  <c r="T7" i="47"/>
  <c r="T4" i="49"/>
  <c r="T21" i="49"/>
  <c r="T20" i="49"/>
  <c r="T19" i="49"/>
  <c r="T18" i="49"/>
  <c r="T17" i="49"/>
  <c r="T16" i="49"/>
  <c r="T15" i="49"/>
  <c r="T13" i="49"/>
  <c r="S21" i="49"/>
  <c r="S20" i="49"/>
  <c r="S19" i="49"/>
  <c r="S18" i="49"/>
  <c r="S17" i="49"/>
  <c r="S16" i="49"/>
  <c r="S13" i="49"/>
  <c r="S15" i="49"/>
  <c r="T12" i="49"/>
  <c r="T11" i="49"/>
  <c r="S12" i="49"/>
  <c r="S11" i="49"/>
  <c r="S5" i="47"/>
  <c r="S4" i="47"/>
  <c r="T5" i="47"/>
  <c r="T4" i="47"/>
  <c r="K20" i="33"/>
  <c r="M20" i="33"/>
  <c r="S8" i="49"/>
  <c r="S5" i="49"/>
  <c r="S7" i="49" s="1"/>
  <c r="T8" i="49"/>
  <c r="T5" i="49"/>
  <c r="U5" i="49"/>
  <c r="U8" i="49"/>
  <c r="S4" i="49"/>
  <c r="S30" i="33"/>
  <c r="S30" i="30"/>
  <c r="D33" i="31"/>
  <c r="D26" i="31"/>
  <c r="D27" i="31"/>
  <c r="D28" i="31"/>
  <c r="D29" i="31"/>
  <c r="D30" i="31"/>
  <c r="D31" i="31"/>
  <c r="D32" i="31"/>
  <c r="D25" i="31"/>
  <c r="D24" i="31"/>
  <c r="D26" i="30"/>
  <c r="D27" i="30"/>
  <c r="D28" i="30"/>
  <c r="D29" i="30"/>
  <c r="D30" i="30"/>
  <c r="D31" i="30"/>
  <c r="D32" i="30"/>
  <c r="D33" i="30"/>
  <c r="D25" i="30"/>
  <c r="D24" i="30"/>
  <c r="D25" i="33"/>
  <c r="D26" i="33"/>
  <c r="D27" i="33"/>
  <c r="D28" i="33"/>
  <c r="D29" i="33"/>
  <c r="D30" i="33"/>
  <c r="D31" i="33"/>
  <c r="D32" i="33"/>
  <c r="D33" i="33"/>
  <c r="D24" i="33"/>
  <c r="D26" i="54" l="1"/>
  <c r="D27" i="54"/>
  <c r="D28" i="54"/>
  <c r="D29" i="54"/>
  <c r="D30" i="54"/>
  <c r="D31" i="54"/>
  <c r="D32" i="54"/>
  <c r="D33" i="54"/>
  <c r="D25" i="54"/>
  <c r="D24" i="54"/>
  <c r="AG21" i="49"/>
  <c r="AG20" i="49"/>
  <c r="AG19" i="49"/>
  <c r="AG18" i="49"/>
  <c r="AG17" i="49"/>
  <c r="AG16" i="49"/>
  <c r="AG15" i="49"/>
  <c r="AG13" i="49"/>
  <c r="AG12" i="49"/>
  <c r="AG11" i="49"/>
  <c r="AG8" i="49"/>
  <c r="AG5" i="49"/>
  <c r="AG7" i="49" s="1"/>
  <c r="AG4" i="49"/>
  <c r="AG28" i="47"/>
  <c r="AG25" i="47"/>
  <c r="AG23" i="47"/>
  <c r="AG22" i="47"/>
  <c r="AG20" i="47"/>
  <c r="AG19" i="47"/>
  <c r="AG17" i="47"/>
  <c r="AG16" i="47"/>
  <c r="AG14" i="47"/>
  <c r="AG13" i="47"/>
  <c r="AG11" i="47"/>
  <c r="AG10" i="47"/>
  <c r="AG8" i="47"/>
  <c r="AG7" i="47"/>
  <c r="AG5" i="47"/>
  <c r="W18" i="3" l="1"/>
  <c r="W18" i="16"/>
  <c r="W18" i="17"/>
  <c r="W18" i="18"/>
  <c r="W18" i="19"/>
  <c r="W18" i="20"/>
  <c r="W18" i="21"/>
  <c r="W18" i="22"/>
  <c r="W18" i="23"/>
  <c r="W18" i="24"/>
  <c r="W18" i="25"/>
  <c r="W18" i="26"/>
  <c r="W18" i="27"/>
  <c r="W18" i="28"/>
  <c r="W18" i="29"/>
  <c r="W18" i="30"/>
  <c r="W18" i="31"/>
  <c r="S14" i="49" s="1"/>
  <c r="W18" i="33"/>
  <c r="W18" i="34"/>
  <c r="W18" i="35"/>
  <c r="W18" i="36"/>
  <c r="W18" i="37"/>
  <c r="W18" i="38"/>
  <c r="W18" i="39"/>
  <c r="W18" i="40"/>
  <c r="W18" i="41"/>
  <c r="W18" i="43"/>
  <c r="W18" i="44"/>
  <c r="W18" i="45"/>
  <c r="W18" i="54"/>
  <c r="AG14" i="49" s="1"/>
  <c r="W18" i="15"/>
  <c r="AG29" i="47"/>
  <c r="J33" i="54"/>
  <c r="J32" i="54"/>
  <c r="J31" i="54"/>
  <c r="S30" i="54"/>
  <c r="J30" i="54"/>
  <c r="J29" i="54"/>
  <c r="J28" i="54"/>
  <c r="J27" i="54"/>
  <c r="J26" i="54"/>
  <c r="J25" i="54"/>
  <c r="J24" i="54"/>
  <c r="J7" i="54"/>
  <c r="O9" i="53"/>
  <c r="O36" i="53"/>
  <c r="O45" i="53"/>
  <c r="O69" i="53"/>
  <c r="O93" i="53" l="1"/>
  <c r="O90" i="53"/>
  <c r="O87" i="53"/>
  <c r="O84" i="53"/>
  <c r="O81" i="53"/>
  <c r="O78" i="53"/>
  <c r="O75" i="53"/>
  <c r="O72" i="53"/>
  <c r="O66" i="53"/>
  <c r="O63" i="53"/>
  <c r="O60" i="53"/>
  <c r="O57" i="53"/>
  <c r="T14" i="49"/>
  <c r="O54" i="53"/>
  <c r="O51" i="53"/>
  <c r="O48" i="53"/>
  <c r="O42" i="53"/>
  <c r="O39" i="53"/>
  <c r="O33" i="53"/>
  <c r="O30" i="53"/>
  <c r="O27" i="53"/>
  <c r="O24" i="53"/>
  <c r="O21" i="53"/>
  <c r="O18" i="53"/>
  <c r="O15" i="53"/>
  <c r="O12" i="53"/>
  <c r="O6" i="53"/>
  <c r="O3" i="53"/>
  <c r="AG25" i="49"/>
  <c r="AG24" i="49"/>
  <c r="AG26" i="49"/>
  <c r="AG23" i="49"/>
  <c r="AG22" i="49"/>
  <c r="AG28" i="49"/>
  <c r="AG27" i="49"/>
  <c r="J7" i="3"/>
  <c r="C28" i="47"/>
  <c r="I28" i="47"/>
  <c r="D26" i="17"/>
  <c r="D27" i="17"/>
  <c r="D28" i="17"/>
  <c r="D29" i="17"/>
  <c r="D30" i="17"/>
  <c r="D31" i="17"/>
  <c r="D32" i="17"/>
  <c r="D33" i="17"/>
  <c r="D25" i="17"/>
  <c r="D24" i="17"/>
  <c r="D26" i="45"/>
  <c r="D27" i="45"/>
  <c r="D28" i="45"/>
  <c r="D29" i="45"/>
  <c r="D30" i="45"/>
  <c r="D31" i="45"/>
  <c r="D32" i="45"/>
  <c r="D33" i="45"/>
  <c r="D25" i="45"/>
  <c r="D24" i="45"/>
  <c r="D26" i="44"/>
  <c r="D27" i="44"/>
  <c r="D28" i="44"/>
  <c r="D29" i="44"/>
  <c r="D30" i="44"/>
  <c r="D31" i="44"/>
  <c r="D32" i="44"/>
  <c r="D33" i="44"/>
  <c r="D25" i="44"/>
  <c r="D24" i="44"/>
  <c r="D26" i="43"/>
  <c r="D27" i="43"/>
  <c r="D28" i="43"/>
  <c r="D29" i="43"/>
  <c r="D30" i="43"/>
  <c r="D31" i="43"/>
  <c r="D32" i="43"/>
  <c r="D33" i="43"/>
  <c r="D25" i="43"/>
  <c r="D24" i="43"/>
  <c r="D26" i="41"/>
  <c r="D27" i="41"/>
  <c r="D28" i="41"/>
  <c r="D29" i="41"/>
  <c r="D30" i="41"/>
  <c r="D31" i="41"/>
  <c r="D32" i="41"/>
  <c r="D33" i="41"/>
  <c r="D25" i="41"/>
  <c r="D24" i="41"/>
  <c r="D26" i="40"/>
  <c r="D27" i="40"/>
  <c r="D28" i="40"/>
  <c r="D29" i="40"/>
  <c r="D30" i="40"/>
  <c r="D31" i="40"/>
  <c r="D32" i="40"/>
  <c r="D33" i="40"/>
  <c r="D25" i="40"/>
  <c r="D24" i="40"/>
  <c r="D26" i="39"/>
  <c r="D27" i="39"/>
  <c r="D28" i="39"/>
  <c r="D29" i="39"/>
  <c r="D30" i="39"/>
  <c r="D31" i="39"/>
  <c r="D32" i="39"/>
  <c r="D33" i="39"/>
  <c r="D25" i="39"/>
  <c r="D24" i="39"/>
  <c r="D26" i="38"/>
  <c r="D27" i="38"/>
  <c r="D28" i="38"/>
  <c r="D29" i="38"/>
  <c r="D30" i="38"/>
  <c r="D31" i="38"/>
  <c r="D32" i="38"/>
  <c r="D33" i="38"/>
  <c r="D25" i="38"/>
  <c r="D24" i="38"/>
  <c r="D26" i="37"/>
  <c r="D27" i="37"/>
  <c r="D28" i="37"/>
  <c r="D29" i="37"/>
  <c r="D30" i="37"/>
  <c r="D31" i="37"/>
  <c r="D32" i="37"/>
  <c r="D33" i="37"/>
  <c r="D25" i="37"/>
  <c r="D24" i="37"/>
  <c r="D26" i="36"/>
  <c r="D27" i="36"/>
  <c r="D28" i="36"/>
  <c r="D29" i="36"/>
  <c r="D30" i="36"/>
  <c r="D31" i="36"/>
  <c r="D32" i="36"/>
  <c r="D33" i="36"/>
  <c r="D25" i="36"/>
  <c r="D24" i="36"/>
  <c r="D26" i="35"/>
  <c r="D27" i="35"/>
  <c r="D28" i="35"/>
  <c r="D29" i="35"/>
  <c r="D30" i="35"/>
  <c r="D31" i="35"/>
  <c r="D32" i="35"/>
  <c r="D33" i="35"/>
  <c r="D25" i="35"/>
  <c r="D24" i="35"/>
  <c r="D26" i="34"/>
  <c r="D27" i="34"/>
  <c r="D28" i="34"/>
  <c r="D29" i="34"/>
  <c r="D30" i="34"/>
  <c r="D31" i="34"/>
  <c r="D32" i="34"/>
  <c r="D33" i="34"/>
  <c r="D25" i="34"/>
  <c r="D24" i="34"/>
  <c r="D26" i="29"/>
  <c r="D27" i="29"/>
  <c r="D28" i="29"/>
  <c r="D29" i="29"/>
  <c r="D30" i="29"/>
  <c r="D31" i="29"/>
  <c r="D32" i="29"/>
  <c r="D33" i="29"/>
  <c r="D25" i="29"/>
  <c r="D24" i="29"/>
  <c r="D26" i="28"/>
  <c r="D27" i="28"/>
  <c r="D28" i="28"/>
  <c r="D29" i="28"/>
  <c r="D30" i="28"/>
  <c r="D31" i="28"/>
  <c r="D32" i="28"/>
  <c r="D33" i="28"/>
  <c r="D25" i="28"/>
  <c r="D24" i="28"/>
  <c r="D26" i="27"/>
  <c r="D27" i="27"/>
  <c r="D28" i="27"/>
  <c r="D29" i="27"/>
  <c r="D30" i="27"/>
  <c r="D31" i="27"/>
  <c r="D32" i="27"/>
  <c r="D33" i="27"/>
  <c r="D25" i="27"/>
  <c r="D24" i="27"/>
  <c r="D26" i="26"/>
  <c r="D27" i="26"/>
  <c r="D28" i="26"/>
  <c r="D29" i="26"/>
  <c r="D30" i="26"/>
  <c r="D31" i="26"/>
  <c r="D32" i="26"/>
  <c r="D33" i="26"/>
  <c r="D25" i="26"/>
  <c r="D24" i="26"/>
  <c r="D26" i="25"/>
  <c r="D27" i="25"/>
  <c r="D28" i="25"/>
  <c r="D29" i="25"/>
  <c r="D30" i="25"/>
  <c r="D31" i="25"/>
  <c r="D32" i="25"/>
  <c r="D33" i="25"/>
  <c r="D25" i="25"/>
  <c r="D24" i="25"/>
  <c r="D26" i="24"/>
  <c r="D27" i="24"/>
  <c r="D28" i="24"/>
  <c r="D29" i="24"/>
  <c r="D30" i="24"/>
  <c r="D31" i="24"/>
  <c r="D32" i="24"/>
  <c r="D33" i="24"/>
  <c r="D24" i="24"/>
  <c r="D26" i="23"/>
  <c r="D27" i="23"/>
  <c r="D28" i="23"/>
  <c r="D29" i="23"/>
  <c r="D30" i="23"/>
  <c r="D31" i="23"/>
  <c r="D32" i="23"/>
  <c r="D33" i="23"/>
  <c r="D25" i="23"/>
  <c r="D24" i="23"/>
  <c r="D26" i="22"/>
  <c r="D27" i="22"/>
  <c r="D28" i="22"/>
  <c r="D29" i="22"/>
  <c r="D30" i="22"/>
  <c r="D31" i="22"/>
  <c r="D32" i="22"/>
  <c r="D33" i="22"/>
  <c r="D25" i="22"/>
  <c r="D24" i="22"/>
  <c r="D26" i="21"/>
  <c r="D27" i="21"/>
  <c r="D28" i="21"/>
  <c r="D29" i="21"/>
  <c r="D30" i="21"/>
  <c r="D31" i="21"/>
  <c r="D32" i="21"/>
  <c r="D33" i="21"/>
  <c r="D25" i="21"/>
  <c r="D24" i="21"/>
  <c r="D26" i="20"/>
  <c r="D27" i="20"/>
  <c r="D28" i="20"/>
  <c r="D29" i="20"/>
  <c r="D30" i="20"/>
  <c r="D31" i="20"/>
  <c r="D32" i="20"/>
  <c r="D33" i="20"/>
  <c r="D25" i="20"/>
  <c r="D24" i="20"/>
  <c r="D33" i="18"/>
  <c r="D26" i="19"/>
  <c r="D27" i="19"/>
  <c r="D28" i="19"/>
  <c r="D29" i="19"/>
  <c r="D30" i="19"/>
  <c r="D32" i="19"/>
  <c r="D33" i="19"/>
  <c r="D25" i="19"/>
  <c r="D24" i="19"/>
  <c r="D26" i="18"/>
  <c r="D27" i="18"/>
  <c r="D28" i="18"/>
  <c r="D29" i="18"/>
  <c r="D30" i="18"/>
  <c r="D31" i="18"/>
  <c r="D32" i="18"/>
  <c r="D25" i="18"/>
  <c r="D24" i="18"/>
  <c r="D29" i="16"/>
  <c r="D25" i="16"/>
  <c r="D26" i="16"/>
  <c r="D27" i="16"/>
  <c r="D28" i="16"/>
  <c r="D30" i="16"/>
  <c r="D31" i="16"/>
  <c r="D32" i="16"/>
  <c r="D33" i="16"/>
  <c r="D24" i="16"/>
  <c r="D25" i="3"/>
  <c r="D26" i="3"/>
  <c r="D27" i="3"/>
  <c r="D28" i="3"/>
  <c r="D29" i="3"/>
  <c r="D30" i="3"/>
  <c r="D31" i="3"/>
  <c r="D32" i="3"/>
  <c r="D33" i="3"/>
  <c r="D24" i="3"/>
  <c r="J7" i="19" l="1"/>
  <c r="J7" i="20"/>
  <c r="J7" i="21"/>
  <c r="J7" i="22"/>
  <c r="J7" i="23"/>
  <c r="J7" i="24"/>
  <c r="J7" i="25"/>
  <c r="J7" i="26"/>
  <c r="J7" i="27"/>
  <c r="J7" i="28"/>
  <c r="J7" i="29"/>
  <c r="J7" i="30"/>
  <c r="J7" i="31"/>
  <c r="J7" i="33"/>
  <c r="J7" i="34"/>
  <c r="J7" i="35"/>
  <c r="J7" i="36"/>
  <c r="J7" i="37"/>
  <c r="J7" i="38"/>
  <c r="J7" i="39"/>
  <c r="J7" i="40"/>
  <c r="J7" i="41"/>
  <c r="J7" i="43"/>
  <c r="J7" i="44"/>
  <c r="J7" i="45"/>
  <c r="J7" i="18"/>
  <c r="J7" i="15"/>
  <c r="S30" i="3" l="1"/>
  <c r="J32" i="23"/>
  <c r="J32" i="22" l="1"/>
  <c r="J32" i="37"/>
  <c r="J31" i="38"/>
  <c r="J33" i="38"/>
  <c r="J31" i="39"/>
  <c r="J32" i="39"/>
  <c r="J31" i="40"/>
  <c r="J32" i="40"/>
  <c r="J31" i="43"/>
  <c r="J32" i="43"/>
  <c r="J31" i="44"/>
  <c r="J32" i="44"/>
  <c r="J33" i="44"/>
  <c r="J31" i="45"/>
  <c r="J33" i="45"/>
  <c r="J32" i="45"/>
  <c r="J33" i="43"/>
  <c r="J31" i="41"/>
  <c r="J32" i="41"/>
  <c r="J33" i="41"/>
  <c r="J33" i="40"/>
  <c r="J33" i="39"/>
  <c r="J32" i="38"/>
  <c r="J33" i="37"/>
  <c r="J31" i="37"/>
  <c r="J31" i="36" l="1"/>
  <c r="J33" i="36"/>
  <c r="J32" i="36"/>
  <c r="J31" i="35" l="1"/>
  <c r="J33" i="35"/>
  <c r="J32" i="35"/>
  <c r="J31" i="34" l="1"/>
  <c r="J33" i="34"/>
  <c r="J32" i="34"/>
  <c r="J31" i="33" l="1"/>
  <c r="J31" i="31"/>
  <c r="J31" i="30"/>
  <c r="J31" i="29"/>
  <c r="J33" i="31"/>
  <c r="J32" i="31"/>
  <c r="J33" i="33"/>
  <c r="J32" i="33"/>
  <c r="J33" i="30"/>
  <c r="J32" i="30"/>
  <c r="J33" i="29"/>
  <c r="J32" i="29"/>
  <c r="J33" i="28" l="1"/>
  <c r="J32" i="28"/>
  <c r="J31" i="28"/>
  <c r="J33" i="27" l="1"/>
  <c r="J31" i="27"/>
  <c r="J32" i="27"/>
  <c r="J33" i="26" l="1"/>
  <c r="J32" i="26"/>
  <c r="J31" i="26"/>
  <c r="J33" i="25"/>
  <c r="J32" i="25"/>
  <c r="J31" i="25"/>
  <c r="J31" i="24" l="1"/>
  <c r="J33" i="24"/>
  <c r="J33" i="23" l="1"/>
  <c r="J31" i="23"/>
  <c r="J31" i="22" l="1"/>
  <c r="J33" i="22"/>
  <c r="J33" i="21" l="1"/>
  <c r="J32" i="21"/>
  <c r="J31" i="21"/>
  <c r="J33" i="20"/>
  <c r="J32" i="20"/>
  <c r="J31" i="20"/>
  <c r="J33" i="19"/>
  <c r="J32" i="19"/>
  <c r="J31" i="19"/>
  <c r="J33" i="18"/>
  <c r="J32" i="18"/>
  <c r="J31" i="18"/>
  <c r="J33" i="17"/>
  <c r="J32" i="17"/>
  <c r="J31" i="17"/>
  <c r="J33" i="16"/>
  <c r="J32" i="16"/>
  <c r="J31" i="16"/>
  <c r="J33" i="3"/>
  <c r="J32" i="3"/>
  <c r="J31" i="3"/>
  <c r="J32" i="15"/>
  <c r="M32" i="15" s="1"/>
  <c r="J31" i="15"/>
  <c r="M31" i="15" s="1"/>
  <c r="J33" i="15"/>
  <c r="M33" i="15" s="1"/>
  <c r="M32" i="3" l="1"/>
  <c r="M32" i="16" s="1"/>
  <c r="M32" i="17" s="1"/>
  <c r="M32" i="18" s="1"/>
  <c r="M32" i="19" s="1"/>
  <c r="M32" i="20" s="1"/>
  <c r="M32" i="21" s="1"/>
  <c r="M32" i="22" s="1"/>
  <c r="M32" i="23" s="1"/>
  <c r="M32" i="24" s="1"/>
  <c r="M32" i="25" s="1"/>
  <c r="M32" i="26" s="1"/>
  <c r="M32" i="27" s="1"/>
  <c r="M32" i="28" s="1"/>
  <c r="M32" i="29" s="1"/>
  <c r="M33" i="3"/>
  <c r="M33" i="16" s="1"/>
  <c r="M33" i="17" s="1"/>
  <c r="M33" i="18" s="1"/>
  <c r="M33" i="19" s="1"/>
  <c r="M33" i="20" s="1"/>
  <c r="M33" i="21" s="1"/>
  <c r="M33" i="22" s="1"/>
  <c r="M33" i="23" s="1"/>
  <c r="M33" i="24" s="1"/>
  <c r="M33" i="25" s="1"/>
  <c r="M33" i="26" s="1"/>
  <c r="M33" i="27" s="1"/>
  <c r="M33" i="28" s="1"/>
  <c r="M33" i="29" s="1"/>
  <c r="M31" i="3"/>
  <c r="M31" i="16" s="1"/>
  <c r="M31" i="17" s="1"/>
  <c r="M31" i="18" s="1"/>
  <c r="M31" i="19" s="1"/>
  <c r="M31" i="20" s="1"/>
  <c r="M31" i="21" s="1"/>
  <c r="M31" i="22" s="1"/>
  <c r="M31" i="23" s="1"/>
  <c r="M31" i="24" s="1"/>
  <c r="M31" i="25" s="1"/>
  <c r="M31" i="26" s="1"/>
  <c r="M31" i="27" s="1"/>
  <c r="M31" i="28" s="1"/>
  <c r="M31" i="29" s="1"/>
  <c r="O4" i="47"/>
  <c r="M32" i="31" l="1"/>
  <c r="M32" i="30" s="1"/>
  <c r="M32" i="33" s="1"/>
  <c r="M32" i="34" s="1"/>
  <c r="M32" i="35" s="1"/>
  <c r="M32" i="36" s="1"/>
  <c r="M32" i="37" s="1"/>
  <c r="M32" i="38" s="1"/>
  <c r="M32" i="39" s="1"/>
  <c r="M32" i="40" s="1"/>
  <c r="M32" i="41" s="1"/>
  <c r="M32" i="43" s="1"/>
  <c r="M32" i="44" s="1"/>
  <c r="M33" i="31"/>
  <c r="M33" i="30" s="1"/>
  <c r="M33" i="33" s="1"/>
  <c r="M33" i="34" s="1"/>
  <c r="M33" i="35" s="1"/>
  <c r="M33" i="36" s="1"/>
  <c r="M33" i="37" s="1"/>
  <c r="M33" i="38" s="1"/>
  <c r="M33" i="39" s="1"/>
  <c r="M33" i="40" s="1"/>
  <c r="M33" i="41" s="1"/>
  <c r="M33" i="43" s="1"/>
  <c r="M33" i="44" s="1"/>
  <c r="M31" i="31"/>
  <c r="M31" i="30" s="1"/>
  <c r="M31" i="33" s="1"/>
  <c r="M31" i="34" s="1"/>
  <c r="M31" i="35" s="1"/>
  <c r="M31" i="36" s="1"/>
  <c r="M31" i="37" s="1"/>
  <c r="M31" i="38" s="1"/>
  <c r="M31" i="39" s="1"/>
  <c r="M31" i="40" s="1"/>
  <c r="M31" i="41" s="1"/>
  <c r="M31" i="43" s="1"/>
  <c r="M31" i="44" s="1"/>
  <c r="K18" i="15"/>
  <c r="M32" i="45" l="1"/>
  <c r="M32" i="54" s="1"/>
  <c r="M33" i="45"/>
  <c r="M33" i="54" s="1"/>
  <c r="M31" i="45"/>
  <c r="M31" i="54" s="1"/>
  <c r="J7" i="16"/>
  <c r="J7" i="17"/>
  <c r="W14" i="15" l="1"/>
  <c r="W14" i="3" s="1"/>
  <c r="W14" i="16" s="1"/>
  <c r="W14" i="17" s="1"/>
  <c r="W14" i="18" s="1"/>
  <c r="W14" i="19" s="1"/>
  <c r="W14" i="20" s="1"/>
  <c r="W14" i="21" s="1"/>
  <c r="W14" i="22" s="1"/>
  <c r="W14" i="23" s="1"/>
  <c r="W14" i="24" s="1"/>
  <c r="W14" i="25" s="1"/>
  <c r="W14" i="26" s="1"/>
  <c r="W14" i="27" s="1"/>
  <c r="W14" i="28" s="1"/>
  <c r="W14" i="29" s="1"/>
  <c r="W14" i="31" l="1"/>
  <c r="W14" i="30" s="1"/>
  <c r="W14" i="33" s="1"/>
  <c r="W14" i="34" s="1"/>
  <c r="W14" i="35" s="1"/>
  <c r="W14" i="36" s="1"/>
  <c r="W14" i="37" s="1"/>
  <c r="W14" i="38" s="1"/>
  <c r="W14" i="39" s="1"/>
  <c r="W14" i="40" s="1"/>
  <c r="W14" i="41" s="1"/>
  <c r="W14" i="43" s="1"/>
  <c r="W14" i="44" s="1"/>
  <c r="W12" i="15"/>
  <c r="W12" i="3" s="1"/>
  <c r="W12" i="16" s="1"/>
  <c r="W12" i="17" s="1"/>
  <c r="W14" i="45" l="1"/>
  <c r="W12" i="18"/>
  <c r="W12" i="19" s="1"/>
  <c r="W12" i="20" s="1"/>
  <c r="W12" i="21" s="1"/>
  <c r="W12" i="22" s="1"/>
  <c r="W12" i="23" s="1"/>
  <c r="W12" i="24" s="1"/>
  <c r="W12" i="25" s="1"/>
  <c r="W12" i="26" s="1"/>
  <c r="W12" i="27" s="1"/>
  <c r="W12" i="28" s="1"/>
  <c r="W12" i="29" s="1"/>
  <c r="I19" i="15"/>
  <c r="C19" i="3" s="1"/>
  <c r="D8" i="15"/>
  <c r="G8" i="15"/>
  <c r="W12" i="31" l="1"/>
  <c r="W12" i="30" s="1"/>
  <c r="W12" i="33" s="1"/>
  <c r="W12" i="34" s="1"/>
  <c r="W12" i="35" s="1"/>
  <c r="W12" i="36" s="1"/>
  <c r="W12" i="37" s="1"/>
  <c r="W12" i="38" s="1"/>
  <c r="W12" i="39" s="1"/>
  <c r="W12" i="40" s="1"/>
  <c r="W12" i="41" s="1"/>
  <c r="W12" i="43" s="1"/>
  <c r="W12" i="44" s="1"/>
  <c r="J8" i="15"/>
  <c r="W12" i="45" l="1"/>
  <c r="C16" i="49"/>
  <c r="Y24" i="15" l="1"/>
  <c r="K16" i="15" l="1"/>
  <c r="I18" i="15" l="1"/>
  <c r="C18" i="3" s="1"/>
  <c r="O13" i="49" l="1"/>
  <c r="AF15" i="49" l="1"/>
  <c r="AE15" i="49"/>
  <c r="AD15" i="49"/>
  <c r="AC15" i="49"/>
  <c r="AB15" i="49"/>
  <c r="AA15" i="49"/>
  <c r="Z15" i="49"/>
  <c r="Y15" i="49"/>
  <c r="X15" i="49"/>
  <c r="W15" i="49"/>
  <c r="V15" i="49"/>
  <c r="U15" i="49"/>
  <c r="R15" i="49"/>
  <c r="Q15" i="49"/>
  <c r="P15" i="49"/>
  <c r="O15" i="49"/>
  <c r="N15" i="49"/>
  <c r="M15" i="49"/>
  <c r="L15" i="49"/>
  <c r="K15" i="49"/>
  <c r="J15" i="49"/>
  <c r="I15" i="49"/>
  <c r="H15" i="49"/>
  <c r="G15" i="49"/>
  <c r="F15" i="49"/>
  <c r="E15" i="49"/>
  <c r="D15" i="49"/>
  <c r="C15" i="49"/>
  <c r="AH15" i="49" l="1"/>
  <c r="AI15" i="49"/>
  <c r="AF13" i="49"/>
  <c r="AE13" i="49"/>
  <c r="AC13" i="49"/>
  <c r="AB13" i="49"/>
  <c r="AA13" i="49"/>
  <c r="Z13" i="49"/>
  <c r="Y13" i="49"/>
  <c r="X13" i="49"/>
  <c r="W13" i="49"/>
  <c r="V13" i="49"/>
  <c r="U13" i="49"/>
  <c r="R13" i="49"/>
  <c r="Q13" i="49"/>
  <c r="P13" i="49"/>
  <c r="N13" i="49"/>
  <c r="M13" i="49"/>
  <c r="L13" i="49"/>
  <c r="K13" i="49"/>
  <c r="J13" i="49"/>
  <c r="I13" i="49"/>
  <c r="H13" i="49"/>
  <c r="G13" i="49"/>
  <c r="F13" i="49"/>
  <c r="E13" i="49"/>
  <c r="D13" i="49"/>
  <c r="C13" i="49"/>
  <c r="AI13" i="49" l="1"/>
  <c r="AH13" i="49"/>
  <c r="D14" i="49"/>
  <c r="E14" i="49"/>
  <c r="F14" i="49"/>
  <c r="G14" i="49"/>
  <c r="H14" i="49"/>
  <c r="I14" i="49"/>
  <c r="J14" i="49"/>
  <c r="K14" i="49"/>
  <c r="L14" i="49"/>
  <c r="M14" i="49"/>
  <c r="N14" i="49"/>
  <c r="O14" i="49"/>
  <c r="P14" i="49"/>
  <c r="Q14" i="49"/>
  <c r="R14" i="49"/>
  <c r="U14" i="49"/>
  <c r="V14" i="49"/>
  <c r="W14" i="49"/>
  <c r="X14" i="49"/>
  <c r="Y14" i="49"/>
  <c r="Z14" i="49"/>
  <c r="AA14" i="49"/>
  <c r="AB14" i="49"/>
  <c r="AC14" i="49"/>
  <c r="AD14" i="49"/>
  <c r="AE14" i="49"/>
  <c r="AF14" i="49"/>
  <c r="C14" i="49"/>
  <c r="AI14" i="49" l="1"/>
  <c r="AH14" i="49"/>
  <c r="Y18" i="15"/>
  <c r="Y18" i="3" s="1"/>
  <c r="Y18" i="16" l="1"/>
  <c r="Y18" i="17" s="1"/>
  <c r="AF25" i="47"/>
  <c r="AE25" i="47"/>
  <c r="AD25" i="47"/>
  <c r="AC25" i="47"/>
  <c r="AB25" i="47"/>
  <c r="AA25" i="47"/>
  <c r="Z25" i="47"/>
  <c r="Y25" i="47"/>
  <c r="X25" i="47"/>
  <c r="W25" i="47"/>
  <c r="V25" i="47"/>
  <c r="U25" i="47"/>
  <c r="R25" i="47"/>
  <c r="Q25" i="47"/>
  <c r="P25" i="47"/>
  <c r="O25" i="47"/>
  <c r="N25" i="47"/>
  <c r="M25" i="47"/>
  <c r="L25" i="47"/>
  <c r="K25" i="47"/>
  <c r="J25" i="47"/>
  <c r="I25" i="47"/>
  <c r="H25" i="47"/>
  <c r="G25" i="47"/>
  <c r="F25" i="47"/>
  <c r="E25" i="47"/>
  <c r="D25" i="47"/>
  <c r="C25" i="47"/>
  <c r="Y18" i="18" l="1"/>
  <c r="Y18" i="19" s="1"/>
  <c r="Y18" i="20" s="1"/>
  <c r="Y18" i="21" s="1"/>
  <c r="Y18" i="22" s="1"/>
  <c r="Y18" i="23" s="1"/>
  <c r="Y18" i="24" s="1"/>
  <c r="Y18" i="25" s="1"/>
  <c r="Y18" i="26" s="1"/>
  <c r="Y18" i="27" s="1"/>
  <c r="Y18" i="28" s="1"/>
  <c r="Y18" i="29" s="1"/>
  <c r="K20" i="15"/>
  <c r="C27" i="47" s="1"/>
  <c r="Y18" i="31" l="1"/>
  <c r="Y18" i="30" s="1"/>
  <c r="Y18" i="33" s="1"/>
  <c r="Y18" i="34" s="1"/>
  <c r="Y18" i="35" s="1"/>
  <c r="Y18" i="36" s="1"/>
  <c r="Y18" i="37" s="1"/>
  <c r="Y18" i="38" s="1"/>
  <c r="Y18" i="39" s="1"/>
  <c r="Y18" i="40" s="1"/>
  <c r="Y18" i="41" s="1"/>
  <c r="Y18" i="43" s="1"/>
  <c r="Y18" i="44" s="1"/>
  <c r="Y18" i="45" s="1"/>
  <c r="K20" i="3"/>
  <c r="D27" i="47" s="1"/>
  <c r="AF21" i="49"/>
  <c r="AE21" i="49"/>
  <c r="AD21" i="49"/>
  <c r="AC21" i="49"/>
  <c r="AB21" i="49"/>
  <c r="AA21" i="49"/>
  <c r="Z21" i="49"/>
  <c r="Y21" i="49"/>
  <c r="X21" i="49"/>
  <c r="W21" i="49"/>
  <c r="V21" i="49"/>
  <c r="U21" i="49"/>
  <c r="R21" i="49"/>
  <c r="Q21" i="49"/>
  <c r="P21" i="49"/>
  <c r="O21" i="49"/>
  <c r="N21" i="49"/>
  <c r="M21" i="49"/>
  <c r="L21" i="49"/>
  <c r="K21" i="49"/>
  <c r="J21" i="49"/>
  <c r="I21" i="49"/>
  <c r="H21" i="49"/>
  <c r="G21" i="49"/>
  <c r="F21" i="49"/>
  <c r="E21" i="49"/>
  <c r="D21" i="49"/>
  <c r="C21" i="49"/>
  <c r="AF20" i="49"/>
  <c r="AE20" i="49"/>
  <c r="AD20" i="49"/>
  <c r="AC20" i="49"/>
  <c r="AB20" i="49"/>
  <c r="AA20" i="49"/>
  <c r="Z20" i="49"/>
  <c r="Y20" i="49"/>
  <c r="X20" i="49"/>
  <c r="W20" i="49"/>
  <c r="V20" i="49"/>
  <c r="U20" i="49"/>
  <c r="R20" i="49"/>
  <c r="Q20" i="49"/>
  <c r="P20" i="49"/>
  <c r="O20" i="49"/>
  <c r="N20" i="49"/>
  <c r="M20" i="49"/>
  <c r="L20" i="49"/>
  <c r="K20" i="49"/>
  <c r="J20" i="49"/>
  <c r="I20" i="49"/>
  <c r="H20" i="49"/>
  <c r="G20" i="49"/>
  <c r="F20" i="49"/>
  <c r="E20" i="49"/>
  <c r="D20" i="49"/>
  <c r="C20" i="49"/>
  <c r="AF19" i="49"/>
  <c r="AE19" i="49"/>
  <c r="AD19" i="49"/>
  <c r="AC19" i="49"/>
  <c r="AB19" i="49"/>
  <c r="AA19" i="49"/>
  <c r="Z19" i="49"/>
  <c r="Y19" i="49"/>
  <c r="X19" i="49"/>
  <c r="W19" i="49"/>
  <c r="V19" i="49"/>
  <c r="U19" i="49"/>
  <c r="R19" i="49"/>
  <c r="Q19" i="49"/>
  <c r="P19" i="49"/>
  <c r="O19" i="49"/>
  <c r="N19" i="49"/>
  <c r="M19" i="49"/>
  <c r="L19" i="49"/>
  <c r="K19" i="49"/>
  <c r="J19" i="49"/>
  <c r="I19" i="49"/>
  <c r="H19" i="49"/>
  <c r="G19" i="49"/>
  <c r="F19" i="49"/>
  <c r="E19" i="49"/>
  <c r="D19" i="49"/>
  <c r="C19" i="49"/>
  <c r="AF18" i="49"/>
  <c r="AE18" i="49"/>
  <c r="AD18" i="49"/>
  <c r="AC18" i="49"/>
  <c r="AB18" i="49"/>
  <c r="AA18" i="49"/>
  <c r="Z18" i="49"/>
  <c r="Y18" i="49"/>
  <c r="X18" i="49"/>
  <c r="W18" i="49"/>
  <c r="V18" i="49"/>
  <c r="U18" i="49"/>
  <c r="R18" i="49"/>
  <c r="Q18" i="49"/>
  <c r="P18" i="49"/>
  <c r="O18" i="49"/>
  <c r="N18" i="49"/>
  <c r="M18" i="49"/>
  <c r="L18" i="49"/>
  <c r="K18" i="49"/>
  <c r="J18" i="49"/>
  <c r="I18" i="49"/>
  <c r="H18" i="49"/>
  <c r="G18" i="49"/>
  <c r="F18" i="49"/>
  <c r="E18" i="49"/>
  <c r="D18" i="49"/>
  <c r="C18" i="49"/>
  <c r="AF17" i="49"/>
  <c r="AE17" i="49"/>
  <c r="AD17" i="49"/>
  <c r="AC17" i="49"/>
  <c r="AB17" i="49"/>
  <c r="AA17" i="49"/>
  <c r="Z17" i="49"/>
  <c r="Y17" i="49"/>
  <c r="X17" i="49"/>
  <c r="W17" i="49"/>
  <c r="V17" i="49"/>
  <c r="U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AF16" i="49"/>
  <c r="AE16" i="49"/>
  <c r="AD16" i="49"/>
  <c r="AC16" i="49"/>
  <c r="AB16" i="49"/>
  <c r="AA16" i="49"/>
  <c r="Z16" i="49"/>
  <c r="Y16" i="49"/>
  <c r="X16" i="49"/>
  <c r="W16" i="49"/>
  <c r="V16" i="49"/>
  <c r="U16" i="49"/>
  <c r="R16" i="49"/>
  <c r="Q16" i="49"/>
  <c r="P16" i="49"/>
  <c r="O16" i="49"/>
  <c r="N16" i="49"/>
  <c r="M16" i="49"/>
  <c r="L16" i="49"/>
  <c r="K16" i="49"/>
  <c r="J16" i="49"/>
  <c r="I16" i="49"/>
  <c r="H16" i="49"/>
  <c r="G16" i="49"/>
  <c r="F16" i="49"/>
  <c r="E16" i="49"/>
  <c r="D16" i="49"/>
  <c r="AF12" i="49"/>
  <c r="AE12" i="49"/>
  <c r="AD12" i="49"/>
  <c r="AC12" i="49"/>
  <c r="AB12" i="49"/>
  <c r="AA12" i="49"/>
  <c r="Z12" i="49"/>
  <c r="Y12" i="49"/>
  <c r="X12" i="49"/>
  <c r="W12" i="49"/>
  <c r="V12" i="49"/>
  <c r="U12" i="49"/>
  <c r="R12" i="49"/>
  <c r="Q12" i="49"/>
  <c r="P12" i="49"/>
  <c r="O12" i="49"/>
  <c r="N12" i="49"/>
  <c r="M12" i="49"/>
  <c r="L12" i="49"/>
  <c r="K12" i="49"/>
  <c r="J12" i="49"/>
  <c r="I12" i="49"/>
  <c r="H12" i="49"/>
  <c r="G12" i="49"/>
  <c r="F12" i="49"/>
  <c r="E12" i="49"/>
  <c r="D12" i="49"/>
  <c r="C12" i="49"/>
  <c r="AF11" i="49"/>
  <c r="AE11" i="49"/>
  <c r="AD11" i="49"/>
  <c r="AC11" i="49"/>
  <c r="AB11" i="49"/>
  <c r="AA11" i="49"/>
  <c r="Z11" i="49"/>
  <c r="Y11" i="49"/>
  <c r="X11" i="49"/>
  <c r="W11" i="49"/>
  <c r="V11" i="49"/>
  <c r="U11" i="49"/>
  <c r="R11" i="49"/>
  <c r="Q11" i="49"/>
  <c r="P11" i="49"/>
  <c r="O11" i="49"/>
  <c r="N11" i="49"/>
  <c r="M11" i="49"/>
  <c r="L11" i="49"/>
  <c r="J11" i="49"/>
  <c r="I11" i="49"/>
  <c r="H11" i="49"/>
  <c r="G11" i="49"/>
  <c r="F11" i="49"/>
  <c r="E11" i="49"/>
  <c r="D11" i="49"/>
  <c r="C11" i="49"/>
  <c r="AF8" i="49"/>
  <c r="AE8" i="49"/>
  <c r="AD8" i="49"/>
  <c r="AC8" i="49"/>
  <c r="AB8" i="49"/>
  <c r="AA8" i="49"/>
  <c r="Z8" i="49"/>
  <c r="Y8" i="49"/>
  <c r="X8" i="49"/>
  <c r="W8" i="49"/>
  <c r="V8" i="49"/>
  <c r="R8" i="49"/>
  <c r="Q8" i="49"/>
  <c r="P8" i="49"/>
  <c r="O8" i="49"/>
  <c r="N8" i="49"/>
  <c r="M8" i="49"/>
  <c r="L8" i="49"/>
  <c r="K8" i="49"/>
  <c r="J8" i="49"/>
  <c r="I8" i="49"/>
  <c r="H8" i="49"/>
  <c r="F8" i="49"/>
  <c r="E8" i="49"/>
  <c r="D8" i="49"/>
  <c r="C8" i="49"/>
  <c r="AF5" i="49"/>
  <c r="AF7" i="49" s="1"/>
  <c r="AE5" i="49"/>
  <c r="AE7" i="49" s="1"/>
  <c r="AD5" i="49"/>
  <c r="AD7" i="49" s="1"/>
  <c r="AC5" i="49"/>
  <c r="AC7" i="49" s="1"/>
  <c r="AB5" i="49"/>
  <c r="AB7" i="49" s="1"/>
  <c r="AA5" i="49"/>
  <c r="AA7" i="49" s="1"/>
  <c r="Z5" i="49"/>
  <c r="Z7" i="49" s="1"/>
  <c r="Y5" i="49"/>
  <c r="Y7" i="49" s="1"/>
  <c r="X5" i="49"/>
  <c r="X7" i="49" s="1"/>
  <c r="W5" i="49"/>
  <c r="W7" i="49" s="1"/>
  <c r="V5" i="49"/>
  <c r="V7" i="49" s="1"/>
  <c r="U7" i="49"/>
  <c r="T7" i="49"/>
  <c r="R5" i="49"/>
  <c r="R7" i="49" s="1"/>
  <c r="Q5" i="49"/>
  <c r="Q7" i="49" s="1"/>
  <c r="P5" i="49"/>
  <c r="P7" i="49" s="1"/>
  <c r="O5" i="49"/>
  <c r="O7" i="49" s="1"/>
  <c r="N5" i="49"/>
  <c r="N7" i="49" s="1"/>
  <c r="M5" i="49"/>
  <c r="M7" i="49" s="1"/>
  <c r="L5" i="49"/>
  <c r="L7" i="49" s="1"/>
  <c r="K5" i="49"/>
  <c r="K7" i="49" s="1"/>
  <c r="J5" i="49"/>
  <c r="J7" i="49" s="1"/>
  <c r="I5" i="49"/>
  <c r="I7" i="49" s="1"/>
  <c r="H5" i="49"/>
  <c r="H7" i="49" s="1"/>
  <c r="G5" i="49"/>
  <c r="G7" i="49" s="1"/>
  <c r="F5" i="49"/>
  <c r="F7" i="49" s="1"/>
  <c r="E5" i="49"/>
  <c r="E7" i="49" s="1"/>
  <c r="D5" i="49"/>
  <c r="D7" i="49" s="1"/>
  <c r="C5" i="49"/>
  <c r="AF4" i="49"/>
  <c r="AE4" i="49"/>
  <c r="AD4" i="49"/>
  <c r="AC4" i="49"/>
  <c r="AB4" i="49"/>
  <c r="AA4" i="49"/>
  <c r="Z4" i="49"/>
  <c r="Y4" i="49"/>
  <c r="X4" i="49"/>
  <c r="W4" i="49"/>
  <c r="V4" i="49"/>
  <c r="U4" i="49"/>
  <c r="R4" i="49"/>
  <c r="Q4" i="49"/>
  <c r="P4" i="49"/>
  <c r="O4" i="49"/>
  <c r="N4" i="49"/>
  <c r="M4" i="49"/>
  <c r="L4" i="49"/>
  <c r="K4" i="49"/>
  <c r="J4" i="49"/>
  <c r="I4" i="49"/>
  <c r="H4" i="49"/>
  <c r="G4" i="49"/>
  <c r="F4" i="49"/>
  <c r="E4" i="49"/>
  <c r="D4" i="49"/>
  <c r="C4" i="49"/>
  <c r="AF29" i="47"/>
  <c r="AE29" i="47"/>
  <c r="AD29" i="47"/>
  <c r="AC29" i="47"/>
  <c r="AB29" i="47"/>
  <c r="AA29" i="47"/>
  <c r="Z29" i="47"/>
  <c r="Y29" i="47"/>
  <c r="X29" i="47"/>
  <c r="W29" i="47"/>
  <c r="V29" i="47"/>
  <c r="U29" i="47"/>
  <c r="R29" i="47"/>
  <c r="Q29" i="47"/>
  <c r="P29" i="47"/>
  <c r="O29" i="47"/>
  <c r="N29" i="47"/>
  <c r="M29" i="47"/>
  <c r="L29" i="47"/>
  <c r="K29" i="47"/>
  <c r="J29" i="47"/>
  <c r="I29" i="47"/>
  <c r="H29" i="47"/>
  <c r="G29" i="47"/>
  <c r="F29" i="47"/>
  <c r="E29" i="47"/>
  <c r="D29" i="47"/>
  <c r="C29" i="47"/>
  <c r="AF28" i="47"/>
  <c r="AE28" i="47"/>
  <c r="AD28" i="47"/>
  <c r="AC28" i="47"/>
  <c r="AB28" i="47"/>
  <c r="AA28" i="47"/>
  <c r="Z28" i="47"/>
  <c r="Y28" i="47"/>
  <c r="X28" i="47"/>
  <c r="W28" i="47"/>
  <c r="V28" i="47"/>
  <c r="U28" i="47"/>
  <c r="R28" i="47"/>
  <c r="Q28" i="47"/>
  <c r="P28" i="47"/>
  <c r="O28" i="47"/>
  <c r="N28" i="47"/>
  <c r="M28" i="47"/>
  <c r="L28" i="47"/>
  <c r="K28" i="47"/>
  <c r="J28" i="47"/>
  <c r="H28" i="47"/>
  <c r="G28" i="47"/>
  <c r="F28" i="47"/>
  <c r="E28" i="47"/>
  <c r="D28" i="47"/>
  <c r="AF23" i="47"/>
  <c r="AE23" i="47"/>
  <c r="AD23" i="47"/>
  <c r="AC23" i="47"/>
  <c r="AB23" i="47"/>
  <c r="AA23" i="47"/>
  <c r="Z23" i="47"/>
  <c r="Y23" i="47"/>
  <c r="X23" i="47"/>
  <c r="W23" i="47"/>
  <c r="V23" i="47"/>
  <c r="U23" i="47"/>
  <c r="R23" i="47"/>
  <c r="Q23" i="47"/>
  <c r="P23" i="47"/>
  <c r="O23" i="47"/>
  <c r="N23" i="47"/>
  <c r="M23" i="47"/>
  <c r="L23" i="47"/>
  <c r="K23" i="47"/>
  <c r="J23" i="47"/>
  <c r="I23" i="47"/>
  <c r="H23" i="47"/>
  <c r="G23" i="47"/>
  <c r="F23" i="47"/>
  <c r="E23" i="47"/>
  <c r="D23" i="47"/>
  <c r="C23" i="47"/>
  <c r="AF22" i="47"/>
  <c r="AE22" i="47"/>
  <c r="AD22" i="47"/>
  <c r="AC22" i="47"/>
  <c r="AB22" i="47"/>
  <c r="AA22" i="47"/>
  <c r="Z22" i="47"/>
  <c r="Y22" i="47"/>
  <c r="X22" i="47"/>
  <c r="W22" i="47"/>
  <c r="V22" i="47"/>
  <c r="U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C22" i="47"/>
  <c r="AF20" i="47"/>
  <c r="AE20" i="47"/>
  <c r="AD20" i="47"/>
  <c r="AC20" i="47"/>
  <c r="AB20" i="47"/>
  <c r="AA20" i="47"/>
  <c r="Z20" i="47"/>
  <c r="Y20" i="47"/>
  <c r="X20" i="47"/>
  <c r="W20" i="47"/>
  <c r="V20" i="47"/>
  <c r="U20" i="47"/>
  <c r="R20" i="47"/>
  <c r="Q20" i="47"/>
  <c r="P20" i="47"/>
  <c r="O20" i="47"/>
  <c r="N20" i="47"/>
  <c r="M20" i="47"/>
  <c r="L20" i="47"/>
  <c r="K20" i="47"/>
  <c r="J20" i="47"/>
  <c r="I20" i="47"/>
  <c r="H20" i="47"/>
  <c r="G20" i="47"/>
  <c r="F20" i="47"/>
  <c r="E20" i="47"/>
  <c r="D20" i="47"/>
  <c r="C20" i="47"/>
  <c r="AF19" i="47"/>
  <c r="AE19" i="47"/>
  <c r="AD19" i="47"/>
  <c r="AC19" i="47"/>
  <c r="AB19" i="47"/>
  <c r="AA19" i="47"/>
  <c r="Z19" i="47"/>
  <c r="Y19" i="47"/>
  <c r="X19" i="47"/>
  <c r="W19" i="47"/>
  <c r="V19" i="47"/>
  <c r="U19" i="47"/>
  <c r="R19" i="47"/>
  <c r="Q19" i="47"/>
  <c r="P19" i="47"/>
  <c r="O19" i="47"/>
  <c r="N19" i="47"/>
  <c r="M19" i="47"/>
  <c r="L19" i="47"/>
  <c r="K19" i="47"/>
  <c r="J19" i="47"/>
  <c r="I19" i="47"/>
  <c r="H19" i="47"/>
  <c r="G19" i="47"/>
  <c r="F19" i="47"/>
  <c r="E19" i="47"/>
  <c r="D19" i="47"/>
  <c r="C19" i="47"/>
  <c r="AF17" i="47"/>
  <c r="AE17" i="47"/>
  <c r="AD17" i="47"/>
  <c r="AC17" i="47"/>
  <c r="AB17" i="47"/>
  <c r="AA17" i="47"/>
  <c r="Z17" i="47"/>
  <c r="Y17" i="47"/>
  <c r="X17" i="47"/>
  <c r="W17" i="47"/>
  <c r="V17" i="47"/>
  <c r="U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C17" i="47"/>
  <c r="AF16" i="47"/>
  <c r="AE16" i="47"/>
  <c r="AD16" i="47"/>
  <c r="AC16" i="47"/>
  <c r="AB16" i="47"/>
  <c r="AA16" i="47"/>
  <c r="Z16" i="47"/>
  <c r="Y16" i="47"/>
  <c r="X16" i="47"/>
  <c r="W16" i="47"/>
  <c r="V16" i="47"/>
  <c r="U16" i="47"/>
  <c r="R16" i="47"/>
  <c r="Q16" i="47"/>
  <c r="P16" i="47"/>
  <c r="O16" i="47"/>
  <c r="N16" i="47"/>
  <c r="M16" i="47"/>
  <c r="L16" i="47"/>
  <c r="K16" i="47"/>
  <c r="J16" i="47"/>
  <c r="I16" i="47"/>
  <c r="H16" i="47"/>
  <c r="G16" i="47"/>
  <c r="F16" i="47"/>
  <c r="E16" i="47"/>
  <c r="D16" i="47"/>
  <c r="C16" i="47"/>
  <c r="AF14" i="47"/>
  <c r="AE14" i="47"/>
  <c r="AD14" i="47"/>
  <c r="AC14" i="47"/>
  <c r="AB14" i="47"/>
  <c r="AA14" i="47"/>
  <c r="Z14" i="47"/>
  <c r="Y14" i="47"/>
  <c r="V14" i="47"/>
  <c r="U14" i="47"/>
  <c r="R14" i="47"/>
  <c r="Q14" i="47"/>
  <c r="P14" i="47"/>
  <c r="O14" i="47"/>
  <c r="N14" i="47"/>
  <c r="M14" i="47"/>
  <c r="L14" i="47"/>
  <c r="K14" i="47"/>
  <c r="J14" i="47"/>
  <c r="I14" i="47"/>
  <c r="H14" i="47"/>
  <c r="G14" i="47"/>
  <c r="F14" i="47"/>
  <c r="E14" i="47"/>
  <c r="D14" i="47"/>
  <c r="C14" i="47"/>
  <c r="AF13" i="47"/>
  <c r="AE13" i="47"/>
  <c r="AD13" i="47"/>
  <c r="AC13" i="47"/>
  <c r="AB13" i="47"/>
  <c r="AA13" i="47"/>
  <c r="Z13" i="47"/>
  <c r="Y13" i="47"/>
  <c r="X13" i="47"/>
  <c r="W13" i="47"/>
  <c r="V13" i="47"/>
  <c r="U13" i="47"/>
  <c r="R13" i="47"/>
  <c r="Q13" i="47"/>
  <c r="P13" i="47"/>
  <c r="O13" i="47"/>
  <c r="N13" i="47"/>
  <c r="M13" i="47"/>
  <c r="L13" i="47"/>
  <c r="K13" i="47"/>
  <c r="J13" i="47"/>
  <c r="I13" i="47"/>
  <c r="H13" i="47"/>
  <c r="G13" i="47"/>
  <c r="F13" i="47"/>
  <c r="E13" i="47"/>
  <c r="D13" i="47"/>
  <c r="C13" i="47"/>
  <c r="AF11" i="47"/>
  <c r="AE11" i="47"/>
  <c r="AD11" i="47"/>
  <c r="AC11" i="47"/>
  <c r="AB11" i="47"/>
  <c r="AA11" i="47"/>
  <c r="Z11" i="47"/>
  <c r="Y11" i="47"/>
  <c r="X11" i="47"/>
  <c r="W11" i="47"/>
  <c r="V11" i="47"/>
  <c r="U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C11" i="47"/>
  <c r="AF10" i="47"/>
  <c r="AE10" i="47"/>
  <c r="AD10" i="47"/>
  <c r="AC10" i="47"/>
  <c r="AB10" i="47"/>
  <c r="AA10" i="47"/>
  <c r="Z10" i="47"/>
  <c r="Y10" i="47"/>
  <c r="W10" i="47"/>
  <c r="V10" i="47"/>
  <c r="U10" i="47"/>
  <c r="R10" i="47"/>
  <c r="Q10" i="47"/>
  <c r="P10" i="47"/>
  <c r="O10" i="47"/>
  <c r="N10" i="47"/>
  <c r="M10" i="47"/>
  <c r="L10" i="47"/>
  <c r="K10" i="47"/>
  <c r="J10" i="47"/>
  <c r="I10" i="47"/>
  <c r="H10" i="47"/>
  <c r="G10" i="47"/>
  <c r="F10" i="47"/>
  <c r="E10" i="47"/>
  <c r="D10" i="47"/>
  <c r="C10" i="47"/>
  <c r="AF8" i="47"/>
  <c r="AE8" i="47"/>
  <c r="AD8" i="47"/>
  <c r="AC8" i="47"/>
  <c r="AB8" i="47"/>
  <c r="AA8" i="47"/>
  <c r="Z8" i="47"/>
  <c r="Y8" i="47"/>
  <c r="X8" i="47"/>
  <c r="W8" i="47"/>
  <c r="V8" i="47"/>
  <c r="U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C8" i="47"/>
  <c r="AF7" i="47"/>
  <c r="AE7" i="47"/>
  <c r="AD7" i="47"/>
  <c r="AC7" i="47"/>
  <c r="AB7" i="47"/>
  <c r="AA7" i="47"/>
  <c r="Z7" i="47"/>
  <c r="Y7" i="47"/>
  <c r="X7" i="47"/>
  <c r="W7" i="47"/>
  <c r="V7" i="47"/>
  <c r="U7" i="47"/>
  <c r="R7" i="47"/>
  <c r="Q7" i="47"/>
  <c r="P7" i="47"/>
  <c r="O7" i="47"/>
  <c r="N7" i="47"/>
  <c r="M7" i="47"/>
  <c r="L7" i="47"/>
  <c r="K7" i="47"/>
  <c r="J7" i="47"/>
  <c r="I7" i="47"/>
  <c r="H7" i="47"/>
  <c r="G7" i="47"/>
  <c r="F7" i="47"/>
  <c r="E7" i="47"/>
  <c r="D7" i="47"/>
  <c r="C7" i="47"/>
  <c r="AF5" i="47"/>
  <c r="AE5" i="47"/>
  <c r="AD5" i="47"/>
  <c r="AC5" i="47"/>
  <c r="AB5" i="47"/>
  <c r="AA5" i="47"/>
  <c r="Z5" i="47"/>
  <c r="Y5" i="47"/>
  <c r="X5" i="47"/>
  <c r="W5" i="47"/>
  <c r="V5" i="47"/>
  <c r="U5" i="47"/>
  <c r="R5" i="47"/>
  <c r="Q5" i="47"/>
  <c r="P5" i="47"/>
  <c r="O5" i="47"/>
  <c r="N5" i="47"/>
  <c r="M5" i="47"/>
  <c r="L5" i="47"/>
  <c r="K5" i="47"/>
  <c r="J5" i="47"/>
  <c r="I5" i="47"/>
  <c r="H5" i="47"/>
  <c r="G5" i="47"/>
  <c r="F5" i="47"/>
  <c r="E5" i="47"/>
  <c r="D5" i="47"/>
  <c r="C5" i="47"/>
  <c r="AF4" i="47"/>
  <c r="AE4" i="47"/>
  <c r="AD4" i="47"/>
  <c r="AC4" i="47"/>
  <c r="AB4" i="47"/>
  <c r="AA4" i="47"/>
  <c r="Z4" i="47"/>
  <c r="Y4" i="47"/>
  <c r="X4" i="47"/>
  <c r="W4" i="47"/>
  <c r="V4" i="47"/>
  <c r="U4" i="47"/>
  <c r="R4" i="47"/>
  <c r="Q4" i="47"/>
  <c r="P4" i="47"/>
  <c r="N4" i="47"/>
  <c r="M4" i="47"/>
  <c r="L4" i="47"/>
  <c r="K4" i="47"/>
  <c r="J4" i="47"/>
  <c r="I4" i="47"/>
  <c r="H4" i="47"/>
  <c r="G4" i="47"/>
  <c r="F4" i="47"/>
  <c r="E4" i="47"/>
  <c r="D4" i="47"/>
  <c r="C4" i="47"/>
  <c r="AH23" i="47" l="1"/>
  <c r="AI23" i="47"/>
  <c r="AI19" i="47"/>
  <c r="AH19" i="47"/>
  <c r="AI10" i="47"/>
  <c r="AH10" i="47"/>
  <c r="AI7" i="47"/>
  <c r="AH7" i="47"/>
  <c r="AI22" i="47"/>
  <c r="AH22" i="47"/>
  <c r="AI20" i="47"/>
  <c r="AH20" i="47"/>
  <c r="AH17" i="47"/>
  <c r="AI17" i="47"/>
  <c r="AI8" i="47"/>
  <c r="AH8" i="47"/>
  <c r="AH11" i="47"/>
  <c r="AI11" i="47"/>
  <c r="AI5" i="47"/>
  <c r="AH5" i="47"/>
  <c r="AH28" i="47"/>
  <c r="AI28" i="47"/>
  <c r="AH4" i="47"/>
  <c r="AI4" i="47"/>
  <c r="AH17" i="49"/>
  <c r="AI17" i="49"/>
  <c r="AI18" i="49"/>
  <c r="AH18" i="49"/>
  <c r="AI19" i="49"/>
  <c r="AH19" i="49"/>
  <c r="AI20" i="49"/>
  <c r="AH20" i="49"/>
  <c r="AH21" i="49"/>
  <c r="AI21" i="49"/>
  <c r="AH16" i="49"/>
  <c r="AI16" i="49"/>
  <c r="AH4" i="49"/>
  <c r="AI4" i="49"/>
  <c r="AI12" i="49"/>
  <c r="AH12" i="49"/>
  <c r="AI11" i="49"/>
  <c r="AH11" i="49"/>
  <c r="AH29" i="47"/>
  <c r="AI29" i="47"/>
  <c r="C7" i="49"/>
  <c r="AI5" i="49"/>
  <c r="AH5" i="49"/>
  <c r="AI13" i="47"/>
  <c r="AH13" i="47"/>
  <c r="AI16" i="47"/>
  <c r="AH16" i="47"/>
  <c r="AI14" i="47"/>
  <c r="K20" i="16"/>
  <c r="K20" i="17" s="1"/>
  <c r="AH14" i="47"/>
  <c r="AI7" i="49" l="1"/>
  <c r="AH7" i="49"/>
  <c r="AJ4" i="47"/>
  <c r="AJ22" i="47"/>
  <c r="AJ28" i="47"/>
  <c r="AJ10" i="47"/>
  <c r="AJ7" i="47"/>
  <c r="AJ19" i="47"/>
  <c r="AJ16" i="47"/>
  <c r="E27" i="47"/>
  <c r="F27" i="47"/>
  <c r="K20" i="18"/>
  <c r="G27" i="47" l="1"/>
  <c r="K20" i="19"/>
  <c r="M19" i="15"/>
  <c r="M19" i="3" s="1"/>
  <c r="M19" i="16" s="1"/>
  <c r="M19" i="17" s="1"/>
  <c r="M19" i="18" s="1"/>
  <c r="M19" i="19" s="1"/>
  <c r="M19" i="20" s="1"/>
  <c r="M19" i="21" s="1"/>
  <c r="M19" i="22" s="1"/>
  <c r="M19" i="23" s="1"/>
  <c r="M19" i="24" s="1"/>
  <c r="M19" i="25" s="1"/>
  <c r="M19" i="26" s="1"/>
  <c r="M19" i="27" s="1"/>
  <c r="M19" i="28" s="1"/>
  <c r="M19" i="29" s="1"/>
  <c r="K19" i="15"/>
  <c r="K19" i="3" s="1"/>
  <c r="K19" i="16" s="1"/>
  <c r="K19" i="17" s="1"/>
  <c r="K19" i="18" s="1"/>
  <c r="K19" i="19" s="1"/>
  <c r="M19" i="31" l="1"/>
  <c r="M19" i="30" s="1"/>
  <c r="M19" i="33" s="1"/>
  <c r="M19" i="34" s="1"/>
  <c r="M19" i="35" s="1"/>
  <c r="M19" i="36" s="1"/>
  <c r="M19" i="37" s="1"/>
  <c r="M19" i="38" s="1"/>
  <c r="M19" i="39" s="1"/>
  <c r="M19" i="40" s="1"/>
  <c r="M19" i="41" s="1"/>
  <c r="M19" i="43" s="1"/>
  <c r="M19" i="44" s="1"/>
  <c r="M19" i="45" s="1"/>
  <c r="M19" i="54" s="1"/>
  <c r="K20" i="20"/>
  <c r="H27" i="47"/>
  <c r="K19" i="20"/>
  <c r="K19" i="21" s="1"/>
  <c r="K19" i="22" s="1"/>
  <c r="K19" i="23" s="1"/>
  <c r="K19" i="24" s="1"/>
  <c r="K19" i="25" s="1"/>
  <c r="K19" i="26" s="1"/>
  <c r="K19" i="27" s="1"/>
  <c r="K19" i="28" s="1"/>
  <c r="K19" i="29" s="1"/>
  <c r="C30" i="47"/>
  <c r="U8" i="15"/>
  <c r="R8" i="15"/>
  <c r="K12" i="15"/>
  <c r="K12" i="3" s="1"/>
  <c r="K12" i="16" s="1"/>
  <c r="G8" i="3"/>
  <c r="G8" i="16" s="1"/>
  <c r="K19" i="31" l="1"/>
  <c r="K19" i="30" s="1"/>
  <c r="K19" i="33" s="1"/>
  <c r="K19" i="34" s="1"/>
  <c r="K19" i="35" s="1"/>
  <c r="K19" i="36" s="1"/>
  <c r="K19" i="37" s="1"/>
  <c r="K19" i="38" s="1"/>
  <c r="K19" i="39" s="1"/>
  <c r="K19" i="40" s="1"/>
  <c r="K19" i="41" s="1"/>
  <c r="K19" i="43" s="1"/>
  <c r="K19" i="44" s="1"/>
  <c r="K19" i="45" s="1"/>
  <c r="K19" i="54" s="1"/>
  <c r="R8" i="3"/>
  <c r="R8" i="16" s="1"/>
  <c r="R8" i="17" s="1"/>
  <c r="R8" i="18" s="1"/>
  <c r="R8" i="19" s="1"/>
  <c r="K20" i="21"/>
  <c r="I27" i="47"/>
  <c r="D30" i="47"/>
  <c r="E30" i="47" s="1"/>
  <c r="F30" i="47" s="1"/>
  <c r="G30" i="47" s="1"/>
  <c r="H30" i="47" s="1"/>
  <c r="I30" i="47" s="1"/>
  <c r="J25" i="45"/>
  <c r="AF23" i="49" s="1"/>
  <c r="J26" i="45"/>
  <c r="AF24" i="49" s="1"/>
  <c r="J27" i="45"/>
  <c r="AF25" i="49" s="1"/>
  <c r="J28" i="45"/>
  <c r="AF26" i="49" s="1"/>
  <c r="J29" i="45"/>
  <c r="J30" i="45"/>
  <c r="J24" i="45"/>
  <c r="J30" i="47" l="1"/>
  <c r="K30" i="47" s="1"/>
  <c r="L30" i="47" s="1"/>
  <c r="M30" i="47" s="1"/>
  <c r="N30" i="47" s="1"/>
  <c r="O30" i="47" s="1"/>
  <c r="P30" i="47" s="1"/>
  <c r="Q30" i="47" s="1"/>
  <c r="R30" i="47" s="1"/>
  <c r="S30" i="47" s="1"/>
  <c r="T30" i="47" s="1"/>
  <c r="U30" i="47" s="1"/>
  <c r="V30" i="47" s="1"/>
  <c r="W30" i="47" s="1"/>
  <c r="AF27" i="49"/>
  <c r="AF28" i="49"/>
  <c r="K20" i="22"/>
  <c r="J27" i="47"/>
  <c r="AF22" i="49"/>
  <c r="J25" i="44"/>
  <c r="AE23" i="49" s="1"/>
  <c r="J26" i="44"/>
  <c r="AE24" i="49" s="1"/>
  <c r="J27" i="44"/>
  <c r="AE25" i="49" s="1"/>
  <c r="J28" i="44"/>
  <c r="AE26" i="49" s="1"/>
  <c r="J29" i="44"/>
  <c r="AE27" i="49" s="1"/>
  <c r="J30" i="44"/>
  <c r="AE28" i="49" s="1"/>
  <c r="J24" i="44"/>
  <c r="AE22" i="49" s="1"/>
  <c r="S30" i="44"/>
  <c r="S30" i="45"/>
  <c r="X30" i="47" l="1"/>
  <c r="K20" i="23"/>
  <c r="K27" i="47"/>
  <c r="J25" i="43"/>
  <c r="AD23" i="49" s="1"/>
  <c r="J26" i="43"/>
  <c r="AD24" i="49" s="1"/>
  <c r="J27" i="43"/>
  <c r="AD25" i="49" s="1"/>
  <c r="J28" i="43"/>
  <c r="AD26" i="49" s="1"/>
  <c r="J29" i="43"/>
  <c r="AD27" i="49" s="1"/>
  <c r="J30" i="43"/>
  <c r="AD28" i="49" s="1"/>
  <c r="J24" i="43"/>
  <c r="AD22" i="49" s="1"/>
  <c r="S30" i="43"/>
  <c r="J25" i="41"/>
  <c r="AC23" i="49" s="1"/>
  <c r="J26" i="41"/>
  <c r="AC24" i="49" s="1"/>
  <c r="J27" i="41"/>
  <c r="AC25" i="49" s="1"/>
  <c r="J28" i="41"/>
  <c r="AC26" i="49" s="1"/>
  <c r="J29" i="41"/>
  <c r="AC27" i="49" s="1"/>
  <c r="J30" i="41"/>
  <c r="AC28" i="49" s="1"/>
  <c r="J24" i="41"/>
  <c r="AC22" i="49" s="1"/>
  <c r="J25" i="40"/>
  <c r="AB23" i="49" s="1"/>
  <c r="J26" i="40"/>
  <c r="AB24" i="49" s="1"/>
  <c r="J27" i="40"/>
  <c r="AB25" i="49" s="1"/>
  <c r="J28" i="40"/>
  <c r="AB26" i="49" s="1"/>
  <c r="J29" i="40"/>
  <c r="AB27" i="49" s="1"/>
  <c r="J30" i="40"/>
  <c r="AB28" i="49" s="1"/>
  <c r="J24" i="40"/>
  <c r="AB22" i="49" s="1"/>
  <c r="S30" i="41"/>
  <c r="Y30" i="47" l="1"/>
  <c r="K20" i="24"/>
  <c r="L27" i="47"/>
  <c r="J25" i="39"/>
  <c r="AA23" i="49" s="1"/>
  <c r="J26" i="39"/>
  <c r="AA24" i="49" s="1"/>
  <c r="J27" i="39"/>
  <c r="AA25" i="49" s="1"/>
  <c r="J28" i="39"/>
  <c r="AA26" i="49" s="1"/>
  <c r="J29" i="39"/>
  <c r="AA27" i="49" s="1"/>
  <c r="J30" i="39"/>
  <c r="AA28" i="49" s="1"/>
  <c r="J24" i="39"/>
  <c r="AA22" i="49" s="1"/>
  <c r="Z30" i="47" l="1"/>
  <c r="AA30" i="47" s="1"/>
  <c r="AB30" i="47" s="1"/>
  <c r="AC30" i="47" s="1"/>
  <c r="AD30" i="47" s="1"/>
  <c r="AE30" i="47" s="1"/>
  <c r="AF30" i="47" s="1"/>
  <c r="AG30" i="47" s="1"/>
  <c r="AI30" i="47" s="1"/>
  <c r="K20" i="25"/>
  <c r="M27" i="47"/>
  <c r="S30" i="40"/>
  <c r="AJ29" i="47" l="1"/>
  <c r="K20" i="26"/>
  <c r="N27" i="47"/>
  <c r="J25" i="38"/>
  <c r="Z23" i="49" s="1"/>
  <c r="J26" i="38"/>
  <c r="J27" i="38"/>
  <c r="Z25" i="49" s="1"/>
  <c r="J24" i="38"/>
  <c r="Z22" i="49" s="1"/>
  <c r="S30" i="39"/>
  <c r="J29" i="38" l="1"/>
  <c r="Z27" i="49" s="1"/>
  <c r="J28" i="38"/>
  <c r="Z26" i="49" s="1"/>
  <c r="J30" i="38"/>
  <c r="Z28" i="49" s="1"/>
  <c r="K20" i="27"/>
  <c r="O27" i="47"/>
  <c r="Z24" i="49"/>
  <c r="P27" i="47" l="1"/>
  <c r="K20" i="28"/>
  <c r="K20" i="29" l="1"/>
  <c r="Q27" i="47"/>
  <c r="R27" i="47" l="1"/>
  <c r="J25" i="37"/>
  <c r="J26" i="37"/>
  <c r="J27" i="37"/>
  <c r="Y25" i="49" s="1"/>
  <c r="J29" i="37"/>
  <c r="Y27" i="49" s="1"/>
  <c r="J30" i="37"/>
  <c r="Y28" i="49" s="1"/>
  <c r="J24" i="37"/>
  <c r="Y22" i="49" s="1"/>
  <c r="S30" i="38"/>
  <c r="J28" i="37" l="1"/>
  <c r="Y26" i="49" s="1"/>
  <c r="Y24" i="49"/>
  <c r="Y23" i="49"/>
  <c r="J25" i="15"/>
  <c r="C23" i="49" s="1"/>
  <c r="J26" i="15"/>
  <c r="C24" i="49" s="1"/>
  <c r="J27" i="15"/>
  <c r="C25" i="49" s="1"/>
  <c r="J28" i="15"/>
  <c r="C26" i="49" s="1"/>
  <c r="J29" i="15"/>
  <c r="C27" i="49" s="1"/>
  <c r="J30" i="15"/>
  <c r="C28" i="49" s="1"/>
  <c r="J24" i="15"/>
  <c r="C22" i="49" s="1"/>
  <c r="S30" i="37" l="1"/>
  <c r="J30" i="36"/>
  <c r="X28" i="49" s="1"/>
  <c r="J29" i="36"/>
  <c r="X27" i="49" s="1"/>
  <c r="J28" i="36"/>
  <c r="X26" i="49" s="1"/>
  <c r="J27" i="36"/>
  <c r="X25" i="49" s="1"/>
  <c r="J26" i="36"/>
  <c r="X24" i="49" s="1"/>
  <c r="J25" i="36"/>
  <c r="X23" i="49" s="1"/>
  <c r="J24" i="36"/>
  <c r="X22" i="49" s="1"/>
  <c r="R8" i="20" l="1"/>
  <c r="R8" i="21" s="1"/>
  <c r="R8" i="22" s="1"/>
  <c r="U8" i="3"/>
  <c r="X8" i="15"/>
  <c r="X8" i="3" s="1"/>
  <c r="X8" i="16" s="1"/>
  <c r="X8" i="17" s="1"/>
  <c r="D8" i="3"/>
  <c r="U8" i="16" l="1"/>
  <c r="U8" i="17" s="1"/>
  <c r="U8" i="18" s="1"/>
  <c r="U8" i="19" s="1"/>
  <c r="U8" i="20" s="1"/>
  <c r="U8" i="21" s="1"/>
  <c r="U8" i="22" s="1"/>
  <c r="U8" i="23" s="1"/>
  <c r="U8" i="24" s="1"/>
  <c r="U8" i="25" s="1"/>
  <c r="U8" i="26" s="1"/>
  <c r="U8" i="27" s="1"/>
  <c r="U8" i="28" s="1"/>
  <c r="U8" i="29" s="1"/>
  <c r="X8" i="18"/>
  <c r="X8" i="19" s="1"/>
  <c r="X8" i="20" s="1"/>
  <c r="X8" i="21" s="1"/>
  <c r="X8" i="22" s="1"/>
  <c r="X8" i="23" s="1"/>
  <c r="D8" i="16"/>
  <c r="J8" i="3"/>
  <c r="J24" i="34"/>
  <c r="U8" i="31" l="1"/>
  <c r="U8" i="30" s="1"/>
  <c r="U8" i="33" s="1"/>
  <c r="U8" i="34" s="1"/>
  <c r="U8" i="35" s="1"/>
  <c r="U8" i="36" s="1"/>
  <c r="U8" i="37" s="1"/>
  <c r="U8" i="38" s="1"/>
  <c r="U8" i="39" s="1"/>
  <c r="U8" i="40" s="1"/>
  <c r="U8" i="41" s="1"/>
  <c r="U8" i="43" s="1"/>
  <c r="U8" i="44" s="1"/>
  <c r="U8" i="45" s="1"/>
  <c r="X8" i="24"/>
  <c r="X8" i="25" s="1"/>
  <c r="X8" i="26" s="1"/>
  <c r="X8" i="27" s="1"/>
  <c r="X8" i="28" s="1"/>
  <c r="X8" i="29" s="1"/>
  <c r="X8" i="31" s="1"/>
  <c r="X8" i="30" s="1"/>
  <c r="X8" i="33" s="1"/>
  <c r="D8" i="17"/>
  <c r="D8" i="18" s="1"/>
  <c r="S30" i="36"/>
  <c r="J30" i="35"/>
  <c r="W28" i="49" s="1"/>
  <c r="J29" i="35"/>
  <c r="W27" i="49" s="1"/>
  <c r="J28" i="35"/>
  <c r="W26" i="49" s="1"/>
  <c r="J27" i="35"/>
  <c r="W25" i="49" s="1"/>
  <c r="J26" i="35"/>
  <c r="W24" i="49" s="1"/>
  <c r="J25" i="35"/>
  <c r="W23" i="49" s="1"/>
  <c r="J24" i="35"/>
  <c r="W22" i="49" s="1"/>
  <c r="S30" i="35"/>
  <c r="J30" i="34"/>
  <c r="V28" i="49" s="1"/>
  <c r="J29" i="34"/>
  <c r="V27" i="49" s="1"/>
  <c r="J28" i="34"/>
  <c r="V26" i="49" s="1"/>
  <c r="J27" i="34"/>
  <c r="V25" i="49" s="1"/>
  <c r="J26" i="34"/>
  <c r="V24" i="49" s="1"/>
  <c r="J25" i="34"/>
  <c r="V23" i="49" s="1"/>
  <c r="V22" i="49"/>
  <c r="S30" i="34" l="1"/>
  <c r="U23" i="49"/>
  <c r="J26" i="33"/>
  <c r="U24" i="49" s="1"/>
  <c r="J27" i="33"/>
  <c r="U25" i="49" s="1"/>
  <c r="J28" i="33"/>
  <c r="U26" i="49" s="1"/>
  <c r="J29" i="33"/>
  <c r="U27" i="49" s="1"/>
  <c r="J30" i="33"/>
  <c r="U28" i="49" s="1"/>
  <c r="J24" i="33"/>
  <c r="U22" i="49" s="1"/>
  <c r="I17" i="15"/>
  <c r="C17" i="3" s="1"/>
  <c r="C21" i="47" l="1"/>
  <c r="X8" i="34"/>
  <c r="X8" i="35" s="1"/>
  <c r="X8" i="36" s="1"/>
  <c r="X8" i="37" s="1"/>
  <c r="X8" i="38" s="1"/>
  <c r="X8" i="39" s="1"/>
  <c r="X8" i="40" s="1"/>
  <c r="X8" i="41" s="1"/>
  <c r="X8" i="43" s="1"/>
  <c r="X8" i="44" s="1"/>
  <c r="R8" i="23"/>
  <c r="R8" i="24" s="1"/>
  <c r="R8" i="25" s="1"/>
  <c r="R8" i="26" s="1"/>
  <c r="R8" i="27" s="1"/>
  <c r="R8" i="28" s="1"/>
  <c r="R8" i="29" s="1"/>
  <c r="D8" i="19"/>
  <c r="R8" i="31" l="1"/>
  <c r="R8" i="30" s="1"/>
  <c r="R8" i="33" s="1"/>
  <c r="R8" i="34" s="1"/>
  <c r="R8" i="35" s="1"/>
  <c r="R8" i="36" s="1"/>
  <c r="R8" i="37" s="1"/>
  <c r="R8" i="38" s="1"/>
  <c r="R8" i="39" s="1"/>
  <c r="R8" i="40" s="1"/>
  <c r="R8" i="41" s="1"/>
  <c r="R8" i="43" s="1"/>
  <c r="R8" i="44" s="1"/>
  <c r="X8" i="45"/>
  <c r="D21" i="47"/>
  <c r="E21" i="47" s="1"/>
  <c r="F21" i="47" s="1"/>
  <c r="G21" i="47" s="1"/>
  <c r="H21" i="47" s="1"/>
  <c r="I21" i="47" s="1"/>
  <c r="J21" i="47" s="1"/>
  <c r="K21" i="47" s="1"/>
  <c r="L21" i="47" s="1"/>
  <c r="M21" i="47" s="1"/>
  <c r="N21" i="47" s="1"/>
  <c r="O21" i="47" s="1"/>
  <c r="P21" i="47" s="1"/>
  <c r="Q21" i="47" s="1"/>
  <c r="R21" i="47" s="1"/>
  <c r="S21" i="47" s="1"/>
  <c r="T21" i="47" s="1"/>
  <c r="U21" i="47" s="1"/>
  <c r="V21" i="47" s="1"/>
  <c r="W21" i="47" s="1"/>
  <c r="X21" i="47" s="1"/>
  <c r="Y21" i="47" s="1"/>
  <c r="Z21" i="47" s="1"/>
  <c r="AA21" i="47" s="1"/>
  <c r="AB21" i="47" s="1"/>
  <c r="AC21" i="47" s="1"/>
  <c r="AD21" i="47" s="1"/>
  <c r="AE21" i="47" s="1"/>
  <c r="AF21" i="47" s="1"/>
  <c r="D8" i="20"/>
  <c r="M20" i="17"/>
  <c r="M20" i="18" s="1"/>
  <c r="M20" i="19" s="1"/>
  <c r="M20" i="20" s="1"/>
  <c r="M20" i="21" s="1"/>
  <c r="M20" i="22" s="1"/>
  <c r="M20" i="23" s="1"/>
  <c r="M20" i="24" s="1"/>
  <c r="M20" i="25" s="1"/>
  <c r="M20" i="26" s="1"/>
  <c r="M20" i="27" s="1"/>
  <c r="M20" i="28" s="1"/>
  <c r="M20" i="29" s="1"/>
  <c r="AJ20" i="47" l="1"/>
  <c r="AG21" i="47"/>
  <c r="AI21" i="47" s="1"/>
  <c r="R8" i="45"/>
  <c r="D8" i="21"/>
  <c r="D8" i="22" s="1"/>
  <c r="M20" i="16"/>
  <c r="M20" i="3"/>
  <c r="M25" i="15"/>
  <c r="M26" i="15"/>
  <c r="M27" i="15"/>
  <c r="M28" i="15"/>
  <c r="M29" i="15"/>
  <c r="M30" i="15"/>
  <c r="M24" i="15"/>
  <c r="J29" i="30" l="1"/>
  <c r="J24" i="27"/>
  <c r="J25" i="24"/>
  <c r="J27" i="24"/>
  <c r="J27" i="18"/>
  <c r="T27" i="49" l="1"/>
  <c r="D8" i="23"/>
  <c r="M20" i="15"/>
  <c r="D8" i="24" l="1"/>
  <c r="S30" i="31"/>
  <c r="J30" i="31"/>
  <c r="S28" i="49" s="1"/>
  <c r="J29" i="31"/>
  <c r="S27" i="49" s="1"/>
  <c r="J28" i="31"/>
  <c r="S26" i="49" s="1"/>
  <c r="J27" i="31"/>
  <c r="S25" i="49" s="1"/>
  <c r="J26" i="31"/>
  <c r="S24" i="49" s="1"/>
  <c r="J25" i="31"/>
  <c r="S23" i="49" s="1"/>
  <c r="J24" i="31"/>
  <c r="S22" i="49" s="1"/>
  <c r="J30" i="30"/>
  <c r="J28" i="30"/>
  <c r="J27" i="30"/>
  <c r="J26" i="30"/>
  <c r="J25" i="30"/>
  <c r="J24" i="30"/>
  <c r="J30" i="29"/>
  <c r="R28" i="49" s="1"/>
  <c r="J29" i="29"/>
  <c r="R27" i="49" s="1"/>
  <c r="J28" i="29"/>
  <c r="R26" i="49" s="1"/>
  <c r="J27" i="29"/>
  <c r="R25" i="49" s="1"/>
  <c r="J26" i="29"/>
  <c r="R24" i="49" s="1"/>
  <c r="J25" i="29"/>
  <c r="R23" i="49" s="1"/>
  <c r="J24" i="29"/>
  <c r="R22" i="49" s="1"/>
  <c r="S30" i="29"/>
  <c r="S30" i="28"/>
  <c r="J30" i="28"/>
  <c r="Q28" i="49" s="1"/>
  <c r="J29" i="28"/>
  <c r="Q27" i="49" s="1"/>
  <c r="J28" i="28"/>
  <c r="Q26" i="49" s="1"/>
  <c r="J27" i="28"/>
  <c r="Q25" i="49" s="1"/>
  <c r="J26" i="28"/>
  <c r="Q24" i="49" s="1"/>
  <c r="J25" i="28"/>
  <c r="Q23" i="49" s="1"/>
  <c r="J24" i="28"/>
  <c r="Q22" i="49" s="1"/>
  <c r="S30" i="27"/>
  <c r="J30" i="27"/>
  <c r="P28" i="49" s="1"/>
  <c r="J29" i="27"/>
  <c r="P27" i="49" s="1"/>
  <c r="J28" i="27"/>
  <c r="P26" i="49" s="1"/>
  <c r="J27" i="27"/>
  <c r="P25" i="49" s="1"/>
  <c r="J26" i="27"/>
  <c r="P24" i="49" s="1"/>
  <c r="J25" i="27"/>
  <c r="P23" i="49" s="1"/>
  <c r="S30" i="26"/>
  <c r="J30" i="26"/>
  <c r="O28" i="49" s="1"/>
  <c r="J29" i="26"/>
  <c r="O27" i="49" s="1"/>
  <c r="J28" i="26"/>
  <c r="O26" i="49" s="1"/>
  <c r="J27" i="26"/>
  <c r="O25" i="49" s="1"/>
  <c r="J26" i="26"/>
  <c r="O24" i="49" s="1"/>
  <c r="J25" i="26"/>
  <c r="O23" i="49" s="1"/>
  <c r="J24" i="26"/>
  <c r="O22" i="49" s="1"/>
  <c r="S30" i="25"/>
  <c r="J30" i="25"/>
  <c r="N28" i="49" s="1"/>
  <c r="J29" i="25"/>
  <c r="N27" i="49" s="1"/>
  <c r="J28" i="25"/>
  <c r="N26" i="49" s="1"/>
  <c r="J27" i="25"/>
  <c r="N25" i="49" s="1"/>
  <c r="J26" i="25"/>
  <c r="N24" i="49" s="1"/>
  <c r="J25" i="25"/>
  <c r="N23" i="49" s="1"/>
  <c r="J24" i="25"/>
  <c r="N22" i="49" s="1"/>
  <c r="S30" i="24"/>
  <c r="J30" i="24"/>
  <c r="M28" i="49" s="1"/>
  <c r="J29" i="24"/>
  <c r="M27" i="49" s="1"/>
  <c r="J28" i="24"/>
  <c r="M26" i="49" s="1"/>
  <c r="M25" i="49"/>
  <c r="J26" i="24"/>
  <c r="M24" i="49" s="1"/>
  <c r="M23" i="49"/>
  <c r="J24" i="24"/>
  <c r="M22" i="49" s="1"/>
  <c r="J30" i="23"/>
  <c r="L28" i="49" s="1"/>
  <c r="J29" i="23"/>
  <c r="L27" i="49" s="1"/>
  <c r="J28" i="23"/>
  <c r="L26" i="49" s="1"/>
  <c r="J27" i="23"/>
  <c r="L25" i="49" s="1"/>
  <c r="J26" i="23"/>
  <c r="L24" i="49" s="1"/>
  <c r="J25" i="23"/>
  <c r="L23" i="49" s="1"/>
  <c r="J24" i="23"/>
  <c r="L22" i="49" s="1"/>
  <c r="S30" i="22"/>
  <c r="S30" i="23" s="1"/>
  <c r="J30" i="22"/>
  <c r="K28" i="49" s="1"/>
  <c r="J29" i="22"/>
  <c r="K27" i="49" s="1"/>
  <c r="J28" i="22"/>
  <c r="K26" i="49" s="1"/>
  <c r="J27" i="22"/>
  <c r="K25" i="49" s="1"/>
  <c r="J26" i="22"/>
  <c r="K24" i="49" s="1"/>
  <c r="J25" i="22"/>
  <c r="K23" i="49" s="1"/>
  <c r="J24" i="22"/>
  <c r="K22" i="49" s="1"/>
  <c r="S30" i="21"/>
  <c r="J30" i="21"/>
  <c r="J28" i="49" s="1"/>
  <c r="J29" i="21"/>
  <c r="J27" i="49" s="1"/>
  <c r="J28" i="21"/>
  <c r="J26" i="49" s="1"/>
  <c r="J27" i="21"/>
  <c r="J25" i="49" s="1"/>
  <c r="J26" i="21"/>
  <c r="J24" i="49" s="1"/>
  <c r="J25" i="21"/>
  <c r="J23" i="49" s="1"/>
  <c r="J24" i="21"/>
  <c r="J22" i="49" s="1"/>
  <c r="S30" i="20"/>
  <c r="J30" i="20"/>
  <c r="I28" i="49" s="1"/>
  <c r="J29" i="20"/>
  <c r="I27" i="49" s="1"/>
  <c r="J28" i="20"/>
  <c r="I26" i="49" s="1"/>
  <c r="J27" i="20"/>
  <c r="I25" i="49" s="1"/>
  <c r="J26" i="20"/>
  <c r="I24" i="49" s="1"/>
  <c r="J25" i="20"/>
  <c r="I23" i="49" s="1"/>
  <c r="J24" i="20"/>
  <c r="I22" i="49" s="1"/>
  <c r="S30" i="19"/>
  <c r="J30" i="19"/>
  <c r="H28" i="49" s="1"/>
  <c r="J29" i="19"/>
  <c r="H27" i="49" s="1"/>
  <c r="J28" i="19"/>
  <c r="H26" i="49" s="1"/>
  <c r="J27" i="19"/>
  <c r="H25" i="49" s="1"/>
  <c r="J26" i="19"/>
  <c r="H24" i="49" s="1"/>
  <c r="J25" i="19"/>
  <c r="H23" i="49" s="1"/>
  <c r="J24" i="19"/>
  <c r="H22" i="49" s="1"/>
  <c r="S30" i="18"/>
  <c r="J30" i="18"/>
  <c r="G28" i="49" s="1"/>
  <c r="J29" i="18"/>
  <c r="G27" i="49" s="1"/>
  <c r="J28" i="18"/>
  <c r="G26" i="49" s="1"/>
  <c r="G25" i="49"/>
  <c r="J26" i="18"/>
  <c r="G24" i="49" s="1"/>
  <c r="J25" i="18"/>
  <c r="G23" i="49" s="1"/>
  <c r="J24" i="18"/>
  <c r="G22" i="49" s="1"/>
  <c r="S30" i="17"/>
  <c r="J30" i="17"/>
  <c r="F28" i="49" s="1"/>
  <c r="J29" i="17"/>
  <c r="F27" i="49" s="1"/>
  <c r="J28" i="17"/>
  <c r="F26" i="49" s="1"/>
  <c r="J27" i="17"/>
  <c r="F25" i="49" s="1"/>
  <c r="J26" i="17"/>
  <c r="F24" i="49" s="1"/>
  <c r="J25" i="17"/>
  <c r="F23" i="49" s="1"/>
  <c r="J24" i="17"/>
  <c r="F22" i="49" s="1"/>
  <c r="S30" i="16"/>
  <c r="J30" i="16"/>
  <c r="E28" i="49" s="1"/>
  <c r="J29" i="16"/>
  <c r="E27" i="49" s="1"/>
  <c r="J28" i="16"/>
  <c r="E26" i="49" s="1"/>
  <c r="J27" i="16"/>
  <c r="E25" i="49" s="1"/>
  <c r="J26" i="16"/>
  <c r="E24" i="49" s="1"/>
  <c r="J25" i="16"/>
  <c r="E23" i="49" s="1"/>
  <c r="J24" i="16"/>
  <c r="E22" i="49" s="1"/>
  <c r="Y29" i="15"/>
  <c r="Y29" i="3" s="1"/>
  <c r="Y29" i="16" s="1"/>
  <c r="Y29" i="17" s="1"/>
  <c r="Y29" i="18" s="1"/>
  <c r="Y29" i="19" s="1"/>
  <c r="Y29" i="20" s="1"/>
  <c r="Y29" i="21" s="1"/>
  <c r="Y29" i="22" s="1"/>
  <c r="Y29" i="23" s="1"/>
  <c r="Y29" i="24" s="1"/>
  <c r="Y29" i="25" s="1"/>
  <c r="Y29" i="26" s="1"/>
  <c r="Y29" i="27" s="1"/>
  <c r="Y29" i="28" s="1"/>
  <c r="Y29" i="29" s="1"/>
  <c r="Y29" i="31" s="1"/>
  <c r="Y28" i="15"/>
  <c r="Y28" i="3" s="1"/>
  <c r="Y28" i="16" s="1"/>
  <c r="Y28" i="17" s="1"/>
  <c r="Y28" i="18" s="1"/>
  <c r="Y28" i="19" s="1"/>
  <c r="Y28" i="20" s="1"/>
  <c r="Y28" i="21" s="1"/>
  <c r="Y28" i="22" s="1"/>
  <c r="Y28" i="23" s="1"/>
  <c r="Y28" i="24" s="1"/>
  <c r="Y28" i="25" s="1"/>
  <c r="Y28" i="26" s="1"/>
  <c r="Y28" i="27" s="1"/>
  <c r="Y28" i="28" s="1"/>
  <c r="Y28" i="29" s="1"/>
  <c r="Y28" i="31" s="1"/>
  <c r="Y27" i="15"/>
  <c r="Y27" i="3" s="1"/>
  <c r="Y27" i="16" s="1"/>
  <c r="Y27" i="17" s="1"/>
  <c r="Y27" i="18" s="1"/>
  <c r="Y27" i="19" s="1"/>
  <c r="Y27" i="20" s="1"/>
  <c r="Y27" i="21" s="1"/>
  <c r="Y27" i="22" s="1"/>
  <c r="Y27" i="23" s="1"/>
  <c r="Y27" i="24" s="1"/>
  <c r="Y27" i="25" s="1"/>
  <c r="Y27" i="26" s="1"/>
  <c r="Y27" i="27" s="1"/>
  <c r="Y27" i="28" s="1"/>
  <c r="Y27" i="29" s="1"/>
  <c r="Y27" i="31" s="1"/>
  <c r="Y26" i="15"/>
  <c r="Y26" i="3" s="1"/>
  <c r="Y26" i="16" s="1"/>
  <c r="Y26" i="17" s="1"/>
  <c r="Y26" i="18" s="1"/>
  <c r="Y26" i="19" s="1"/>
  <c r="Y26" i="20" s="1"/>
  <c r="Y26" i="21" s="1"/>
  <c r="Y26" i="22" s="1"/>
  <c r="Y26" i="23" s="1"/>
  <c r="Y26" i="24" s="1"/>
  <c r="Y26" i="25" s="1"/>
  <c r="Y26" i="26" s="1"/>
  <c r="Y26" i="27" s="1"/>
  <c r="Y26" i="28" s="1"/>
  <c r="Y26" i="29" s="1"/>
  <c r="Y26" i="31" s="1"/>
  <c r="Y25" i="15"/>
  <c r="Y24" i="3"/>
  <c r="M18" i="15"/>
  <c r="M18" i="3" s="1"/>
  <c r="M18" i="16" s="1"/>
  <c r="M18" i="17" s="1"/>
  <c r="M18" i="18" s="1"/>
  <c r="M18" i="19" s="1"/>
  <c r="M18" i="20" s="1"/>
  <c r="M18" i="21" s="1"/>
  <c r="M18" i="22" s="1"/>
  <c r="M18" i="23" s="1"/>
  <c r="M18" i="24" s="1"/>
  <c r="M18" i="25" s="1"/>
  <c r="M18" i="26" s="1"/>
  <c r="M18" i="27" s="1"/>
  <c r="M18" i="28" s="1"/>
  <c r="M18" i="29" s="1"/>
  <c r="K18" i="3"/>
  <c r="K18" i="16" s="1"/>
  <c r="K18" i="17" s="1"/>
  <c r="K18" i="18" s="1"/>
  <c r="K18" i="19" s="1"/>
  <c r="K18" i="20" s="1"/>
  <c r="K18" i="21" s="1"/>
  <c r="K18" i="22" s="1"/>
  <c r="K18" i="23" s="1"/>
  <c r="K18" i="24" s="1"/>
  <c r="K18" i="25" s="1"/>
  <c r="K18" i="26" s="1"/>
  <c r="K18" i="27" s="1"/>
  <c r="K18" i="28" s="1"/>
  <c r="K18" i="29" s="1"/>
  <c r="M17" i="15"/>
  <c r="M17" i="3" s="1"/>
  <c r="M17" i="16" s="1"/>
  <c r="M17" i="17" s="1"/>
  <c r="K17" i="15"/>
  <c r="K17" i="3" s="1"/>
  <c r="K17" i="16" s="1"/>
  <c r="K17" i="17" s="1"/>
  <c r="K17" i="18" s="1"/>
  <c r="K17" i="19" s="1"/>
  <c r="K17" i="20" s="1"/>
  <c r="K17" i="21" s="1"/>
  <c r="K17" i="22" s="1"/>
  <c r="K17" i="23" s="1"/>
  <c r="K17" i="24" s="1"/>
  <c r="K17" i="25" s="1"/>
  <c r="K17" i="26" s="1"/>
  <c r="K17" i="27" s="1"/>
  <c r="K17" i="28" s="1"/>
  <c r="K17" i="29" s="1"/>
  <c r="M16" i="15"/>
  <c r="M16" i="3" s="1"/>
  <c r="M16" i="16" s="1"/>
  <c r="M16" i="17" s="1"/>
  <c r="M16" i="18" s="1"/>
  <c r="M16" i="19" s="1"/>
  <c r="M16" i="20" s="1"/>
  <c r="M16" i="21" s="1"/>
  <c r="M16" i="22" s="1"/>
  <c r="M16" i="23" s="1"/>
  <c r="M16" i="24" s="1"/>
  <c r="M16" i="25" s="1"/>
  <c r="M16" i="26" s="1"/>
  <c r="M16" i="27" s="1"/>
  <c r="M16" i="28" s="1"/>
  <c r="M16" i="29" s="1"/>
  <c r="K16" i="3"/>
  <c r="K16" i="16" s="1"/>
  <c r="K16" i="17" s="1"/>
  <c r="K16" i="18" s="1"/>
  <c r="K16" i="19" s="1"/>
  <c r="K16" i="20" s="1"/>
  <c r="K16" i="21" s="1"/>
  <c r="K16" i="22" s="1"/>
  <c r="K16" i="23" s="1"/>
  <c r="K16" i="24" s="1"/>
  <c r="K16" i="25" s="1"/>
  <c r="K16" i="26" s="1"/>
  <c r="K16" i="27" s="1"/>
  <c r="K16" i="28" s="1"/>
  <c r="K16" i="29" s="1"/>
  <c r="I16" i="15"/>
  <c r="C16" i="3" s="1"/>
  <c r="M15" i="15"/>
  <c r="M15" i="3" s="1"/>
  <c r="M15" i="16" s="1"/>
  <c r="M15" i="17" s="1"/>
  <c r="M15" i="18" s="1"/>
  <c r="M15" i="19" s="1"/>
  <c r="M15" i="20" s="1"/>
  <c r="M15" i="21" s="1"/>
  <c r="M15" i="22" s="1"/>
  <c r="M15" i="23" s="1"/>
  <c r="M15" i="24" s="1"/>
  <c r="M15" i="25" s="1"/>
  <c r="M15" i="26" s="1"/>
  <c r="M15" i="27" s="1"/>
  <c r="M15" i="28" s="1"/>
  <c r="M15" i="29" s="1"/>
  <c r="K15" i="15"/>
  <c r="K15" i="3" s="1"/>
  <c r="K15" i="16" s="1"/>
  <c r="K15" i="17" s="1"/>
  <c r="K15" i="18" s="1"/>
  <c r="K15" i="19" s="1"/>
  <c r="K15" i="20" s="1"/>
  <c r="K15" i="21" s="1"/>
  <c r="K15" i="22" s="1"/>
  <c r="K15" i="23" s="1"/>
  <c r="K15" i="24" s="1"/>
  <c r="K15" i="25" s="1"/>
  <c r="K15" i="26" s="1"/>
  <c r="K15" i="27" s="1"/>
  <c r="K15" i="28" s="1"/>
  <c r="K15" i="29" s="1"/>
  <c r="I15" i="15"/>
  <c r="C15" i="3" s="1"/>
  <c r="M14" i="15"/>
  <c r="M14" i="3" s="1"/>
  <c r="M14" i="16" s="1"/>
  <c r="M14" i="17" s="1"/>
  <c r="M14" i="18" s="1"/>
  <c r="M14" i="19" s="1"/>
  <c r="M14" i="20" s="1"/>
  <c r="M14" i="21" s="1"/>
  <c r="M14" i="22" s="1"/>
  <c r="M14" i="23" s="1"/>
  <c r="M14" i="24" s="1"/>
  <c r="M14" i="25" s="1"/>
  <c r="M14" i="26" s="1"/>
  <c r="M14" i="27" s="1"/>
  <c r="M14" i="28" s="1"/>
  <c r="M14" i="29" s="1"/>
  <c r="K14" i="15"/>
  <c r="K14" i="3" s="1"/>
  <c r="K14" i="16" s="1"/>
  <c r="K14" i="17" s="1"/>
  <c r="K14" i="18" s="1"/>
  <c r="K14" i="19" s="1"/>
  <c r="K14" i="20" s="1"/>
  <c r="K14" i="21" s="1"/>
  <c r="K14" i="22" s="1"/>
  <c r="K14" i="23" s="1"/>
  <c r="K14" i="24" s="1"/>
  <c r="K14" i="25" s="1"/>
  <c r="K14" i="26" s="1"/>
  <c r="K14" i="27" s="1"/>
  <c r="K14" i="28" s="1"/>
  <c r="K14" i="29" s="1"/>
  <c r="I14" i="15"/>
  <c r="C14" i="3" s="1"/>
  <c r="M13" i="15"/>
  <c r="M13" i="3" s="1"/>
  <c r="K13" i="15"/>
  <c r="K13" i="3" s="1"/>
  <c r="K13" i="16" s="1"/>
  <c r="K13" i="17" s="1"/>
  <c r="K13" i="18" s="1"/>
  <c r="K13" i="19" s="1"/>
  <c r="K13" i="20" s="1"/>
  <c r="K13" i="21" s="1"/>
  <c r="K13" i="22" s="1"/>
  <c r="K13" i="23" s="1"/>
  <c r="K13" i="24" s="1"/>
  <c r="K13" i="25" s="1"/>
  <c r="K13" i="26" s="1"/>
  <c r="K13" i="27" s="1"/>
  <c r="K13" i="28" s="1"/>
  <c r="K13" i="29" s="1"/>
  <c r="I13" i="15"/>
  <c r="C13" i="3" s="1"/>
  <c r="M12" i="15"/>
  <c r="M12" i="3" s="1"/>
  <c r="K12" i="17"/>
  <c r="K12" i="18" s="1"/>
  <c r="K12" i="19" s="1"/>
  <c r="I12" i="15"/>
  <c r="K15" i="31" l="1"/>
  <c r="K15" i="30" s="1"/>
  <c r="K15" i="33" s="1"/>
  <c r="K15" i="34" s="1"/>
  <c r="K15" i="35" s="1"/>
  <c r="K15" i="36" s="1"/>
  <c r="K15" i="37" s="1"/>
  <c r="K15" i="38" s="1"/>
  <c r="K15" i="39" s="1"/>
  <c r="K15" i="40" s="1"/>
  <c r="K15" i="41" s="1"/>
  <c r="K15" i="43" s="1"/>
  <c r="K15" i="44" s="1"/>
  <c r="K15" i="45" s="1"/>
  <c r="K15" i="54" s="1"/>
  <c r="K16" i="31"/>
  <c r="K16" i="30" s="1"/>
  <c r="K16" i="33" s="1"/>
  <c r="K16" i="34" s="1"/>
  <c r="K16" i="35" s="1"/>
  <c r="K16" i="36" s="1"/>
  <c r="K16" i="37" s="1"/>
  <c r="K16" i="38" s="1"/>
  <c r="K16" i="39" s="1"/>
  <c r="K16" i="40" s="1"/>
  <c r="K16" i="41" s="1"/>
  <c r="K16" i="43" s="1"/>
  <c r="K16" i="44" s="1"/>
  <c r="K16" i="45" s="1"/>
  <c r="K16" i="54" s="1"/>
  <c r="K18" i="31"/>
  <c r="K18" i="30" s="1"/>
  <c r="K18" i="33" s="1"/>
  <c r="K18" i="34" s="1"/>
  <c r="K18" i="35" s="1"/>
  <c r="K18" i="36" s="1"/>
  <c r="K18" i="37" s="1"/>
  <c r="K18" i="38" s="1"/>
  <c r="K18" i="39" s="1"/>
  <c r="K18" i="40" s="1"/>
  <c r="K18" i="41" s="1"/>
  <c r="K18" i="43" s="1"/>
  <c r="K18" i="44" s="1"/>
  <c r="K18" i="45" s="1"/>
  <c r="K18" i="54" s="1"/>
  <c r="C12" i="3"/>
  <c r="I12" i="3" s="1"/>
  <c r="C12" i="16" s="1"/>
  <c r="M15" i="31"/>
  <c r="M15" i="30" s="1"/>
  <c r="M15" i="33" s="1"/>
  <c r="M15" i="34" s="1"/>
  <c r="M15" i="35" s="1"/>
  <c r="M15" i="36" s="1"/>
  <c r="M15" i="37" s="1"/>
  <c r="M15" i="38" s="1"/>
  <c r="M15" i="39" s="1"/>
  <c r="M15" i="40" s="1"/>
  <c r="M15" i="41" s="1"/>
  <c r="M15" i="43" s="1"/>
  <c r="M15" i="44" s="1"/>
  <c r="M15" i="45" s="1"/>
  <c r="M15" i="54" s="1"/>
  <c r="M18" i="31"/>
  <c r="M18" i="30" s="1"/>
  <c r="M18" i="33" s="1"/>
  <c r="M18" i="34" s="1"/>
  <c r="M18" i="35" s="1"/>
  <c r="M18" i="36" s="1"/>
  <c r="M18" i="37" s="1"/>
  <c r="M18" i="38" s="1"/>
  <c r="M18" i="39" s="1"/>
  <c r="M18" i="40" s="1"/>
  <c r="M18" i="41" s="1"/>
  <c r="M18" i="43" s="1"/>
  <c r="M18" i="44" s="1"/>
  <c r="M18" i="45" s="1"/>
  <c r="M18" i="54" s="1"/>
  <c r="K17" i="31"/>
  <c r="K17" i="30" s="1"/>
  <c r="K17" i="33" s="1"/>
  <c r="K17" i="34" s="1"/>
  <c r="K17" i="35" s="1"/>
  <c r="K17" i="36" s="1"/>
  <c r="K17" i="37" s="1"/>
  <c r="K17" i="38" s="1"/>
  <c r="K17" i="39" s="1"/>
  <c r="K17" i="40" s="1"/>
  <c r="K17" i="41" s="1"/>
  <c r="K17" i="43" s="1"/>
  <c r="K17" i="44" s="1"/>
  <c r="K17" i="45" s="1"/>
  <c r="K17" i="54" s="1"/>
  <c r="K14" i="31"/>
  <c r="K14" i="30" s="1"/>
  <c r="K14" i="33" s="1"/>
  <c r="K14" i="34" s="1"/>
  <c r="K14" i="35" s="1"/>
  <c r="K14" i="36" s="1"/>
  <c r="K14" i="37" s="1"/>
  <c r="K14" i="38" s="1"/>
  <c r="K14" i="39" s="1"/>
  <c r="K14" i="40" s="1"/>
  <c r="K14" i="41" s="1"/>
  <c r="K14" i="43" s="1"/>
  <c r="K14" i="44" s="1"/>
  <c r="K14" i="45" s="1"/>
  <c r="K14" i="54" s="1"/>
  <c r="K13" i="31"/>
  <c r="K13" i="30" s="1"/>
  <c r="K13" i="33" s="1"/>
  <c r="K13" i="34" s="1"/>
  <c r="K13" i="35" s="1"/>
  <c r="K13" i="36" s="1"/>
  <c r="K13" i="37" s="1"/>
  <c r="K13" i="38" s="1"/>
  <c r="K13" i="39" s="1"/>
  <c r="K13" i="40" s="1"/>
  <c r="K13" i="41" s="1"/>
  <c r="K13" i="43" s="1"/>
  <c r="K13" i="44" s="1"/>
  <c r="K13" i="45" s="1"/>
  <c r="K13" i="54" s="1"/>
  <c r="M16" i="31"/>
  <c r="M16" i="30" s="1"/>
  <c r="M16" i="33" s="1"/>
  <c r="M16" i="34" s="1"/>
  <c r="M16" i="35" s="1"/>
  <c r="M16" i="36" s="1"/>
  <c r="M16" i="37" s="1"/>
  <c r="M16" i="38" s="1"/>
  <c r="M16" i="39" s="1"/>
  <c r="M16" i="40" s="1"/>
  <c r="M16" i="41" s="1"/>
  <c r="M16" i="43" s="1"/>
  <c r="M16" i="44" s="1"/>
  <c r="M16" i="45" s="1"/>
  <c r="M16" i="54" s="1"/>
  <c r="M14" i="31"/>
  <c r="M14" i="30" s="1"/>
  <c r="M14" i="33" s="1"/>
  <c r="M14" i="34" s="1"/>
  <c r="M14" i="35" s="1"/>
  <c r="M14" i="36" s="1"/>
  <c r="M14" i="37" s="1"/>
  <c r="M14" i="38" s="1"/>
  <c r="M14" i="39" s="1"/>
  <c r="M14" i="40" s="1"/>
  <c r="M14" i="41" s="1"/>
  <c r="M14" i="43" s="1"/>
  <c r="M14" i="44" s="1"/>
  <c r="M14" i="45" s="1"/>
  <c r="M14" i="54" s="1"/>
  <c r="T28" i="49"/>
  <c r="T26" i="49"/>
  <c r="T25" i="49"/>
  <c r="T24" i="49"/>
  <c r="T23" i="49"/>
  <c r="T22" i="49"/>
  <c r="Y24" i="16"/>
  <c r="Y24" i="17" s="1"/>
  <c r="Y24" i="18" s="1"/>
  <c r="Y24" i="19" s="1"/>
  <c r="Y24" i="20" s="1"/>
  <c r="Y24" i="21" s="1"/>
  <c r="Y24" i="22" s="1"/>
  <c r="Y24" i="23" s="1"/>
  <c r="Y24" i="24" s="1"/>
  <c r="Y24" i="25" s="1"/>
  <c r="Y24" i="26" s="1"/>
  <c r="Y24" i="27" s="1"/>
  <c r="Y24" i="28" s="1"/>
  <c r="Y24" i="29" s="1"/>
  <c r="Y24" i="31" s="1"/>
  <c r="Y25" i="3"/>
  <c r="Y25" i="16" s="1"/>
  <c r="Y25" i="17" s="1"/>
  <c r="Y25" i="18" s="1"/>
  <c r="Y25" i="19" s="1"/>
  <c r="Y25" i="20" s="1"/>
  <c r="Y25" i="21" s="1"/>
  <c r="Y25" i="22" s="1"/>
  <c r="Y25" i="23" s="1"/>
  <c r="Y25" i="24" s="1"/>
  <c r="Y25" i="25" s="1"/>
  <c r="Y25" i="26" s="1"/>
  <c r="Y25" i="27" s="1"/>
  <c r="Y25" i="28" s="1"/>
  <c r="Y25" i="29" s="1"/>
  <c r="Y25" i="31" s="1"/>
  <c r="Y30" i="15"/>
  <c r="M12" i="16"/>
  <c r="M12" i="17" s="1"/>
  <c r="M12" i="18" s="1"/>
  <c r="M12" i="19" s="1"/>
  <c r="M12" i="20" s="1"/>
  <c r="M12" i="21" s="1"/>
  <c r="M12" i="22" s="1"/>
  <c r="M12" i="23" s="1"/>
  <c r="M12" i="24" s="1"/>
  <c r="M12" i="25" s="1"/>
  <c r="M12" i="26" s="1"/>
  <c r="M12" i="27" s="1"/>
  <c r="M12" i="28" s="1"/>
  <c r="M12" i="29" s="1"/>
  <c r="K12" i="20"/>
  <c r="K12" i="21" s="1"/>
  <c r="K12" i="22" s="1"/>
  <c r="K12" i="23" s="1"/>
  <c r="K12" i="24" s="1"/>
  <c r="K12" i="25" s="1"/>
  <c r="K12" i="26" s="1"/>
  <c r="K12" i="27" s="1"/>
  <c r="K12" i="28" s="1"/>
  <c r="K12" i="29" s="1"/>
  <c r="K12" i="31" s="1"/>
  <c r="K12" i="30" s="1"/>
  <c r="K12" i="33" s="1"/>
  <c r="M13" i="16"/>
  <c r="M13" i="17" s="1"/>
  <c r="M13" i="18" s="1"/>
  <c r="M13" i="19" s="1"/>
  <c r="M13" i="20" s="1"/>
  <c r="M13" i="21" s="1"/>
  <c r="M13" i="22" s="1"/>
  <c r="M13" i="23" s="1"/>
  <c r="M13" i="24" s="1"/>
  <c r="M13" i="25" s="1"/>
  <c r="M13" i="26" s="1"/>
  <c r="M13" i="27" s="1"/>
  <c r="M13" i="28" s="1"/>
  <c r="M13" i="29" s="1"/>
  <c r="M17" i="18"/>
  <c r="M17" i="19" s="1"/>
  <c r="M17" i="20" s="1"/>
  <c r="M17" i="21" s="1"/>
  <c r="M17" i="22" s="1"/>
  <c r="M17" i="23" s="1"/>
  <c r="M17" i="24" s="1"/>
  <c r="M17" i="25" s="1"/>
  <c r="M17" i="26" s="1"/>
  <c r="M17" i="27" s="1"/>
  <c r="M17" i="28" s="1"/>
  <c r="M17" i="29" s="1"/>
  <c r="C18" i="47"/>
  <c r="C9" i="47"/>
  <c r="C6" i="47"/>
  <c r="C15" i="47"/>
  <c r="C24" i="47"/>
  <c r="C12" i="47"/>
  <c r="D8" i="25"/>
  <c r="J26" i="3"/>
  <c r="J27" i="3"/>
  <c r="J28" i="3"/>
  <c r="J29" i="3"/>
  <c r="J30" i="3"/>
  <c r="J25" i="3"/>
  <c r="J24" i="3"/>
  <c r="M17" i="31" l="1"/>
  <c r="M17" i="30" s="1"/>
  <c r="M17" i="33" s="1"/>
  <c r="M17" i="34" s="1"/>
  <c r="M17" i="35" s="1"/>
  <c r="M17" i="36" s="1"/>
  <c r="M17" i="37" s="1"/>
  <c r="M17" i="38" s="1"/>
  <c r="M17" i="39" s="1"/>
  <c r="M17" i="40" s="1"/>
  <c r="M17" i="41" s="1"/>
  <c r="M17" i="43" s="1"/>
  <c r="M17" i="44" s="1"/>
  <c r="M17" i="45" s="1"/>
  <c r="M17" i="54" s="1"/>
  <c r="M13" i="31"/>
  <c r="M13" i="30" s="1"/>
  <c r="M13" i="33" s="1"/>
  <c r="M13" i="34" s="1"/>
  <c r="M13" i="35" s="1"/>
  <c r="M13" i="36" s="1"/>
  <c r="M13" i="37" s="1"/>
  <c r="M13" i="38" s="1"/>
  <c r="M13" i="39" s="1"/>
  <c r="M13" i="40" s="1"/>
  <c r="M13" i="41" s="1"/>
  <c r="M13" i="43" s="1"/>
  <c r="M13" i="44" s="1"/>
  <c r="M13" i="45" s="1"/>
  <c r="M13" i="54" s="1"/>
  <c r="M12" i="31"/>
  <c r="M12" i="30" s="1"/>
  <c r="M12" i="33" s="1"/>
  <c r="M12" i="34" s="1"/>
  <c r="M12" i="35" s="1"/>
  <c r="M12" i="36" s="1"/>
  <c r="M12" i="37" s="1"/>
  <c r="M12" i="38" s="1"/>
  <c r="M12" i="39" s="1"/>
  <c r="M12" i="40" s="1"/>
  <c r="M12" i="41" s="1"/>
  <c r="M12" i="43" s="1"/>
  <c r="M12" i="44" s="1"/>
  <c r="M12" i="45" s="1"/>
  <c r="M12" i="54" s="1"/>
  <c r="K12" i="34"/>
  <c r="K12" i="35" s="1"/>
  <c r="K12" i="36" s="1"/>
  <c r="K12" i="37" s="1"/>
  <c r="K12" i="38" s="1"/>
  <c r="K12" i="39" s="1"/>
  <c r="K12" i="40" s="1"/>
  <c r="K12" i="41" s="1"/>
  <c r="K12" i="43" s="1"/>
  <c r="K12" i="44" s="1"/>
  <c r="D12" i="47"/>
  <c r="E12" i="47" s="1"/>
  <c r="F12" i="47" s="1"/>
  <c r="G12" i="47" s="1"/>
  <c r="H12" i="47" s="1"/>
  <c r="I12" i="47" s="1"/>
  <c r="J12" i="47" s="1"/>
  <c r="K12" i="47" s="1"/>
  <c r="L12" i="47" s="1"/>
  <c r="M12" i="47" s="1"/>
  <c r="N12" i="47" s="1"/>
  <c r="O12" i="47" s="1"/>
  <c r="P12" i="47" s="1"/>
  <c r="Q12" i="47" s="1"/>
  <c r="R12" i="47" s="1"/>
  <c r="S12" i="47" s="1"/>
  <c r="T12" i="47" s="1"/>
  <c r="U12" i="47" s="1"/>
  <c r="V12" i="47" s="1"/>
  <c r="W12" i="47" s="1"/>
  <c r="X12" i="47" s="1"/>
  <c r="Y12" i="47" s="1"/>
  <c r="Z12" i="47" s="1"/>
  <c r="AA12" i="47" s="1"/>
  <c r="AB12" i="47" s="1"/>
  <c r="AC12" i="47" s="1"/>
  <c r="AD12" i="47" s="1"/>
  <c r="AE12" i="47" s="1"/>
  <c r="AF12" i="47" s="1"/>
  <c r="D15" i="47"/>
  <c r="E15" i="47" s="1"/>
  <c r="F15" i="47" s="1"/>
  <c r="G15" i="47" s="1"/>
  <c r="H15" i="47" s="1"/>
  <c r="I15" i="47" s="1"/>
  <c r="J15" i="47" s="1"/>
  <c r="K15" i="47" s="1"/>
  <c r="L15" i="47" s="1"/>
  <c r="M15" i="47" s="1"/>
  <c r="N15" i="47" s="1"/>
  <c r="O15" i="47" s="1"/>
  <c r="P15" i="47" s="1"/>
  <c r="Q15" i="47" s="1"/>
  <c r="R15" i="47" s="1"/>
  <c r="S15" i="47" s="1"/>
  <c r="T15" i="47" s="1"/>
  <c r="U15" i="47" s="1"/>
  <c r="V15" i="47" s="1"/>
  <c r="W15" i="47" s="1"/>
  <c r="X15" i="47" s="1"/>
  <c r="Y15" i="47" s="1"/>
  <c r="Z15" i="47" s="1"/>
  <c r="AA15" i="47" s="1"/>
  <c r="AB15" i="47" s="1"/>
  <c r="AC15" i="47" s="1"/>
  <c r="AD15" i="47" s="1"/>
  <c r="AE15" i="47" s="1"/>
  <c r="AF15" i="47" s="1"/>
  <c r="AG15" i="47" s="1"/>
  <c r="D9" i="47"/>
  <c r="E9" i="47" s="1"/>
  <c r="F9" i="47" s="1"/>
  <c r="G9" i="47" s="1"/>
  <c r="H9" i="47" s="1"/>
  <c r="I9" i="47" s="1"/>
  <c r="J9" i="47" s="1"/>
  <c r="K9" i="47" s="1"/>
  <c r="L9" i="47" s="1"/>
  <c r="M9" i="47" s="1"/>
  <c r="N9" i="47" s="1"/>
  <c r="O9" i="47" s="1"/>
  <c r="P9" i="47" s="1"/>
  <c r="Q9" i="47" s="1"/>
  <c r="R9" i="47" s="1"/>
  <c r="S9" i="47" s="1"/>
  <c r="T9" i="47" s="1"/>
  <c r="U9" i="47" s="1"/>
  <c r="V9" i="47" s="1"/>
  <c r="W9" i="47" s="1"/>
  <c r="X9" i="47" s="1"/>
  <c r="Y9" i="47" s="1"/>
  <c r="Z9" i="47" s="1"/>
  <c r="AA9" i="47" s="1"/>
  <c r="AB9" i="47" s="1"/>
  <c r="AC9" i="47" s="1"/>
  <c r="AD9" i="47" s="1"/>
  <c r="AE9" i="47" s="1"/>
  <c r="AF9" i="47" s="1"/>
  <c r="D24" i="47"/>
  <c r="E24" i="47" s="1"/>
  <c r="F24" i="47" s="1"/>
  <c r="G24" i="47" s="1"/>
  <c r="H24" i="47" s="1"/>
  <c r="I24" i="47" s="1"/>
  <c r="J24" i="47" s="1"/>
  <c r="K24" i="47" s="1"/>
  <c r="L24" i="47" s="1"/>
  <c r="M24" i="47" s="1"/>
  <c r="N24" i="47" s="1"/>
  <c r="O24" i="47" s="1"/>
  <c r="P24" i="47" s="1"/>
  <c r="Q24" i="47" s="1"/>
  <c r="R24" i="47" s="1"/>
  <c r="S24" i="47" s="1"/>
  <c r="T24" i="47" s="1"/>
  <c r="U24" i="47" s="1"/>
  <c r="V24" i="47" s="1"/>
  <c r="W24" i="47" s="1"/>
  <c r="X24" i="47" s="1"/>
  <c r="Y24" i="47" s="1"/>
  <c r="Z24" i="47" s="1"/>
  <c r="AA24" i="47" s="1"/>
  <c r="AB24" i="47" s="1"/>
  <c r="AC24" i="47" s="1"/>
  <c r="AD24" i="47" s="1"/>
  <c r="AE24" i="47" s="1"/>
  <c r="AF24" i="47" s="1"/>
  <c r="D6" i="47"/>
  <c r="E6" i="47" s="1"/>
  <c r="F6" i="47" s="1"/>
  <c r="G6" i="47" s="1"/>
  <c r="H6" i="47" s="1"/>
  <c r="I6" i="47" s="1"/>
  <c r="J6" i="47" s="1"/>
  <c r="K6" i="47" s="1"/>
  <c r="L6" i="47" s="1"/>
  <c r="M6" i="47" s="1"/>
  <c r="N6" i="47" s="1"/>
  <c r="O6" i="47" s="1"/>
  <c r="P6" i="47" s="1"/>
  <c r="Q6" i="47" s="1"/>
  <c r="R6" i="47" s="1"/>
  <c r="S6" i="47" s="1"/>
  <c r="T6" i="47" s="1"/>
  <c r="U6" i="47" s="1"/>
  <c r="V6" i="47" s="1"/>
  <c r="W6" i="47" s="1"/>
  <c r="X6" i="47" s="1"/>
  <c r="Y6" i="47" s="1"/>
  <c r="Z6" i="47" s="1"/>
  <c r="AA6" i="47" s="1"/>
  <c r="AB6" i="47" s="1"/>
  <c r="AC6" i="47" s="1"/>
  <c r="AD6" i="47" s="1"/>
  <c r="AE6" i="47" s="1"/>
  <c r="AF6" i="47" s="1"/>
  <c r="D18" i="47"/>
  <c r="E18" i="47" s="1"/>
  <c r="F18" i="47" s="1"/>
  <c r="G18" i="47" s="1"/>
  <c r="H18" i="47" s="1"/>
  <c r="I18" i="47" s="1"/>
  <c r="J18" i="47" s="1"/>
  <c r="K18" i="47" s="1"/>
  <c r="L18" i="47" s="1"/>
  <c r="M18" i="47" s="1"/>
  <c r="N18" i="47" s="1"/>
  <c r="O18" i="47" s="1"/>
  <c r="P18" i="47" s="1"/>
  <c r="Q18" i="47" s="1"/>
  <c r="R18" i="47" s="1"/>
  <c r="S18" i="47" s="1"/>
  <c r="T18" i="47" s="1"/>
  <c r="U18" i="47" s="1"/>
  <c r="V18" i="47" s="1"/>
  <c r="W18" i="47" s="1"/>
  <c r="X18" i="47" s="1"/>
  <c r="Y18" i="47" s="1"/>
  <c r="Z18" i="47" s="1"/>
  <c r="AA18" i="47" s="1"/>
  <c r="AB18" i="47" s="1"/>
  <c r="AC18" i="47" s="1"/>
  <c r="AD18" i="47" s="1"/>
  <c r="AE18" i="47" s="1"/>
  <c r="AF18" i="47" s="1"/>
  <c r="M30" i="3"/>
  <c r="M30" i="16" s="1"/>
  <c r="D28" i="49"/>
  <c r="M29" i="3"/>
  <c r="M29" i="16" s="1"/>
  <c r="M29" i="17" s="1"/>
  <c r="M29" i="18" s="1"/>
  <c r="M29" i="19" s="1"/>
  <c r="M29" i="20" s="1"/>
  <c r="M29" i="21" s="1"/>
  <c r="M29" i="22" s="1"/>
  <c r="M29" i="23" s="1"/>
  <c r="M29" i="24" s="1"/>
  <c r="M29" i="25" s="1"/>
  <c r="M29" i="26" s="1"/>
  <c r="M29" i="27" s="1"/>
  <c r="M29" i="28" s="1"/>
  <c r="M29" i="29" s="1"/>
  <c r="D27" i="49"/>
  <c r="M26" i="3"/>
  <c r="M26" i="16" s="1"/>
  <c r="M26" i="17" s="1"/>
  <c r="M26" i="18" s="1"/>
  <c r="M26" i="19" s="1"/>
  <c r="M26" i="20" s="1"/>
  <c r="M26" i="21" s="1"/>
  <c r="M26" i="22" s="1"/>
  <c r="M26" i="23" s="1"/>
  <c r="M26" i="24" s="1"/>
  <c r="M26" i="25" s="1"/>
  <c r="M26" i="26" s="1"/>
  <c r="M26" i="27" s="1"/>
  <c r="M26" i="28" s="1"/>
  <c r="M26" i="29" s="1"/>
  <c r="D24" i="49"/>
  <c r="M24" i="3"/>
  <c r="M24" i="16" s="1"/>
  <c r="M24" i="17" s="1"/>
  <c r="M24" i="18" s="1"/>
  <c r="M24" i="19" s="1"/>
  <c r="D22" i="49"/>
  <c r="M28" i="3"/>
  <c r="M28" i="16" s="1"/>
  <c r="M28" i="17" s="1"/>
  <c r="M28" i="18" s="1"/>
  <c r="M28" i="19" s="1"/>
  <c r="M28" i="20" s="1"/>
  <c r="M28" i="21" s="1"/>
  <c r="M28" i="22" s="1"/>
  <c r="M28" i="23" s="1"/>
  <c r="M28" i="24" s="1"/>
  <c r="M28" i="25" s="1"/>
  <c r="M28" i="26" s="1"/>
  <c r="M28" i="27" s="1"/>
  <c r="M28" i="28" s="1"/>
  <c r="M28" i="29" s="1"/>
  <c r="D26" i="49"/>
  <c r="M25" i="3"/>
  <c r="M25" i="16" s="1"/>
  <c r="M25" i="17" s="1"/>
  <c r="M25" i="18" s="1"/>
  <c r="M25" i="19" s="1"/>
  <c r="M25" i="20" s="1"/>
  <c r="M25" i="21" s="1"/>
  <c r="M25" i="22" s="1"/>
  <c r="M25" i="23" s="1"/>
  <c r="M25" i="24" s="1"/>
  <c r="M25" i="25" s="1"/>
  <c r="M25" i="26" s="1"/>
  <c r="M25" i="27" s="1"/>
  <c r="M25" i="28" s="1"/>
  <c r="M25" i="29" s="1"/>
  <c r="D23" i="49"/>
  <c r="M27" i="3"/>
  <c r="M27" i="16" s="1"/>
  <c r="M27" i="17" s="1"/>
  <c r="M27" i="18" s="1"/>
  <c r="M27" i="19" s="1"/>
  <c r="M27" i="20" s="1"/>
  <c r="M27" i="21" s="1"/>
  <c r="M27" i="22" s="1"/>
  <c r="M27" i="23" s="1"/>
  <c r="M27" i="24" s="1"/>
  <c r="M27" i="25" s="1"/>
  <c r="M27" i="26" s="1"/>
  <c r="M27" i="27" s="1"/>
  <c r="M27" i="28" s="1"/>
  <c r="M27" i="29" s="1"/>
  <c r="D25" i="49"/>
  <c r="Y30" i="3"/>
  <c r="Y30" i="16" s="1"/>
  <c r="Y30" i="17" s="1"/>
  <c r="Y30" i="18" s="1"/>
  <c r="D8" i="26"/>
  <c r="AI25" i="49" l="1"/>
  <c r="AH25" i="49"/>
  <c r="AI26" i="49"/>
  <c r="AH26" i="49"/>
  <c r="AI24" i="49"/>
  <c r="AH24" i="49"/>
  <c r="AI28" i="49"/>
  <c r="AH28" i="49"/>
  <c r="M28" i="31"/>
  <c r="M28" i="30" s="1"/>
  <c r="M28" i="33" s="1"/>
  <c r="M28" i="34" s="1"/>
  <c r="M28" i="35" s="1"/>
  <c r="M28" i="36" s="1"/>
  <c r="M28" i="37" s="1"/>
  <c r="M28" i="38" s="1"/>
  <c r="M28" i="39" s="1"/>
  <c r="M28" i="40" s="1"/>
  <c r="M28" i="41" s="1"/>
  <c r="M28" i="43" s="1"/>
  <c r="M28" i="44" s="1"/>
  <c r="M26" i="31"/>
  <c r="M26" i="30" s="1"/>
  <c r="M26" i="33" s="1"/>
  <c r="M26" i="34" s="1"/>
  <c r="M26" i="35" s="1"/>
  <c r="M26" i="36" s="1"/>
  <c r="M26" i="37" s="1"/>
  <c r="M26" i="38" s="1"/>
  <c r="M26" i="39" s="1"/>
  <c r="M26" i="40" s="1"/>
  <c r="M26" i="41" s="1"/>
  <c r="M26" i="43" s="1"/>
  <c r="M26" i="44" s="1"/>
  <c r="AH23" i="49"/>
  <c r="AI23" i="49"/>
  <c r="AI27" i="49"/>
  <c r="AH27" i="49"/>
  <c r="M27" i="31"/>
  <c r="M27" i="30" s="1"/>
  <c r="M27" i="33" s="1"/>
  <c r="M27" i="34" s="1"/>
  <c r="M27" i="35" s="1"/>
  <c r="M27" i="36" s="1"/>
  <c r="M27" i="37" s="1"/>
  <c r="M27" i="38" s="1"/>
  <c r="M27" i="39" s="1"/>
  <c r="M27" i="40" s="1"/>
  <c r="M27" i="41" s="1"/>
  <c r="M27" i="43" s="1"/>
  <c r="M27" i="44" s="1"/>
  <c r="M27" i="45" s="1"/>
  <c r="M27" i="54" s="1"/>
  <c r="M25" i="31"/>
  <c r="M25" i="30" s="1"/>
  <c r="M25" i="33" s="1"/>
  <c r="M25" i="34" s="1"/>
  <c r="M25" i="35" s="1"/>
  <c r="M25" i="36" s="1"/>
  <c r="M25" i="37" s="1"/>
  <c r="M25" i="38" s="1"/>
  <c r="M25" i="39" s="1"/>
  <c r="M25" i="40" s="1"/>
  <c r="M25" i="41" s="1"/>
  <c r="M25" i="43" s="1"/>
  <c r="M25" i="44" s="1"/>
  <c r="M29" i="31"/>
  <c r="M29" i="30" s="1"/>
  <c r="M29" i="33" s="1"/>
  <c r="M29" i="34" s="1"/>
  <c r="M29" i="35" s="1"/>
  <c r="M29" i="36" s="1"/>
  <c r="M29" i="37" s="1"/>
  <c r="M29" i="38" s="1"/>
  <c r="M29" i="39" s="1"/>
  <c r="M29" i="40" s="1"/>
  <c r="M29" i="41" s="1"/>
  <c r="M29" i="43" s="1"/>
  <c r="M29" i="44" s="1"/>
  <c r="AJ11" i="47"/>
  <c r="AG12" i="47"/>
  <c r="AI12" i="47" s="1"/>
  <c r="AJ23" i="47"/>
  <c r="AG24" i="47"/>
  <c r="AI24" i="47" s="1"/>
  <c r="AJ8" i="47"/>
  <c r="AG9" i="47"/>
  <c r="AI9" i="47" s="1"/>
  <c r="AJ17" i="47"/>
  <c r="AG18" i="47"/>
  <c r="AI18" i="47" s="1"/>
  <c r="AJ5" i="47"/>
  <c r="AG6" i="47"/>
  <c r="AI6" i="47" s="1"/>
  <c r="K12" i="45"/>
  <c r="K12" i="54" s="1"/>
  <c r="AI15" i="47"/>
  <c r="M24" i="20"/>
  <c r="M24" i="21" s="1"/>
  <c r="M24" i="22" s="1"/>
  <c r="M24" i="23" s="1"/>
  <c r="M24" i="24" s="1"/>
  <c r="M24" i="25" s="1"/>
  <c r="M24" i="26" s="1"/>
  <c r="M30" i="17"/>
  <c r="M30" i="18" s="1"/>
  <c r="M30" i="19" s="1"/>
  <c r="M30" i="20" s="1"/>
  <c r="M30" i="21" s="1"/>
  <c r="M30" i="22" s="1"/>
  <c r="M30" i="23" s="1"/>
  <c r="M30" i="24" s="1"/>
  <c r="M30" i="25" s="1"/>
  <c r="M30" i="26" s="1"/>
  <c r="M30" i="27" s="1"/>
  <c r="M30" i="28" s="1"/>
  <c r="M30" i="29" s="1"/>
  <c r="D8" i="27"/>
  <c r="M30" i="31" l="1"/>
  <c r="M30" i="30" s="1"/>
  <c r="M30" i="33" s="1"/>
  <c r="M30" i="34" s="1"/>
  <c r="M30" i="35" s="1"/>
  <c r="M30" i="36" s="1"/>
  <c r="M30" i="37" s="1"/>
  <c r="M30" i="38" s="1"/>
  <c r="M30" i="39" s="1"/>
  <c r="M30" i="40" s="1"/>
  <c r="M30" i="41" s="1"/>
  <c r="M30" i="43" s="1"/>
  <c r="M30" i="44" s="1"/>
  <c r="M30" i="45" s="1"/>
  <c r="M30" i="54" s="1"/>
  <c r="M26" i="45"/>
  <c r="M26" i="54" s="1"/>
  <c r="M25" i="45"/>
  <c r="M25" i="54" s="1"/>
  <c r="M28" i="45"/>
  <c r="M28" i="54" s="1"/>
  <c r="M29" i="45"/>
  <c r="M29" i="54" s="1"/>
  <c r="D8" i="28"/>
  <c r="D8" i="29" l="1"/>
  <c r="D8" i="31" s="1"/>
  <c r="M24" i="27" l="1"/>
  <c r="M24" i="28" s="1"/>
  <c r="M24" i="29" s="1"/>
  <c r="P22" i="49"/>
  <c r="AI22" i="49" l="1"/>
  <c r="AH22" i="49"/>
  <c r="M24" i="31"/>
  <c r="M24" i="30" s="1"/>
  <c r="M24" i="33" s="1"/>
  <c r="M24" i="34" s="1"/>
  <c r="M24" i="35" s="1"/>
  <c r="M24" i="36" s="1"/>
  <c r="M24" i="37" s="1"/>
  <c r="M24" i="38" s="1"/>
  <c r="M24" i="39" s="1"/>
  <c r="M24" i="40" s="1"/>
  <c r="M24" i="41" s="1"/>
  <c r="M24" i="43" s="1"/>
  <c r="M24" i="44" s="1"/>
  <c r="G8" i="49"/>
  <c r="AH8" i="49" l="1"/>
  <c r="AI8" i="49"/>
  <c r="M24" i="45"/>
  <c r="M24" i="54" s="1"/>
  <c r="G8" i="17"/>
  <c r="G8" i="18" s="1"/>
  <c r="J8" i="16"/>
  <c r="G8" i="19" l="1"/>
  <c r="J8" i="18"/>
  <c r="J8" i="17"/>
  <c r="G8" i="20" l="1"/>
  <c r="J8" i="19"/>
  <c r="J8" i="20" l="1"/>
  <c r="G8" i="21"/>
  <c r="J8" i="21" l="1"/>
  <c r="G8" i="22"/>
  <c r="J8" i="22" l="1"/>
  <c r="G8" i="23"/>
  <c r="J8" i="23" l="1"/>
  <c r="G8" i="24"/>
  <c r="G8" i="25" s="1"/>
  <c r="J8" i="24" l="1"/>
  <c r="J8" i="25" l="1"/>
  <c r="G8" i="26"/>
  <c r="J8" i="26" l="1"/>
  <c r="G8" i="27"/>
  <c r="J8" i="27" l="1"/>
  <c r="G8" i="28"/>
  <c r="J8" i="28" l="1"/>
  <c r="G8" i="29"/>
  <c r="G8" i="31" s="1"/>
  <c r="J8" i="29" l="1"/>
  <c r="Y30" i="19" l="1"/>
  <c r="Y30" i="20" s="1"/>
  <c r="Y30" i="21" s="1"/>
  <c r="Y30" i="22" s="1"/>
  <c r="Y30" i="23" s="1"/>
  <c r="Y30" i="24" s="1"/>
  <c r="Y30" i="25" s="1"/>
  <c r="Y30" i="26" s="1"/>
  <c r="Y30" i="27" s="1"/>
  <c r="Y30" i="28" s="1"/>
  <c r="Y30" i="29" s="1"/>
  <c r="Y30" i="31" s="1"/>
  <c r="I12" i="16" l="1"/>
  <c r="C12" i="17" s="1"/>
  <c r="I19" i="3"/>
  <c r="I16" i="3"/>
  <c r="I18" i="3"/>
  <c r="I14" i="3"/>
  <c r="I17" i="3"/>
  <c r="I15" i="3"/>
  <c r="I13" i="3"/>
  <c r="C18" i="16" l="1"/>
  <c r="I18" i="16" s="1"/>
  <c r="C16" i="16"/>
  <c r="I16" i="16" s="1"/>
  <c r="C15" i="16"/>
  <c r="I15" i="16" s="1"/>
  <c r="C17" i="16"/>
  <c r="I17" i="16" s="1"/>
  <c r="C14" i="16"/>
  <c r="I14" i="16" s="1"/>
  <c r="C13" i="16"/>
  <c r="I13" i="16" s="1"/>
  <c r="C13" i="17" s="1"/>
  <c r="I13" i="17" s="1"/>
  <c r="C19" i="16"/>
  <c r="I19" i="16" s="1"/>
  <c r="C19" i="17" s="1"/>
  <c r="I19" i="17" s="1"/>
  <c r="I12" i="17"/>
  <c r="C15" i="17" l="1"/>
  <c r="I15" i="17" s="1"/>
  <c r="C14" i="17"/>
  <c r="I14" i="17" s="1"/>
  <c r="C18" i="17"/>
  <c r="I18" i="17" s="1"/>
  <c r="C17" i="17"/>
  <c r="I17" i="17" s="1"/>
  <c r="C16" i="17"/>
  <c r="I16" i="17" s="1"/>
  <c r="C13" i="18"/>
  <c r="I13" i="18" s="1"/>
  <c r="C12" i="18"/>
  <c r="I12" i="18" s="1"/>
  <c r="C12" i="19" s="1"/>
  <c r="I12" i="19" s="1"/>
  <c r="C19" i="18"/>
  <c r="I19" i="18" s="1"/>
  <c r="C19" i="19" s="1"/>
  <c r="I19" i="19" s="1"/>
  <c r="C19" i="20" s="1"/>
  <c r="C18" i="18" l="1"/>
  <c r="I18" i="18" s="1"/>
  <c r="C16" i="18"/>
  <c r="I16" i="18" s="1"/>
  <c r="C15" i="18"/>
  <c r="I15" i="18" s="1"/>
  <c r="C17" i="18"/>
  <c r="I17" i="18" s="1"/>
  <c r="C14" i="18"/>
  <c r="I14" i="18" s="1"/>
  <c r="C13" i="19"/>
  <c r="I13" i="19" s="1"/>
  <c r="C12" i="20"/>
  <c r="I12" i="20" s="1"/>
  <c r="I19" i="20"/>
  <c r="C15" i="19" l="1"/>
  <c r="I15" i="19" s="1"/>
  <c r="C14" i="19"/>
  <c r="I14" i="19" s="1"/>
  <c r="C18" i="19"/>
  <c r="I18" i="19" s="1"/>
  <c r="C17" i="19"/>
  <c r="I17" i="19" s="1"/>
  <c r="C16" i="19"/>
  <c r="I16" i="19" s="1"/>
  <c r="C13" i="20"/>
  <c r="I13" i="20" s="1"/>
  <c r="C12" i="21"/>
  <c r="I12" i="21" s="1"/>
  <c r="C19" i="21"/>
  <c r="I19" i="21" s="1"/>
  <c r="C16" i="20" l="1"/>
  <c r="I16" i="20" s="1"/>
  <c r="C18" i="20"/>
  <c r="I18" i="20" s="1"/>
  <c r="C15" i="20"/>
  <c r="I15" i="20" s="1"/>
  <c r="C17" i="20"/>
  <c r="I17" i="20" s="1"/>
  <c r="C14" i="20"/>
  <c r="I14" i="20" s="1"/>
  <c r="C13" i="21"/>
  <c r="I13" i="21" s="1"/>
  <c r="C12" i="22"/>
  <c r="I12" i="22" s="1"/>
  <c r="C19" i="22"/>
  <c r="I19" i="22" s="1"/>
  <c r="C17" i="21" l="1"/>
  <c r="I17" i="21" s="1"/>
  <c r="C15" i="21"/>
  <c r="I15" i="21" s="1"/>
  <c r="C18" i="21"/>
  <c r="I18" i="21" s="1"/>
  <c r="C14" i="21"/>
  <c r="I14" i="21" s="1"/>
  <c r="C16" i="21"/>
  <c r="I16" i="21" s="1"/>
  <c r="C13" i="22"/>
  <c r="I13" i="22" s="1"/>
  <c r="C12" i="23"/>
  <c r="I12" i="23" s="1"/>
  <c r="C19" i="23"/>
  <c r="I19" i="23" s="1"/>
  <c r="C19" i="24" s="1"/>
  <c r="I19" i="24" s="1"/>
  <c r="C18" i="22" l="1"/>
  <c r="I18" i="22" s="1"/>
  <c r="C14" i="22"/>
  <c r="I14" i="22" s="1"/>
  <c r="C15" i="22"/>
  <c r="I15" i="22" s="1"/>
  <c r="C16" i="22"/>
  <c r="I16" i="22" s="1"/>
  <c r="C17" i="22"/>
  <c r="I17" i="22" s="1"/>
  <c r="C13" i="23"/>
  <c r="I13" i="23" s="1"/>
  <c r="C12" i="24"/>
  <c r="I12" i="24" s="1"/>
  <c r="C19" i="25"/>
  <c r="I19" i="25" s="1"/>
  <c r="Y24" i="30"/>
  <c r="Y24" i="33" s="1"/>
  <c r="Y24" i="34" s="1"/>
  <c r="Y24" i="35" s="1"/>
  <c r="Y24" i="36" s="1"/>
  <c r="Y24" i="37" s="1"/>
  <c r="Y24" i="38" s="1"/>
  <c r="Y24" i="39" s="1"/>
  <c r="Y24" i="40" s="1"/>
  <c r="Y24" i="41" s="1"/>
  <c r="Y24" i="43" s="1"/>
  <c r="Y24" i="44" s="1"/>
  <c r="Y24" i="45" s="1"/>
  <c r="Y24" i="54" s="1"/>
  <c r="Y25" i="30"/>
  <c r="Y25" i="33" s="1"/>
  <c r="Y25" i="34" s="1"/>
  <c r="Y25" i="35" s="1"/>
  <c r="Y25" i="36" s="1"/>
  <c r="Y25" i="37" s="1"/>
  <c r="Y25" i="38" s="1"/>
  <c r="Y25" i="39" s="1"/>
  <c r="Y25" i="40" s="1"/>
  <c r="Y25" i="41" s="1"/>
  <c r="Y25" i="43" s="1"/>
  <c r="Y25" i="44" s="1"/>
  <c r="Y25" i="45" s="1"/>
  <c r="Y25" i="54" s="1"/>
  <c r="Y29" i="30"/>
  <c r="Y29" i="33" s="1"/>
  <c r="Y29" i="34" s="1"/>
  <c r="Y29" i="35" s="1"/>
  <c r="Y29" i="36" s="1"/>
  <c r="Y29" i="37" s="1"/>
  <c r="Y29" i="38" s="1"/>
  <c r="Y29" i="39" s="1"/>
  <c r="Y29" i="40" s="1"/>
  <c r="Y29" i="41" s="1"/>
  <c r="Y29" i="43" s="1"/>
  <c r="Y29" i="44" s="1"/>
  <c r="Y29" i="45" s="1"/>
  <c r="Y29" i="54" s="1"/>
  <c r="Y30" i="30"/>
  <c r="Y30" i="33" s="1"/>
  <c r="Y30" i="34" s="1"/>
  <c r="Y30" i="35" s="1"/>
  <c r="Y30" i="36" s="1"/>
  <c r="Y30" i="37" s="1"/>
  <c r="Y30" i="38" s="1"/>
  <c r="Y30" i="39" s="1"/>
  <c r="Y30" i="40" s="1"/>
  <c r="Y30" i="41" s="1"/>
  <c r="Y30" i="43" s="1"/>
  <c r="Y30" i="44" s="1"/>
  <c r="Y30" i="45" s="1"/>
  <c r="Y30" i="54" s="1"/>
  <c r="Y26" i="30"/>
  <c r="Y26" i="33" s="1"/>
  <c r="Y26" i="34" s="1"/>
  <c r="Y26" i="35" s="1"/>
  <c r="Y26" i="36" s="1"/>
  <c r="Y26" i="37" s="1"/>
  <c r="Y26" i="38" s="1"/>
  <c r="Y26" i="39" s="1"/>
  <c r="Y26" i="40" s="1"/>
  <c r="Y26" i="41" s="1"/>
  <c r="Y26" i="43" s="1"/>
  <c r="Y26" i="44" s="1"/>
  <c r="Y26" i="45" s="1"/>
  <c r="Y26" i="54" s="1"/>
  <c r="Y27" i="30"/>
  <c r="Y27" i="33" s="1"/>
  <c r="Y27" i="34" s="1"/>
  <c r="Y27" i="35" s="1"/>
  <c r="Y27" i="36" s="1"/>
  <c r="Y27" i="37" s="1"/>
  <c r="Y27" i="38" s="1"/>
  <c r="Y27" i="39" s="1"/>
  <c r="Y27" i="40" s="1"/>
  <c r="Y27" i="41" s="1"/>
  <c r="Y27" i="43" s="1"/>
  <c r="Y27" i="44" s="1"/>
  <c r="Y27" i="45" s="1"/>
  <c r="Y27" i="54" s="1"/>
  <c r="Y28" i="30"/>
  <c r="Y28" i="33" s="1"/>
  <c r="Y28" i="34" s="1"/>
  <c r="Y28" i="35" s="1"/>
  <c r="Y28" i="36" s="1"/>
  <c r="Y28" i="37" s="1"/>
  <c r="Y28" i="38" s="1"/>
  <c r="Y28" i="39" s="1"/>
  <c r="Y28" i="40" s="1"/>
  <c r="Y28" i="41" s="1"/>
  <c r="Y28" i="43" s="1"/>
  <c r="Y28" i="44" s="1"/>
  <c r="Y28" i="45" s="1"/>
  <c r="Y28" i="54" s="1"/>
  <c r="C15" i="23" l="1"/>
  <c r="I15" i="23" s="1"/>
  <c r="C16" i="23"/>
  <c r="I16" i="23" s="1"/>
  <c r="C14" i="23"/>
  <c r="I14" i="23" s="1"/>
  <c r="C17" i="23"/>
  <c r="I17" i="23" s="1"/>
  <c r="C18" i="23"/>
  <c r="I18" i="23" s="1"/>
  <c r="C13" i="24"/>
  <c r="I13" i="24" s="1"/>
  <c r="C12" i="25"/>
  <c r="I12" i="25" s="1"/>
  <c r="C19" i="26"/>
  <c r="I19" i="26" s="1"/>
  <c r="M20" i="31"/>
  <c r="M20" i="34" s="1"/>
  <c r="M20" i="35" s="1"/>
  <c r="M20" i="36" s="1"/>
  <c r="M20" i="37" s="1"/>
  <c r="M20" i="38" s="1"/>
  <c r="M20" i="39" s="1"/>
  <c r="M20" i="40" s="1"/>
  <c r="M20" i="41" s="1"/>
  <c r="M20" i="43" s="1"/>
  <c r="M20" i="44" s="1"/>
  <c r="M20" i="45" s="1"/>
  <c r="M20" i="54" s="1"/>
  <c r="K20" i="31"/>
  <c r="S27" i="47" s="1"/>
  <c r="C17" i="24" l="1"/>
  <c r="I17" i="24" s="1"/>
  <c r="C14" i="24"/>
  <c r="I14" i="24" s="1"/>
  <c r="C16" i="24"/>
  <c r="I16" i="24" s="1"/>
  <c r="C18" i="24"/>
  <c r="I18" i="24" s="1"/>
  <c r="C15" i="24"/>
  <c r="I15" i="24" s="1"/>
  <c r="C13" i="25"/>
  <c r="I13" i="25" s="1"/>
  <c r="C12" i="26"/>
  <c r="I12" i="26" s="1"/>
  <c r="C19" i="27"/>
  <c r="I19" i="27" s="1"/>
  <c r="K20" i="34"/>
  <c r="U27" i="47"/>
  <c r="C16" i="25" l="1"/>
  <c r="I16" i="25" s="1"/>
  <c r="C18" i="25"/>
  <c r="I18" i="25" s="1"/>
  <c r="C14" i="25"/>
  <c r="I14" i="25" s="1"/>
  <c r="C15" i="25"/>
  <c r="I15" i="25" s="1"/>
  <c r="C17" i="25"/>
  <c r="I17" i="25" s="1"/>
  <c r="C13" i="26"/>
  <c r="I13" i="26" s="1"/>
  <c r="C12" i="27"/>
  <c r="I12" i="27" s="1"/>
  <c r="C19" i="28"/>
  <c r="I19" i="28" s="1"/>
  <c r="V27" i="47"/>
  <c r="K20" i="35"/>
  <c r="C15" i="26" l="1"/>
  <c r="I15" i="26" s="1"/>
  <c r="C14" i="26"/>
  <c r="I14" i="26" s="1"/>
  <c r="C18" i="26"/>
  <c r="I18" i="26" s="1"/>
  <c r="C17" i="26"/>
  <c r="I17" i="26" s="1"/>
  <c r="C16" i="26"/>
  <c r="I16" i="26" s="1"/>
  <c r="C13" i="27"/>
  <c r="I13" i="27" s="1"/>
  <c r="C12" i="28"/>
  <c r="I12" i="28" s="1"/>
  <c r="C19" i="29"/>
  <c r="I19" i="29" s="1"/>
  <c r="C19" i="31" s="1"/>
  <c r="I19" i="31" s="1"/>
  <c r="W27" i="47"/>
  <c r="K20" i="36"/>
  <c r="C16" i="27" l="1"/>
  <c r="I16" i="27" s="1"/>
  <c r="C17" i="27"/>
  <c r="I17" i="27" s="1"/>
  <c r="C18" i="27"/>
  <c r="I18" i="27" s="1"/>
  <c r="C14" i="27"/>
  <c r="I14" i="27" s="1"/>
  <c r="C15" i="27"/>
  <c r="I15" i="27" s="1"/>
  <c r="C13" i="28"/>
  <c r="I13" i="28" s="1"/>
  <c r="C12" i="29"/>
  <c r="I12" i="29" s="1"/>
  <c r="C19" i="30"/>
  <c r="I19" i="30" s="1"/>
  <c r="C19" i="33" s="1"/>
  <c r="I19" i="33" s="1"/>
  <c r="X27" i="47"/>
  <c r="K20" i="37"/>
  <c r="C14" i="28" l="1"/>
  <c r="I14" i="28" s="1"/>
  <c r="C17" i="28"/>
  <c r="I17" i="28" s="1"/>
  <c r="C18" i="28"/>
  <c r="I18" i="28" s="1"/>
  <c r="C15" i="28"/>
  <c r="I15" i="28" s="1"/>
  <c r="C16" i="28"/>
  <c r="I16" i="28" s="1"/>
  <c r="C13" i="29"/>
  <c r="I13" i="29" s="1"/>
  <c r="C12" i="31"/>
  <c r="I12" i="31" s="1"/>
  <c r="C12" i="30" s="1"/>
  <c r="I12" i="30" s="1"/>
  <c r="C12" i="33" s="1"/>
  <c r="I12" i="33" s="1"/>
  <c r="C19" i="34"/>
  <c r="I19" i="34" s="1"/>
  <c r="Y27" i="47"/>
  <c r="K20" i="38"/>
  <c r="C17" i="29" l="1"/>
  <c r="I17" i="29" s="1"/>
  <c r="C15" i="29"/>
  <c r="I15" i="29" s="1"/>
  <c r="C18" i="29"/>
  <c r="I18" i="29" s="1"/>
  <c r="C16" i="29"/>
  <c r="I16" i="29" s="1"/>
  <c r="C14" i="29"/>
  <c r="I14" i="29" s="1"/>
  <c r="C13" i="31"/>
  <c r="I13" i="31" s="1"/>
  <c r="C12" i="34"/>
  <c r="I12" i="34" s="1"/>
  <c r="C19" i="35"/>
  <c r="I19" i="35" s="1"/>
  <c r="Z27" i="47"/>
  <c r="K20" i="39"/>
  <c r="C16" i="31" l="1"/>
  <c r="I16" i="31" s="1"/>
  <c r="C16" i="30" s="1"/>
  <c r="I16" i="30" s="1"/>
  <c r="C16" i="33" s="1"/>
  <c r="I16" i="33" s="1"/>
  <c r="C18" i="31"/>
  <c r="I18" i="31" s="1"/>
  <c r="C18" i="30" s="1"/>
  <c r="I18" i="30" s="1"/>
  <c r="C18" i="33" s="1"/>
  <c r="I18" i="33" s="1"/>
  <c r="C15" i="31"/>
  <c r="I15" i="31" s="1"/>
  <c r="C15" i="30" s="1"/>
  <c r="I15" i="30" s="1"/>
  <c r="C15" i="33" s="1"/>
  <c r="I15" i="33" s="1"/>
  <c r="C14" i="31"/>
  <c r="I14" i="31" s="1"/>
  <c r="C14" i="30" s="1"/>
  <c r="I14" i="30" s="1"/>
  <c r="C14" i="33" s="1"/>
  <c r="I14" i="33" s="1"/>
  <c r="C17" i="31"/>
  <c r="I17" i="31" s="1"/>
  <c r="C17" i="30" s="1"/>
  <c r="I17" i="30" s="1"/>
  <c r="C17" i="33" s="1"/>
  <c r="I17" i="33" s="1"/>
  <c r="C13" i="30"/>
  <c r="I13" i="30" s="1"/>
  <c r="C13" i="33" s="1"/>
  <c r="I13" i="33" s="1"/>
  <c r="C12" i="35"/>
  <c r="I12" i="35" s="1"/>
  <c r="C19" i="36"/>
  <c r="I19" i="36" s="1"/>
  <c r="AA27" i="47"/>
  <c r="K20" i="40"/>
  <c r="C14" i="34" l="1"/>
  <c r="I14" i="34" s="1"/>
  <c r="C15" i="34"/>
  <c r="I15" i="34" s="1"/>
  <c r="C18" i="34"/>
  <c r="I18" i="34" s="1"/>
  <c r="C17" i="34"/>
  <c r="I17" i="34" s="1"/>
  <c r="C16" i="34"/>
  <c r="I16" i="34" s="1"/>
  <c r="C13" i="34"/>
  <c r="I13" i="34" s="1"/>
  <c r="C12" i="36"/>
  <c r="I12" i="36" s="1"/>
  <c r="C19" i="37"/>
  <c r="I19" i="37" s="1"/>
  <c r="K20" i="41"/>
  <c r="AB27" i="47"/>
  <c r="C15" i="35" l="1"/>
  <c r="I15" i="35" s="1"/>
  <c r="C17" i="35"/>
  <c r="I17" i="35" s="1"/>
  <c r="C14" i="35"/>
  <c r="I14" i="35" s="1"/>
  <c r="C16" i="35"/>
  <c r="I16" i="35" s="1"/>
  <c r="C18" i="35"/>
  <c r="I18" i="35" s="1"/>
  <c r="C13" i="35"/>
  <c r="I13" i="35" s="1"/>
  <c r="C12" i="37"/>
  <c r="I12" i="37" s="1"/>
  <c r="C19" i="38"/>
  <c r="I19" i="38" s="1"/>
  <c r="K20" i="43"/>
  <c r="AC27" i="47"/>
  <c r="C17" i="36" l="1"/>
  <c r="I17" i="36" s="1"/>
  <c r="C16" i="36"/>
  <c r="I16" i="36" s="1"/>
  <c r="C18" i="36"/>
  <c r="I18" i="36" s="1"/>
  <c r="C14" i="36"/>
  <c r="I14" i="36" s="1"/>
  <c r="C15" i="36"/>
  <c r="I15" i="36" s="1"/>
  <c r="C13" i="36"/>
  <c r="I13" i="36" s="1"/>
  <c r="C12" i="38"/>
  <c r="I12" i="38" s="1"/>
  <c r="C19" i="39"/>
  <c r="I19" i="39" s="1"/>
  <c r="AD27" i="47"/>
  <c r="K20" i="44"/>
  <c r="C18" i="37" l="1"/>
  <c r="I18" i="37" s="1"/>
  <c r="C16" i="37"/>
  <c r="I16" i="37" s="1"/>
  <c r="C14" i="37"/>
  <c r="I14" i="37" s="1"/>
  <c r="C15" i="37"/>
  <c r="I15" i="37" s="1"/>
  <c r="C17" i="37"/>
  <c r="I17" i="37" s="1"/>
  <c r="C13" i="37"/>
  <c r="I13" i="37" s="1"/>
  <c r="C12" i="39"/>
  <c r="I12" i="39" s="1"/>
  <c r="C19" i="40"/>
  <c r="I19" i="40" s="1"/>
  <c r="K20" i="45"/>
  <c r="AE27" i="47"/>
  <c r="C15" i="38" l="1"/>
  <c r="I15" i="38" s="1"/>
  <c r="C18" i="38"/>
  <c r="I18" i="38" s="1"/>
  <c r="C16" i="38"/>
  <c r="I16" i="38" s="1"/>
  <c r="C17" i="38"/>
  <c r="I17" i="38" s="1"/>
  <c r="C14" i="38"/>
  <c r="I14" i="38" s="1"/>
  <c r="C13" i="38"/>
  <c r="I13" i="38" s="1"/>
  <c r="C12" i="40"/>
  <c r="I12" i="40" s="1"/>
  <c r="C19" i="41"/>
  <c r="I19" i="41" s="1"/>
  <c r="AF27" i="47"/>
  <c r="K20" i="54"/>
  <c r="AG27" i="47" s="1"/>
  <c r="D8" i="30"/>
  <c r="D8" i="33" s="1"/>
  <c r="C18" i="39" l="1"/>
  <c r="I18" i="39" s="1"/>
  <c r="C17" i="39"/>
  <c r="I17" i="39" s="1"/>
  <c r="C15" i="39"/>
  <c r="I15" i="39" s="1"/>
  <c r="C14" i="39"/>
  <c r="I14" i="39" s="1"/>
  <c r="C16" i="39"/>
  <c r="I16" i="39" s="1"/>
  <c r="C13" i="39"/>
  <c r="I13" i="39" s="1"/>
  <c r="C12" i="41"/>
  <c r="I12" i="41" s="1"/>
  <c r="C19" i="43"/>
  <c r="I19" i="43" s="1"/>
  <c r="D8" i="34"/>
  <c r="C14" i="40" l="1"/>
  <c r="I14" i="40" s="1"/>
  <c r="C17" i="40"/>
  <c r="I17" i="40" s="1"/>
  <c r="C15" i="40"/>
  <c r="I15" i="40" s="1"/>
  <c r="C16" i="40"/>
  <c r="I16" i="40" s="1"/>
  <c r="C18" i="40"/>
  <c r="I18" i="40" s="1"/>
  <c r="C13" i="40"/>
  <c r="I13" i="40" s="1"/>
  <c r="C12" i="43"/>
  <c r="I12" i="43" s="1"/>
  <c r="C19" i="44"/>
  <c r="I19" i="44" s="1"/>
  <c r="D8" i="35"/>
  <c r="C17" i="41" l="1"/>
  <c r="I17" i="41" s="1"/>
  <c r="C16" i="41"/>
  <c r="I16" i="41" s="1"/>
  <c r="C14" i="41"/>
  <c r="I14" i="41" s="1"/>
  <c r="C18" i="41"/>
  <c r="I18" i="41" s="1"/>
  <c r="C15" i="41"/>
  <c r="I15" i="41" s="1"/>
  <c r="C13" i="41"/>
  <c r="I13" i="41" s="1"/>
  <c r="C12" i="44"/>
  <c r="I12" i="44" s="1"/>
  <c r="C19" i="45"/>
  <c r="I19" i="45" s="1"/>
  <c r="D8" i="36"/>
  <c r="C18" i="43" l="1"/>
  <c r="I18" i="43" s="1"/>
  <c r="C14" i="43"/>
  <c r="I14" i="43" s="1"/>
  <c r="C16" i="43"/>
  <c r="I16" i="43" s="1"/>
  <c r="C17" i="43"/>
  <c r="I17" i="43" s="1"/>
  <c r="C15" i="43"/>
  <c r="I15" i="43" s="1"/>
  <c r="C13" i="43"/>
  <c r="I13" i="43" s="1"/>
  <c r="C12" i="45"/>
  <c r="I12" i="45" s="1"/>
  <c r="C19" i="54"/>
  <c r="I19" i="54" s="1"/>
  <c r="AK28" i="47"/>
  <c r="D8" i="37"/>
  <c r="C14" i="44" l="1"/>
  <c r="I14" i="44" s="1"/>
  <c r="C17" i="44"/>
  <c r="I17" i="44" s="1"/>
  <c r="C18" i="44"/>
  <c r="I18" i="44" s="1"/>
  <c r="C15" i="44"/>
  <c r="I15" i="44" s="1"/>
  <c r="C16" i="44"/>
  <c r="I16" i="44" s="1"/>
  <c r="C13" i="44"/>
  <c r="I13" i="44" s="1"/>
  <c r="C13" i="45" s="1"/>
  <c r="I13" i="45" s="1"/>
  <c r="C12" i="54"/>
  <c r="I12" i="54" s="1"/>
  <c r="AK4" i="47"/>
  <c r="D8" i="38"/>
  <c r="C15" i="45" l="1"/>
  <c r="I15" i="45" s="1"/>
  <c r="C17" i="45"/>
  <c r="I17" i="45" s="1"/>
  <c r="C16" i="45"/>
  <c r="I16" i="45" s="1"/>
  <c r="C18" i="45"/>
  <c r="I18" i="45" s="1"/>
  <c r="C14" i="45"/>
  <c r="I14" i="45" s="1"/>
  <c r="C13" i="54"/>
  <c r="I13" i="54" s="1"/>
  <c r="AK7" i="47"/>
  <c r="D8" i="39"/>
  <c r="AK19" i="47" l="1"/>
  <c r="C17" i="54"/>
  <c r="I17" i="54" s="1"/>
  <c r="AK22" i="47"/>
  <c r="C18" i="54"/>
  <c r="I18" i="54" s="1"/>
  <c r="C15" i="54"/>
  <c r="I15" i="54" s="1"/>
  <c r="AK10" i="47"/>
  <c r="C14" i="54"/>
  <c r="I14" i="54" s="1"/>
  <c r="AK16" i="47"/>
  <c r="C16" i="54"/>
  <c r="I16" i="54" s="1"/>
  <c r="D8" i="40"/>
  <c r="D8" i="41" l="1"/>
  <c r="D8" i="43" l="1"/>
  <c r="D8" i="44" l="1"/>
  <c r="D8" i="45" l="1"/>
  <c r="J8" i="31"/>
  <c r="G8" i="30"/>
  <c r="J8" i="30" s="1"/>
  <c r="G8" i="33" l="1"/>
  <c r="J8" i="33" s="1"/>
  <c r="G8" i="34" l="1"/>
  <c r="G8" i="35" s="1"/>
  <c r="J8" i="34" l="1"/>
  <c r="J8" i="35"/>
  <c r="G8" i="36"/>
  <c r="J8" i="36" l="1"/>
  <c r="G8" i="37"/>
  <c r="G8" i="38" l="1"/>
  <c r="J8" i="37"/>
  <c r="G8" i="39" l="1"/>
  <c r="J8" i="38"/>
  <c r="J8" i="39" l="1"/>
  <c r="G8" i="40"/>
  <c r="J8" i="40" l="1"/>
  <c r="G8" i="41"/>
  <c r="J8" i="41" l="1"/>
  <c r="G8" i="43"/>
  <c r="J8" i="43" l="1"/>
  <c r="G8" i="44"/>
  <c r="J8" i="54" l="1"/>
  <c r="G8" i="45"/>
  <c r="J8" i="45" s="1"/>
  <c r="J8" i="44"/>
</calcChain>
</file>

<file path=xl/comments1.xml><?xml version="1.0" encoding="utf-8"?>
<comments xmlns="http://schemas.openxmlformats.org/spreadsheetml/2006/main">
  <authors>
    <author>pc</author>
  </authors>
  <commentList>
    <comment ref="E14" authorId="0" shapeId="0">
      <text>
        <r>
          <rPr>
            <sz val="9"/>
            <color indexed="81"/>
            <rFont val="돋움"/>
            <family val="3"/>
            <charset val="129"/>
          </rPr>
          <t>신규소각로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pc</author>
  </authors>
  <commentList>
    <comment ref="H10" authorId="0" shapeId="0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소각로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김정호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<sst xmlns="http://schemas.openxmlformats.org/spreadsheetml/2006/main" count="2925" uniqueCount="221">
  <si>
    <t>근
무
자</t>
    <phoneticPr fontId="1" type="noConversion"/>
  </si>
  <si>
    <t>구 분</t>
    <phoneticPr fontId="1" type="noConversion"/>
  </si>
  <si>
    <t>누 계</t>
    <phoneticPr fontId="1" type="noConversion"/>
  </si>
  <si>
    <t>요소수</t>
    <phoneticPr fontId="1" type="noConversion"/>
  </si>
  <si>
    <t>청관제</t>
    <phoneticPr fontId="1" type="noConversion"/>
  </si>
  <si>
    <t>활성탄</t>
    <phoneticPr fontId="1" type="noConversion"/>
  </si>
  <si>
    <t>소석회</t>
    <phoneticPr fontId="1" type="noConversion"/>
  </si>
  <si>
    <t>가성소다</t>
    <phoneticPr fontId="1" type="noConversion"/>
  </si>
  <si>
    <t>경 유</t>
    <phoneticPr fontId="1" type="noConversion"/>
  </si>
  <si>
    <t>소 금</t>
    <phoneticPr fontId="1" type="noConversion"/>
  </si>
  <si>
    <t>규 사</t>
    <phoneticPr fontId="1" type="noConversion"/>
  </si>
  <si>
    <t>금일 사용량</t>
    <phoneticPr fontId="1" type="noConversion"/>
  </si>
  <si>
    <t>재고량</t>
    <phoneticPr fontId="1" type="noConversion"/>
  </si>
  <si>
    <t>품 명</t>
    <phoneticPr fontId="1" type="noConversion"/>
  </si>
  <si>
    <t>입고량</t>
    <phoneticPr fontId="1" type="noConversion"/>
  </si>
  <si>
    <t>오 전</t>
    <phoneticPr fontId="1" type="noConversion"/>
  </si>
  <si>
    <t>야 간</t>
    <phoneticPr fontId="1" type="noConversion"/>
  </si>
  <si>
    <t>오  전</t>
    <phoneticPr fontId="1" type="noConversion"/>
  </si>
  <si>
    <t>유동상소각로 운전일지</t>
    <phoneticPr fontId="1" type="noConversion"/>
  </si>
  <si>
    <t>결
재</t>
    <phoneticPr fontId="1" type="noConversion"/>
  </si>
  <si>
    <t>합 계</t>
    <phoneticPr fontId="1" type="noConversion"/>
  </si>
  <si>
    <t>사용량</t>
    <phoneticPr fontId="1" type="noConversion"/>
  </si>
  <si>
    <t>전일 
재고량</t>
    <phoneticPr fontId="1" type="noConversion"/>
  </si>
  <si>
    <t>입고량 
누계</t>
    <phoneticPr fontId="1" type="noConversion"/>
  </si>
  <si>
    <t>사용량 
누계</t>
    <phoneticPr fontId="1" type="noConversion"/>
  </si>
  <si>
    <t xml:space="preserve"> 구 분</t>
    <phoneticPr fontId="1" type="noConversion"/>
  </si>
  <si>
    <t>바닥재</t>
    <phoneticPr fontId="1" type="noConversion"/>
  </si>
  <si>
    <t>불연물</t>
    <phoneticPr fontId="1" type="noConversion"/>
  </si>
  <si>
    <t>계</t>
    <phoneticPr fontId="1" type="noConversion"/>
  </si>
  <si>
    <t>MAIN</t>
    <phoneticPr fontId="1" type="noConversion"/>
  </si>
  <si>
    <t>ASH 저장조</t>
    <phoneticPr fontId="1" type="noConversion"/>
  </si>
  <si>
    <t>BAG FILTER</t>
    <phoneticPr fontId="1" type="noConversion"/>
  </si>
  <si>
    <t>SCRUBBER</t>
    <phoneticPr fontId="1" type="noConversion"/>
  </si>
  <si>
    <t>활성탄 공급</t>
    <phoneticPr fontId="1" type="noConversion"/>
  </si>
  <si>
    <t>소석회 공급</t>
    <phoneticPr fontId="1" type="noConversion"/>
  </si>
  <si>
    <t>요소수 공급</t>
    <phoneticPr fontId="1" type="noConversion"/>
  </si>
  <si>
    <t>재이용수</t>
    <phoneticPr fontId="1" type="noConversion"/>
  </si>
  <si>
    <t>복류수</t>
    <phoneticPr fontId="1" type="noConversion"/>
  </si>
  <si>
    <t>응축수</t>
    <phoneticPr fontId="1" type="noConversion"/>
  </si>
  <si>
    <t>보일러 급수</t>
    <phoneticPr fontId="1" type="noConversion"/>
  </si>
  <si>
    <t>연 수</t>
    <phoneticPr fontId="1" type="noConversion"/>
  </si>
  <si>
    <t>폐 수</t>
    <phoneticPr fontId="1" type="noConversion"/>
  </si>
  <si>
    <t>전일 사용량</t>
    <phoneticPr fontId="1" type="noConversion"/>
  </si>
  <si>
    <t>전일지침</t>
    <phoneticPr fontId="1" type="noConversion"/>
  </si>
  <si>
    <t>금일지침</t>
    <phoneticPr fontId="1" type="noConversion"/>
  </si>
  <si>
    <t>사용량</t>
    <phoneticPr fontId="1" type="noConversion"/>
  </si>
  <si>
    <t>누 계</t>
    <phoneticPr fontId="1" type="noConversion"/>
  </si>
  <si>
    <t>구 분</t>
    <phoneticPr fontId="1" type="noConversion"/>
  </si>
  <si>
    <t>금 일</t>
    <phoneticPr fontId="1" type="noConversion"/>
  </si>
  <si>
    <t>SRF소각량</t>
    <phoneticPr fontId="1" type="noConversion"/>
  </si>
  <si>
    <t>SLUDGE 소각량</t>
    <phoneticPr fontId="1" type="noConversion"/>
  </si>
  <si>
    <t>합 계</t>
    <phoneticPr fontId="1" type="noConversion"/>
  </si>
  <si>
    <t>스팀 생산량</t>
    <phoneticPr fontId="1" type="noConversion"/>
  </si>
  <si>
    <t>스팀 송기량</t>
    <phoneticPr fontId="1" type="noConversion"/>
  </si>
  <si>
    <t>가동시간</t>
    <phoneticPr fontId="1" type="noConversion"/>
  </si>
  <si>
    <t>2. BOILER 운전현황(TON, HR)</t>
    <phoneticPr fontId="1" type="noConversion"/>
  </si>
  <si>
    <t>3. 약품 사용현황 (KG)</t>
    <phoneticPr fontId="1" type="noConversion"/>
  </si>
  <si>
    <t>5. 전력 사용량 (KWH)</t>
    <phoneticPr fontId="1" type="noConversion"/>
  </si>
  <si>
    <r>
      <t>6. 유틸리티 사용현황 (</t>
    </r>
    <r>
      <rPr>
        <b/>
        <sz val="11"/>
        <color theme="1"/>
        <rFont val="맑은 고딕"/>
        <family val="3"/>
        <charset val="129"/>
      </rPr>
      <t>㎥)</t>
    </r>
    <phoneticPr fontId="1" type="noConversion"/>
  </si>
  <si>
    <t>7. 특이사항</t>
    <phoneticPr fontId="1" type="noConversion"/>
  </si>
  <si>
    <t>-</t>
    <phoneticPr fontId="1" type="noConversion"/>
  </si>
  <si>
    <t>4. 소각재 발생량 (TON, 대)</t>
    <phoneticPr fontId="1" type="noConversion"/>
  </si>
  <si>
    <t>SRF</t>
    <phoneticPr fontId="1" type="noConversion"/>
  </si>
  <si>
    <t>반장</t>
    <phoneticPr fontId="1" type="noConversion"/>
  </si>
  <si>
    <t>구분</t>
    <phoneticPr fontId="1" type="noConversion"/>
  </si>
  <si>
    <t>합계</t>
    <phoneticPr fontId="1" type="noConversion"/>
  </si>
  <si>
    <t>평균</t>
    <phoneticPr fontId="1" type="noConversion"/>
  </si>
  <si>
    <t>반입</t>
    <phoneticPr fontId="1" type="noConversion"/>
  </si>
  <si>
    <t>사용</t>
    <phoneticPr fontId="1" type="noConversion"/>
  </si>
  <si>
    <t>재고</t>
    <phoneticPr fontId="1" type="noConversion"/>
  </si>
  <si>
    <t>청관재
(KG)</t>
    <phoneticPr fontId="1" type="noConversion"/>
  </si>
  <si>
    <t>활성탄
(KG)</t>
    <phoneticPr fontId="1" type="noConversion"/>
  </si>
  <si>
    <t>가성소다
(KG)</t>
    <phoneticPr fontId="1" type="noConversion"/>
  </si>
  <si>
    <t>소석회
(KG)</t>
    <phoneticPr fontId="1" type="noConversion"/>
  </si>
  <si>
    <t>소금(KG)</t>
    <phoneticPr fontId="1" type="noConversion"/>
  </si>
  <si>
    <t>경유(L)</t>
    <phoneticPr fontId="1" type="noConversion"/>
  </si>
  <si>
    <t>규사(KG)</t>
    <phoneticPr fontId="1" type="noConversion"/>
  </si>
  <si>
    <t>사용량 측정불가</t>
    <phoneticPr fontId="1" type="noConversion"/>
  </si>
  <si>
    <t>입고누계</t>
    <phoneticPr fontId="1" type="noConversion"/>
  </si>
  <si>
    <t>SRF(KG)</t>
    <phoneticPr fontId="1" type="noConversion"/>
  </si>
  <si>
    <t xml:space="preserve"> </t>
    <phoneticPr fontId="1" type="noConversion"/>
  </si>
  <si>
    <t>`</t>
    <phoneticPr fontId="1" type="noConversion"/>
  </si>
  <si>
    <t>소각량</t>
    <phoneticPr fontId="1" type="noConversion"/>
  </si>
  <si>
    <t>Sludge</t>
    <phoneticPr fontId="1" type="noConversion"/>
  </si>
  <si>
    <t>스팀량</t>
    <phoneticPr fontId="1" type="noConversion"/>
  </si>
  <si>
    <t>FIT-301</t>
    <phoneticPr fontId="1" type="noConversion"/>
  </si>
  <si>
    <t>FIT-304</t>
    <phoneticPr fontId="1" type="noConversion"/>
  </si>
  <si>
    <t>비산재(반출)</t>
    <phoneticPr fontId="1" type="noConversion"/>
  </si>
  <si>
    <t>바닥재(발생)</t>
    <phoneticPr fontId="1" type="noConversion"/>
  </si>
  <si>
    <t>바닥재(반출)</t>
    <phoneticPr fontId="1" type="noConversion"/>
  </si>
  <si>
    <t>유틸리티</t>
    <phoneticPr fontId="1" type="noConversion"/>
  </si>
  <si>
    <t>보일러급수</t>
    <phoneticPr fontId="1" type="noConversion"/>
  </si>
  <si>
    <t>폐수</t>
    <phoneticPr fontId="1" type="noConversion"/>
  </si>
  <si>
    <t>연수</t>
    <phoneticPr fontId="1" type="noConversion"/>
  </si>
  <si>
    <t>전력량</t>
    <phoneticPr fontId="1" type="noConversion"/>
  </si>
  <si>
    <t>Main</t>
    <phoneticPr fontId="1" type="noConversion"/>
  </si>
  <si>
    <t>Ash
밴트필터</t>
    <phoneticPr fontId="1" type="noConversion"/>
  </si>
  <si>
    <t>백필터</t>
    <phoneticPr fontId="1" type="noConversion"/>
  </si>
  <si>
    <t>스크러버</t>
    <phoneticPr fontId="1" type="noConversion"/>
  </si>
  <si>
    <t>활성탄공급</t>
    <phoneticPr fontId="1" type="noConversion"/>
  </si>
  <si>
    <t>소석회공급</t>
    <phoneticPr fontId="1" type="noConversion"/>
  </si>
  <si>
    <t xml:space="preserve">
비산재
</t>
    <phoneticPr fontId="1" type="noConversion"/>
  </si>
  <si>
    <t>소각재</t>
    <phoneticPr fontId="1" type="noConversion"/>
  </si>
  <si>
    <t>주간</t>
    <phoneticPr fontId="1" type="noConversion"/>
  </si>
  <si>
    <t>야간</t>
    <phoneticPr fontId="1" type="noConversion"/>
  </si>
  <si>
    <t>누계</t>
    <phoneticPr fontId="1" type="noConversion"/>
  </si>
  <si>
    <t>합계</t>
    <phoneticPr fontId="1" type="noConversion"/>
  </si>
  <si>
    <t>누계</t>
    <phoneticPr fontId="1" type="noConversion"/>
  </si>
  <si>
    <t>반출량</t>
    <phoneticPr fontId="1" type="noConversion"/>
  </si>
  <si>
    <t>1. 소각현황(KG)</t>
    <phoneticPr fontId="1" type="noConversion"/>
  </si>
  <si>
    <t xml:space="preserve">                                                                                                                                                                             </t>
    <phoneticPr fontId="1" type="noConversion"/>
  </si>
  <si>
    <t>-</t>
    <phoneticPr fontId="1" type="noConversion"/>
  </si>
  <si>
    <t xml:space="preserve"> </t>
    <phoneticPr fontId="1" type="noConversion"/>
  </si>
  <si>
    <t>자동호퍼</t>
    <phoneticPr fontId="1" type="noConversion"/>
  </si>
  <si>
    <t>탄산암모늄</t>
    <phoneticPr fontId="1" type="noConversion"/>
  </si>
  <si>
    <t>혼합연료</t>
    <phoneticPr fontId="1" type="noConversion"/>
  </si>
  <si>
    <t>야간</t>
  </si>
  <si>
    <t>주간</t>
  </si>
  <si>
    <t>탄산암모늄
(KG)</t>
    <phoneticPr fontId="1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</si>
  <si>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 type="noConversion"/>
  </si>
  <si>
    <t xml:space="preserve">F.D </t>
    <phoneticPr fontId="1" type="noConversion"/>
  </si>
  <si>
    <t>활성탄 BAG</t>
    <phoneticPr fontId="1" type="noConversion"/>
  </si>
  <si>
    <t>소석회 BAG</t>
    <phoneticPr fontId="1" type="noConversion"/>
  </si>
  <si>
    <t>대리</t>
    <phoneticPr fontId="1" type="noConversion"/>
  </si>
  <si>
    <t>팀장</t>
    <phoneticPr fontId="1" type="noConversion"/>
  </si>
  <si>
    <t>오  후</t>
    <phoneticPr fontId="1" type="noConversion"/>
  </si>
  <si>
    <t>야  간</t>
    <phoneticPr fontId="1" type="noConversion"/>
  </si>
  <si>
    <t>날짜</t>
    <phoneticPr fontId="1" type="noConversion"/>
  </si>
  <si>
    <t>근무</t>
    <phoneticPr fontId="1" type="noConversion"/>
  </si>
  <si>
    <t>1번 탈수기</t>
    <phoneticPr fontId="1" type="noConversion"/>
  </si>
  <si>
    <t>2번 탈수기</t>
  </si>
  <si>
    <t>3번 탈수기</t>
  </si>
  <si>
    <t>4번 탈수기</t>
  </si>
  <si>
    <t>5번 탈수기</t>
  </si>
  <si>
    <t>근무 평균</t>
    <phoneticPr fontId="1" type="noConversion"/>
  </si>
  <si>
    <t>일 평균</t>
    <phoneticPr fontId="1" type="noConversion"/>
  </si>
  <si>
    <t>오전</t>
    <phoneticPr fontId="1" type="noConversion"/>
  </si>
  <si>
    <t>오후</t>
    <phoneticPr fontId="1" type="noConversion"/>
  </si>
  <si>
    <t>오 후</t>
    <phoneticPr fontId="1" type="noConversion"/>
  </si>
  <si>
    <t>미계근</t>
    <phoneticPr fontId="1" type="noConversion"/>
  </si>
  <si>
    <t xml:space="preserve">합계 </t>
    <phoneticPr fontId="1" type="noConversion"/>
  </si>
  <si>
    <t>함수율</t>
    <phoneticPr fontId="1" type="noConversion"/>
  </si>
  <si>
    <t>취득시간</t>
    <phoneticPr fontId="1" type="noConversion"/>
  </si>
  <si>
    <t>오전</t>
  </si>
  <si>
    <t>TMS OVER</t>
    <phoneticPr fontId="1" type="noConversion"/>
  </si>
  <si>
    <t>NOX OVER</t>
    <phoneticPr fontId="1" type="noConversion"/>
  </si>
  <si>
    <t>유동상 소각로 운전일지 (7월)</t>
    <phoneticPr fontId="1" type="noConversion"/>
  </si>
  <si>
    <t>권정민</t>
    <phoneticPr fontId="1" type="noConversion"/>
  </si>
  <si>
    <t>김문한</t>
    <phoneticPr fontId="1" type="noConversion"/>
  </si>
  <si>
    <t>임종민</t>
    <phoneticPr fontId="1" type="noConversion"/>
  </si>
  <si>
    <t xml:space="preserve">권정민 </t>
    <phoneticPr fontId="1" type="noConversion"/>
  </si>
  <si>
    <t>김문한</t>
    <phoneticPr fontId="1" type="noConversion"/>
  </si>
  <si>
    <t>임종민</t>
    <phoneticPr fontId="1" type="noConversion"/>
  </si>
  <si>
    <t xml:space="preserve">권정민 </t>
    <phoneticPr fontId="1" type="noConversion"/>
  </si>
  <si>
    <t>김동욱</t>
    <phoneticPr fontId="1" type="noConversion"/>
  </si>
  <si>
    <t>임종민</t>
    <phoneticPr fontId="1" type="noConversion"/>
  </si>
  <si>
    <t xml:space="preserve">권정민 </t>
    <phoneticPr fontId="1" type="noConversion"/>
  </si>
  <si>
    <t>김동욱</t>
    <phoneticPr fontId="1" type="noConversion"/>
  </si>
  <si>
    <t>임종민</t>
    <phoneticPr fontId="1" type="noConversion"/>
  </si>
  <si>
    <t>23.:20</t>
    <phoneticPr fontId="1" type="noConversion"/>
  </si>
  <si>
    <t>김문한</t>
    <phoneticPr fontId="1" type="noConversion"/>
  </si>
  <si>
    <t>김동욱</t>
    <phoneticPr fontId="1" type="noConversion"/>
  </si>
  <si>
    <t>임종민</t>
    <phoneticPr fontId="1" type="noConversion"/>
  </si>
  <si>
    <t>50.03
51.24</t>
    <phoneticPr fontId="1" type="noConversion"/>
  </si>
  <si>
    <t>김문한</t>
    <phoneticPr fontId="1" type="noConversion"/>
  </si>
  <si>
    <t>김동욱</t>
    <phoneticPr fontId="1" type="noConversion"/>
  </si>
  <si>
    <t>권정민</t>
    <phoneticPr fontId="1" type="noConversion"/>
  </si>
  <si>
    <t>임종민</t>
    <phoneticPr fontId="1" type="noConversion"/>
  </si>
  <si>
    <t>권정민</t>
    <phoneticPr fontId="1" type="noConversion"/>
  </si>
  <si>
    <t>임종민 권정민</t>
    <phoneticPr fontId="1" type="noConversion"/>
  </si>
  <si>
    <t>임종민</t>
    <phoneticPr fontId="1" type="noConversion"/>
  </si>
  <si>
    <t>임종민,권정민</t>
    <phoneticPr fontId="1" type="noConversion"/>
  </si>
  <si>
    <t>권정민</t>
    <phoneticPr fontId="1" type="noConversion"/>
  </si>
  <si>
    <t>김동욱</t>
    <phoneticPr fontId="1" type="noConversion"/>
  </si>
  <si>
    <t>김동욱</t>
    <phoneticPr fontId="1" type="noConversion"/>
  </si>
  <si>
    <t>임종민</t>
    <phoneticPr fontId="1" type="noConversion"/>
  </si>
  <si>
    <t>김문한</t>
    <phoneticPr fontId="1" type="noConversion"/>
  </si>
  <si>
    <t>김동욱</t>
    <phoneticPr fontId="1" type="noConversion"/>
  </si>
  <si>
    <t>김동욱,김문한</t>
    <phoneticPr fontId="1" type="noConversion"/>
  </si>
  <si>
    <t>김문한</t>
    <phoneticPr fontId="1" type="noConversion"/>
  </si>
  <si>
    <t>권정민,김문한</t>
    <phoneticPr fontId="1" type="noConversion"/>
  </si>
  <si>
    <t>임종민,김문한</t>
    <phoneticPr fontId="1" type="noConversion"/>
  </si>
  <si>
    <t>임종민</t>
    <phoneticPr fontId="1" type="noConversion"/>
  </si>
  <si>
    <t>권정민</t>
    <phoneticPr fontId="1" type="noConversion"/>
  </si>
  <si>
    <t>김동욱</t>
    <phoneticPr fontId="1" type="noConversion"/>
  </si>
  <si>
    <t>임종민</t>
    <phoneticPr fontId="1" type="noConversion"/>
  </si>
  <si>
    <t>김문한</t>
    <phoneticPr fontId="1" type="noConversion"/>
  </si>
  <si>
    <t>김동욱</t>
    <phoneticPr fontId="1" type="noConversion"/>
  </si>
  <si>
    <t>권정민</t>
    <phoneticPr fontId="1" type="noConversion"/>
  </si>
  <si>
    <t>김문한</t>
    <phoneticPr fontId="1" type="noConversion"/>
  </si>
  <si>
    <t>김동욱</t>
    <phoneticPr fontId="1" type="noConversion"/>
  </si>
  <si>
    <t>임종민</t>
    <phoneticPr fontId="1" type="noConversion"/>
  </si>
  <si>
    <t>권정민</t>
    <phoneticPr fontId="1" type="noConversion"/>
  </si>
  <si>
    <t>김문한</t>
    <phoneticPr fontId="1" type="noConversion"/>
  </si>
  <si>
    <t>임종민</t>
    <phoneticPr fontId="1" type="noConversion"/>
  </si>
  <si>
    <t>권정민</t>
    <phoneticPr fontId="1" type="noConversion"/>
  </si>
  <si>
    <t>김동욱</t>
    <phoneticPr fontId="1" type="noConversion"/>
  </si>
  <si>
    <t>임종민</t>
    <phoneticPr fontId="1" type="noConversion"/>
  </si>
  <si>
    <t>권정민</t>
    <phoneticPr fontId="1" type="noConversion"/>
  </si>
  <si>
    <t>김동욱</t>
    <phoneticPr fontId="1" type="noConversion"/>
  </si>
  <si>
    <t>임종민</t>
    <phoneticPr fontId="1" type="noConversion"/>
  </si>
  <si>
    <t>김문한</t>
    <phoneticPr fontId="1" type="noConversion"/>
  </si>
  <si>
    <t>김동욱</t>
    <phoneticPr fontId="1" type="noConversion"/>
  </si>
  <si>
    <t>임종민</t>
    <phoneticPr fontId="1" type="noConversion"/>
  </si>
  <si>
    <t>김문한</t>
    <phoneticPr fontId="1" type="noConversion"/>
  </si>
  <si>
    <t>김동욱</t>
    <phoneticPr fontId="1" type="noConversion"/>
  </si>
  <si>
    <t>권정민</t>
    <phoneticPr fontId="1" type="noConversion"/>
  </si>
  <si>
    <t>김문한</t>
    <phoneticPr fontId="1" type="noConversion"/>
  </si>
  <si>
    <t>김동욱</t>
    <phoneticPr fontId="1" type="noConversion"/>
  </si>
  <si>
    <t>권정민</t>
    <phoneticPr fontId="1" type="noConversion"/>
  </si>
  <si>
    <t>김문한</t>
    <phoneticPr fontId="1" type="noConversion"/>
  </si>
  <si>
    <t>임종민</t>
    <phoneticPr fontId="1" type="noConversion"/>
  </si>
  <si>
    <t>권정민</t>
    <phoneticPr fontId="1" type="noConversion"/>
  </si>
  <si>
    <t>김문한</t>
    <phoneticPr fontId="1" type="noConversion"/>
  </si>
  <si>
    <t>임종민</t>
    <phoneticPr fontId="1" type="noConversion"/>
  </si>
  <si>
    <t>권정민</t>
    <phoneticPr fontId="1" type="noConversion"/>
  </si>
  <si>
    <t>김동욱</t>
    <phoneticPr fontId="1" type="noConversion"/>
  </si>
  <si>
    <t>김동욱,권정민</t>
    <phoneticPr fontId="1" type="noConversion"/>
  </si>
  <si>
    <t>김동욱</t>
    <phoneticPr fontId="1" type="noConversion"/>
  </si>
  <si>
    <t>김동욱,김문한</t>
    <phoneticPr fontId="1" type="noConversion"/>
  </si>
  <si>
    <t>김문한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</si>
</sst>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1" formatCode="_-* #,##0_-;\-* #,##0_-;_-* &quot;-&quot;_-;_-@_-"/>
    <numFmt numFmtId="176" formatCode="0.0"/>
    <numFmt numFmtId="177" formatCode="0.0_ "/>
    <numFmt numFmtId="178" formatCode="0_ "/>
    <numFmt numFmtId="179" formatCode="mm&quot;월&quot;\ dd&quot;일&quot;"/>
    <numFmt numFmtId="180" formatCode="0.0_);[Red]\(0.0\)"/>
    <numFmt numFmtId="181" formatCode="0_);[Red]\(0\)"/>
    <numFmt numFmtId="182" formatCode="0&quot;시&quot;&quot;간&quot;"/>
    <numFmt numFmtId="183" formatCode="0&quot;대&quot;"/>
    <numFmt numFmtId="184" formatCode="[$-F800]dddd\,\ mmmm\ dd\,\ yyyy"/>
    <numFmt numFmtId="185" formatCode="0&quot;회&quot;"/>
    <numFmt numFmtId="186" formatCode="0.00_ "/>
    <numFmt numFmtId="187" formatCode="h:mm;@"/>
    <numFmt numFmtId="188" formatCode="0.0&quot;시&quot;&quot;간&quot;"/>
  </numFmts>
  <fonts count="2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 style="thin">
        <color auto="1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</cellStyleXfs>
  <cellXfs count="251">
    <xf numFmtId="0" fontId="0" fillId="0" borderId="0" xfId="0">
      <alignment vertical="center"/>
    </xf>
    <xf numFmtId="0" fontId="2" fillId="0" borderId="0" xfId="0" applyFont="1">
      <alignment vertical="center"/>
    </xf>
    <xf numFmtId="0" fontId="7" fillId="0" borderId="0" xfId="0" applyFont="1">
      <alignment vertical="center"/>
    </xf>
    <xf numFmtId="177" fontId="7" fillId="0" borderId="0" xfId="0" applyNumberFormat="1" applyFont="1" applyAlignment="1">
      <alignment vertical="center" shrinkToFit="1"/>
    </xf>
    <xf numFmtId="177" fontId="7" fillId="3" borderId="0" xfId="0" applyNumberFormat="1" applyFont="1" applyFill="1" applyAlignment="1">
      <alignment vertical="center" shrinkToFit="1"/>
    </xf>
    <xf numFmtId="0" fontId="9" fillId="0" borderId="37" xfId="0" applyFont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vertical="center" shrinkToFit="1"/>
    </xf>
    <xf numFmtId="0" fontId="9" fillId="0" borderId="5" xfId="0" applyFont="1" applyBorder="1" applyAlignment="1">
      <alignment horizontal="center" vertical="center" shrinkToFit="1"/>
    </xf>
    <xf numFmtId="178" fontId="9" fillId="0" borderId="40" xfId="0" applyNumberFormat="1" applyFont="1" applyBorder="1" applyAlignment="1">
      <alignment horizontal="center" vertical="center" shrinkToFit="1"/>
    </xf>
    <xf numFmtId="0" fontId="7" fillId="0" borderId="42" xfId="0" applyFont="1" applyBorder="1" applyAlignment="1">
      <alignment horizontal="center" vertical="center"/>
    </xf>
    <xf numFmtId="0" fontId="9" fillId="0" borderId="42" xfId="1" applyNumberFormat="1" applyFont="1" applyBorder="1" applyAlignment="1">
      <alignment vertical="center" shrinkToFit="1"/>
    </xf>
    <xf numFmtId="178" fontId="9" fillId="0" borderId="43" xfId="0" applyNumberFormat="1" applyFont="1" applyBorder="1" applyAlignment="1">
      <alignment horizontal="center" vertical="center" shrinkToFit="1"/>
    </xf>
    <xf numFmtId="0" fontId="7" fillId="0" borderId="4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 shrinkToFit="1"/>
    </xf>
    <xf numFmtId="0" fontId="9" fillId="0" borderId="42" xfId="0" applyFont="1" applyBorder="1" applyAlignment="1">
      <alignment vertical="center" shrinkToFit="1"/>
    </xf>
    <xf numFmtId="178" fontId="9" fillId="0" borderId="46" xfId="0" applyNumberFormat="1" applyFont="1" applyBorder="1" applyAlignment="1">
      <alignment horizontal="center" vertical="center" shrinkToFit="1"/>
    </xf>
    <xf numFmtId="179" fontId="7" fillId="0" borderId="0" xfId="0" applyNumberFormat="1" applyFont="1">
      <alignment vertical="center"/>
    </xf>
    <xf numFmtId="0" fontId="9" fillId="0" borderId="47" xfId="0" applyFont="1" applyBorder="1" applyAlignment="1">
      <alignment vertical="center" shrinkToFit="1"/>
    </xf>
    <xf numFmtId="0" fontId="7" fillId="3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shrinkToFit="1"/>
    </xf>
    <xf numFmtId="0" fontId="7" fillId="3" borderId="0" xfId="0" applyFont="1" applyFill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80" fontId="7" fillId="0" borderId="0" xfId="0" applyNumberFormat="1" applyFont="1">
      <alignment vertical="center"/>
    </xf>
    <xf numFmtId="181" fontId="7" fillId="0" borderId="0" xfId="0" applyNumberFormat="1" applyFont="1">
      <alignment vertical="center"/>
    </xf>
    <xf numFmtId="0" fontId="7" fillId="0" borderId="55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center"/>
    </xf>
    <xf numFmtId="1" fontId="9" fillId="0" borderId="51" xfId="0" applyNumberFormat="1" applyFont="1" applyBorder="1" applyAlignment="1">
      <alignment horizontal="center" vertical="center"/>
    </xf>
    <xf numFmtId="14" fontId="0" fillId="0" borderId="0" xfId="0" applyNumberFormat="1">
      <alignment vertical="center"/>
    </xf>
    <xf numFmtId="183" fontId="0" fillId="0" borderId="0" xfId="0" applyNumberFormat="1">
      <alignment vertical="center"/>
    </xf>
    <xf numFmtId="178" fontId="9" fillId="0" borderId="57" xfId="0" applyNumberFormat="1" applyFont="1" applyBorder="1" applyAlignment="1">
      <alignment horizontal="center" vertical="center" shrinkToFit="1"/>
    </xf>
    <xf numFmtId="178" fontId="9" fillId="0" borderId="58" xfId="0" applyNumberFormat="1" applyFont="1" applyBorder="1" applyAlignment="1">
      <alignment horizontal="center" vertical="center" shrinkToFit="1"/>
    </xf>
    <xf numFmtId="178" fontId="9" fillId="0" borderId="59" xfId="0" applyNumberFormat="1" applyFont="1" applyBorder="1" applyAlignment="1">
      <alignment horizontal="center" vertical="center" shrinkToFit="1"/>
    </xf>
    <xf numFmtId="0" fontId="9" fillId="0" borderId="60" xfId="0" applyFont="1" applyBorder="1" applyAlignment="1">
      <alignment horizontal="center" vertical="center" shrinkToFit="1"/>
    </xf>
    <xf numFmtId="0" fontId="9" fillId="0" borderId="61" xfId="0" applyFont="1" applyBorder="1" applyAlignment="1">
      <alignment horizontal="center" vertical="center" shrinkToFit="1"/>
    </xf>
    <xf numFmtId="178" fontId="9" fillId="0" borderId="62" xfId="0" applyNumberFormat="1" applyFont="1" applyBorder="1" applyAlignment="1">
      <alignment horizontal="center" vertical="center" shrinkToFit="1"/>
    </xf>
    <xf numFmtId="0" fontId="9" fillId="0" borderId="62" xfId="0" applyFont="1" applyBorder="1" applyAlignment="1">
      <alignment horizontal="center" vertical="center" shrinkToFit="1"/>
    </xf>
    <xf numFmtId="2" fontId="9" fillId="0" borderId="45" xfId="0" applyNumberFormat="1" applyFont="1" applyBorder="1" applyAlignment="1">
      <alignment horizontal="center" vertical="center"/>
    </xf>
    <xf numFmtId="183" fontId="9" fillId="0" borderId="1" xfId="0" applyNumberFormat="1" applyFont="1" applyBorder="1" applyAlignment="1">
      <alignment horizontal="center" vertical="center"/>
    </xf>
    <xf numFmtId="2" fontId="9" fillId="0" borderId="42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  <xf numFmtId="176" fontId="9" fillId="0" borderId="51" xfId="0" applyNumberFormat="1" applyFont="1" applyBorder="1" applyAlignment="1">
      <alignment horizontal="center" vertical="center"/>
    </xf>
    <xf numFmtId="1" fontId="0" fillId="0" borderId="0" xfId="0" applyNumberFormat="1">
      <alignment vertical="center"/>
    </xf>
    <xf numFmtId="0" fontId="7" fillId="0" borderId="3" xfId="0" applyFont="1" applyBorder="1" applyAlignment="1">
      <alignment horizontal="center" vertical="center"/>
    </xf>
    <xf numFmtId="185" fontId="9" fillId="0" borderId="5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9" fontId="13" fillId="0" borderId="0" xfId="3" applyFont="1" applyBorder="1" applyAlignment="1">
      <alignment horizontal="center" vertical="center"/>
    </xf>
    <xf numFmtId="9" fontId="14" fillId="0" borderId="0" xfId="3" applyFont="1" applyBorder="1" applyAlignment="1">
      <alignment horizontal="center" vertical="center"/>
    </xf>
    <xf numFmtId="9" fontId="0" fillId="0" borderId="0" xfId="3" applyFont="1" applyBorder="1" applyAlignment="1">
      <alignment horizontal="center" vertical="center"/>
    </xf>
    <xf numFmtId="9" fontId="0" fillId="0" borderId="0" xfId="3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10" fontId="13" fillId="0" borderId="1" xfId="4" applyNumberFormat="1" applyFont="1" applyBorder="1" applyAlignment="1">
      <alignment horizontal="center" vertical="center"/>
    </xf>
    <xf numFmtId="10" fontId="14" fillId="0" borderId="1" xfId="4" applyNumberFormat="1" applyFont="1" applyBorder="1" applyAlignment="1">
      <alignment horizontal="center" vertical="center"/>
    </xf>
    <xf numFmtId="10" fontId="0" fillId="0" borderId="1" xfId="4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0" fontId="15" fillId="0" borderId="1" xfId="4" applyNumberFormat="1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10" fontId="14" fillId="0" borderId="51" xfId="4" applyNumberFormat="1" applyFont="1" applyBorder="1" applyAlignment="1">
      <alignment horizontal="center" vertical="center"/>
    </xf>
    <xf numFmtId="10" fontId="15" fillId="0" borderId="51" xfId="4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87" fontId="0" fillId="0" borderId="1" xfId="0" applyNumberFormat="1" applyBorder="1" applyAlignment="1">
      <alignment horizontal="center" vertical="center"/>
    </xf>
    <xf numFmtId="187" fontId="15" fillId="0" borderId="1" xfId="0" applyNumberFormat="1" applyFont="1" applyBorder="1" applyAlignment="1">
      <alignment horizontal="center" vertical="center"/>
    </xf>
    <xf numFmtId="187" fontId="15" fillId="0" borderId="51" xfId="0" applyNumberFormat="1" applyFont="1" applyBorder="1" applyAlignment="1">
      <alignment horizontal="center" vertical="center"/>
    </xf>
    <xf numFmtId="1" fontId="7" fillId="0" borderId="0" xfId="0" applyNumberFormat="1" applyFont="1">
      <alignment vertical="center"/>
    </xf>
    <xf numFmtId="0" fontId="9" fillId="0" borderId="4" xfId="0" applyFont="1" applyBorder="1" applyAlignment="1">
      <alignment vertical="center" shrinkToFit="1"/>
    </xf>
    <xf numFmtId="0" fontId="9" fillId="0" borderId="45" xfId="0" applyFont="1" applyBorder="1" applyAlignment="1">
      <alignment vertical="center" shrinkToFit="1"/>
    </xf>
    <xf numFmtId="187" fontId="0" fillId="0" borderId="51" xfId="0" applyNumberFormat="1" applyBorder="1" applyAlignment="1">
      <alignment horizontal="center" vertical="center"/>
    </xf>
    <xf numFmtId="0" fontId="9" fillId="0" borderId="51" xfId="0" applyFont="1" applyBorder="1" applyAlignment="1">
      <alignment horizontal="center" vertical="center" shrinkToFit="1"/>
    </xf>
    <xf numFmtId="0" fontId="9" fillId="3" borderId="51" xfId="0" applyFont="1" applyFill="1" applyBorder="1" applyAlignment="1">
      <alignment horizontal="center" vertical="center" shrinkToFit="1"/>
    </xf>
    <xf numFmtId="178" fontId="9" fillId="0" borderId="68" xfId="0" applyNumberFormat="1" applyFont="1" applyBorder="1" applyAlignment="1">
      <alignment horizontal="center" vertical="center" shrinkToFit="1"/>
    </xf>
    <xf numFmtId="178" fontId="9" fillId="0" borderId="65" xfId="0" applyNumberFormat="1" applyFont="1" applyBorder="1" applyAlignment="1">
      <alignment horizontal="center" vertical="center" shrinkToFit="1"/>
    </xf>
    <xf numFmtId="178" fontId="9" fillId="0" borderId="69" xfId="0" applyNumberFormat="1" applyFont="1" applyBorder="1" applyAlignment="1">
      <alignment horizontal="center" vertical="center" shrinkToFit="1"/>
    </xf>
    <xf numFmtId="0" fontId="9" fillId="0" borderId="51" xfId="0" applyFont="1" applyBorder="1" applyAlignment="1">
      <alignment vertical="center" shrinkToFit="1"/>
    </xf>
    <xf numFmtId="1" fontId="9" fillId="0" borderId="45" xfId="0" applyNumberFormat="1" applyFont="1" applyBorder="1" applyAlignment="1">
      <alignment vertical="center" shrinkToFit="1"/>
    </xf>
    <xf numFmtId="1" fontId="9" fillId="0" borderId="5" xfId="0" applyNumberFormat="1" applyFont="1" applyBorder="1" applyAlignment="1">
      <alignment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" fontId="9" fillId="0" borderId="65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0" fontId="7" fillId="0" borderId="72" xfId="0" applyFont="1" applyBorder="1">
      <alignment vertical="center"/>
    </xf>
    <xf numFmtId="0" fontId="7" fillId="3" borderId="72" xfId="0" applyFont="1" applyFill="1" applyBorder="1">
      <alignment vertical="center"/>
    </xf>
    <xf numFmtId="0" fontId="7" fillId="0" borderId="71" xfId="0" applyFont="1" applyBorder="1" applyAlignment="1">
      <alignment horizontal="center" vertical="center" wrapText="1"/>
    </xf>
    <xf numFmtId="0" fontId="7" fillId="0" borderId="72" xfId="0" applyFont="1" applyBorder="1" applyAlignment="1">
      <alignment horizontal="center" vertical="center"/>
    </xf>
    <xf numFmtId="0" fontId="7" fillId="0" borderId="70" xfId="0" applyFont="1" applyBorder="1">
      <alignment vertical="center"/>
    </xf>
    <xf numFmtId="0" fontId="7" fillId="0" borderId="73" xfId="0" applyFont="1" applyBorder="1">
      <alignment vertical="center"/>
    </xf>
    <xf numFmtId="0" fontId="7" fillId="0" borderId="72" xfId="0" applyFont="1" applyBorder="1" applyAlignment="1">
      <alignment vertical="center" wrapText="1"/>
    </xf>
    <xf numFmtId="1" fontId="2" fillId="0" borderId="9" xfId="0" applyNumberFormat="1" applyFont="1" applyBorder="1" applyAlignment="1">
      <alignment horizontal="center" vertical="center"/>
    </xf>
    <xf numFmtId="1" fontId="2" fillId="0" borderId="30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83" fontId="2" fillId="0" borderId="32" xfId="0" applyNumberFormat="1" applyFont="1" applyBorder="1" applyAlignment="1">
      <alignment horizontal="center" vertical="center"/>
    </xf>
    <xf numFmtId="183" fontId="2" fillId="0" borderId="34" xfId="0" applyNumberFormat="1" applyFont="1" applyBorder="1" applyAlignment="1">
      <alignment horizontal="center" vertical="center"/>
    </xf>
    <xf numFmtId="183" fontId="2" fillId="0" borderId="27" xfId="0" applyNumberFormat="1" applyFont="1" applyBorder="1" applyAlignment="1">
      <alignment horizontal="center" vertical="center"/>
    </xf>
    <xf numFmtId="183" fontId="2" fillId="0" borderId="28" xfId="0" applyNumberFormat="1" applyFont="1" applyBorder="1" applyAlignment="1">
      <alignment horizontal="center" vertical="center"/>
    </xf>
    <xf numFmtId="183" fontId="2" fillId="0" borderId="23" xfId="0" applyNumberFormat="1" applyFont="1" applyBorder="1" applyAlignment="1">
      <alignment horizontal="center" vertical="center"/>
    </xf>
    <xf numFmtId="183" fontId="2" fillId="0" borderId="24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84" fontId="4" fillId="0" borderId="13" xfId="0" applyNumberFormat="1" applyFont="1" applyBorder="1" applyAlignment="1">
      <alignment horizontal="center" vertical="center"/>
    </xf>
    <xf numFmtId="184" fontId="4" fillId="0" borderId="14" xfId="0" applyNumberFormat="1" applyFont="1" applyBorder="1" applyAlignment="1">
      <alignment horizontal="center" vertical="center"/>
    </xf>
    <xf numFmtId="184" fontId="4" fillId="0" borderId="15" xfId="0" applyNumberFormat="1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82" fontId="2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2" fontId="2" fillId="0" borderId="32" xfId="0" applyNumberFormat="1" applyFont="1" applyBorder="1" applyAlignment="1">
      <alignment horizontal="center" vertical="center"/>
    </xf>
    <xf numFmtId="2" fontId="2" fillId="0" borderId="33" xfId="0" applyNumberFormat="1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2" fontId="2" fillId="0" borderId="2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83" fontId="2" fillId="0" borderId="22" xfId="0" applyNumberFormat="1" applyFont="1" applyBorder="1" applyAlignment="1">
      <alignment horizontal="center" vertical="center"/>
    </xf>
    <xf numFmtId="183" fontId="2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" fontId="2" fillId="0" borderId="25" xfId="0" applyNumberFormat="1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2" fontId="2" fillId="0" borderId="26" xfId="0" applyNumberFormat="1" applyFont="1" applyBorder="1" applyAlignment="1">
      <alignment horizontal="center" vertical="center"/>
    </xf>
    <xf numFmtId="2" fontId="2" fillId="2" borderId="25" xfId="0" applyNumberFormat="1" applyFont="1" applyFill="1" applyBorder="1" applyAlignment="1">
      <alignment horizontal="center" vertical="center"/>
    </xf>
    <xf numFmtId="2" fontId="2" fillId="2" borderId="26" xfId="0" applyNumberFormat="1" applyFont="1" applyFill="1" applyBorder="1" applyAlignment="1">
      <alignment horizontal="center" vertical="center"/>
    </xf>
    <xf numFmtId="2" fontId="2" fillId="2" borderId="27" xfId="0" applyNumberFormat="1" applyFont="1" applyFill="1" applyBorder="1" applyAlignment="1">
      <alignment horizontal="center" vertical="center"/>
    </xf>
    <xf numFmtId="2" fontId="2" fillId="2" borderId="28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88" fontId="2" fillId="0" borderId="5" xfId="0" applyNumberFormat="1" applyFont="1" applyBorder="1" applyAlignment="1">
      <alignment horizontal="center" vertical="center"/>
    </xf>
    <xf numFmtId="188" fontId="2" fillId="0" borderId="1" xfId="0" applyNumberFormat="1" applyFont="1" applyBorder="1" applyAlignment="1">
      <alignment horizontal="center" vertical="center"/>
    </xf>
    <xf numFmtId="176" fontId="2" fillId="0" borderId="17" xfId="0" applyNumberFormat="1" applyFont="1" applyBorder="1" applyAlignment="1">
      <alignment horizontal="center" vertical="center"/>
    </xf>
    <xf numFmtId="176" fontId="2" fillId="0" borderId="31" xfId="0" applyNumberFormat="1" applyFont="1" applyBorder="1" applyAlignment="1">
      <alignment horizontal="center" vertical="center"/>
    </xf>
    <xf numFmtId="176" fontId="2" fillId="0" borderId="18" xfId="0" applyNumberFormat="1" applyFont="1" applyBorder="1" applyAlignment="1">
      <alignment horizontal="center" vertical="center"/>
    </xf>
    <xf numFmtId="176" fontId="2" fillId="0" borderId="23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24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186" fontId="2" fillId="0" borderId="25" xfId="0" applyNumberFormat="1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30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1" fontId="2" fillId="0" borderId="32" xfId="0" applyNumberFormat="1" applyFont="1" applyBorder="1" applyAlignment="1">
      <alignment horizontal="center" vertical="center"/>
    </xf>
    <xf numFmtId="1" fontId="2" fillId="0" borderId="33" xfId="0" applyNumberFormat="1" applyFont="1" applyBorder="1" applyAlignment="1">
      <alignment horizontal="center" vertical="center"/>
    </xf>
    <xf numFmtId="1" fontId="2" fillId="0" borderId="34" xfId="0" applyNumberFormat="1" applyFont="1" applyBorder="1" applyAlignment="1">
      <alignment horizontal="center" vertical="center"/>
    </xf>
    <xf numFmtId="186" fontId="2" fillId="0" borderId="32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1" fontId="2" fillId="0" borderId="17" xfId="0" applyNumberFormat="1" applyFont="1" applyBorder="1" applyAlignment="1">
      <alignment horizontal="center" vertical="center"/>
    </xf>
    <xf numFmtId="1" fontId="2" fillId="0" borderId="31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 wrapText="1"/>
    </xf>
    <xf numFmtId="0" fontId="11" fillId="0" borderId="64" xfId="0" applyFont="1" applyBorder="1" applyAlignment="1">
      <alignment horizontal="center" vertical="center"/>
    </xf>
    <xf numFmtId="32" fontId="2" fillId="0" borderId="25" xfId="0" applyNumberFormat="1" applyFont="1" applyBorder="1" applyAlignment="1">
      <alignment horizontal="center" vertical="center" wrapText="1"/>
    </xf>
    <xf numFmtId="186" fontId="2" fillId="0" borderId="33" xfId="0" applyNumberFormat="1" applyFont="1" applyBorder="1" applyAlignment="1">
      <alignment horizontal="center" vertical="center"/>
    </xf>
    <xf numFmtId="186" fontId="2" fillId="0" borderId="34" xfId="0" applyNumberFormat="1" applyFont="1" applyBorder="1" applyAlignment="1">
      <alignment horizontal="center" vertical="center"/>
    </xf>
    <xf numFmtId="186" fontId="2" fillId="0" borderId="23" xfId="0" applyNumberFormat="1" applyFont="1" applyBorder="1" applyAlignment="1">
      <alignment horizontal="center" vertical="center"/>
    </xf>
    <xf numFmtId="186" fontId="2" fillId="0" borderId="2" xfId="0" applyNumberFormat="1" applyFont="1" applyBorder="1" applyAlignment="1">
      <alignment horizontal="center" vertical="center"/>
    </xf>
    <xf numFmtId="186" fontId="2" fillId="0" borderId="24" xfId="0" applyNumberFormat="1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16" fillId="0" borderId="6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shrinkToFit="1"/>
    </xf>
    <xf numFmtId="0" fontId="9" fillId="0" borderId="30" xfId="0" applyFont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shrinkToFit="1"/>
    </xf>
    <xf numFmtId="0" fontId="7" fillId="0" borderId="49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53" xfId="0" applyNumberFormat="1" applyBorder="1" applyAlignment="1">
      <alignment horizontal="center" vertical="center"/>
    </xf>
    <xf numFmtId="10" fontId="0" fillId="0" borderId="65" xfId="4" applyNumberFormat="1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0" xfId="0" applyNumberForma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</cellXfs>
  <cellStyles count="7">
    <cellStyle name="백분율" xfId="4" builtinId="5"/>
    <cellStyle name="백분율 2" xfId="3"/>
    <cellStyle name="쉼표 [0]" xfId="1" builtinId="6"/>
    <cellStyle name="쉼표 [0] 2" xfId="2"/>
    <cellStyle name="쉼표 [0] 2 2" xfId="6"/>
    <cellStyle name="쉼표 [0] 3" xfId="5"/>
    <cellStyle name="표준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7"/>
          <c:order val="7"/>
          <c:tx>
            <c:v>SFR사용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'요약(약품)'!$C$29:$AF$29</c:f>
              <c:numCache>
                <c:formatCode>General</c:formatCode>
                <c:ptCount val="30"/>
                <c:pt idx="0">
                  <c:v>70549</c:v>
                </c:pt>
                <c:pt idx="1">
                  <c:v>63525</c:v>
                </c:pt>
                <c:pt idx="2">
                  <c:v>63380</c:v>
                </c:pt>
                <c:pt idx="3">
                  <c:v>59627</c:v>
                </c:pt>
                <c:pt idx="4">
                  <c:v>65675</c:v>
                </c:pt>
                <c:pt idx="5">
                  <c:v>73379</c:v>
                </c:pt>
                <c:pt idx="6">
                  <c:v>78842</c:v>
                </c:pt>
                <c:pt idx="7">
                  <c:v>81006</c:v>
                </c:pt>
                <c:pt idx="8">
                  <c:v>78799</c:v>
                </c:pt>
                <c:pt idx="9">
                  <c:v>80936</c:v>
                </c:pt>
                <c:pt idx="10">
                  <c:v>73131</c:v>
                </c:pt>
                <c:pt idx="11">
                  <c:v>72830</c:v>
                </c:pt>
                <c:pt idx="12">
                  <c:v>76475</c:v>
                </c:pt>
                <c:pt idx="13">
                  <c:v>69312</c:v>
                </c:pt>
                <c:pt idx="14">
                  <c:v>61510</c:v>
                </c:pt>
                <c:pt idx="15">
                  <c:v>67599</c:v>
                </c:pt>
                <c:pt idx="16" formatCode="0">
                  <c:v>77111</c:v>
                </c:pt>
                <c:pt idx="17" formatCode="0">
                  <c:v>68297</c:v>
                </c:pt>
                <c:pt idx="18">
                  <c:v>84977</c:v>
                </c:pt>
                <c:pt idx="19">
                  <c:v>90268</c:v>
                </c:pt>
                <c:pt idx="20">
                  <c:v>81962</c:v>
                </c:pt>
                <c:pt idx="21">
                  <c:v>90783</c:v>
                </c:pt>
                <c:pt idx="22">
                  <c:v>72610</c:v>
                </c:pt>
                <c:pt idx="23">
                  <c:v>74316</c:v>
                </c:pt>
                <c:pt idx="24">
                  <c:v>64897</c:v>
                </c:pt>
                <c:pt idx="25">
                  <c:v>71161</c:v>
                </c:pt>
                <c:pt idx="26">
                  <c:v>78087</c:v>
                </c:pt>
                <c:pt idx="27">
                  <c:v>73304</c:v>
                </c:pt>
                <c:pt idx="28">
                  <c:v>74612</c:v>
                </c:pt>
                <c:pt idx="29">
                  <c:v>66673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6-40EE-9A25-F8951F508A4B}"/>
            </c:ext>
          </c:extLst>
        </c:ser>
        <c:ser>
          <c:idx val="8"/>
          <c:order val="8"/>
          <c:tx>
            <c:v>SRF반입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'요약(약품)'!$C$28:$AF$28</c:f>
              <c:numCache>
                <c:formatCode>General</c:formatCode>
                <c:ptCount val="30"/>
                <c:pt idx="0">
                  <c:v>70150</c:v>
                </c:pt>
                <c:pt idx="1">
                  <c:v>66230</c:v>
                </c:pt>
                <c:pt idx="2">
                  <c:v>64150</c:v>
                </c:pt>
                <c:pt idx="3">
                  <c:v>62100</c:v>
                </c:pt>
                <c:pt idx="4">
                  <c:v>45930</c:v>
                </c:pt>
                <c:pt idx="5">
                  <c:v>70810</c:v>
                </c:pt>
                <c:pt idx="6">
                  <c:v>66070</c:v>
                </c:pt>
                <c:pt idx="7">
                  <c:v>71350</c:v>
                </c:pt>
                <c:pt idx="8">
                  <c:v>70800</c:v>
                </c:pt>
                <c:pt idx="9">
                  <c:v>65350</c:v>
                </c:pt>
                <c:pt idx="10">
                  <c:v>98650</c:v>
                </c:pt>
                <c:pt idx="11">
                  <c:v>68680</c:v>
                </c:pt>
                <c:pt idx="12">
                  <c:v>74790</c:v>
                </c:pt>
                <c:pt idx="13">
                  <c:v>67100</c:v>
                </c:pt>
                <c:pt idx="14">
                  <c:v>94630</c:v>
                </c:pt>
                <c:pt idx="15">
                  <c:v>48570</c:v>
                </c:pt>
                <c:pt idx="16" formatCode="0">
                  <c:v>62710</c:v>
                </c:pt>
                <c:pt idx="17" formatCode="0">
                  <c:v>89060</c:v>
                </c:pt>
                <c:pt idx="18">
                  <c:v>65600</c:v>
                </c:pt>
                <c:pt idx="19">
                  <c:v>97000</c:v>
                </c:pt>
                <c:pt idx="20">
                  <c:v>84770</c:v>
                </c:pt>
                <c:pt idx="21">
                  <c:v>91250</c:v>
                </c:pt>
                <c:pt idx="22">
                  <c:v>96960</c:v>
                </c:pt>
                <c:pt idx="23">
                  <c:v>65600</c:v>
                </c:pt>
                <c:pt idx="24">
                  <c:v>88810</c:v>
                </c:pt>
                <c:pt idx="25">
                  <c:v>64810</c:v>
                </c:pt>
                <c:pt idx="26">
                  <c:v>72610</c:v>
                </c:pt>
                <c:pt idx="27">
                  <c:v>86990</c:v>
                </c:pt>
                <c:pt idx="28">
                  <c:v>44760</c:v>
                </c:pt>
                <c:pt idx="29">
                  <c:v>90300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C6-40EE-9A25-F8951F508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1060575"/>
        <c:axId val="17015523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요소수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'요약(약품)'!$C$5:$AF$5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3339</c:v>
                      </c:pt>
                      <c:pt idx="1">
                        <c:v>3812</c:v>
                      </c:pt>
                      <c:pt idx="2">
                        <c:v>3638</c:v>
                      </c:pt>
                      <c:pt idx="3">
                        <c:v>4682</c:v>
                      </c:pt>
                      <c:pt idx="4">
                        <c:v>3767</c:v>
                      </c:pt>
                      <c:pt idx="5">
                        <c:v>4082</c:v>
                      </c:pt>
                      <c:pt idx="6">
                        <c:v>3356</c:v>
                      </c:pt>
                      <c:pt idx="7">
                        <c:v>4727</c:v>
                      </c:pt>
                      <c:pt idx="8">
                        <c:v>3518</c:v>
                      </c:pt>
                      <c:pt idx="9">
                        <c:v>3494</c:v>
                      </c:pt>
                      <c:pt idx="10">
                        <c:v>4136</c:v>
                      </c:pt>
                      <c:pt idx="11">
                        <c:v>3591</c:v>
                      </c:pt>
                      <c:pt idx="12">
                        <c:v>3941</c:v>
                      </c:pt>
                      <c:pt idx="13">
                        <c:v>4270</c:v>
                      </c:pt>
                      <c:pt idx="14">
                        <c:v>4082</c:v>
                      </c:pt>
                      <c:pt idx="15">
                        <c:v>4223</c:v>
                      </c:pt>
                      <c:pt idx="16">
                        <c:v>4670</c:v>
                      </c:pt>
                      <c:pt idx="17">
                        <c:v>4036</c:v>
                      </c:pt>
                      <c:pt idx="18">
                        <c:v>4036</c:v>
                      </c:pt>
                      <c:pt idx="19">
                        <c:v>3980</c:v>
                      </c:pt>
                      <c:pt idx="20">
                        <c:v>4245</c:v>
                      </c:pt>
                      <c:pt idx="21">
                        <c:v>4418</c:v>
                      </c:pt>
                      <c:pt idx="22">
                        <c:v>4306</c:v>
                      </c:pt>
                      <c:pt idx="23">
                        <c:v>4291</c:v>
                      </c:pt>
                      <c:pt idx="24">
                        <c:v>4933</c:v>
                      </c:pt>
                      <c:pt idx="25">
                        <c:v>4227</c:v>
                      </c:pt>
                      <c:pt idx="26">
                        <c:v>4433</c:v>
                      </c:pt>
                      <c:pt idx="27">
                        <c:v>4206</c:v>
                      </c:pt>
                      <c:pt idx="28">
                        <c:v>3776</c:v>
                      </c:pt>
                      <c:pt idx="29">
                        <c:v>4682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81C6-40EE-9A25-F8951F508A4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v>청관제</c:v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'요약(약품)'!$C$8:$AF$8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90</c:v>
                      </c:pt>
                      <c:pt idx="1">
                        <c:v>100</c:v>
                      </c:pt>
                      <c:pt idx="2">
                        <c:v>100</c:v>
                      </c:pt>
                      <c:pt idx="3">
                        <c:v>80</c:v>
                      </c:pt>
                      <c:pt idx="4">
                        <c:v>110</c:v>
                      </c:pt>
                      <c:pt idx="5">
                        <c:v>90</c:v>
                      </c:pt>
                      <c:pt idx="6">
                        <c:v>90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  <c:pt idx="10">
                        <c:v>90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90</c:v>
                      </c:pt>
                      <c:pt idx="14">
                        <c:v>90</c:v>
                      </c:pt>
                      <c:pt idx="15">
                        <c:v>90</c:v>
                      </c:pt>
                      <c:pt idx="16">
                        <c:v>100</c:v>
                      </c:pt>
                      <c:pt idx="17">
                        <c:v>90</c:v>
                      </c:pt>
                      <c:pt idx="18">
                        <c:v>90</c:v>
                      </c:pt>
                      <c:pt idx="19">
                        <c:v>100</c:v>
                      </c:pt>
                      <c:pt idx="20">
                        <c:v>100</c:v>
                      </c:pt>
                      <c:pt idx="21">
                        <c:v>100</c:v>
                      </c:pt>
                      <c:pt idx="22">
                        <c:v>70</c:v>
                      </c:pt>
                      <c:pt idx="23">
                        <c:v>60</c:v>
                      </c:pt>
                      <c:pt idx="24">
                        <c:v>60</c:v>
                      </c:pt>
                      <c:pt idx="25">
                        <c:v>60</c:v>
                      </c:pt>
                      <c:pt idx="26">
                        <c:v>60</c:v>
                      </c:pt>
                      <c:pt idx="27">
                        <c:v>60</c:v>
                      </c:pt>
                      <c:pt idx="28">
                        <c:v>50</c:v>
                      </c:pt>
                      <c:pt idx="29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1C6-40EE-9A25-F8951F508A4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활성탄</c:v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'요약(약품)'!$C$11:$AF$11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120</c:v>
                      </c:pt>
                      <c:pt idx="1">
                        <c:v>120</c:v>
                      </c:pt>
                      <c:pt idx="2">
                        <c:v>120</c:v>
                      </c:pt>
                      <c:pt idx="3">
                        <c:v>120</c:v>
                      </c:pt>
                      <c:pt idx="4">
                        <c:v>120</c:v>
                      </c:pt>
                      <c:pt idx="5">
                        <c:v>120</c:v>
                      </c:pt>
                      <c:pt idx="6">
                        <c:v>120</c:v>
                      </c:pt>
                      <c:pt idx="7">
                        <c:v>120</c:v>
                      </c:pt>
                      <c:pt idx="8">
                        <c:v>120</c:v>
                      </c:pt>
                      <c:pt idx="9">
                        <c:v>120</c:v>
                      </c:pt>
                      <c:pt idx="10">
                        <c:v>120</c:v>
                      </c:pt>
                      <c:pt idx="11">
                        <c:v>120</c:v>
                      </c:pt>
                      <c:pt idx="12">
                        <c:v>120</c:v>
                      </c:pt>
                      <c:pt idx="13">
                        <c:v>120</c:v>
                      </c:pt>
                      <c:pt idx="14">
                        <c:v>120</c:v>
                      </c:pt>
                      <c:pt idx="15">
                        <c:v>120</c:v>
                      </c:pt>
                      <c:pt idx="16">
                        <c:v>120</c:v>
                      </c:pt>
                      <c:pt idx="17">
                        <c:v>120</c:v>
                      </c:pt>
                      <c:pt idx="18">
                        <c:v>120</c:v>
                      </c:pt>
                      <c:pt idx="19">
                        <c:v>120</c:v>
                      </c:pt>
                      <c:pt idx="20">
                        <c:v>120</c:v>
                      </c:pt>
                      <c:pt idx="21">
                        <c:v>120</c:v>
                      </c:pt>
                      <c:pt idx="22">
                        <c:v>120</c:v>
                      </c:pt>
                      <c:pt idx="23">
                        <c:v>120</c:v>
                      </c:pt>
                      <c:pt idx="24">
                        <c:v>120</c:v>
                      </c:pt>
                      <c:pt idx="25">
                        <c:v>120</c:v>
                      </c:pt>
                      <c:pt idx="26">
                        <c:v>120</c:v>
                      </c:pt>
                      <c:pt idx="27">
                        <c:v>120</c:v>
                      </c:pt>
                      <c:pt idx="28">
                        <c:v>120</c:v>
                      </c:pt>
                      <c:pt idx="29">
                        <c:v>120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1C6-40EE-9A25-F8951F508A4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v>가성소다</c:v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'요약(약품)'!$C$14:$AF$14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33</c:v>
                      </c:pt>
                      <c:pt idx="1">
                        <c:v>31</c:v>
                      </c:pt>
                      <c:pt idx="2">
                        <c:v>24</c:v>
                      </c:pt>
                      <c:pt idx="3">
                        <c:v>35</c:v>
                      </c:pt>
                      <c:pt idx="4">
                        <c:v>29</c:v>
                      </c:pt>
                      <c:pt idx="5">
                        <c:v>24</c:v>
                      </c:pt>
                      <c:pt idx="6">
                        <c:v>33</c:v>
                      </c:pt>
                      <c:pt idx="7">
                        <c:v>29</c:v>
                      </c:pt>
                      <c:pt idx="8">
                        <c:v>26</c:v>
                      </c:pt>
                      <c:pt idx="9">
                        <c:v>31</c:v>
                      </c:pt>
                      <c:pt idx="10">
                        <c:v>24</c:v>
                      </c:pt>
                      <c:pt idx="11">
                        <c:v>22</c:v>
                      </c:pt>
                      <c:pt idx="12">
                        <c:v>31</c:v>
                      </c:pt>
                      <c:pt idx="13">
                        <c:v>24</c:v>
                      </c:pt>
                      <c:pt idx="14">
                        <c:v>40</c:v>
                      </c:pt>
                      <c:pt idx="15">
                        <c:v>31</c:v>
                      </c:pt>
                      <c:pt idx="16">
                        <c:v>31</c:v>
                      </c:pt>
                      <c:pt idx="17">
                        <c:v>40</c:v>
                      </c:pt>
                      <c:pt idx="18">
                        <c:v>24</c:v>
                      </c:pt>
                      <c:pt idx="19">
                        <c:v>33</c:v>
                      </c:pt>
                      <c:pt idx="20">
                        <c:v>29</c:v>
                      </c:pt>
                      <c:pt idx="21">
                        <c:v>29</c:v>
                      </c:pt>
                      <c:pt idx="22">
                        <c:v>20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1C6-40EE-9A25-F8951F508A4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v>소석회</c:v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'요약(약품)'!$C$17:$AF$17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20</c:v>
                      </c:pt>
                      <c:pt idx="1">
                        <c:v>20</c:v>
                      </c:pt>
                      <c:pt idx="2">
                        <c:v>20</c:v>
                      </c:pt>
                      <c:pt idx="3">
                        <c:v>20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20</c:v>
                      </c:pt>
                      <c:pt idx="7">
                        <c:v>20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20</c:v>
                      </c:pt>
                      <c:pt idx="11">
                        <c:v>20</c:v>
                      </c:pt>
                      <c:pt idx="12">
                        <c:v>20</c:v>
                      </c:pt>
                      <c:pt idx="13">
                        <c:v>20</c:v>
                      </c:pt>
                      <c:pt idx="14">
                        <c:v>20</c:v>
                      </c:pt>
                      <c:pt idx="15">
                        <c:v>20</c:v>
                      </c:pt>
                      <c:pt idx="16">
                        <c:v>20</c:v>
                      </c:pt>
                      <c:pt idx="17">
                        <c:v>20</c:v>
                      </c:pt>
                      <c:pt idx="18">
                        <c:v>20</c:v>
                      </c:pt>
                      <c:pt idx="19">
                        <c:v>20</c:v>
                      </c:pt>
                      <c:pt idx="20">
                        <c:v>20</c:v>
                      </c:pt>
                      <c:pt idx="21">
                        <c:v>20</c:v>
                      </c:pt>
                      <c:pt idx="22">
                        <c:v>20</c:v>
                      </c:pt>
                      <c:pt idx="23">
                        <c:v>20</c:v>
                      </c:pt>
                      <c:pt idx="24">
                        <c:v>20</c:v>
                      </c:pt>
                      <c:pt idx="25">
                        <c:v>20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20</c:v>
                      </c:pt>
                      <c:pt idx="29">
                        <c:v>20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1C6-40EE-9A25-F8951F508A4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소금</c:v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'요약(약품)'!$C$20:$AF$20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  <c:pt idx="29">
                        <c:v>200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1C6-40EE-9A25-F8951F508A4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v>겅유</c:v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'요약(약품)'!$C$23:$AF$23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350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1C6-40EE-9A25-F8951F508A4B}"/>
                  </c:ext>
                </c:extLst>
              </c15:ser>
            </c15:filteredBarSeries>
          </c:ext>
        </c:extLst>
      </c:barChart>
      <c:catAx>
        <c:axId val="19010605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1552335"/>
        <c:crosses val="autoZero"/>
        <c:auto val="1"/>
        <c:lblAlgn val="ctr"/>
        <c:lblOffset val="100"/>
        <c:noMultiLvlLbl val="0"/>
      </c:catAx>
      <c:valAx>
        <c:axId val="170155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106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14355</xdr:rowOff>
    </xdr:from>
    <xdr:to>
      <xdr:col>35</xdr:col>
      <xdr:colOff>11044</xdr:colOff>
      <xdr:row>55</xdr:row>
      <xdr:rowOff>46935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9F90CB00-7900-45C2-8660-161BC1D77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zoomScaleNormal="100" zoomScaleSheetLayoutView="100" workbookViewId="0">
      <selection activeCell="I15" sqref="I15:J15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0" width="4.59765625" customWidth="1"/>
    <col min="21" max="26" width="5.59765625" customWidth="1"/>
    <col min="29" max="29" width="4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147</v>
      </c>
      <c r="C2" s="135"/>
      <c r="D2" s="135" t="s">
        <v>148</v>
      </c>
      <c r="E2" s="135"/>
      <c r="F2" s="135" t="s">
        <v>149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05"/>
      <c r="E3" s="105"/>
      <c r="F3" s="105"/>
      <c r="G3" s="105"/>
      <c r="H3" s="132">
        <v>46204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70549</v>
      </c>
      <c r="E7" s="139"/>
      <c r="F7" s="139"/>
      <c r="G7" s="139">
        <v>170800</v>
      </c>
      <c r="H7" s="139"/>
      <c r="I7" s="139"/>
      <c r="J7" s="99">
        <f>D7+G7</f>
        <v>241349</v>
      </c>
      <c r="K7" s="100"/>
      <c r="L7" s="101"/>
      <c r="M7" s="1"/>
      <c r="N7" s="1"/>
      <c r="O7" s="1"/>
      <c r="P7" s="105" t="s">
        <v>48</v>
      </c>
      <c r="Q7" s="105"/>
      <c r="R7" s="140">
        <v>475.7</v>
      </c>
      <c r="S7" s="140"/>
      <c r="T7" s="140"/>
      <c r="U7" s="140">
        <v>277.8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99">
        <f>D7</f>
        <v>70549</v>
      </c>
      <c r="E8" s="100"/>
      <c r="F8" s="101"/>
      <c r="G8" s="99">
        <f>G7</f>
        <v>170800</v>
      </c>
      <c r="H8" s="100"/>
      <c r="I8" s="101"/>
      <c r="J8" s="99">
        <f>D8+G8</f>
        <v>241349</v>
      </c>
      <c r="K8" s="100"/>
      <c r="L8" s="101"/>
      <c r="M8" s="1"/>
      <c r="N8" s="1"/>
      <c r="O8" s="1"/>
      <c r="P8" s="104" t="s">
        <v>2</v>
      </c>
      <c r="Q8" s="104"/>
      <c r="R8" s="137">
        <f>R7</f>
        <v>475.7</v>
      </c>
      <c r="S8" s="137"/>
      <c r="T8" s="137"/>
      <c r="U8" s="137">
        <f>U7</f>
        <v>277.8</v>
      </c>
      <c r="V8" s="137"/>
      <c r="W8" s="137"/>
      <c r="X8" s="138">
        <f>X7</f>
        <v>24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07">
        <v>14914</v>
      </c>
      <c r="D12" s="109"/>
      <c r="E12" s="107">
        <v>0</v>
      </c>
      <c r="F12" s="109"/>
      <c r="G12" s="105">
        <v>3339</v>
      </c>
      <c r="H12" s="105"/>
      <c r="I12" s="107">
        <f t="shared" ref="I12:I16" si="0">C12+E12-G12</f>
        <v>11575</v>
      </c>
      <c r="J12" s="109"/>
      <c r="K12" s="105">
        <f t="shared" ref="K12:K18" si="1">E12</f>
        <v>0</v>
      </c>
      <c r="L12" s="105"/>
      <c r="M12" s="105">
        <f>G12</f>
        <v>3339</v>
      </c>
      <c r="N12" s="105"/>
      <c r="O12" s="1"/>
      <c r="P12" s="149" t="s">
        <v>101</v>
      </c>
      <c r="Q12" s="105"/>
      <c r="R12" s="105"/>
      <c r="S12" s="143">
        <v>54.12</v>
      </c>
      <c r="T12" s="144"/>
      <c r="U12" s="144"/>
      <c r="V12" s="144"/>
      <c r="W12" s="143">
        <f>S12</f>
        <v>54.12</v>
      </c>
      <c r="X12" s="144"/>
      <c r="Y12" s="144"/>
      <c r="Z12" s="147"/>
    </row>
    <row r="13" spans="1:26" ht="21.9" customHeight="1">
      <c r="A13" s="104" t="s">
        <v>4</v>
      </c>
      <c r="B13" s="104"/>
      <c r="C13" s="102">
        <v>590</v>
      </c>
      <c r="D13" s="103"/>
      <c r="E13" s="102">
        <v>0</v>
      </c>
      <c r="F13" s="103"/>
      <c r="G13" s="104">
        <v>90</v>
      </c>
      <c r="H13" s="104"/>
      <c r="I13" s="102">
        <f t="shared" si="0"/>
        <v>500</v>
      </c>
      <c r="J13" s="103"/>
      <c r="K13" s="105">
        <f t="shared" si="1"/>
        <v>0</v>
      </c>
      <c r="L13" s="105"/>
      <c r="M13" s="105">
        <f t="shared" ref="M13:M20" si="2">G13</f>
        <v>90</v>
      </c>
      <c r="N13" s="105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02">
        <v>600</v>
      </c>
      <c r="D14" s="103"/>
      <c r="E14" s="102">
        <v>0</v>
      </c>
      <c r="F14" s="103"/>
      <c r="G14" s="104">
        <v>120</v>
      </c>
      <c r="H14" s="104"/>
      <c r="I14" s="102">
        <f t="shared" si="0"/>
        <v>480</v>
      </c>
      <c r="J14" s="103"/>
      <c r="K14" s="105">
        <f t="shared" si="1"/>
        <v>0</v>
      </c>
      <c r="L14" s="105"/>
      <c r="M14" s="105">
        <f t="shared" si="2"/>
        <v>120</v>
      </c>
      <c r="N14" s="105"/>
      <c r="O14" s="1"/>
      <c r="P14" s="104" t="s">
        <v>26</v>
      </c>
      <c r="Q14" s="104"/>
      <c r="R14" s="104"/>
      <c r="S14" s="155">
        <v>24.1</v>
      </c>
      <c r="T14" s="156"/>
      <c r="U14" s="156"/>
      <c r="V14" s="156"/>
      <c r="W14" s="155">
        <f>S14</f>
        <v>24.1</v>
      </c>
      <c r="X14" s="156"/>
      <c r="Y14" s="156"/>
      <c r="Z14" s="157"/>
    </row>
    <row r="15" spans="1:26" ht="21.9" customHeight="1">
      <c r="A15" s="104" t="s">
        <v>7</v>
      </c>
      <c r="B15" s="104"/>
      <c r="C15" s="102">
        <v>1299</v>
      </c>
      <c r="D15" s="103"/>
      <c r="E15" s="102">
        <v>0</v>
      </c>
      <c r="F15" s="103"/>
      <c r="G15" s="104">
        <v>33</v>
      </c>
      <c r="H15" s="104"/>
      <c r="I15" s="102">
        <f t="shared" si="0"/>
        <v>1266</v>
      </c>
      <c r="J15" s="103"/>
      <c r="K15" s="105">
        <f t="shared" si="1"/>
        <v>0</v>
      </c>
      <c r="L15" s="105"/>
      <c r="M15" s="105">
        <f t="shared" si="2"/>
        <v>33</v>
      </c>
      <c r="N15" s="105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02">
        <v>2350</v>
      </c>
      <c r="D16" s="103"/>
      <c r="E16" s="102">
        <v>0</v>
      </c>
      <c r="F16" s="103"/>
      <c r="G16" s="104">
        <v>20</v>
      </c>
      <c r="H16" s="104"/>
      <c r="I16" s="102">
        <f t="shared" si="0"/>
        <v>2330</v>
      </c>
      <c r="J16" s="103"/>
      <c r="K16" s="105">
        <f>E16</f>
        <v>0</v>
      </c>
      <c r="L16" s="105"/>
      <c r="M16" s="105">
        <f t="shared" si="2"/>
        <v>20</v>
      </c>
      <c r="N16" s="105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02">
        <v>1850</v>
      </c>
      <c r="D17" s="103"/>
      <c r="E17" s="102">
        <v>0</v>
      </c>
      <c r="F17" s="103"/>
      <c r="G17" s="104">
        <v>200</v>
      </c>
      <c r="H17" s="104"/>
      <c r="I17" s="102">
        <f>C17+E17-G17</f>
        <v>1650</v>
      </c>
      <c r="J17" s="103"/>
      <c r="K17" s="105">
        <f t="shared" si="1"/>
        <v>0</v>
      </c>
      <c r="L17" s="105"/>
      <c r="M17" s="105">
        <f t="shared" si="2"/>
        <v>200</v>
      </c>
      <c r="N17" s="105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02">
        <v>5340</v>
      </c>
      <c r="D18" s="103"/>
      <c r="E18" s="102">
        <v>0</v>
      </c>
      <c r="F18" s="103"/>
      <c r="G18" s="104">
        <v>0</v>
      </c>
      <c r="H18" s="104"/>
      <c r="I18" s="102">
        <f>C18+E18-G18</f>
        <v>5340</v>
      </c>
      <c r="J18" s="103"/>
      <c r="K18" s="105">
        <f t="shared" si="1"/>
        <v>0</v>
      </c>
      <c r="L18" s="105"/>
      <c r="M18" s="105">
        <f t="shared" si="2"/>
        <v>0</v>
      </c>
      <c r="N18" s="105"/>
      <c r="O18" s="1"/>
      <c r="P18" s="164" t="s">
        <v>27</v>
      </c>
      <c r="Q18" s="164"/>
      <c r="R18" s="164"/>
      <c r="S18" s="114">
        <v>2</v>
      </c>
      <c r="T18" s="115"/>
      <c r="U18" s="114">
        <v>1</v>
      </c>
      <c r="V18" s="115"/>
      <c r="W18" s="114">
        <f>S18+U18</f>
        <v>3</v>
      </c>
      <c r="X18" s="115"/>
      <c r="Y18" s="151">
        <f>W18</f>
        <v>3</v>
      </c>
      <c r="Z18" s="151"/>
    </row>
    <row r="19" spans="1:31" ht="21.9" customHeight="1">
      <c r="A19" s="153" t="s">
        <v>62</v>
      </c>
      <c r="B19" s="153"/>
      <c r="C19" s="99">
        <v>110000</v>
      </c>
      <c r="D19" s="101"/>
      <c r="E19" s="99">
        <v>70150</v>
      </c>
      <c r="F19" s="101"/>
      <c r="G19" s="154">
        <f>D7</f>
        <v>70549</v>
      </c>
      <c r="H19" s="154"/>
      <c r="I19" s="99">
        <f>C19+E19-G19</f>
        <v>109601</v>
      </c>
      <c r="J19" s="101"/>
      <c r="K19" s="139">
        <f t="shared" ref="K19" si="3">E19</f>
        <v>70150</v>
      </c>
      <c r="L19" s="139"/>
      <c r="M19" s="139">
        <f t="shared" ref="M19" si="4">G19</f>
        <v>70549</v>
      </c>
      <c r="N19" s="139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02"/>
      <c r="D20" s="103"/>
      <c r="E20" s="102"/>
      <c r="F20" s="103"/>
      <c r="G20" s="104"/>
      <c r="H20" s="104"/>
      <c r="I20" s="102" t="s">
        <v>60</v>
      </c>
      <c r="J20" s="103"/>
      <c r="K20" s="105">
        <f>E20</f>
        <v>0</v>
      </c>
      <c r="L20" s="105"/>
      <c r="M20" s="105">
        <f t="shared" si="2"/>
        <v>0</v>
      </c>
      <c r="N20" s="105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C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  <c r="AC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64">
        <v>3671568</v>
      </c>
      <c r="E24" s="164"/>
      <c r="F24" s="164"/>
      <c r="G24" s="107">
        <v>3714008</v>
      </c>
      <c r="H24" s="108"/>
      <c r="I24" s="109"/>
      <c r="J24" s="107">
        <f>G24-D24</f>
        <v>42440</v>
      </c>
      <c r="K24" s="108">
        <v>12.255000000000001</v>
      </c>
      <c r="L24" s="109">
        <v>12.255000000000001</v>
      </c>
      <c r="M24" s="164">
        <f>J24</f>
        <v>42440</v>
      </c>
      <c r="N24" s="164"/>
      <c r="P24" s="105" t="s">
        <v>36</v>
      </c>
      <c r="Q24" s="105"/>
      <c r="R24" s="105"/>
      <c r="S24" s="140"/>
      <c r="T24" s="140"/>
      <c r="U24" s="140"/>
      <c r="V24" s="107">
        <v>432.2</v>
      </c>
      <c r="W24" s="108"/>
      <c r="X24" s="109"/>
      <c r="Y24" s="105">
        <f>V24</f>
        <v>432.2</v>
      </c>
      <c r="Z24" s="105"/>
    </row>
    <row r="25" spans="1:31" ht="21.9" customHeight="1">
      <c r="A25" s="104" t="s">
        <v>30</v>
      </c>
      <c r="B25" s="104"/>
      <c r="C25" s="104"/>
      <c r="D25" s="104">
        <v>32764.1</v>
      </c>
      <c r="E25" s="104"/>
      <c r="F25" s="104"/>
      <c r="G25" s="102">
        <v>32826.1</v>
      </c>
      <c r="H25" s="106"/>
      <c r="I25" s="103"/>
      <c r="J25" s="102">
        <f t="shared" ref="J25:J32" si="5">G25-D25</f>
        <v>62</v>
      </c>
      <c r="K25" s="106">
        <v>12.255000000000001</v>
      </c>
      <c r="L25" s="103">
        <v>12.255000000000001</v>
      </c>
      <c r="M25" s="102">
        <f t="shared" ref="M25:M32" si="6">J25</f>
        <v>62</v>
      </c>
      <c r="N25" s="103"/>
      <c r="P25" s="104" t="s">
        <v>37</v>
      </c>
      <c r="Q25" s="104"/>
      <c r="R25" s="104"/>
      <c r="S25" s="137"/>
      <c r="T25" s="137"/>
      <c r="U25" s="137"/>
      <c r="V25" s="102">
        <v>56.4</v>
      </c>
      <c r="W25" s="106"/>
      <c r="X25" s="103"/>
      <c r="Y25" s="104">
        <f>V25</f>
        <v>56.4</v>
      </c>
      <c r="Z25" s="104"/>
    </row>
    <row r="26" spans="1:31" ht="21.9" customHeight="1">
      <c r="A26" s="104" t="s">
        <v>31</v>
      </c>
      <c r="B26" s="104"/>
      <c r="C26" s="104"/>
      <c r="D26" s="104">
        <v>24300</v>
      </c>
      <c r="E26" s="104"/>
      <c r="F26" s="104"/>
      <c r="G26" s="102">
        <v>24340</v>
      </c>
      <c r="H26" s="106"/>
      <c r="I26" s="103"/>
      <c r="J26" s="102">
        <f t="shared" si="5"/>
        <v>40</v>
      </c>
      <c r="K26" s="106">
        <v>12.255000000000001</v>
      </c>
      <c r="L26" s="103">
        <v>12.255000000000001</v>
      </c>
      <c r="M26" s="102">
        <f t="shared" si="6"/>
        <v>40</v>
      </c>
      <c r="N26" s="103"/>
      <c r="P26" s="104" t="s">
        <v>38</v>
      </c>
      <c r="Q26" s="104"/>
      <c r="R26" s="104"/>
      <c r="S26" s="137"/>
      <c r="T26" s="137"/>
      <c r="U26" s="137"/>
      <c r="V26" s="102">
        <v>477.8</v>
      </c>
      <c r="W26" s="106"/>
      <c r="X26" s="103"/>
      <c r="Y26" s="104">
        <f t="shared" ref="Y26:Y29" si="7">V26</f>
        <v>477.8</v>
      </c>
      <c r="Z26" s="104"/>
    </row>
    <row r="27" spans="1:31" ht="21.9" customHeight="1">
      <c r="A27" s="104" t="s">
        <v>32</v>
      </c>
      <c r="B27" s="104"/>
      <c r="C27" s="104"/>
      <c r="D27" s="104">
        <v>1339000</v>
      </c>
      <c r="E27" s="104"/>
      <c r="F27" s="104"/>
      <c r="G27" s="102">
        <v>1346000</v>
      </c>
      <c r="H27" s="106"/>
      <c r="I27" s="103"/>
      <c r="J27" s="102">
        <f t="shared" si="5"/>
        <v>7000</v>
      </c>
      <c r="K27" s="106">
        <v>12.255000000000001</v>
      </c>
      <c r="L27" s="103">
        <v>12.255000000000001</v>
      </c>
      <c r="M27" s="102">
        <f t="shared" si="6"/>
        <v>7000</v>
      </c>
      <c r="N27" s="103"/>
      <c r="P27" s="104" t="s">
        <v>39</v>
      </c>
      <c r="Q27" s="104"/>
      <c r="R27" s="104"/>
      <c r="S27" s="137"/>
      <c r="T27" s="137"/>
      <c r="U27" s="137"/>
      <c r="V27" s="102">
        <v>500.3</v>
      </c>
      <c r="W27" s="106"/>
      <c r="X27" s="103"/>
      <c r="Y27" s="104">
        <f t="shared" si="7"/>
        <v>500.3</v>
      </c>
      <c r="Z27" s="104"/>
    </row>
    <row r="28" spans="1:31" ht="21.9" customHeight="1">
      <c r="A28" s="104" t="s">
        <v>33</v>
      </c>
      <c r="B28" s="104"/>
      <c r="C28" s="104"/>
      <c r="D28" s="104">
        <v>4938</v>
      </c>
      <c r="E28" s="104"/>
      <c r="F28" s="104"/>
      <c r="G28" s="102">
        <v>5045</v>
      </c>
      <c r="H28" s="106"/>
      <c r="I28" s="103"/>
      <c r="J28" s="102">
        <f t="shared" si="5"/>
        <v>107</v>
      </c>
      <c r="K28" s="106">
        <v>12.255000000000001</v>
      </c>
      <c r="L28" s="103">
        <v>12.255000000000001</v>
      </c>
      <c r="M28" s="102">
        <f t="shared" si="6"/>
        <v>107</v>
      </c>
      <c r="N28" s="103"/>
      <c r="P28" s="104" t="s">
        <v>41</v>
      </c>
      <c r="Q28" s="104"/>
      <c r="R28" s="104"/>
      <c r="S28" s="137"/>
      <c r="T28" s="137"/>
      <c r="U28" s="137"/>
      <c r="V28" s="102">
        <v>0</v>
      </c>
      <c r="W28" s="106"/>
      <c r="X28" s="103"/>
      <c r="Y28" s="104">
        <f t="shared" si="7"/>
        <v>0</v>
      </c>
      <c r="Z28" s="104"/>
    </row>
    <row r="29" spans="1:31" ht="21.9" customHeight="1">
      <c r="A29" s="104" t="s">
        <v>34</v>
      </c>
      <c r="B29" s="104"/>
      <c r="C29" s="104"/>
      <c r="D29" s="104">
        <v>66180</v>
      </c>
      <c r="E29" s="104"/>
      <c r="F29" s="104"/>
      <c r="G29" s="102">
        <v>66190</v>
      </c>
      <c r="H29" s="106"/>
      <c r="I29" s="103"/>
      <c r="J29" s="102">
        <f t="shared" si="5"/>
        <v>10</v>
      </c>
      <c r="K29" s="106">
        <v>12.255000000000001</v>
      </c>
      <c r="L29" s="103">
        <v>12.255000000000001</v>
      </c>
      <c r="M29" s="102">
        <f t="shared" si="6"/>
        <v>10</v>
      </c>
      <c r="N29" s="103"/>
      <c r="P29" s="104" t="s">
        <v>40</v>
      </c>
      <c r="Q29" s="104"/>
      <c r="R29" s="104"/>
      <c r="S29" s="137"/>
      <c r="T29" s="137"/>
      <c r="U29" s="137"/>
      <c r="V29" s="102">
        <v>61.6</v>
      </c>
      <c r="W29" s="106"/>
      <c r="X29" s="103"/>
      <c r="Y29" s="104">
        <f t="shared" si="7"/>
        <v>61.6</v>
      </c>
      <c r="Z29" s="104"/>
    </row>
    <row r="30" spans="1:31" ht="21.9" customHeight="1">
      <c r="A30" s="104" t="s">
        <v>35</v>
      </c>
      <c r="B30" s="104"/>
      <c r="C30" s="104"/>
      <c r="D30" s="104">
        <v>53220</v>
      </c>
      <c r="E30" s="104"/>
      <c r="F30" s="104"/>
      <c r="G30" s="102">
        <v>53250</v>
      </c>
      <c r="H30" s="106"/>
      <c r="I30" s="103"/>
      <c r="J30" s="102">
        <f t="shared" si="5"/>
        <v>30</v>
      </c>
      <c r="K30" s="106">
        <v>12.255000000000001</v>
      </c>
      <c r="L30" s="103">
        <v>12.255000000000001</v>
      </c>
      <c r="M30" s="102">
        <f t="shared" si="6"/>
        <v>30</v>
      </c>
      <c r="N30" s="103"/>
      <c r="P30" s="104" t="s">
        <v>28</v>
      </c>
      <c r="Q30" s="104"/>
      <c r="R30" s="104"/>
      <c r="S30" s="137"/>
      <c r="T30" s="137"/>
      <c r="U30" s="137"/>
      <c r="V30" s="102">
        <v>0</v>
      </c>
      <c r="W30" s="106"/>
      <c r="X30" s="103"/>
      <c r="Y30" s="104">
        <f>SUM(Y24:Z29)</f>
        <v>1528.3</v>
      </c>
      <c r="Z30" s="104"/>
    </row>
    <row r="31" spans="1:31" ht="21.9" customHeight="1">
      <c r="A31" s="104" t="s">
        <v>120</v>
      </c>
      <c r="B31" s="104"/>
      <c r="C31" s="104"/>
      <c r="D31" s="102">
        <v>6202095</v>
      </c>
      <c r="E31" s="106"/>
      <c r="F31" s="103"/>
      <c r="G31" s="102">
        <v>6216379</v>
      </c>
      <c r="H31" s="106"/>
      <c r="I31" s="103"/>
      <c r="J31" s="102">
        <f t="shared" si="5"/>
        <v>14284</v>
      </c>
      <c r="K31" s="106">
        <v>12.255000000000001</v>
      </c>
      <c r="L31" s="103">
        <v>12.255000000000001</v>
      </c>
      <c r="M31" s="102">
        <f t="shared" si="6"/>
        <v>14284</v>
      </c>
      <c r="N31" s="103"/>
      <c r="P31" s="57"/>
      <c r="Q31" s="57"/>
      <c r="R31" s="57"/>
      <c r="S31" s="58"/>
      <c r="T31" s="58"/>
      <c r="U31" s="58"/>
      <c r="V31" s="57"/>
      <c r="W31" s="57"/>
      <c r="X31" s="57"/>
      <c r="Y31" s="57"/>
      <c r="Z31" s="57"/>
    </row>
    <row r="32" spans="1:31" ht="21.9" customHeight="1">
      <c r="A32" s="104" t="s">
        <v>121</v>
      </c>
      <c r="B32" s="104"/>
      <c r="C32" s="104"/>
      <c r="D32" s="102">
        <v>1.6</v>
      </c>
      <c r="E32" s="106"/>
      <c r="F32" s="103"/>
      <c r="G32" s="102">
        <v>1.6</v>
      </c>
      <c r="H32" s="106"/>
      <c r="I32" s="103"/>
      <c r="J32" s="102">
        <f t="shared" si="5"/>
        <v>0</v>
      </c>
      <c r="K32" s="106">
        <v>12.255000000000001</v>
      </c>
      <c r="L32" s="103">
        <v>12.255000000000001</v>
      </c>
      <c r="M32" s="102">
        <f t="shared" si="6"/>
        <v>0</v>
      </c>
      <c r="N32" s="103"/>
      <c r="P32" s="57"/>
      <c r="Q32" s="57"/>
      <c r="R32" s="57"/>
      <c r="S32" s="58"/>
      <c r="T32" s="58"/>
      <c r="U32" s="58"/>
      <c r="V32" s="57"/>
      <c r="W32" s="57"/>
      <c r="X32" s="57"/>
      <c r="Y32" s="57"/>
      <c r="Z32" s="57"/>
    </row>
    <row r="33" spans="1:29" ht="21.9" customHeight="1">
      <c r="A33" s="104" t="s">
        <v>122</v>
      </c>
      <c r="B33" s="104"/>
      <c r="C33" s="104"/>
      <c r="D33" s="102">
        <v>0</v>
      </c>
      <c r="E33" s="106"/>
      <c r="F33" s="103"/>
      <c r="G33" s="102">
        <v>0</v>
      </c>
      <c r="H33" s="106"/>
      <c r="I33" s="103"/>
      <c r="J33" s="102">
        <f t="shared" ref="J33" si="8">G33-D33</f>
        <v>0</v>
      </c>
      <c r="K33" s="106">
        <v>12.255000000000001</v>
      </c>
      <c r="L33" s="103">
        <v>12.255000000000001</v>
      </c>
      <c r="M33" s="102">
        <f t="shared" ref="M33" si="9">J33</f>
        <v>0</v>
      </c>
      <c r="N33" s="103"/>
      <c r="P33" s="57"/>
      <c r="Q33" s="57"/>
      <c r="R33" s="57"/>
      <c r="S33" s="58"/>
      <c r="T33" s="58"/>
      <c r="U33" s="58"/>
      <c r="V33" s="57"/>
      <c r="W33" s="57"/>
      <c r="X33" s="57"/>
      <c r="Y33" s="57"/>
      <c r="Z33" s="57"/>
    </row>
    <row r="34" spans="1:29" ht="14.25" customHeight="1"/>
    <row r="35" spans="1:29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C35" s="1"/>
    </row>
    <row r="36" spans="1:29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9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9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9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9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9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9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9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9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9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9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9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9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H3" name="범위10"/>
    <protectedRange sqref="U2:Z3" name="범위9"/>
    <protectedRange sqref="H3" name="범위8"/>
    <protectedRange sqref="S18:V20" name="범위5"/>
    <protectedRange sqref="S31:X33 V30:X30" name="범위4"/>
    <protectedRange sqref="J24:L33" name="범위3"/>
    <protectedRange sqref="D7:I7" name="범위2"/>
    <protectedRange sqref="E19:H20 E12:F18" name="범위1"/>
    <protectedRange sqref="S24:U30" name="범위4_1"/>
    <protectedRange sqref="G12:H18" name="범위1_3"/>
    <protectedRange sqref="R7:Z7" name="범위7_1"/>
    <protectedRange sqref="S12:V15" name="범위6_1"/>
    <protectedRange sqref="G24:I33" name="범위3_3"/>
    <protectedRange sqref="V24:X29" name="범위4_2"/>
    <protectedRange sqref="B2:G3" name="범위1_1_1"/>
    <protectedRange sqref="C12:D20" name="범위1_4"/>
    <protectedRange sqref="D24:F33" name="범위3_4"/>
  </protectedRanges>
  <mergeCells count="223">
    <mergeCell ref="P14:R15"/>
    <mergeCell ref="I15:J15"/>
    <mergeCell ref="K15:L15"/>
    <mergeCell ref="M15:N15"/>
    <mergeCell ref="M28:N28"/>
    <mergeCell ref="P28:R28"/>
    <mergeCell ref="M14:N14"/>
    <mergeCell ref="C15:D15"/>
    <mergeCell ref="C17:D17"/>
    <mergeCell ref="C16:D16"/>
    <mergeCell ref="C14:D14"/>
    <mergeCell ref="C18:D18"/>
    <mergeCell ref="C19:D19"/>
    <mergeCell ref="P18:R20"/>
    <mergeCell ref="M27:N27"/>
    <mergeCell ref="P27:R27"/>
    <mergeCell ref="Y25:Z25"/>
    <mergeCell ref="A28:C28"/>
    <mergeCell ref="G28:I28"/>
    <mergeCell ref="J28:L28"/>
    <mergeCell ref="D25:F25"/>
    <mergeCell ref="D27:F27"/>
    <mergeCell ref="D26:F26"/>
    <mergeCell ref="D28:F28"/>
    <mergeCell ref="D29:F29"/>
    <mergeCell ref="S27:U27"/>
    <mergeCell ref="S26:U26"/>
    <mergeCell ref="A29:C29"/>
    <mergeCell ref="G29:I29"/>
    <mergeCell ref="J29:L29"/>
    <mergeCell ref="M29:N29"/>
    <mergeCell ref="P29:R29"/>
    <mergeCell ref="A63:B76"/>
    <mergeCell ref="C63:Z76"/>
    <mergeCell ref="G32:I32"/>
    <mergeCell ref="J32:L32"/>
    <mergeCell ref="M32:N32"/>
    <mergeCell ref="A31:C31"/>
    <mergeCell ref="G31:I31"/>
    <mergeCell ref="J31:L31"/>
    <mergeCell ref="M31:N31"/>
    <mergeCell ref="A49:B62"/>
    <mergeCell ref="C49:Z62"/>
    <mergeCell ref="D31:F31"/>
    <mergeCell ref="D32:F32"/>
    <mergeCell ref="D33:F33"/>
    <mergeCell ref="A36:B48"/>
    <mergeCell ref="C36:Z48"/>
    <mergeCell ref="A33:C33"/>
    <mergeCell ref="G33:I33"/>
    <mergeCell ref="J33:L33"/>
    <mergeCell ref="M33:N33"/>
    <mergeCell ref="A32:C32"/>
    <mergeCell ref="D30:F30"/>
    <mergeCell ref="Y27:Z27"/>
    <mergeCell ref="P26:R26"/>
    <mergeCell ref="Y28:Z28"/>
    <mergeCell ref="A26:C26"/>
    <mergeCell ref="G26:I26"/>
    <mergeCell ref="J26:L26"/>
    <mergeCell ref="M26:N26"/>
    <mergeCell ref="A25:C25"/>
    <mergeCell ref="A30:C30"/>
    <mergeCell ref="G30:I30"/>
    <mergeCell ref="J30:L30"/>
    <mergeCell ref="M30:N30"/>
    <mergeCell ref="P30:R30"/>
    <mergeCell ref="Y29:Z29"/>
    <mergeCell ref="Y30:Z30"/>
    <mergeCell ref="Y26:Z26"/>
    <mergeCell ref="A27:C27"/>
    <mergeCell ref="G27:I27"/>
    <mergeCell ref="J27:L27"/>
    <mergeCell ref="S25:U25"/>
    <mergeCell ref="S28:U28"/>
    <mergeCell ref="S29:U29"/>
    <mergeCell ref="S30:U30"/>
    <mergeCell ref="Y23:Z23"/>
    <mergeCell ref="A24:C24"/>
    <mergeCell ref="G24:I24"/>
    <mergeCell ref="J24:L24"/>
    <mergeCell ref="M24:N24"/>
    <mergeCell ref="P24:R24"/>
    <mergeCell ref="Y24:Z24"/>
    <mergeCell ref="A23:C23"/>
    <mergeCell ref="D23:F23"/>
    <mergeCell ref="G23:I23"/>
    <mergeCell ref="J23:L23"/>
    <mergeCell ref="M23:N23"/>
    <mergeCell ref="P23:R23"/>
    <mergeCell ref="S23:U23"/>
    <mergeCell ref="V23:X23"/>
    <mergeCell ref="S24:U24"/>
    <mergeCell ref="D24:F24"/>
    <mergeCell ref="S14:V15"/>
    <mergeCell ref="U18:V20"/>
    <mergeCell ref="W14:Z15"/>
    <mergeCell ref="S16:T17"/>
    <mergeCell ref="W16:X17"/>
    <mergeCell ref="I17:J17"/>
    <mergeCell ref="K17:L17"/>
    <mergeCell ref="A15:B15"/>
    <mergeCell ref="K19:L19"/>
    <mergeCell ref="E15:F15"/>
    <mergeCell ref="G15:H15"/>
    <mergeCell ref="Y16:Z17"/>
    <mergeCell ref="A17:B17"/>
    <mergeCell ref="P16:R17"/>
    <mergeCell ref="U16:V17"/>
    <mergeCell ref="E17:F17"/>
    <mergeCell ref="G17:H17"/>
    <mergeCell ref="A16:B16"/>
    <mergeCell ref="E16:F16"/>
    <mergeCell ref="G16:H16"/>
    <mergeCell ref="I16:J16"/>
    <mergeCell ref="K16:L16"/>
    <mergeCell ref="M16:N16"/>
    <mergeCell ref="M19:N19"/>
    <mergeCell ref="A11:B11"/>
    <mergeCell ref="C11:D11"/>
    <mergeCell ref="E11:F11"/>
    <mergeCell ref="G11:H11"/>
    <mergeCell ref="I11:J11"/>
    <mergeCell ref="K11:L11"/>
    <mergeCell ref="M11:N11"/>
    <mergeCell ref="A14:B14"/>
    <mergeCell ref="Y18:Z20"/>
    <mergeCell ref="A20:B20"/>
    <mergeCell ref="E20:F20"/>
    <mergeCell ref="G20:H20"/>
    <mergeCell ref="I20:J20"/>
    <mergeCell ref="K20:L20"/>
    <mergeCell ref="M17:N17"/>
    <mergeCell ref="A18:B18"/>
    <mergeCell ref="E18:F18"/>
    <mergeCell ref="G18:H18"/>
    <mergeCell ref="I18:J18"/>
    <mergeCell ref="K18:L18"/>
    <mergeCell ref="M18:N18"/>
    <mergeCell ref="A19:B19"/>
    <mergeCell ref="E19:F19"/>
    <mergeCell ref="G19:H19"/>
    <mergeCell ref="A12:B12"/>
    <mergeCell ref="E12:F12"/>
    <mergeCell ref="G12:H12"/>
    <mergeCell ref="I12:J12"/>
    <mergeCell ref="K12:L12"/>
    <mergeCell ref="M12:N12"/>
    <mergeCell ref="S12:V13"/>
    <mergeCell ref="W12:Z13"/>
    <mergeCell ref="A13:B13"/>
    <mergeCell ref="E13:F13"/>
    <mergeCell ref="G13:H13"/>
    <mergeCell ref="I13:J13"/>
    <mergeCell ref="K13:L13"/>
    <mergeCell ref="M13:N13"/>
    <mergeCell ref="C12:D12"/>
    <mergeCell ref="C13:D13"/>
    <mergeCell ref="P12:R13"/>
    <mergeCell ref="A6:C6"/>
    <mergeCell ref="D6:F6"/>
    <mergeCell ref="G6:I6"/>
    <mergeCell ref="J6:L6"/>
    <mergeCell ref="P6:Q6"/>
    <mergeCell ref="R6:T6"/>
    <mergeCell ref="U8:W8"/>
    <mergeCell ref="X8:Z8"/>
    <mergeCell ref="W18:X20"/>
    <mergeCell ref="U6:W6"/>
    <mergeCell ref="X6:Z6"/>
    <mergeCell ref="A7:C7"/>
    <mergeCell ref="D7:F7"/>
    <mergeCell ref="G7:I7"/>
    <mergeCell ref="J7:L7"/>
    <mergeCell ref="P7:Q7"/>
    <mergeCell ref="R7:T7"/>
    <mergeCell ref="U7:W7"/>
    <mergeCell ref="P11:R11"/>
    <mergeCell ref="A8:C8"/>
    <mergeCell ref="P8:Q8"/>
    <mergeCell ref="R8:T8"/>
    <mergeCell ref="S11:V11"/>
    <mergeCell ref="X7:Z7"/>
    <mergeCell ref="Y1:Z1"/>
    <mergeCell ref="W2:X3"/>
    <mergeCell ref="Y2:Z3"/>
    <mergeCell ref="A1:A3"/>
    <mergeCell ref="W1:X1"/>
    <mergeCell ref="U1:V1"/>
    <mergeCell ref="U2:V3"/>
    <mergeCell ref="T1:T3"/>
    <mergeCell ref="H1:S2"/>
    <mergeCell ref="H3:S3"/>
    <mergeCell ref="B1:C1"/>
    <mergeCell ref="D1:E1"/>
    <mergeCell ref="F1:G1"/>
    <mergeCell ref="B2:C3"/>
    <mergeCell ref="D2:E3"/>
    <mergeCell ref="F2:G3"/>
    <mergeCell ref="D8:F8"/>
    <mergeCell ref="G8:I8"/>
    <mergeCell ref="J8:L8"/>
    <mergeCell ref="E14:F14"/>
    <mergeCell ref="G14:H14"/>
    <mergeCell ref="I14:J14"/>
    <mergeCell ref="K14:L14"/>
    <mergeCell ref="V30:X30"/>
    <mergeCell ref="V29:X29"/>
    <mergeCell ref="V28:X28"/>
    <mergeCell ref="V27:X27"/>
    <mergeCell ref="V26:X26"/>
    <mergeCell ref="V25:X25"/>
    <mergeCell ref="V24:X24"/>
    <mergeCell ref="M20:N20"/>
    <mergeCell ref="P22:U22"/>
    <mergeCell ref="G25:I25"/>
    <mergeCell ref="J25:L25"/>
    <mergeCell ref="M25:N25"/>
    <mergeCell ref="P25:R25"/>
    <mergeCell ref="C20:D20"/>
    <mergeCell ref="W11:Z11"/>
    <mergeCell ref="I19:J19"/>
    <mergeCell ref="S18:T2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topLeftCell="A10" zoomScaleNormal="100" zoomScaleSheetLayoutView="100" workbookViewId="0">
      <selection activeCell="D30" sqref="D30:F30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150</v>
      </c>
      <c r="C2" s="135"/>
      <c r="D2" s="135" t="s">
        <v>151</v>
      </c>
      <c r="E2" s="135"/>
      <c r="F2" s="135" t="s">
        <v>152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05"/>
      <c r="E3" s="105"/>
      <c r="F3" s="105"/>
      <c r="G3" s="105"/>
      <c r="H3" s="132">
        <v>46205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47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51</v>
      </c>
      <c r="K6" s="136"/>
      <c r="L6" s="136"/>
      <c r="M6" s="1"/>
      <c r="N6" s="1"/>
      <c r="O6" s="1"/>
      <c r="P6" s="136" t="s">
        <v>47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63525</v>
      </c>
      <c r="E7" s="139"/>
      <c r="F7" s="139"/>
      <c r="G7" s="139">
        <v>178400</v>
      </c>
      <c r="H7" s="139"/>
      <c r="I7" s="139"/>
      <c r="J7" s="139">
        <f>D7+G7</f>
        <v>241925</v>
      </c>
      <c r="K7" s="139"/>
      <c r="L7" s="139"/>
      <c r="M7" s="1"/>
      <c r="N7" s="1"/>
      <c r="O7" s="1"/>
      <c r="P7" s="105" t="s">
        <v>48</v>
      </c>
      <c r="Q7" s="105"/>
      <c r="R7" s="177">
        <v>481.2</v>
      </c>
      <c r="S7" s="178"/>
      <c r="T7" s="179"/>
      <c r="U7" s="140">
        <v>327.39999999999998</v>
      </c>
      <c r="V7" s="140"/>
      <c r="W7" s="140"/>
      <c r="X7" s="175">
        <v>24</v>
      </c>
      <c r="Y7" s="175"/>
      <c r="Z7" s="175"/>
    </row>
    <row r="8" spans="1:26" ht="30" customHeight="1">
      <c r="A8" s="104" t="s">
        <v>46</v>
      </c>
      <c r="B8" s="104"/>
      <c r="C8" s="104"/>
      <c r="D8" s="154">
        <f>'1'!D8+D7</f>
        <v>134074</v>
      </c>
      <c r="E8" s="154"/>
      <c r="F8" s="154"/>
      <c r="G8" s="99">
        <f>'1'!G8+'2'!G7</f>
        <v>349200</v>
      </c>
      <c r="H8" s="100"/>
      <c r="I8" s="101"/>
      <c r="J8" s="154">
        <f>D8+G8</f>
        <v>483274</v>
      </c>
      <c r="K8" s="154"/>
      <c r="L8" s="154"/>
      <c r="M8" s="1"/>
      <c r="N8" s="1"/>
      <c r="O8" s="1"/>
      <c r="P8" s="104" t="s">
        <v>46</v>
      </c>
      <c r="Q8" s="104"/>
      <c r="R8" s="180">
        <f>'1'!R8+R7</f>
        <v>956.9</v>
      </c>
      <c r="S8" s="181"/>
      <c r="T8" s="182"/>
      <c r="U8" s="137">
        <f>'1'!U8+U7</f>
        <v>605.20000000000005</v>
      </c>
      <c r="V8" s="137"/>
      <c r="W8" s="137"/>
      <c r="X8" s="176">
        <f>'1'!X8+'2'!X7</f>
        <v>48</v>
      </c>
      <c r="Y8" s="176"/>
      <c r="Z8" s="176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'1'!I12</f>
        <v>11575</v>
      </c>
      <c r="D12" s="174"/>
      <c r="E12" s="105">
        <v>0</v>
      </c>
      <c r="F12" s="105"/>
      <c r="G12" s="105">
        <v>3812</v>
      </c>
      <c r="H12" s="105"/>
      <c r="I12" s="107">
        <f t="shared" ref="I12:I16" si="0">C12+E12-G12</f>
        <v>7763</v>
      </c>
      <c r="J12" s="109"/>
      <c r="K12" s="105">
        <f>'1'!K12+E12</f>
        <v>0</v>
      </c>
      <c r="L12" s="105"/>
      <c r="M12" s="105">
        <f>'1'!M12+G12</f>
        <v>7151</v>
      </c>
      <c r="N12" s="105"/>
      <c r="O12" s="1"/>
      <c r="P12" s="149" t="s">
        <v>101</v>
      </c>
      <c r="Q12" s="105"/>
      <c r="R12" s="105"/>
      <c r="S12" s="143">
        <v>55.53</v>
      </c>
      <c r="T12" s="144"/>
      <c r="U12" s="144"/>
      <c r="V12" s="144"/>
      <c r="W12" s="143">
        <f>'1'!W12+'2'!S12</f>
        <v>109.65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'1'!I13</f>
        <v>500</v>
      </c>
      <c r="D13" s="174"/>
      <c r="E13" s="104">
        <v>0</v>
      </c>
      <c r="F13" s="104"/>
      <c r="G13" s="104">
        <v>100</v>
      </c>
      <c r="H13" s="104"/>
      <c r="I13" s="102">
        <f t="shared" si="0"/>
        <v>400</v>
      </c>
      <c r="J13" s="103"/>
      <c r="K13" s="102">
        <f>'1'!K13+E13</f>
        <v>0</v>
      </c>
      <c r="L13" s="103"/>
      <c r="M13" s="102">
        <f>'1'!M13+G13</f>
        <v>190</v>
      </c>
      <c r="N13" s="103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'1'!I14</f>
        <v>480</v>
      </c>
      <c r="D14" s="174"/>
      <c r="E14" s="104">
        <v>0</v>
      </c>
      <c r="F14" s="104"/>
      <c r="G14" s="104">
        <v>120</v>
      </c>
      <c r="H14" s="104"/>
      <c r="I14" s="102">
        <f t="shared" si="0"/>
        <v>360</v>
      </c>
      <c r="J14" s="103"/>
      <c r="K14" s="102">
        <f>'1'!K14+E14</f>
        <v>0</v>
      </c>
      <c r="L14" s="103"/>
      <c r="M14" s="102">
        <f>'1'!M14+G14</f>
        <v>240</v>
      </c>
      <c r="N14" s="103"/>
      <c r="O14" s="1"/>
      <c r="P14" s="104" t="s">
        <v>26</v>
      </c>
      <c r="Q14" s="104"/>
      <c r="R14" s="104"/>
      <c r="S14" s="155">
        <v>0</v>
      </c>
      <c r="T14" s="156"/>
      <c r="U14" s="156"/>
      <c r="V14" s="156"/>
      <c r="W14" s="186">
        <f>'1'!W14+'2'!S14</f>
        <v>24.1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'1'!I15</f>
        <v>1266</v>
      </c>
      <c r="D15" s="174"/>
      <c r="E15" s="104">
        <v>0</v>
      </c>
      <c r="F15" s="104"/>
      <c r="G15" s="104">
        <v>31</v>
      </c>
      <c r="H15" s="104"/>
      <c r="I15" s="102">
        <f t="shared" si="0"/>
        <v>1235</v>
      </c>
      <c r="J15" s="103"/>
      <c r="K15" s="102">
        <f>'1'!K15+E15</f>
        <v>0</v>
      </c>
      <c r="L15" s="103"/>
      <c r="M15" s="102">
        <f>'1'!M15+G15</f>
        <v>64</v>
      </c>
      <c r="N15" s="103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'1'!I16</f>
        <v>2330</v>
      </c>
      <c r="D16" s="174"/>
      <c r="E16" s="104">
        <v>0</v>
      </c>
      <c r="F16" s="104"/>
      <c r="G16" s="104">
        <v>20</v>
      </c>
      <c r="H16" s="104"/>
      <c r="I16" s="102">
        <f t="shared" si="0"/>
        <v>2310</v>
      </c>
      <c r="J16" s="103"/>
      <c r="K16" s="102">
        <f>'1'!K16+E16</f>
        <v>0</v>
      </c>
      <c r="L16" s="103"/>
      <c r="M16" s="102">
        <f>'1'!M16+G16</f>
        <v>40</v>
      </c>
      <c r="N16" s="103"/>
      <c r="O16" s="1"/>
      <c r="P16" s="162" t="s">
        <v>64</v>
      </c>
      <c r="Q16" s="162"/>
      <c r="R16" s="162"/>
      <c r="S16" s="158" t="s">
        <v>117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'1'!I17</f>
        <v>1650</v>
      </c>
      <c r="D17" s="174"/>
      <c r="E17" s="104">
        <v>0</v>
      </c>
      <c r="F17" s="104"/>
      <c r="G17" s="104">
        <v>200</v>
      </c>
      <c r="H17" s="104"/>
      <c r="I17" s="102">
        <f t="shared" ref="I17:I18" si="1">C17+E17-G17</f>
        <v>1450</v>
      </c>
      <c r="J17" s="103"/>
      <c r="K17" s="102">
        <f>'1'!K17+E17</f>
        <v>0</v>
      </c>
      <c r="L17" s="103"/>
      <c r="M17" s="102">
        <f>'1'!M17+G17</f>
        <v>400</v>
      </c>
      <c r="N17" s="103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'1'!I18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1"/>
        <v>5340</v>
      </c>
      <c r="J18" s="103"/>
      <c r="K18" s="102">
        <f>'1'!K18+E18</f>
        <v>0</v>
      </c>
      <c r="L18" s="103"/>
      <c r="M18" s="102">
        <f>'1'!M18+G18</f>
        <v>0</v>
      </c>
      <c r="N18" s="103"/>
      <c r="O18" s="1"/>
      <c r="P18" s="164" t="s">
        <v>27</v>
      </c>
      <c r="Q18" s="164"/>
      <c r="R18" s="164"/>
      <c r="S18" s="114">
        <v>3</v>
      </c>
      <c r="T18" s="115"/>
      <c r="U18" s="114">
        <v>2</v>
      </c>
      <c r="V18" s="115"/>
      <c r="W18" s="114">
        <f>S18+U18</f>
        <v>5</v>
      </c>
      <c r="X18" s="115"/>
      <c r="Y18" s="151">
        <f>'1'!Y18+W18</f>
        <v>8</v>
      </c>
      <c r="Z18" s="151"/>
    </row>
    <row r="19" spans="1:31" ht="21.9" customHeight="1">
      <c r="A19" s="153" t="s">
        <v>62</v>
      </c>
      <c r="B19" s="153"/>
      <c r="C19" s="174">
        <f>'1'!I19</f>
        <v>109601</v>
      </c>
      <c r="D19" s="174"/>
      <c r="E19" s="154">
        <v>66230</v>
      </c>
      <c r="F19" s="154"/>
      <c r="G19" s="154">
        <f>D7</f>
        <v>63525</v>
      </c>
      <c r="H19" s="154"/>
      <c r="I19" s="99">
        <f t="shared" ref="I19" si="2">C19+E19-G19</f>
        <v>112306</v>
      </c>
      <c r="J19" s="101"/>
      <c r="K19" s="99">
        <f>'1'!K19+E19</f>
        <v>136380</v>
      </c>
      <c r="L19" s="101"/>
      <c r="M19" s="99">
        <f>'1'!M19+G19</f>
        <v>134074</v>
      </c>
      <c r="N19" s="101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'1'!I20</f>
        <v>-</v>
      </c>
      <c r="D20" s="174"/>
      <c r="E20" s="102"/>
      <c r="F20" s="103"/>
      <c r="G20" s="104"/>
      <c r="H20" s="104"/>
      <c r="I20" s="102" t="s">
        <v>60</v>
      </c>
      <c r="J20" s="103"/>
      <c r="K20" s="105">
        <f>'1'!K20+'2'!E20</f>
        <v>0</v>
      </c>
      <c r="L20" s="105"/>
      <c r="M20" s="105">
        <f t="shared" ref="M20" si="3">G20</f>
        <v>0</v>
      </c>
      <c r="N20" s="105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45</v>
      </c>
      <c r="K23" s="136"/>
      <c r="L23" s="136"/>
      <c r="M23" s="136" t="s">
        <v>46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'1'!G24</f>
        <v>3714008</v>
      </c>
      <c r="E24" s="187"/>
      <c r="F24" s="187"/>
      <c r="G24" s="164">
        <v>3735314</v>
      </c>
      <c r="H24" s="164"/>
      <c r="I24" s="164"/>
      <c r="J24" s="164">
        <f>G24-D24</f>
        <v>21306</v>
      </c>
      <c r="K24" s="164"/>
      <c r="L24" s="164"/>
      <c r="M24" s="164">
        <f>'1'!$J24+$J24</f>
        <v>63746</v>
      </c>
      <c r="N24" s="164"/>
      <c r="P24" s="105" t="s">
        <v>36</v>
      </c>
      <c r="Q24" s="105"/>
      <c r="R24" s="105"/>
      <c r="S24" s="107">
        <f>'1'!V24</f>
        <v>432.2</v>
      </c>
      <c r="T24" s="108"/>
      <c r="U24" s="109"/>
      <c r="V24" s="183">
        <v>429.1</v>
      </c>
      <c r="W24" s="184"/>
      <c r="X24" s="185"/>
      <c r="Y24" s="140">
        <f>'1'!Y24+'2'!V24</f>
        <v>861.3</v>
      </c>
      <c r="Z24" s="140"/>
    </row>
    <row r="25" spans="1:31" ht="21.9" customHeight="1">
      <c r="A25" s="104" t="s">
        <v>30</v>
      </c>
      <c r="B25" s="104"/>
      <c r="C25" s="104"/>
      <c r="D25" s="104">
        <f>'1'!G25</f>
        <v>32826.1</v>
      </c>
      <c r="E25" s="104"/>
      <c r="F25" s="104"/>
      <c r="G25" s="104">
        <v>32858.199999999997</v>
      </c>
      <c r="H25" s="104"/>
      <c r="I25" s="104"/>
      <c r="J25" s="104">
        <f>G25-D25</f>
        <v>32.099999999998545</v>
      </c>
      <c r="K25" s="104"/>
      <c r="L25" s="104"/>
      <c r="M25" s="102">
        <f>'1'!$J25+$J25</f>
        <v>94.099999999998545</v>
      </c>
      <c r="N25" s="103"/>
      <c r="P25" s="104" t="s">
        <v>37</v>
      </c>
      <c r="Q25" s="104"/>
      <c r="R25" s="104"/>
      <c r="S25" s="102">
        <f>'1'!V25</f>
        <v>56.4</v>
      </c>
      <c r="T25" s="106"/>
      <c r="U25" s="103"/>
      <c r="V25" s="165">
        <v>55.3</v>
      </c>
      <c r="W25" s="171"/>
      <c r="X25" s="166"/>
      <c r="Y25" s="102">
        <f>'1'!Y25+'2'!V25</f>
        <v>111.69999999999999</v>
      </c>
      <c r="Z25" s="103"/>
    </row>
    <row r="26" spans="1:31" ht="21.9" customHeight="1">
      <c r="A26" s="104" t="s">
        <v>31</v>
      </c>
      <c r="B26" s="104"/>
      <c r="C26" s="104"/>
      <c r="D26" s="104">
        <f>'1'!G26</f>
        <v>24340</v>
      </c>
      <c r="E26" s="104"/>
      <c r="F26" s="104"/>
      <c r="G26" s="104">
        <v>24360</v>
      </c>
      <c r="H26" s="104"/>
      <c r="I26" s="104"/>
      <c r="J26" s="104">
        <f t="shared" ref="J26:J33" si="4">G26-D26</f>
        <v>20</v>
      </c>
      <c r="K26" s="104"/>
      <c r="L26" s="104"/>
      <c r="M26" s="102">
        <f>'1'!$J26+$J26</f>
        <v>60</v>
      </c>
      <c r="N26" s="103"/>
      <c r="P26" s="104" t="s">
        <v>38</v>
      </c>
      <c r="Q26" s="104"/>
      <c r="R26" s="104"/>
      <c r="S26" s="102">
        <f>'1'!V26</f>
        <v>477.8</v>
      </c>
      <c r="T26" s="106"/>
      <c r="U26" s="103"/>
      <c r="V26" s="102">
        <v>499.6</v>
      </c>
      <c r="W26" s="106"/>
      <c r="X26" s="103"/>
      <c r="Y26" s="102">
        <f>'1'!Y26+'2'!V26</f>
        <v>977.40000000000009</v>
      </c>
      <c r="Z26" s="103"/>
    </row>
    <row r="27" spans="1:31" ht="21.9" customHeight="1">
      <c r="A27" s="104" t="s">
        <v>32</v>
      </c>
      <c r="B27" s="104"/>
      <c r="C27" s="104"/>
      <c r="D27" s="104">
        <f>'1'!G27</f>
        <v>1346000</v>
      </c>
      <c r="E27" s="104"/>
      <c r="F27" s="104"/>
      <c r="G27" s="104">
        <v>1349000</v>
      </c>
      <c r="H27" s="104"/>
      <c r="I27" s="104"/>
      <c r="J27" s="104">
        <f t="shared" si="4"/>
        <v>3000</v>
      </c>
      <c r="K27" s="104"/>
      <c r="L27" s="104"/>
      <c r="M27" s="102">
        <f>'1'!$J27+$J27</f>
        <v>10000</v>
      </c>
      <c r="N27" s="103"/>
      <c r="P27" s="104" t="s">
        <v>39</v>
      </c>
      <c r="Q27" s="104"/>
      <c r="R27" s="104"/>
      <c r="S27" s="102">
        <f>'1'!V27</f>
        <v>500.3</v>
      </c>
      <c r="T27" s="106"/>
      <c r="U27" s="103"/>
      <c r="V27" s="167">
        <v>514.9</v>
      </c>
      <c r="W27" s="172"/>
      <c r="X27" s="168"/>
      <c r="Y27" s="102">
        <f>'1'!Y27+'2'!V27</f>
        <v>1015.2</v>
      </c>
      <c r="Z27" s="103"/>
    </row>
    <row r="28" spans="1:31" ht="21.9" customHeight="1">
      <c r="A28" s="104" t="s">
        <v>33</v>
      </c>
      <c r="B28" s="104"/>
      <c r="C28" s="104"/>
      <c r="D28" s="104">
        <f>'1'!G28</f>
        <v>5045</v>
      </c>
      <c r="E28" s="104"/>
      <c r="F28" s="104"/>
      <c r="G28" s="104">
        <v>5099</v>
      </c>
      <c r="H28" s="104"/>
      <c r="I28" s="104"/>
      <c r="J28" s="104">
        <f t="shared" si="4"/>
        <v>54</v>
      </c>
      <c r="K28" s="104"/>
      <c r="L28" s="104"/>
      <c r="M28" s="102">
        <f>'1'!$J28+$J28</f>
        <v>161</v>
      </c>
      <c r="N28" s="103"/>
      <c r="P28" s="104" t="s">
        <v>41</v>
      </c>
      <c r="Q28" s="104"/>
      <c r="R28" s="104"/>
      <c r="S28" s="102">
        <f>'1'!V28</f>
        <v>0</v>
      </c>
      <c r="T28" s="106"/>
      <c r="U28" s="103"/>
      <c r="V28" s="165">
        <v>0</v>
      </c>
      <c r="W28" s="171"/>
      <c r="X28" s="166"/>
      <c r="Y28" s="102">
        <f>'1'!Y28+'2'!V28</f>
        <v>0</v>
      </c>
      <c r="Z28" s="103"/>
    </row>
    <row r="29" spans="1:31" ht="21.9" customHeight="1">
      <c r="A29" s="104" t="s">
        <v>34</v>
      </c>
      <c r="B29" s="104"/>
      <c r="C29" s="104"/>
      <c r="D29" s="104">
        <f>'1'!G29</f>
        <v>66190</v>
      </c>
      <c r="E29" s="104"/>
      <c r="F29" s="104"/>
      <c r="G29" s="104">
        <v>66190</v>
      </c>
      <c r="H29" s="104"/>
      <c r="I29" s="104"/>
      <c r="J29" s="104">
        <f t="shared" si="4"/>
        <v>0</v>
      </c>
      <c r="K29" s="104"/>
      <c r="L29" s="104"/>
      <c r="M29" s="102">
        <f>'1'!$J29+$J29</f>
        <v>10</v>
      </c>
      <c r="N29" s="103"/>
      <c r="P29" s="104" t="s">
        <v>40</v>
      </c>
      <c r="Q29" s="104"/>
      <c r="R29" s="104"/>
      <c r="S29" s="102">
        <f>'1'!V29</f>
        <v>61.6</v>
      </c>
      <c r="T29" s="106"/>
      <c r="U29" s="103"/>
      <c r="V29" s="188">
        <v>59.7</v>
      </c>
      <c r="W29" s="189"/>
      <c r="X29" s="190"/>
      <c r="Y29" s="102">
        <f>'1'!Y29+'2'!V29</f>
        <v>121.30000000000001</v>
      </c>
      <c r="Z29" s="103"/>
    </row>
    <row r="30" spans="1:31" ht="21.9" customHeight="1">
      <c r="A30" s="104" t="s">
        <v>35</v>
      </c>
      <c r="B30" s="104"/>
      <c r="C30" s="104"/>
      <c r="D30" s="104">
        <f>'1'!G30</f>
        <v>53250</v>
      </c>
      <c r="E30" s="104"/>
      <c r="F30" s="104"/>
      <c r="G30" s="104">
        <v>53260</v>
      </c>
      <c r="H30" s="104"/>
      <c r="I30" s="104"/>
      <c r="J30" s="104">
        <f t="shared" si="4"/>
        <v>10</v>
      </c>
      <c r="K30" s="104"/>
      <c r="L30" s="104"/>
      <c r="M30" s="102">
        <f>'1'!$J30+$J30</f>
        <v>40</v>
      </c>
      <c r="N30" s="103"/>
      <c r="P30" s="104" t="s">
        <v>28</v>
      </c>
      <c r="Q30" s="104"/>
      <c r="R30" s="104"/>
      <c r="S30" s="104">
        <f>SUM(S24:U29)</f>
        <v>1528.3</v>
      </c>
      <c r="T30" s="104"/>
      <c r="U30" s="104"/>
      <c r="V30" s="104">
        <v>0</v>
      </c>
      <c r="W30" s="104"/>
      <c r="X30" s="104"/>
      <c r="Y30" s="102">
        <f>'1'!Y30+'2'!V30</f>
        <v>1528.3</v>
      </c>
      <c r="Z30" s="103"/>
    </row>
    <row r="31" spans="1:31" ht="21.9" customHeight="1">
      <c r="A31" s="104" t="s">
        <v>120</v>
      </c>
      <c r="B31" s="104"/>
      <c r="C31" s="104"/>
      <c r="D31" s="104">
        <f>'1'!G31</f>
        <v>6216379</v>
      </c>
      <c r="E31" s="104"/>
      <c r="F31" s="104"/>
      <c r="G31" s="102">
        <v>6223530</v>
      </c>
      <c r="H31" s="106"/>
      <c r="I31" s="103"/>
      <c r="J31" s="102">
        <f t="shared" si="4"/>
        <v>7151</v>
      </c>
      <c r="K31" s="106">
        <v>12.255000000000001</v>
      </c>
      <c r="L31" s="103">
        <v>12.255000000000001</v>
      </c>
      <c r="M31" s="102">
        <f>'1'!M31+J31</f>
        <v>21435</v>
      </c>
      <c r="N31" s="103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31" ht="21.9" customHeight="1">
      <c r="A32" s="104" t="s">
        <v>121</v>
      </c>
      <c r="B32" s="104"/>
      <c r="C32" s="104"/>
      <c r="D32" s="104">
        <f>'1'!G32</f>
        <v>1.6</v>
      </c>
      <c r="E32" s="104"/>
      <c r="F32" s="104"/>
      <c r="G32" s="102">
        <v>1.6</v>
      </c>
      <c r="H32" s="106"/>
      <c r="I32" s="103"/>
      <c r="J32" s="102">
        <f t="shared" si="4"/>
        <v>0</v>
      </c>
      <c r="K32" s="106">
        <v>12.255000000000001</v>
      </c>
      <c r="L32" s="103">
        <v>12.255000000000001</v>
      </c>
      <c r="M32" s="102">
        <f>'1'!M32+J32</f>
        <v>0</v>
      </c>
      <c r="N32" s="103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ht="21.9" customHeight="1">
      <c r="A33" s="104" t="s">
        <v>122</v>
      </c>
      <c r="B33" s="104"/>
      <c r="C33" s="104"/>
      <c r="D33" s="104">
        <f>'1'!G33</f>
        <v>0</v>
      </c>
      <c r="E33" s="104"/>
      <c r="F33" s="104"/>
      <c r="G33" s="102">
        <v>0</v>
      </c>
      <c r="H33" s="106"/>
      <c r="I33" s="103"/>
      <c r="J33" s="102">
        <f t="shared" si="4"/>
        <v>0</v>
      </c>
      <c r="K33" s="106">
        <v>12.255000000000001</v>
      </c>
      <c r="L33" s="103">
        <v>12.255000000000001</v>
      </c>
      <c r="M33" s="102">
        <f>'1'!M33+J33</f>
        <v>0</v>
      </c>
      <c r="N33" s="103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H3:S3" name="범위2"/>
    <protectedRange sqref="D7:I7 E20:H20 S18:V20 V31:X33 U2:Z3 G19:H19" name="범위1"/>
    <protectedRange sqref="J31:L33" name="범위3"/>
    <protectedRange sqref="E12:F19" name="범위1_4"/>
    <protectedRange sqref="G12:H18" name="범위1_5"/>
    <protectedRange sqref="R7:Z7" name="범위1_6"/>
    <protectedRange sqref="S12:V15" name="범위1_7"/>
    <protectedRange sqref="G24:I30" name="범위1_8"/>
    <protectedRange sqref="G31:I33" name="범위3_2"/>
    <protectedRange sqref="V24:X29" name="범위1_9"/>
    <protectedRange sqref="F2:G3" name="범위1_1_2"/>
    <protectedRange sqref="B2:E3" name="범위1_1_1_2"/>
  </protectedRanges>
  <mergeCells count="223">
    <mergeCell ref="A63:B76"/>
    <mergeCell ref="C63:Z76"/>
    <mergeCell ref="A33:C33"/>
    <mergeCell ref="D33:F33"/>
    <mergeCell ref="G33:I33"/>
    <mergeCell ref="J33:L33"/>
    <mergeCell ref="M33:N33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6:B48"/>
    <mergeCell ref="C36:Z48"/>
    <mergeCell ref="Y30:Z30"/>
    <mergeCell ref="P30:R30"/>
    <mergeCell ref="Y29:Z29"/>
    <mergeCell ref="S30:U30"/>
    <mergeCell ref="P29:R29"/>
    <mergeCell ref="Y27:Z27"/>
    <mergeCell ref="Y28:Z28"/>
    <mergeCell ref="P28:R28"/>
    <mergeCell ref="V30:X30"/>
    <mergeCell ref="S29:U29"/>
    <mergeCell ref="S28:U28"/>
    <mergeCell ref="P27:R27"/>
    <mergeCell ref="A24:C24"/>
    <mergeCell ref="J29:L29"/>
    <mergeCell ref="A49:B62"/>
    <mergeCell ref="V23:X23"/>
    <mergeCell ref="C49:Z62"/>
    <mergeCell ref="G17:H17"/>
    <mergeCell ref="G18:H18"/>
    <mergeCell ref="J26:L26"/>
    <mergeCell ref="G27:I27"/>
    <mergeCell ref="J27:L27"/>
    <mergeCell ref="G26:I26"/>
    <mergeCell ref="M19:N19"/>
    <mergeCell ref="C18:D18"/>
    <mergeCell ref="A25:C25"/>
    <mergeCell ref="A26:C26"/>
    <mergeCell ref="A27:C27"/>
    <mergeCell ref="M29:N29"/>
    <mergeCell ref="M30:N30"/>
    <mergeCell ref="D24:F24"/>
    <mergeCell ref="V29:X29"/>
    <mergeCell ref="V28:X28"/>
    <mergeCell ref="V27:X27"/>
    <mergeCell ref="V26:X26"/>
    <mergeCell ref="V25:X25"/>
    <mergeCell ref="Y23:Z23"/>
    <mergeCell ref="I14:J14"/>
    <mergeCell ref="I15:J15"/>
    <mergeCell ref="K19:L19"/>
    <mergeCell ref="J23:L23"/>
    <mergeCell ref="M12:N12"/>
    <mergeCell ref="M13:N13"/>
    <mergeCell ref="M14:N14"/>
    <mergeCell ref="M15:N15"/>
    <mergeCell ref="K12:L12"/>
    <mergeCell ref="K13:L13"/>
    <mergeCell ref="K15:L15"/>
    <mergeCell ref="K14:L14"/>
    <mergeCell ref="K17:L17"/>
    <mergeCell ref="K18:L18"/>
    <mergeCell ref="M20:N20"/>
    <mergeCell ref="I19:J19"/>
    <mergeCell ref="M23:N23"/>
    <mergeCell ref="Y16:Z17"/>
    <mergeCell ref="W14:Z15"/>
    <mergeCell ref="S16:T17"/>
    <mergeCell ref="U16:V17"/>
    <mergeCell ref="W16:X17"/>
    <mergeCell ref="S18:T20"/>
    <mergeCell ref="U18:V20"/>
    <mergeCell ref="P14:R15"/>
    <mergeCell ref="W18:X20"/>
    <mergeCell ref="S26:U26"/>
    <mergeCell ref="S25:U25"/>
    <mergeCell ref="S24:U24"/>
    <mergeCell ref="M24:N24"/>
    <mergeCell ref="M25:N25"/>
    <mergeCell ref="M26:N26"/>
    <mergeCell ref="M16:N16"/>
    <mergeCell ref="M17:N17"/>
    <mergeCell ref="P25:R25"/>
    <mergeCell ref="P26:R26"/>
    <mergeCell ref="M27:N27"/>
    <mergeCell ref="M28:N28"/>
    <mergeCell ref="Y24:Z24"/>
    <mergeCell ref="Y25:Z25"/>
    <mergeCell ref="Y26:Z26"/>
    <mergeCell ref="S27:U27"/>
    <mergeCell ref="V24:X24"/>
    <mergeCell ref="P24:R24"/>
    <mergeCell ref="G25:I25"/>
    <mergeCell ref="J25:L25"/>
    <mergeCell ref="Y1:Z1"/>
    <mergeCell ref="Y2:Z3"/>
    <mergeCell ref="J6:L6"/>
    <mergeCell ref="P6:Q6"/>
    <mergeCell ref="R6:T6"/>
    <mergeCell ref="U6:W6"/>
    <mergeCell ref="X6:Z6"/>
    <mergeCell ref="W1:X1"/>
    <mergeCell ref="W2:X3"/>
    <mergeCell ref="H1:S2"/>
    <mergeCell ref="T1:T3"/>
    <mergeCell ref="U1:V1"/>
    <mergeCell ref="U2:V3"/>
    <mergeCell ref="H3:S3"/>
    <mergeCell ref="P12:R13"/>
    <mergeCell ref="P22:U22"/>
    <mergeCell ref="S14:V15"/>
    <mergeCell ref="S23:U23"/>
    <mergeCell ref="P23:R23"/>
    <mergeCell ref="Y18:Z20"/>
    <mergeCell ref="P16:R17"/>
    <mergeCell ref="P18:R20"/>
    <mergeCell ref="B2:C3"/>
    <mergeCell ref="X7:Z7"/>
    <mergeCell ref="J8:L8"/>
    <mergeCell ref="P8:Q8"/>
    <mergeCell ref="U8:W8"/>
    <mergeCell ref="X8:Z8"/>
    <mergeCell ref="M18:N18"/>
    <mergeCell ref="P7:Q7"/>
    <mergeCell ref="U7:W7"/>
    <mergeCell ref="R7:T7"/>
    <mergeCell ref="R8:T8"/>
    <mergeCell ref="S11:V11"/>
    <mergeCell ref="P11:R11"/>
    <mergeCell ref="W11:Z11"/>
    <mergeCell ref="S12:V13"/>
    <mergeCell ref="W12:Z13"/>
    <mergeCell ref="A1:A3"/>
    <mergeCell ref="D23:F23"/>
    <mergeCell ref="G23:I23"/>
    <mergeCell ref="A6:C6"/>
    <mergeCell ref="D6:F6"/>
    <mergeCell ref="G6:I6"/>
    <mergeCell ref="A7:C7"/>
    <mergeCell ref="D7:F7"/>
    <mergeCell ref="G7:I7"/>
    <mergeCell ref="A8:C8"/>
    <mergeCell ref="D8:F8"/>
    <mergeCell ref="G8:I8"/>
    <mergeCell ref="A18:B18"/>
    <mergeCell ref="A20:B20"/>
    <mergeCell ref="C11:D11"/>
    <mergeCell ref="C12:D12"/>
    <mergeCell ref="A11:B11"/>
    <mergeCell ref="A12:B12"/>
    <mergeCell ref="A13:B13"/>
    <mergeCell ref="A14:B14"/>
    <mergeCell ref="A15:B15"/>
    <mergeCell ref="A23:C23"/>
    <mergeCell ref="B1:C1"/>
    <mergeCell ref="D1:E1"/>
    <mergeCell ref="F1:G1"/>
    <mergeCell ref="D2:E3"/>
    <mergeCell ref="F2:G3"/>
    <mergeCell ref="E11:F11"/>
    <mergeCell ref="K16:L16"/>
    <mergeCell ref="I18:J18"/>
    <mergeCell ref="M11:N11"/>
    <mergeCell ref="I11:J11"/>
    <mergeCell ref="I12:J12"/>
    <mergeCell ref="I13:J13"/>
    <mergeCell ref="E13:F13"/>
    <mergeCell ref="E20:F20"/>
    <mergeCell ref="C19:D19"/>
    <mergeCell ref="E19:F19"/>
    <mergeCell ref="G15:H15"/>
    <mergeCell ref="G16:H16"/>
    <mergeCell ref="I17:J17"/>
    <mergeCell ref="C20:D20"/>
    <mergeCell ref="J7:L7"/>
    <mergeCell ref="G11:H11"/>
    <mergeCell ref="K11:L11"/>
    <mergeCell ref="G12:H12"/>
    <mergeCell ref="C13:D13"/>
    <mergeCell ref="C14:D14"/>
    <mergeCell ref="C15:D15"/>
    <mergeCell ref="C16:D16"/>
    <mergeCell ref="C17:D17"/>
    <mergeCell ref="E18:F18"/>
    <mergeCell ref="E14:F14"/>
    <mergeCell ref="E15:F15"/>
    <mergeCell ref="E16:F16"/>
    <mergeCell ref="E17:F17"/>
    <mergeCell ref="E12:F12"/>
    <mergeCell ref="G13:H13"/>
    <mergeCell ref="G14:H14"/>
    <mergeCell ref="A30:C30"/>
    <mergeCell ref="A16:B16"/>
    <mergeCell ref="A17:B17"/>
    <mergeCell ref="A19:B19"/>
    <mergeCell ref="I16:J16"/>
    <mergeCell ref="D25:F25"/>
    <mergeCell ref="D26:F26"/>
    <mergeCell ref="D27:F27"/>
    <mergeCell ref="D28:F28"/>
    <mergeCell ref="J30:L30"/>
    <mergeCell ref="A28:C28"/>
    <mergeCell ref="A29:C29"/>
    <mergeCell ref="G28:I28"/>
    <mergeCell ref="J28:L28"/>
    <mergeCell ref="D29:F29"/>
    <mergeCell ref="D30:F30"/>
    <mergeCell ref="G19:H19"/>
    <mergeCell ref="G30:I30"/>
    <mergeCell ref="G20:H20"/>
    <mergeCell ref="G29:I29"/>
    <mergeCell ref="K20:L20"/>
    <mergeCell ref="I20:J20"/>
    <mergeCell ref="G24:I24"/>
    <mergeCell ref="J24:L2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topLeftCell="A4" zoomScaleNormal="100" zoomScaleSheetLayoutView="100" workbookViewId="0">
      <selection activeCell="I15" sqref="I15:J15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153</v>
      </c>
      <c r="C2" s="135"/>
      <c r="D2" s="135" t="s">
        <v>154</v>
      </c>
      <c r="E2" s="135"/>
      <c r="F2" s="135" t="s">
        <v>155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05"/>
      <c r="E3" s="105"/>
      <c r="F3" s="105"/>
      <c r="G3" s="105"/>
      <c r="H3" s="132">
        <v>46206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63380</v>
      </c>
      <c r="E7" s="139"/>
      <c r="F7" s="139"/>
      <c r="G7" s="191">
        <v>157600</v>
      </c>
      <c r="H7" s="192"/>
      <c r="I7" s="193"/>
      <c r="J7" s="139">
        <f>D7+G7</f>
        <v>220980</v>
      </c>
      <c r="K7" s="139"/>
      <c r="L7" s="139"/>
      <c r="M7" s="1"/>
      <c r="N7" s="1"/>
      <c r="O7" s="1"/>
      <c r="P7" s="105" t="s">
        <v>48</v>
      </c>
      <c r="Q7" s="105"/>
      <c r="R7" s="177">
        <v>478</v>
      </c>
      <c r="S7" s="178"/>
      <c r="T7" s="179"/>
      <c r="U7" s="140">
        <v>390.8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'2'!D8+D7</f>
        <v>197454</v>
      </c>
      <c r="E8" s="154"/>
      <c r="F8" s="154"/>
      <c r="G8" s="99">
        <f>'2'!G8+'3'!G7</f>
        <v>506800</v>
      </c>
      <c r="H8" s="100"/>
      <c r="I8" s="101"/>
      <c r="J8" s="154">
        <f>D8+G8</f>
        <v>704254</v>
      </c>
      <c r="K8" s="154"/>
      <c r="L8" s="154"/>
      <c r="M8" s="1"/>
      <c r="N8" s="1"/>
      <c r="O8" s="1"/>
      <c r="P8" s="104" t="s">
        <v>2</v>
      </c>
      <c r="Q8" s="104"/>
      <c r="R8" s="180">
        <f>'2'!R8+'3'!R7</f>
        <v>1434.9</v>
      </c>
      <c r="S8" s="181"/>
      <c r="T8" s="182"/>
      <c r="U8" s="137">
        <f>'2'!U8+U7</f>
        <v>996</v>
      </c>
      <c r="V8" s="137"/>
      <c r="W8" s="137"/>
      <c r="X8" s="138">
        <f>'2'!X8+'3'!X7</f>
        <v>72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'2'!I12</f>
        <v>7763</v>
      </c>
      <c r="D12" s="174"/>
      <c r="E12" s="105">
        <v>15450</v>
      </c>
      <c r="F12" s="105"/>
      <c r="G12" s="105">
        <v>3638</v>
      </c>
      <c r="H12" s="105"/>
      <c r="I12" s="107">
        <f>C12+E12-G12</f>
        <v>19575</v>
      </c>
      <c r="J12" s="109"/>
      <c r="K12" s="105">
        <f>'2'!K12+E12</f>
        <v>15450</v>
      </c>
      <c r="L12" s="105"/>
      <c r="M12" s="105">
        <f>'2'!M12+G12</f>
        <v>10789</v>
      </c>
      <c r="N12" s="105"/>
      <c r="O12" s="1"/>
      <c r="P12" s="149" t="s">
        <v>101</v>
      </c>
      <c r="Q12" s="105"/>
      <c r="R12" s="105"/>
      <c r="S12" s="143">
        <v>58.74</v>
      </c>
      <c r="T12" s="144"/>
      <c r="U12" s="144"/>
      <c r="V12" s="144"/>
      <c r="W12" s="194">
        <f>'2'!W12+'3'!S12</f>
        <v>168.39000000000001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'2'!I13</f>
        <v>400</v>
      </c>
      <c r="D13" s="174"/>
      <c r="E13" s="104">
        <v>710</v>
      </c>
      <c r="F13" s="104"/>
      <c r="G13" s="104">
        <v>100</v>
      </c>
      <c r="H13" s="104"/>
      <c r="I13" s="102">
        <f t="shared" ref="I13:I16" si="0">C13+E13-G13</f>
        <v>1010</v>
      </c>
      <c r="J13" s="103"/>
      <c r="K13" s="102">
        <f>'2'!K13+E13</f>
        <v>710</v>
      </c>
      <c r="L13" s="103"/>
      <c r="M13" s="102">
        <f>'2'!M13+G13</f>
        <v>290</v>
      </c>
      <c r="N13" s="103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'2'!I14</f>
        <v>360</v>
      </c>
      <c r="D14" s="174"/>
      <c r="E14" s="104">
        <v>0</v>
      </c>
      <c r="F14" s="104"/>
      <c r="G14" s="104">
        <v>120</v>
      </c>
      <c r="H14" s="104"/>
      <c r="I14" s="102">
        <f t="shared" si="0"/>
        <v>240</v>
      </c>
      <c r="J14" s="103"/>
      <c r="K14" s="102">
        <f>'2'!K14+E14</f>
        <v>0</v>
      </c>
      <c r="L14" s="103"/>
      <c r="M14" s="102">
        <f>'2'!M14+G14</f>
        <v>360</v>
      </c>
      <c r="N14" s="103"/>
      <c r="O14" s="1"/>
      <c r="P14" s="104" t="s">
        <v>26</v>
      </c>
      <c r="Q14" s="104"/>
      <c r="R14" s="104"/>
      <c r="S14" s="155">
        <v>0</v>
      </c>
      <c r="T14" s="156"/>
      <c r="U14" s="156"/>
      <c r="V14" s="156"/>
      <c r="W14" s="186">
        <f>'2'!W14+'3'!S14</f>
        <v>24.1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'2'!I15</f>
        <v>1235</v>
      </c>
      <c r="D15" s="174"/>
      <c r="E15" s="104">
        <v>0</v>
      </c>
      <c r="F15" s="104"/>
      <c r="G15" s="104">
        <v>24</v>
      </c>
      <c r="H15" s="104"/>
      <c r="I15" s="102">
        <f t="shared" si="0"/>
        <v>1211</v>
      </c>
      <c r="J15" s="103"/>
      <c r="K15" s="102">
        <f>'2'!K15+E15</f>
        <v>0</v>
      </c>
      <c r="L15" s="103"/>
      <c r="M15" s="102">
        <f>'2'!M15+G15</f>
        <v>88</v>
      </c>
      <c r="N15" s="103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'2'!I16</f>
        <v>2310</v>
      </c>
      <c r="D16" s="174"/>
      <c r="E16" s="104">
        <v>0</v>
      </c>
      <c r="F16" s="104"/>
      <c r="G16" s="104">
        <v>20</v>
      </c>
      <c r="H16" s="104"/>
      <c r="I16" s="102">
        <f t="shared" si="0"/>
        <v>2290</v>
      </c>
      <c r="J16" s="103"/>
      <c r="K16" s="102">
        <f>'2'!K16+E16</f>
        <v>0</v>
      </c>
      <c r="L16" s="103"/>
      <c r="M16" s="102">
        <f>'2'!M16+G16</f>
        <v>60</v>
      </c>
      <c r="N16" s="103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'2'!I17</f>
        <v>1450</v>
      </c>
      <c r="D17" s="174"/>
      <c r="E17" s="104">
        <v>0</v>
      </c>
      <c r="F17" s="104"/>
      <c r="G17" s="104">
        <v>200</v>
      </c>
      <c r="H17" s="104"/>
      <c r="I17" s="102">
        <f t="shared" ref="I17:I18" si="1">C17+E17-G17</f>
        <v>1250</v>
      </c>
      <c r="J17" s="103"/>
      <c r="K17" s="102">
        <f>'2'!K17+E17</f>
        <v>0</v>
      </c>
      <c r="L17" s="103"/>
      <c r="M17" s="102">
        <f>'2'!M17+G17</f>
        <v>600</v>
      </c>
      <c r="N17" s="103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'2'!I18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1"/>
        <v>5340</v>
      </c>
      <c r="J18" s="103"/>
      <c r="K18" s="102">
        <f>'2'!K18+E18</f>
        <v>0</v>
      </c>
      <c r="L18" s="103"/>
      <c r="M18" s="102">
        <f>'2'!M18+G18</f>
        <v>0</v>
      </c>
      <c r="N18" s="103"/>
      <c r="O18" s="1"/>
      <c r="P18" s="164" t="s">
        <v>27</v>
      </c>
      <c r="Q18" s="164"/>
      <c r="R18" s="164"/>
      <c r="S18" s="114">
        <v>2</v>
      </c>
      <c r="T18" s="115"/>
      <c r="U18" s="114">
        <v>2</v>
      </c>
      <c r="V18" s="115"/>
      <c r="W18" s="114">
        <f>S18+U18</f>
        <v>4</v>
      </c>
      <c r="X18" s="115"/>
      <c r="Y18" s="151">
        <f>'2'!Y18+'3'!W18</f>
        <v>12</v>
      </c>
      <c r="Z18" s="151"/>
    </row>
    <row r="19" spans="1:31" ht="21.9" customHeight="1">
      <c r="A19" s="153" t="s">
        <v>62</v>
      </c>
      <c r="B19" s="153"/>
      <c r="C19" s="174">
        <f>'2'!I19</f>
        <v>112306</v>
      </c>
      <c r="D19" s="174"/>
      <c r="E19" s="154">
        <v>64150</v>
      </c>
      <c r="F19" s="154"/>
      <c r="G19" s="154">
        <f>D7</f>
        <v>63380</v>
      </c>
      <c r="H19" s="154"/>
      <c r="I19" s="99">
        <f t="shared" ref="I19" si="2">C19+E19-G19</f>
        <v>113076</v>
      </c>
      <c r="J19" s="101"/>
      <c r="K19" s="99">
        <f>'2'!K19+E19</f>
        <v>200530</v>
      </c>
      <c r="L19" s="101"/>
      <c r="M19" s="99">
        <f>'2'!M19+G19</f>
        <v>197454</v>
      </c>
      <c r="N19" s="101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'2'!I20</f>
        <v>-</v>
      </c>
      <c r="D20" s="174"/>
      <c r="E20" s="102"/>
      <c r="F20" s="103"/>
      <c r="G20" s="104"/>
      <c r="H20" s="104"/>
      <c r="I20" s="102" t="s">
        <v>60</v>
      </c>
      <c r="J20" s="103"/>
      <c r="K20" s="105">
        <f>'2'!K20+'3'!E20</f>
        <v>0</v>
      </c>
      <c r="L20" s="105"/>
      <c r="M20" s="105">
        <f t="shared" ref="M20" si="3">G20</f>
        <v>0</v>
      </c>
      <c r="N20" s="105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'2'!G24</f>
        <v>3735314</v>
      </c>
      <c r="E24" s="187"/>
      <c r="F24" s="187"/>
      <c r="G24" s="164">
        <v>3756081</v>
      </c>
      <c r="H24" s="164"/>
      <c r="I24" s="164"/>
      <c r="J24" s="164">
        <f>G24-D24</f>
        <v>20767</v>
      </c>
      <c r="K24" s="164"/>
      <c r="L24" s="164"/>
      <c r="M24" s="164">
        <f>'2'!M24+J24</f>
        <v>84513</v>
      </c>
      <c r="N24" s="164"/>
      <c r="P24" s="105" t="s">
        <v>36</v>
      </c>
      <c r="Q24" s="105"/>
      <c r="R24" s="105"/>
      <c r="S24" s="107">
        <f>'2'!V24</f>
        <v>429.1</v>
      </c>
      <c r="T24" s="108"/>
      <c r="U24" s="109"/>
      <c r="V24" s="183">
        <v>427.2</v>
      </c>
      <c r="W24" s="184"/>
      <c r="X24" s="185"/>
      <c r="Y24" s="105">
        <f>'2'!Y24+'3'!V24</f>
        <v>1288.5</v>
      </c>
      <c r="Z24" s="105"/>
    </row>
    <row r="25" spans="1:31" ht="21.9" customHeight="1">
      <c r="A25" s="104" t="s">
        <v>30</v>
      </c>
      <c r="B25" s="104"/>
      <c r="C25" s="104"/>
      <c r="D25" s="104">
        <f>'2'!G25</f>
        <v>32858.199999999997</v>
      </c>
      <c r="E25" s="104"/>
      <c r="F25" s="104"/>
      <c r="G25" s="104">
        <v>32889.9</v>
      </c>
      <c r="H25" s="104"/>
      <c r="I25" s="104"/>
      <c r="J25" s="104">
        <f>G25-D25</f>
        <v>31.700000000004366</v>
      </c>
      <c r="K25" s="104"/>
      <c r="L25" s="104"/>
      <c r="M25" s="102">
        <f>'2'!M25+J25</f>
        <v>125.80000000000291</v>
      </c>
      <c r="N25" s="103"/>
      <c r="P25" s="104" t="s">
        <v>37</v>
      </c>
      <c r="Q25" s="104"/>
      <c r="R25" s="104"/>
      <c r="S25" s="102">
        <f>'2'!V25</f>
        <v>55.3</v>
      </c>
      <c r="T25" s="106"/>
      <c r="U25" s="103"/>
      <c r="V25" s="102">
        <v>56.1</v>
      </c>
      <c r="W25" s="106"/>
      <c r="X25" s="103"/>
      <c r="Y25" s="102">
        <f>'2'!Y25+'3'!V25</f>
        <v>167.79999999999998</v>
      </c>
      <c r="Z25" s="103"/>
    </row>
    <row r="26" spans="1:31" ht="21.9" customHeight="1">
      <c r="A26" s="104" t="s">
        <v>31</v>
      </c>
      <c r="B26" s="104"/>
      <c r="C26" s="104"/>
      <c r="D26" s="104">
        <f>'2'!G26</f>
        <v>24360</v>
      </c>
      <c r="E26" s="104"/>
      <c r="F26" s="104"/>
      <c r="G26" s="104">
        <v>24370</v>
      </c>
      <c r="H26" s="104"/>
      <c r="I26" s="104"/>
      <c r="J26" s="104">
        <f t="shared" ref="J26:J33" si="4">G26-D26</f>
        <v>10</v>
      </c>
      <c r="K26" s="104"/>
      <c r="L26" s="104"/>
      <c r="M26" s="102">
        <f>'2'!M26+J26</f>
        <v>70</v>
      </c>
      <c r="N26" s="103"/>
      <c r="P26" s="104" t="s">
        <v>38</v>
      </c>
      <c r="Q26" s="104"/>
      <c r="R26" s="104"/>
      <c r="S26" s="102">
        <f>'2'!V26</f>
        <v>499.6</v>
      </c>
      <c r="T26" s="106"/>
      <c r="U26" s="103"/>
      <c r="V26" s="102">
        <v>429.7</v>
      </c>
      <c r="W26" s="106"/>
      <c r="X26" s="103"/>
      <c r="Y26" s="102">
        <f>'2'!Y26+'3'!V26</f>
        <v>1407.1000000000001</v>
      </c>
      <c r="Z26" s="103"/>
    </row>
    <row r="27" spans="1:31" ht="21.9" customHeight="1">
      <c r="A27" s="104" t="s">
        <v>32</v>
      </c>
      <c r="B27" s="104"/>
      <c r="C27" s="104"/>
      <c r="D27" s="104">
        <f>'2'!G27</f>
        <v>1349000</v>
      </c>
      <c r="E27" s="104"/>
      <c r="F27" s="104"/>
      <c r="G27" s="104">
        <v>1352000</v>
      </c>
      <c r="H27" s="104"/>
      <c r="I27" s="104"/>
      <c r="J27" s="104">
        <f t="shared" si="4"/>
        <v>3000</v>
      </c>
      <c r="K27" s="104"/>
      <c r="L27" s="104"/>
      <c r="M27" s="102">
        <f>'2'!M27+J27</f>
        <v>13000</v>
      </c>
      <c r="N27" s="103"/>
      <c r="P27" s="104" t="s">
        <v>39</v>
      </c>
      <c r="Q27" s="104"/>
      <c r="R27" s="104"/>
      <c r="S27" s="102">
        <f>'2'!V27</f>
        <v>514.9</v>
      </c>
      <c r="T27" s="106"/>
      <c r="U27" s="103"/>
      <c r="V27" s="102">
        <v>481.3</v>
      </c>
      <c r="W27" s="106"/>
      <c r="X27" s="103"/>
      <c r="Y27" s="188">
        <f>'2'!Y27+'3'!V27</f>
        <v>1496.5</v>
      </c>
      <c r="Z27" s="190"/>
    </row>
    <row r="28" spans="1:31" ht="21.9" customHeight="1">
      <c r="A28" s="104" t="s">
        <v>33</v>
      </c>
      <c r="B28" s="104"/>
      <c r="C28" s="104"/>
      <c r="D28" s="104">
        <f>'2'!G28</f>
        <v>5099</v>
      </c>
      <c r="E28" s="104"/>
      <c r="F28" s="104"/>
      <c r="G28" s="104">
        <v>5151</v>
      </c>
      <c r="H28" s="104"/>
      <c r="I28" s="104"/>
      <c r="J28" s="104">
        <f t="shared" si="4"/>
        <v>52</v>
      </c>
      <c r="K28" s="104"/>
      <c r="L28" s="104"/>
      <c r="M28" s="102">
        <f>'2'!M28+J28</f>
        <v>213</v>
      </c>
      <c r="N28" s="103"/>
      <c r="P28" s="104" t="s">
        <v>41</v>
      </c>
      <c r="Q28" s="104"/>
      <c r="R28" s="104"/>
      <c r="S28" s="102">
        <f>'2'!V28</f>
        <v>0</v>
      </c>
      <c r="T28" s="106"/>
      <c r="U28" s="103"/>
      <c r="V28" s="102">
        <v>0</v>
      </c>
      <c r="W28" s="106"/>
      <c r="X28" s="103"/>
      <c r="Y28" s="102">
        <f>'2'!Y28+'3'!V28</f>
        <v>0</v>
      </c>
      <c r="Z28" s="103"/>
    </row>
    <row r="29" spans="1:31" ht="21.9" customHeight="1">
      <c r="A29" s="104" t="s">
        <v>34</v>
      </c>
      <c r="B29" s="104"/>
      <c r="C29" s="104"/>
      <c r="D29" s="104">
        <f>'2'!G29</f>
        <v>66190</v>
      </c>
      <c r="E29" s="104"/>
      <c r="F29" s="104"/>
      <c r="G29" s="104">
        <v>66190</v>
      </c>
      <c r="H29" s="104"/>
      <c r="I29" s="104"/>
      <c r="J29" s="104">
        <f t="shared" si="4"/>
        <v>0</v>
      </c>
      <c r="K29" s="104"/>
      <c r="L29" s="104"/>
      <c r="M29" s="102">
        <f>'2'!M29+J29</f>
        <v>10</v>
      </c>
      <c r="N29" s="103"/>
      <c r="P29" s="104" t="s">
        <v>40</v>
      </c>
      <c r="Q29" s="104"/>
      <c r="R29" s="104"/>
      <c r="S29" s="102">
        <f>'2'!V29</f>
        <v>59.7</v>
      </c>
      <c r="T29" s="106"/>
      <c r="U29" s="103"/>
      <c r="V29" s="102">
        <v>65.099999999999994</v>
      </c>
      <c r="W29" s="106"/>
      <c r="X29" s="103"/>
      <c r="Y29" s="102">
        <f>'2'!Y29+'3'!V29</f>
        <v>186.4</v>
      </c>
      <c r="Z29" s="103"/>
      <c r="AC29" t="s">
        <v>119</v>
      </c>
    </row>
    <row r="30" spans="1:31" ht="21.9" customHeight="1">
      <c r="A30" s="104" t="s">
        <v>35</v>
      </c>
      <c r="B30" s="104"/>
      <c r="C30" s="104"/>
      <c r="D30" s="104">
        <f>'2'!G30</f>
        <v>53260</v>
      </c>
      <c r="E30" s="104"/>
      <c r="F30" s="104"/>
      <c r="G30" s="154">
        <v>53270</v>
      </c>
      <c r="H30" s="154"/>
      <c r="I30" s="154"/>
      <c r="J30" s="154">
        <f t="shared" si="4"/>
        <v>10</v>
      </c>
      <c r="K30" s="154"/>
      <c r="L30" s="154"/>
      <c r="M30" s="102">
        <f>'2'!M30+J30</f>
        <v>50</v>
      </c>
      <c r="N30" s="103"/>
      <c r="P30" s="104" t="s">
        <v>28</v>
      </c>
      <c r="Q30" s="104"/>
      <c r="R30" s="104"/>
      <c r="S30" s="104">
        <f>SUM(S24:U29)</f>
        <v>1558.6000000000001</v>
      </c>
      <c r="T30" s="104"/>
      <c r="U30" s="104"/>
      <c r="V30" s="102"/>
      <c r="W30" s="106"/>
      <c r="X30" s="103"/>
      <c r="Y30" s="102">
        <f>'2'!Y30+'3'!V30</f>
        <v>1528.3</v>
      </c>
      <c r="Z30" s="103"/>
    </row>
    <row r="31" spans="1:31" ht="21.9" customHeight="1">
      <c r="A31" s="104" t="s">
        <v>120</v>
      </c>
      <c r="B31" s="104"/>
      <c r="C31" s="104"/>
      <c r="D31" s="104">
        <f>'2'!G31</f>
        <v>6223530</v>
      </c>
      <c r="E31" s="104"/>
      <c r="F31" s="104"/>
      <c r="G31" s="102">
        <v>6230623</v>
      </c>
      <c r="H31" s="106"/>
      <c r="I31" s="103"/>
      <c r="J31" s="102">
        <f t="shared" si="4"/>
        <v>7093</v>
      </c>
      <c r="K31" s="106">
        <v>12.255000000000001</v>
      </c>
      <c r="L31" s="103">
        <v>12.255000000000001</v>
      </c>
      <c r="M31" s="102">
        <f>'2'!M31+J31</f>
        <v>28528</v>
      </c>
      <c r="N31" s="103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31" ht="21.9" customHeight="1">
      <c r="A32" s="104" t="s">
        <v>121</v>
      </c>
      <c r="B32" s="104"/>
      <c r="C32" s="104"/>
      <c r="D32" s="104">
        <f>'2'!G32</f>
        <v>1.6</v>
      </c>
      <c r="E32" s="104"/>
      <c r="F32" s="104"/>
      <c r="G32" s="102">
        <v>1.6</v>
      </c>
      <c r="H32" s="106"/>
      <c r="I32" s="103"/>
      <c r="J32" s="102">
        <f t="shared" si="4"/>
        <v>0</v>
      </c>
      <c r="K32" s="106">
        <v>12.255000000000001</v>
      </c>
      <c r="L32" s="103">
        <v>12.255000000000001</v>
      </c>
      <c r="M32" s="102">
        <f>'2'!M32+J32</f>
        <v>0</v>
      </c>
      <c r="N32" s="103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ht="21.9" customHeight="1">
      <c r="A33" s="104" t="s">
        <v>122</v>
      </c>
      <c r="B33" s="104"/>
      <c r="C33" s="104"/>
      <c r="D33" s="104">
        <f>'2'!G33</f>
        <v>0</v>
      </c>
      <c r="E33" s="104"/>
      <c r="F33" s="104"/>
      <c r="G33" s="102">
        <v>0</v>
      </c>
      <c r="H33" s="106"/>
      <c r="I33" s="103"/>
      <c r="J33" s="102">
        <f t="shared" si="4"/>
        <v>0</v>
      </c>
      <c r="K33" s="106">
        <v>12.255000000000001</v>
      </c>
      <c r="L33" s="103">
        <v>12.255000000000001</v>
      </c>
      <c r="M33" s="102">
        <f>'2'!M33+J33</f>
        <v>0</v>
      </c>
      <c r="N33" s="103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H3:S3" name="범위2"/>
    <protectedRange sqref="U2:Z3 R7:Z7 D7:I7 E12:H20 S12:V15 S18:V20 V24:X33" name="범위1"/>
    <protectedRange sqref="J31:L33" name="범위3"/>
    <protectedRange sqref="D2:G3" name="범위1_1_2"/>
    <protectedRange sqref="B2:C3" name="범위1_1_1_2"/>
    <protectedRange sqref="G24:I30" name="범위1_1"/>
    <protectedRange sqref="G31:I33" name="범위3_1"/>
  </protectedRanges>
  <mergeCells count="223">
    <mergeCell ref="A63:B76"/>
    <mergeCell ref="C63:Z76"/>
    <mergeCell ref="Y29:Z29"/>
    <mergeCell ref="S30:U30"/>
    <mergeCell ref="V30:X30"/>
    <mergeCell ref="Y30:Z30"/>
    <mergeCell ref="S29:U29"/>
    <mergeCell ref="V29:X29"/>
    <mergeCell ref="A36:B48"/>
    <mergeCell ref="C36:Z48"/>
    <mergeCell ref="A49:B62"/>
    <mergeCell ref="C49:Z62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M33:N33"/>
    <mergeCell ref="V28:X28"/>
    <mergeCell ref="V27:X27"/>
    <mergeCell ref="V26:X26"/>
    <mergeCell ref="V25:X25"/>
    <mergeCell ref="V24:X24"/>
    <mergeCell ref="A29:C29"/>
    <mergeCell ref="D29:F29"/>
    <mergeCell ref="G29:I29"/>
    <mergeCell ref="J29:L29"/>
    <mergeCell ref="M29:N29"/>
    <mergeCell ref="P29:R29"/>
    <mergeCell ref="A28:C28"/>
    <mergeCell ref="D28:F28"/>
    <mergeCell ref="G28:I28"/>
    <mergeCell ref="J28:L28"/>
    <mergeCell ref="M28:N28"/>
    <mergeCell ref="P28:R28"/>
    <mergeCell ref="J27:L27"/>
    <mergeCell ref="M27:N27"/>
    <mergeCell ref="P27:R27"/>
    <mergeCell ref="A26:C26"/>
    <mergeCell ref="D26:F26"/>
    <mergeCell ref="G26:I26"/>
    <mergeCell ref="J26:L26"/>
    <mergeCell ref="Y28:Z28"/>
    <mergeCell ref="S28:U28"/>
    <mergeCell ref="S27:U27"/>
    <mergeCell ref="V23:X23"/>
    <mergeCell ref="Y23:Z23"/>
    <mergeCell ref="A24:C24"/>
    <mergeCell ref="D24:F24"/>
    <mergeCell ref="G24:I24"/>
    <mergeCell ref="J24:L24"/>
    <mergeCell ref="M24:N24"/>
    <mergeCell ref="P24:R24"/>
    <mergeCell ref="Y24:Z24"/>
    <mergeCell ref="S24:U24"/>
    <mergeCell ref="A25:C25"/>
    <mergeCell ref="D25:F25"/>
    <mergeCell ref="G25:I25"/>
    <mergeCell ref="J25:L25"/>
    <mergeCell ref="M25:N25"/>
    <mergeCell ref="P25:R25"/>
    <mergeCell ref="Y25:Z25"/>
    <mergeCell ref="Y26:Z26"/>
    <mergeCell ref="A27:C27"/>
    <mergeCell ref="D27:F27"/>
    <mergeCell ref="G27:I27"/>
    <mergeCell ref="A23:C23"/>
    <mergeCell ref="D23:F23"/>
    <mergeCell ref="G23:I23"/>
    <mergeCell ref="J23:L23"/>
    <mergeCell ref="M23:N23"/>
    <mergeCell ref="P23:R23"/>
    <mergeCell ref="S23:U23"/>
    <mergeCell ref="P18:R20"/>
    <mergeCell ref="Y18:Z20"/>
    <mergeCell ref="A20:B20"/>
    <mergeCell ref="C20:D20"/>
    <mergeCell ref="E20:F20"/>
    <mergeCell ref="G20:H20"/>
    <mergeCell ref="I20:J20"/>
    <mergeCell ref="K20:L20"/>
    <mergeCell ref="A18:B18"/>
    <mergeCell ref="C18:D18"/>
    <mergeCell ref="W18:X20"/>
    <mergeCell ref="A19:B19"/>
    <mergeCell ref="S18:T20"/>
    <mergeCell ref="U18:V20"/>
    <mergeCell ref="Y27:Z27"/>
    <mergeCell ref="S26:U26"/>
    <mergeCell ref="S25:U25"/>
    <mergeCell ref="M20:N20"/>
    <mergeCell ref="P22:U22"/>
    <mergeCell ref="E12:F12"/>
    <mergeCell ref="G12:H12"/>
    <mergeCell ref="I12:J12"/>
    <mergeCell ref="K12:L12"/>
    <mergeCell ref="P16:R17"/>
    <mergeCell ref="M14:N14"/>
    <mergeCell ref="M15:N15"/>
    <mergeCell ref="M13:N13"/>
    <mergeCell ref="M26:N26"/>
    <mergeCell ref="P26:R26"/>
    <mergeCell ref="E17:F17"/>
    <mergeCell ref="G17:H17"/>
    <mergeCell ref="I17:J17"/>
    <mergeCell ref="K17:L17"/>
    <mergeCell ref="M17:N17"/>
    <mergeCell ref="E16:F16"/>
    <mergeCell ref="G16:H16"/>
    <mergeCell ref="I16:J16"/>
    <mergeCell ref="K16:L16"/>
    <mergeCell ref="I13:J13"/>
    <mergeCell ref="K13:L13"/>
    <mergeCell ref="E14:F14"/>
    <mergeCell ref="M16:N16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M19:N19"/>
    <mergeCell ref="M18:N18"/>
    <mergeCell ref="A15:B15"/>
    <mergeCell ref="C15:D15"/>
    <mergeCell ref="E15:F15"/>
    <mergeCell ref="G15:H15"/>
    <mergeCell ref="I15:J15"/>
    <mergeCell ref="K15:L15"/>
    <mergeCell ref="C14:D14"/>
    <mergeCell ref="G14:H14"/>
    <mergeCell ref="I14:J14"/>
    <mergeCell ref="K14:L14"/>
    <mergeCell ref="W14:Z15"/>
    <mergeCell ref="H1:S2"/>
    <mergeCell ref="T1:T3"/>
    <mergeCell ref="U1:V1"/>
    <mergeCell ref="U2:V3"/>
    <mergeCell ref="W1:X1"/>
    <mergeCell ref="U8:W8"/>
    <mergeCell ref="X8:Z8"/>
    <mergeCell ref="Y1:Z1"/>
    <mergeCell ref="U6:W6"/>
    <mergeCell ref="X6:Z6"/>
    <mergeCell ref="U7:W7"/>
    <mergeCell ref="X7:Z7"/>
    <mergeCell ref="J6:L6"/>
    <mergeCell ref="G8:I8"/>
    <mergeCell ref="W2:X3"/>
    <mergeCell ref="Y2:Z3"/>
    <mergeCell ref="S11:V11"/>
    <mergeCell ref="G11:H11"/>
    <mergeCell ref="I11:J11"/>
    <mergeCell ref="K11:L11"/>
    <mergeCell ref="M11:N11"/>
    <mergeCell ref="M12:N12"/>
    <mergeCell ref="H3:S3"/>
    <mergeCell ref="U16:V17"/>
    <mergeCell ref="W16:X17"/>
    <mergeCell ref="Y16:Z17"/>
    <mergeCell ref="A14:B14"/>
    <mergeCell ref="D8:F8"/>
    <mergeCell ref="J8:L8"/>
    <mergeCell ref="P8:Q8"/>
    <mergeCell ref="R8:T8"/>
    <mergeCell ref="A11:B11"/>
    <mergeCell ref="A17:B17"/>
    <mergeCell ref="C17:D17"/>
    <mergeCell ref="A16:B16"/>
    <mergeCell ref="C16:D16"/>
    <mergeCell ref="P12:R13"/>
    <mergeCell ref="P14:R15"/>
    <mergeCell ref="A12:B12"/>
    <mergeCell ref="C13:D13"/>
    <mergeCell ref="E13:F13"/>
    <mergeCell ref="G13:H13"/>
    <mergeCell ref="P11:R11"/>
    <mergeCell ref="W11:Z11"/>
    <mergeCell ref="S12:V13"/>
    <mergeCell ref="W12:Z13"/>
    <mergeCell ref="S14:V15"/>
    <mergeCell ref="B1:C1"/>
    <mergeCell ref="D1:E1"/>
    <mergeCell ref="F1:G1"/>
    <mergeCell ref="B2:C3"/>
    <mergeCell ref="D2:E3"/>
    <mergeCell ref="F2:G3"/>
    <mergeCell ref="A6:C6"/>
    <mergeCell ref="D6:F6"/>
    <mergeCell ref="S16:T17"/>
    <mergeCell ref="A1:A3"/>
    <mergeCell ref="E11:F11"/>
    <mergeCell ref="C12:D12"/>
    <mergeCell ref="A8:C8"/>
    <mergeCell ref="A7:C7"/>
    <mergeCell ref="D7:F7"/>
    <mergeCell ref="C11:D11"/>
    <mergeCell ref="P6:Q6"/>
    <mergeCell ref="R6:T6"/>
    <mergeCell ref="R7:T7"/>
    <mergeCell ref="G7:I7"/>
    <mergeCell ref="J7:L7"/>
    <mergeCell ref="P7:Q7"/>
    <mergeCell ref="G6:I6"/>
    <mergeCell ref="A13:B1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zoomScaleNormal="100" zoomScaleSheetLayoutView="100" workbookViewId="0">
      <selection activeCell="G16" sqref="G16:H16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156</v>
      </c>
      <c r="C2" s="135"/>
      <c r="D2" s="135" t="s">
        <v>157</v>
      </c>
      <c r="E2" s="135"/>
      <c r="F2" s="135" t="s">
        <v>158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05"/>
      <c r="E3" s="105"/>
      <c r="F3" s="105"/>
      <c r="G3" s="105"/>
      <c r="H3" s="132">
        <v>46207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59627</v>
      </c>
      <c r="E7" s="139"/>
      <c r="F7" s="139"/>
      <c r="G7" s="191">
        <v>159400</v>
      </c>
      <c r="H7" s="192"/>
      <c r="I7" s="193"/>
      <c r="J7" s="139">
        <f>D7+G7</f>
        <v>219027</v>
      </c>
      <c r="K7" s="139"/>
      <c r="L7" s="139"/>
      <c r="M7" s="1"/>
      <c r="N7" s="1"/>
      <c r="O7" s="1"/>
      <c r="P7" s="105" t="s">
        <v>48</v>
      </c>
      <c r="Q7" s="105"/>
      <c r="R7" s="177">
        <v>477.1</v>
      </c>
      <c r="S7" s="178"/>
      <c r="T7" s="179"/>
      <c r="U7" s="140">
        <v>388.4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'3'!D8+D7</f>
        <v>257081</v>
      </c>
      <c r="E8" s="154"/>
      <c r="F8" s="154"/>
      <c r="G8" s="99">
        <f>'3'!G8+'4'!G7</f>
        <v>666200</v>
      </c>
      <c r="H8" s="100"/>
      <c r="I8" s="101"/>
      <c r="J8" s="154">
        <f>D8+G8</f>
        <v>923281</v>
      </c>
      <c r="K8" s="154"/>
      <c r="L8" s="154"/>
      <c r="M8" s="1"/>
      <c r="N8" s="1"/>
      <c r="O8" s="1"/>
      <c r="P8" s="104" t="s">
        <v>2</v>
      </c>
      <c r="Q8" s="104"/>
      <c r="R8" s="180">
        <f>'3'!R8+R7</f>
        <v>1912</v>
      </c>
      <c r="S8" s="181"/>
      <c r="T8" s="182"/>
      <c r="U8" s="137">
        <f>'3'!U8+'4'!U7</f>
        <v>1384.4</v>
      </c>
      <c r="V8" s="137"/>
      <c r="W8" s="137"/>
      <c r="X8" s="138">
        <f>'3'!X8+X7</f>
        <v>96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'3'!I12</f>
        <v>19575</v>
      </c>
      <c r="D12" s="174"/>
      <c r="E12" s="105">
        <v>0</v>
      </c>
      <c r="F12" s="105"/>
      <c r="G12" s="105">
        <v>4682</v>
      </c>
      <c r="H12" s="105"/>
      <c r="I12" s="107">
        <f t="shared" ref="I12:I18" si="0">C12+E12-G12</f>
        <v>14893</v>
      </c>
      <c r="J12" s="109"/>
      <c r="K12" s="105">
        <f>'3'!K12+E12</f>
        <v>15450</v>
      </c>
      <c r="L12" s="105"/>
      <c r="M12" s="105">
        <f>'3'!M12+'4'!G12</f>
        <v>15471</v>
      </c>
      <c r="N12" s="105"/>
      <c r="O12" s="1"/>
      <c r="P12" s="149" t="s">
        <v>101</v>
      </c>
      <c r="Q12" s="105"/>
      <c r="R12" s="105"/>
      <c r="S12" s="143">
        <v>26.29</v>
      </c>
      <c r="T12" s="144"/>
      <c r="U12" s="144"/>
      <c r="V12" s="144"/>
      <c r="W12" s="143">
        <f>'3'!W12+'4'!S12</f>
        <v>194.68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'3'!I13</f>
        <v>1010</v>
      </c>
      <c r="D13" s="174"/>
      <c r="E13" s="104">
        <v>0</v>
      </c>
      <c r="F13" s="104"/>
      <c r="G13" s="104">
        <v>80</v>
      </c>
      <c r="H13" s="104"/>
      <c r="I13" s="102">
        <f t="shared" si="0"/>
        <v>930</v>
      </c>
      <c r="J13" s="103"/>
      <c r="K13" s="102">
        <f>'3'!K13+E13</f>
        <v>710</v>
      </c>
      <c r="L13" s="103"/>
      <c r="M13" s="102">
        <f>'3'!M13+'4'!G13</f>
        <v>370</v>
      </c>
      <c r="N13" s="103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'3'!I14</f>
        <v>240</v>
      </c>
      <c r="D14" s="174"/>
      <c r="E14" s="104">
        <v>0</v>
      </c>
      <c r="F14" s="104"/>
      <c r="G14" s="104">
        <v>120</v>
      </c>
      <c r="H14" s="104"/>
      <c r="I14" s="102">
        <f t="shared" si="0"/>
        <v>120</v>
      </c>
      <c r="J14" s="103"/>
      <c r="K14" s="102">
        <f>'3'!K14+E14</f>
        <v>0</v>
      </c>
      <c r="L14" s="103"/>
      <c r="M14" s="102">
        <f>'3'!M14+'4'!G14</f>
        <v>480</v>
      </c>
      <c r="N14" s="103"/>
      <c r="O14" s="1"/>
      <c r="P14" s="104" t="s">
        <v>26</v>
      </c>
      <c r="Q14" s="104"/>
      <c r="R14" s="104"/>
      <c r="S14" s="155">
        <v>22.74</v>
      </c>
      <c r="T14" s="156"/>
      <c r="U14" s="156"/>
      <c r="V14" s="156"/>
      <c r="W14" s="186">
        <f>'3'!W14+'4'!S14</f>
        <v>46.84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'3'!I15</f>
        <v>1211</v>
      </c>
      <c r="D15" s="174"/>
      <c r="E15" s="104">
        <v>0</v>
      </c>
      <c r="F15" s="104"/>
      <c r="G15" s="104">
        <v>35</v>
      </c>
      <c r="H15" s="104"/>
      <c r="I15" s="102">
        <f t="shared" si="0"/>
        <v>1176</v>
      </c>
      <c r="J15" s="103"/>
      <c r="K15" s="102">
        <f>'3'!K15+E15</f>
        <v>0</v>
      </c>
      <c r="L15" s="103"/>
      <c r="M15" s="102">
        <f>'3'!M15+'4'!G15</f>
        <v>123</v>
      </c>
      <c r="N15" s="103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'3'!I16</f>
        <v>2290</v>
      </c>
      <c r="D16" s="174"/>
      <c r="E16" s="104">
        <v>0</v>
      </c>
      <c r="F16" s="104"/>
      <c r="G16" s="104">
        <v>20</v>
      </c>
      <c r="H16" s="104"/>
      <c r="I16" s="102">
        <f t="shared" si="0"/>
        <v>2270</v>
      </c>
      <c r="J16" s="103"/>
      <c r="K16" s="102">
        <f>'3'!K16+E16</f>
        <v>0</v>
      </c>
      <c r="L16" s="103"/>
      <c r="M16" s="102">
        <f>'3'!M16+'4'!G16</f>
        <v>80</v>
      </c>
      <c r="N16" s="103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'3'!I17</f>
        <v>1250</v>
      </c>
      <c r="D17" s="174"/>
      <c r="E17" s="104">
        <v>0</v>
      </c>
      <c r="F17" s="104"/>
      <c r="G17" s="104">
        <v>200</v>
      </c>
      <c r="H17" s="104"/>
      <c r="I17" s="102">
        <f>C17+E17-G17</f>
        <v>1050</v>
      </c>
      <c r="J17" s="103"/>
      <c r="K17" s="102">
        <f>'3'!K17+E17</f>
        <v>0</v>
      </c>
      <c r="L17" s="103"/>
      <c r="M17" s="102">
        <f>'3'!M17+'4'!G17</f>
        <v>800</v>
      </c>
      <c r="N17" s="103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'3'!I18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0"/>
        <v>5340</v>
      </c>
      <c r="J18" s="103"/>
      <c r="K18" s="102">
        <f>'3'!K18+E18</f>
        <v>0</v>
      </c>
      <c r="L18" s="103"/>
      <c r="M18" s="102">
        <f>'3'!M18+'4'!G18</f>
        <v>0</v>
      </c>
      <c r="N18" s="103"/>
      <c r="O18" s="1"/>
      <c r="P18" s="164" t="s">
        <v>27</v>
      </c>
      <c r="Q18" s="164"/>
      <c r="R18" s="164"/>
      <c r="S18" s="114">
        <v>1</v>
      </c>
      <c r="T18" s="115"/>
      <c r="U18" s="114">
        <v>2</v>
      </c>
      <c r="V18" s="115"/>
      <c r="W18" s="114">
        <f>S18+U18</f>
        <v>3</v>
      </c>
      <c r="X18" s="115"/>
      <c r="Y18" s="151">
        <f>'3'!Y18+'4'!W18</f>
        <v>15</v>
      </c>
      <c r="Z18" s="151"/>
    </row>
    <row r="19" spans="1:31" ht="21.9" customHeight="1">
      <c r="A19" s="153" t="s">
        <v>62</v>
      </c>
      <c r="B19" s="153"/>
      <c r="C19" s="174">
        <f>'3'!I19</f>
        <v>113076</v>
      </c>
      <c r="D19" s="174"/>
      <c r="E19" s="154">
        <v>62100</v>
      </c>
      <c r="F19" s="154"/>
      <c r="G19" s="154">
        <f>D7</f>
        <v>59627</v>
      </c>
      <c r="H19" s="154"/>
      <c r="I19" s="99">
        <f t="shared" ref="I19" si="1">C19+E19-G19</f>
        <v>115549</v>
      </c>
      <c r="J19" s="101"/>
      <c r="K19" s="99">
        <f>'3'!K19+E19</f>
        <v>262630</v>
      </c>
      <c r="L19" s="101"/>
      <c r="M19" s="99">
        <f>'3'!M19+'4'!G19</f>
        <v>257081</v>
      </c>
      <c r="N19" s="101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'3'!I20</f>
        <v>-</v>
      </c>
      <c r="D20" s="174"/>
      <c r="E20" s="102"/>
      <c r="F20" s="103"/>
      <c r="G20" s="104"/>
      <c r="H20" s="104"/>
      <c r="I20" s="102" t="s">
        <v>60</v>
      </c>
      <c r="J20" s="103"/>
      <c r="K20" s="105">
        <f>'3'!K20+E20</f>
        <v>0</v>
      </c>
      <c r="L20" s="105"/>
      <c r="M20" s="105">
        <f t="shared" ref="M20" si="2">G20</f>
        <v>0</v>
      </c>
      <c r="N20" s="105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02">
        <f>'3'!G24</f>
        <v>3756081</v>
      </c>
      <c r="E24" s="106"/>
      <c r="F24" s="103"/>
      <c r="G24" s="164">
        <v>3777062</v>
      </c>
      <c r="H24" s="164"/>
      <c r="I24" s="164"/>
      <c r="J24" s="164">
        <f>G24-D24</f>
        <v>20981</v>
      </c>
      <c r="K24" s="164"/>
      <c r="L24" s="164"/>
      <c r="M24" s="164">
        <f>'3'!M24+'4'!J24</f>
        <v>105494</v>
      </c>
      <c r="N24" s="164"/>
      <c r="P24" s="105" t="s">
        <v>36</v>
      </c>
      <c r="Q24" s="105"/>
      <c r="R24" s="105"/>
      <c r="S24" s="107">
        <f>'3'!V24</f>
        <v>427.2</v>
      </c>
      <c r="T24" s="108"/>
      <c r="U24" s="109"/>
      <c r="V24" s="183">
        <v>428.1</v>
      </c>
      <c r="W24" s="184"/>
      <c r="X24" s="185"/>
      <c r="Y24" s="105">
        <f>'3'!Y24+V24</f>
        <v>1716.6</v>
      </c>
      <c r="Z24" s="105"/>
    </row>
    <row r="25" spans="1:31" ht="21.9" customHeight="1">
      <c r="A25" s="104" t="s">
        <v>30</v>
      </c>
      <c r="B25" s="104"/>
      <c r="C25" s="104"/>
      <c r="D25" s="102">
        <f>'3'!G25</f>
        <v>32889.9</v>
      </c>
      <c r="E25" s="106"/>
      <c r="F25" s="103"/>
      <c r="G25" s="104">
        <v>32922.400000000001</v>
      </c>
      <c r="H25" s="104"/>
      <c r="I25" s="104"/>
      <c r="J25" s="104">
        <f>G25-D25</f>
        <v>32.5</v>
      </c>
      <c r="K25" s="104"/>
      <c r="L25" s="104"/>
      <c r="M25" s="102">
        <f>'3'!M25+'4'!J25</f>
        <v>158.30000000000291</v>
      </c>
      <c r="N25" s="103"/>
      <c r="P25" s="104" t="s">
        <v>37</v>
      </c>
      <c r="Q25" s="104"/>
      <c r="R25" s="104"/>
      <c r="S25" s="102">
        <f>'3'!V25</f>
        <v>56.1</v>
      </c>
      <c r="T25" s="106"/>
      <c r="U25" s="103"/>
      <c r="V25" s="165">
        <v>57.3</v>
      </c>
      <c r="W25" s="171"/>
      <c r="X25" s="166"/>
      <c r="Y25" s="188">
        <f>'3'!Y25+V25</f>
        <v>225.09999999999997</v>
      </c>
      <c r="Z25" s="190"/>
    </row>
    <row r="26" spans="1:31" ht="21.9" customHeight="1">
      <c r="A26" s="104" t="s">
        <v>31</v>
      </c>
      <c r="B26" s="104"/>
      <c r="C26" s="104"/>
      <c r="D26" s="102">
        <f>'3'!G26</f>
        <v>24370</v>
      </c>
      <c r="E26" s="106"/>
      <c r="F26" s="103"/>
      <c r="G26" s="104">
        <v>24390</v>
      </c>
      <c r="H26" s="104"/>
      <c r="I26" s="104"/>
      <c r="J26" s="104">
        <f t="shared" ref="J26:J33" si="3">G26-D26</f>
        <v>20</v>
      </c>
      <c r="K26" s="104"/>
      <c r="L26" s="104"/>
      <c r="M26" s="102">
        <f>'3'!M26+'4'!J26</f>
        <v>90</v>
      </c>
      <c r="N26" s="103"/>
      <c r="P26" s="104" t="s">
        <v>38</v>
      </c>
      <c r="Q26" s="104"/>
      <c r="R26" s="104"/>
      <c r="S26" s="102">
        <f>'3'!V26</f>
        <v>429.7</v>
      </c>
      <c r="T26" s="106"/>
      <c r="U26" s="103"/>
      <c r="V26" s="102">
        <v>430.3</v>
      </c>
      <c r="W26" s="106"/>
      <c r="X26" s="103"/>
      <c r="Y26" s="102">
        <f>'3'!Y26+V26</f>
        <v>1837.4</v>
      </c>
      <c r="Z26" s="103"/>
    </row>
    <row r="27" spans="1:31" ht="21.9" customHeight="1">
      <c r="A27" s="104" t="s">
        <v>32</v>
      </c>
      <c r="B27" s="104"/>
      <c r="C27" s="104"/>
      <c r="D27" s="102">
        <f>'3'!G27</f>
        <v>1352000</v>
      </c>
      <c r="E27" s="106"/>
      <c r="F27" s="103"/>
      <c r="G27" s="104">
        <v>1356000</v>
      </c>
      <c r="H27" s="104"/>
      <c r="I27" s="104"/>
      <c r="J27" s="104">
        <f t="shared" si="3"/>
        <v>4000</v>
      </c>
      <c r="K27" s="104"/>
      <c r="L27" s="104"/>
      <c r="M27" s="102">
        <f>'3'!M27+'4'!J27</f>
        <v>17000</v>
      </c>
      <c r="N27" s="103"/>
      <c r="P27" s="104" t="s">
        <v>39</v>
      </c>
      <c r="Q27" s="104"/>
      <c r="R27" s="104"/>
      <c r="S27" s="102">
        <f>'3'!V27</f>
        <v>481.3</v>
      </c>
      <c r="T27" s="106"/>
      <c r="U27" s="103"/>
      <c r="V27" s="167">
        <v>480.1</v>
      </c>
      <c r="W27" s="172"/>
      <c r="X27" s="168"/>
      <c r="Y27" s="102">
        <f>'3'!Y27+V27</f>
        <v>1976.6</v>
      </c>
      <c r="Z27" s="103"/>
    </row>
    <row r="28" spans="1:31" ht="21.9" customHeight="1">
      <c r="A28" s="104" t="s">
        <v>33</v>
      </c>
      <c r="B28" s="104"/>
      <c r="C28" s="104"/>
      <c r="D28" s="102">
        <f>'3'!G28</f>
        <v>5151</v>
      </c>
      <c r="E28" s="106"/>
      <c r="F28" s="103"/>
      <c r="G28" s="104">
        <v>5204</v>
      </c>
      <c r="H28" s="104"/>
      <c r="I28" s="104"/>
      <c r="J28" s="104">
        <f t="shared" si="3"/>
        <v>53</v>
      </c>
      <c r="K28" s="104"/>
      <c r="L28" s="104"/>
      <c r="M28" s="102">
        <f>'3'!M28+'4'!J28</f>
        <v>266</v>
      </c>
      <c r="N28" s="103"/>
      <c r="P28" s="104" t="s">
        <v>41</v>
      </c>
      <c r="Q28" s="104"/>
      <c r="R28" s="104"/>
      <c r="S28" s="102">
        <f>'3'!V28</f>
        <v>0</v>
      </c>
      <c r="T28" s="106"/>
      <c r="U28" s="103"/>
      <c r="V28" s="165">
        <v>0</v>
      </c>
      <c r="W28" s="171"/>
      <c r="X28" s="166"/>
      <c r="Y28" s="102">
        <f>'3'!Y28+V28</f>
        <v>0</v>
      </c>
      <c r="Z28" s="103"/>
    </row>
    <row r="29" spans="1:31" ht="21.9" customHeight="1">
      <c r="A29" s="104" t="s">
        <v>34</v>
      </c>
      <c r="B29" s="104"/>
      <c r="C29" s="104"/>
      <c r="D29" s="102">
        <f>'3'!G29</f>
        <v>66190</v>
      </c>
      <c r="E29" s="106"/>
      <c r="F29" s="103"/>
      <c r="G29" s="104">
        <v>66200</v>
      </c>
      <c r="H29" s="104"/>
      <c r="I29" s="104"/>
      <c r="J29" s="104">
        <f t="shared" si="3"/>
        <v>10</v>
      </c>
      <c r="K29" s="104"/>
      <c r="L29" s="104"/>
      <c r="M29" s="102">
        <f>'3'!M29+'4'!J29</f>
        <v>20</v>
      </c>
      <c r="N29" s="103"/>
      <c r="P29" s="104" t="s">
        <v>40</v>
      </c>
      <c r="Q29" s="104"/>
      <c r="R29" s="104"/>
      <c r="S29" s="102">
        <f>'3'!V29</f>
        <v>65.099999999999994</v>
      </c>
      <c r="T29" s="106"/>
      <c r="U29" s="103"/>
      <c r="V29" s="102">
        <v>60.8</v>
      </c>
      <c r="W29" s="106"/>
      <c r="X29" s="103"/>
      <c r="Y29" s="102">
        <f>'3'!Y29+V29</f>
        <v>247.2</v>
      </c>
      <c r="Z29" s="103"/>
    </row>
    <row r="30" spans="1:31" ht="21.9" customHeight="1">
      <c r="A30" s="104" t="s">
        <v>35</v>
      </c>
      <c r="B30" s="104"/>
      <c r="C30" s="104"/>
      <c r="D30" s="102">
        <f>'3'!G30</f>
        <v>53270</v>
      </c>
      <c r="E30" s="106"/>
      <c r="F30" s="103"/>
      <c r="G30" s="104">
        <v>53280</v>
      </c>
      <c r="H30" s="104"/>
      <c r="I30" s="104"/>
      <c r="J30" s="104">
        <f t="shared" si="3"/>
        <v>10</v>
      </c>
      <c r="K30" s="104"/>
      <c r="L30" s="104"/>
      <c r="M30" s="102">
        <f>'3'!M30+'4'!J30</f>
        <v>60</v>
      </c>
      <c r="N30" s="103"/>
      <c r="P30" s="104" t="s">
        <v>28</v>
      </c>
      <c r="Q30" s="104"/>
      <c r="R30" s="104"/>
      <c r="S30" s="104">
        <f>SUM(S24:U29)</f>
        <v>1459.3999999999999</v>
      </c>
      <c r="T30" s="104"/>
      <c r="U30" s="104"/>
      <c r="V30" s="102"/>
      <c r="W30" s="106"/>
      <c r="X30" s="103"/>
      <c r="Y30" s="102">
        <f>'3'!Y30+V30</f>
        <v>1528.3</v>
      </c>
      <c r="Z30" s="103"/>
    </row>
    <row r="31" spans="1:31" ht="21.9" customHeight="1">
      <c r="A31" s="104" t="s">
        <v>120</v>
      </c>
      <c r="B31" s="104"/>
      <c r="C31" s="104"/>
      <c r="D31" s="102">
        <f>'3'!G31</f>
        <v>6230623</v>
      </c>
      <c r="E31" s="106"/>
      <c r="F31" s="103"/>
      <c r="G31" s="102">
        <v>6237766</v>
      </c>
      <c r="H31" s="106"/>
      <c r="I31" s="103"/>
      <c r="J31" s="102">
        <f t="shared" si="3"/>
        <v>7143</v>
      </c>
      <c r="K31" s="106">
        <v>12.255000000000001</v>
      </c>
      <c r="L31" s="103">
        <v>12.255000000000001</v>
      </c>
      <c r="M31" s="102">
        <f>'3'!M31+'4'!J31</f>
        <v>35671</v>
      </c>
      <c r="N31" s="103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31" ht="21.9" customHeight="1">
      <c r="A32" s="104" t="s">
        <v>121</v>
      </c>
      <c r="B32" s="104"/>
      <c r="C32" s="104"/>
      <c r="D32" s="102">
        <f>'3'!G32</f>
        <v>1.6</v>
      </c>
      <c r="E32" s="106"/>
      <c r="F32" s="103"/>
      <c r="G32" s="102">
        <v>1.6</v>
      </c>
      <c r="H32" s="106"/>
      <c r="I32" s="103"/>
      <c r="J32" s="102">
        <f t="shared" si="3"/>
        <v>0</v>
      </c>
      <c r="K32" s="106">
        <v>12.255000000000001</v>
      </c>
      <c r="L32" s="103">
        <v>12.255000000000001</v>
      </c>
      <c r="M32" s="102">
        <f>'3'!M32+'4'!J32</f>
        <v>0</v>
      </c>
      <c r="N32" s="103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ht="21.9" customHeight="1">
      <c r="A33" s="104" t="s">
        <v>122</v>
      </c>
      <c r="B33" s="104"/>
      <c r="C33" s="104"/>
      <c r="D33" s="102">
        <f>'3'!G33</f>
        <v>0</v>
      </c>
      <c r="E33" s="106"/>
      <c r="F33" s="103"/>
      <c r="G33" s="102">
        <v>0</v>
      </c>
      <c r="H33" s="106"/>
      <c r="I33" s="103"/>
      <c r="J33" s="102">
        <f t="shared" si="3"/>
        <v>0</v>
      </c>
      <c r="K33" s="106">
        <v>12.255000000000001</v>
      </c>
      <c r="L33" s="103">
        <v>12.255000000000001</v>
      </c>
      <c r="M33" s="102">
        <f>'3'!M33+'4'!J33</f>
        <v>0</v>
      </c>
      <c r="N33" s="103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95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7"/>
    </row>
    <row r="37" spans="1:26">
      <c r="A37" s="167"/>
      <c r="B37" s="168"/>
      <c r="C37" s="198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200"/>
    </row>
    <row r="38" spans="1:26">
      <c r="A38" s="167"/>
      <c r="B38" s="168"/>
      <c r="C38" s="198"/>
      <c r="D38" s="199"/>
      <c r="E38" s="199"/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199"/>
      <c r="Z38" s="200"/>
    </row>
    <row r="39" spans="1:26">
      <c r="A39" s="167"/>
      <c r="B39" s="168"/>
      <c r="C39" s="198"/>
      <c r="D39" s="199"/>
      <c r="E39" s="199"/>
      <c r="F39" s="199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200"/>
    </row>
    <row r="40" spans="1:26">
      <c r="A40" s="167"/>
      <c r="B40" s="168"/>
      <c r="C40" s="198"/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200"/>
    </row>
    <row r="41" spans="1:26">
      <c r="A41" s="167"/>
      <c r="B41" s="168"/>
      <c r="C41" s="198"/>
      <c r="D41" s="199"/>
      <c r="E41" s="199"/>
      <c r="F41" s="199"/>
      <c r="G41" s="199"/>
      <c r="H41" s="199"/>
      <c r="I41" s="199"/>
      <c r="J41" s="199"/>
      <c r="K41" s="199"/>
      <c r="L41" s="199"/>
      <c r="M41" s="199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200"/>
    </row>
    <row r="42" spans="1:26">
      <c r="A42" s="167"/>
      <c r="B42" s="168"/>
      <c r="C42" s="198"/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200"/>
    </row>
    <row r="43" spans="1:26">
      <c r="A43" s="167"/>
      <c r="B43" s="168"/>
      <c r="C43" s="198"/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200"/>
    </row>
    <row r="44" spans="1:26">
      <c r="A44" s="167"/>
      <c r="B44" s="168"/>
      <c r="C44" s="198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200"/>
    </row>
    <row r="45" spans="1:26">
      <c r="A45" s="167"/>
      <c r="B45" s="168"/>
      <c r="C45" s="198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200"/>
    </row>
    <row r="46" spans="1:26">
      <c r="A46" s="167"/>
      <c r="B46" s="168"/>
      <c r="C46" s="198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200"/>
    </row>
    <row r="47" spans="1:26">
      <c r="A47" s="167"/>
      <c r="B47" s="168"/>
      <c r="C47" s="198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200"/>
    </row>
    <row r="48" spans="1:26">
      <c r="A48" s="169"/>
      <c r="B48" s="170"/>
      <c r="C48" s="201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202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H3" name="범위2"/>
    <protectedRange sqref="U2:Z3 D7:I7 R7:Z7 S12:V15 E12:H20 S18:V20 V31:X33" name="범위1"/>
    <protectedRange sqref="J31:L33" name="범위3"/>
    <protectedRange sqref="B2:C3" name="범위1_1"/>
    <protectedRange sqref="D2:G3" name="범위1_1_2"/>
    <protectedRange sqref="G24:I30" name="범위1_2"/>
    <protectedRange sqref="G31:I33" name="범위3_1"/>
    <protectedRange sqref="V24:X30" name="범위1_3"/>
  </protectedRanges>
  <mergeCells count="223">
    <mergeCell ref="A63:B76"/>
    <mergeCell ref="C63:Z76"/>
    <mergeCell ref="Y29:Z29"/>
    <mergeCell ref="S30:U30"/>
    <mergeCell ref="V30:X30"/>
    <mergeCell ref="Y30:Z30"/>
    <mergeCell ref="S29:U29"/>
    <mergeCell ref="V29:X29"/>
    <mergeCell ref="A36:B48"/>
    <mergeCell ref="C36:Z48"/>
    <mergeCell ref="A49:B62"/>
    <mergeCell ref="C49:Z62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M33:N33"/>
    <mergeCell ref="V28:X28"/>
    <mergeCell ref="V27:X27"/>
    <mergeCell ref="V26:X26"/>
    <mergeCell ref="V25:X25"/>
    <mergeCell ref="V24:X24"/>
    <mergeCell ref="A29:C29"/>
    <mergeCell ref="D29:F29"/>
    <mergeCell ref="G29:I29"/>
    <mergeCell ref="J29:L29"/>
    <mergeCell ref="M29:N29"/>
    <mergeCell ref="P29:R29"/>
    <mergeCell ref="A28:C28"/>
    <mergeCell ref="D28:F28"/>
    <mergeCell ref="G28:I28"/>
    <mergeCell ref="J28:L28"/>
    <mergeCell ref="M28:N28"/>
    <mergeCell ref="P28:R28"/>
    <mergeCell ref="J27:L27"/>
    <mergeCell ref="M27:N27"/>
    <mergeCell ref="P27:R27"/>
    <mergeCell ref="A26:C26"/>
    <mergeCell ref="D26:F26"/>
    <mergeCell ref="G26:I26"/>
    <mergeCell ref="J26:L26"/>
    <mergeCell ref="Y28:Z28"/>
    <mergeCell ref="S28:U28"/>
    <mergeCell ref="S27:U27"/>
    <mergeCell ref="V23:X23"/>
    <mergeCell ref="Y23:Z23"/>
    <mergeCell ref="A24:C24"/>
    <mergeCell ref="D24:F24"/>
    <mergeCell ref="G24:I24"/>
    <mergeCell ref="J24:L24"/>
    <mergeCell ref="M24:N24"/>
    <mergeCell ref="P24:R24"/>
    <mergeCell ref="Y24:Z24"/>
    <mergeCell ref="S24:U24"/>
    <mergeCell ref="A25:C25"/>
    <mergeCell ref="D25:F25"/>
    <mergeCell ref="G25:I25"/>
    <mergeCell ref="J25:L25"/>
    <mergeCell ref="M25:N25"/>
    <mergeCell ref="P25:R25"/>
    <mergeCell ref="Y25:Z25"/>
    <mergeCell ref="Y26:Z26"/>
    <mergeCell ref="A27:C27"/>
    <mergeCell ref="D27:F27"/>
    <mergeCell ref="G27:I27"/>
    <mergeCell ref="A23:C23"/>
    <mergeCell ref="D23:F23"/>
    <mergeCell ref="G23:I23"/>
    <mergeCell ref="J23:L23"/>
    <mergeCell ref="M23:N23"/>
    <mergeCell ref="P23:R23"/>
    <mergeCell ref="S23:U23"/>
    <mergeCell ref="P18:R20"/>
    <mergeCell ref="Y18:Z20"/>
    <mergeCell ref="A20:B20"/>
    <mergeCell ref="C20:D20"/>
    <mergeCell ref="E20:F20"/>
    <mergeCell ref="G20:H20"/>
    <mergeCell ref="I20:J20"/>
    <mergeCell ref="K20:L20"/>
    <mergeCell ref="A18:B18"/>
    <mergeCell ref="C18:D18"/>
    <mergeCell ref="W18:X20"/>
    <mergeCell ref="A19:B19"/>
    <mergeCell ref="S18:T20"/>
    <mergeCell ref="U18:V20"/>
    <mergeCell ref="Y27:Z27"/>
    <mergeCell ref="S26:U26"/>
    <mergeCell ref="S25:U25"/>
    <mergeCell ref="M20:N20"/>
    <mergeCell ref="P22:U22"/>
    <mergeCell ref="E12:F12"/>
    <mergeCell ref="G12:H12"/>
    <mergeCell ref="I12:J12"/>
    <mergeCell ref="K12:L12"/>
    <mergeCell ref="P16:R17"/>
    <mergeCell ref="M14:N14"/>
    <mergeCell ref="M15:N15"/>
    <mergeCell ref="M13:N13"/>
    <mergeCell ref="M26:N26"/>
    <mergeCell ref="P26:R26"/>
    <mergeCell ref="E17:F17"/>
    <mergeCell ref="G17:H17"/>
    <mergeCell ref="I17:J17"/>
    <mergeCell ref="K17:L17"/>
    <mergeCell ref="M17:N17"/>
    <mergeCell ref="E16:F16"/>
    <mergeCell ref="G16:H16"/>
    <mergeCell ref="I16:J16"/>
    <mergeCell ref="K16:L16"/>
    <mergeCell ref="I13:J13"/>
    <mergeCell ref="K13:L13"/>
    <mergeCell ref="E14:F14"/>
    <mergeCell ref="M16:N16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M19:N19"/>
    <mergeCell ref="M18:N18"/>
    <mergeCell ref="A15:B15"/>
    <mergeCell ref="C15:D15"/>
    <mergeCell ref="E15:F15"/>
    <mergeCell ref="G15:H15"/>
    <mergeCell ref="I15:J15"/>
    <mergeCell ref="K15:L15"/>
    <mergeCell ref="C14:D14"/>
    <mergeCell ref="G14:H14"/>
    <mergeCell ref="I14:J14"/>
    <mergeCell ref="K14:L14"/>
    <mergeCell ref="W14:Z15"/>
    <mergeCell ref="H1:S2"/>
    <mergeCell ref="T1:T3"/>
    <mergeCell ref="U1:V1"/>
    <mergeCell ref="U2:V3"/>
    <mergeCell ref="W1:X1"/>
    <mergeCell ref="U8:W8"/>
    <mergeCell ref="X8:Z8"/>
    <mergeCell ref="Y1:Z1"/>
    <mergeCell ref="U6:W6"/>
    <mergeCell ref="X6:Z6"/>
    <mergeCell ref="U7:W7"/>
    <mergeCell ref="X7:Z7"/>
    <mergeCell ref="J6:L6"/>
    <mergeCell ref="G8:I8"/>
    <mergeCell ref="W2:X3"/>
    <mergeCell ref="Y2:Z3"/>
    <mergeCell ref="S11:V11"/>
    <mergeCell ref="G11:H11"/>
    <mergeCell ref="I11:J11"/>
    <mergeCell ref="K11:L11"/>
    <mergeCell ref="M11:N11"/>
    <mergeCell ref="M12:N12"/>
    <mergeCell ref="H3:S3"/>
    <mergeCell ref="U16:V17"/>
    <mergeCell ref="W16:X17"/>
    <mergeCell ref="Y16:Z17"/>
    <mergeCell ref="A14:B14"/>
    <mergeCell ref="D8:F8"/>
    <mergeCell ref="J8:L8"/>
    <mergeCell ref="P8:Q8"/>
    <mergeCell ref="R8:T8"/>
    <mergeCell ref="A11:B11"/>
    <mergeCell ref="A17:B17"/>
    <mergeCell ref="C17:D17"/>
    <mergeCell ref="A16:B16"/>
    <mergeCell ref="C16:D16"/>
    <mergeCell ref="P12:R13"/>
    <mergeCell ref="P14:R15"/>
    <mergeCell ref="A12:B12"/>
    <mergeCell ref="C13:D13"/>
    <mergeCell ref="E13:F13"/>
    <mergeCell ref="G13:H13"/>
    <mergeCell ref="P11:R11"/>
    <mergeCell ref="W11:Z11"/>
    <mergeCell ref="S12:V13"/>
    <mergeCell ref="W12:Z13"/>
    <mergeCell ref="S14:V15"/>
    <mergeCell ref="B1:C1"/>
    <mergeCell ref="D1:E1"/>
    <mergeCell ref="F1:G1"/>
    <mergeCell ref="B2:C3"/>
    <mergeCell ref="D2:E3"/>
    <mergeCell ref="F2:G3"/>
    <mergeCell ref="A6:C6"/>
    <mergeCell ref="D6:F6"/>
    <mergeCell ref="S16:T17"/>
    <mergeCell ref="A1:A3"/>
    <mergeCell ref="E11:F11"/>
    <mergeCell ref="C12:D12"/>
    <mergeCell ref="A8:C8"/>
    <mergeCell ref="A7:C7"/>
    <mergeCell ref="D7:F7"/>
    <mergeCell ref="C11:D11"/>
    <mergeCell ref="P6:Q6"/>
    <mergeCell ref="R6:T6"/>
    <mergeCell ref="R7:T7"/>
    <mergeCell ref="G7:I7"/>
    <mergeCell ref="J7:L7"/>
    <mergeCell ref="P7:Q7"/>
    <mergeCell ref="G6:I6"/>
    <mergeCell ref="A13:B1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zoomScaleNormal="100" zoomScaleSheetLayoutView="100" workbookViewId="0">
      <selection activeCell="AD13" sqref="AD13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160</v>
      </c>
      <c r="C2" s="135"/>
      <c r="D2" s="135" t="s">
        <v>161</v>
      </c>
      <c r="E2" s="135"/>
      <c r="F2" s="135" t="s">
        <v>162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05"/>
      <c r="E3" s="105"/>
      <c r="F3" s="105"/>
      <c r="G3" s="105"/>
      <c r="H3" s="132">
        <v>46208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65675</v>
      </c>
      <c r="E7" s="139"/>
      <c r="F7" s="139"/>
      <c r="G7" s="191">
        <v>158700</v>
      </c>
      <c r="H7" s="192"/>
      <c r="I7" s="193"/>
      <c r="J7" s="154">
        <f>D7+G7</f>
        <v>224375</v>
      </c>
      <c r="K7" s="154"/>
      <c r="L7" s="154"/>
      <c r="M7" s="1"/>
      <c r="N7" s="1"/>
      <c r="O7" s="1"/>
      <c r="P7" s="105" t="s">
        <v>48</v>
      </c>
      <c r="Q7" s="105"/>
      <c r="R7" s="177">
        <v>474</v>
      </c>
      <c r="S7" s="178"/>
      <c r="T7" s="179"/>
      <c r="U7" s="140">
        <v>344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'4'!D8+D7</f>
        <v>322756</v>
      </c>
      <c r="E8" s="154"/>
      <c r="F8" s="154"/>
      <c r="G8" s="99">
        <f>'4'!G8+'5'!G7</f>
        <v>824900</v>
      </c>
      <c r="H8" s="100"/>
      <c r="I8" s="101"/>
      <c r="J8" s="154">
        <f>D8+G8</f>
        <v>1147656</v>
      </c>
      <c r="K8" s="154"/>
      <c r="L8" s="154"/>
      <c r="M8" s="1"/>
      <c r="N8" s="1"/>
      <c r="O8" s="1"/>
      <c r="P8" s="104" t="s">
        <v>2</v>
      </c>
      <c r="Q8" s="104"/>
      <c r="R8" s="180">
        <f>'4'!R8+'5'!R7</f>
        <v>2386</v>
      </c>
      <c r="S8" s="181"/>
      <c r="T8" s="182"/>
      <c r="U8" s="137">
        <f>'4'!U8+U7</f>
        <v>1728.4</v>
      </c>
      <c r="V8" s="137"/>
      <c r="W8" s="137"/>
      <c r="X8" s="138">
        <f>'4'!X8+'5'!X7</f>
        <v>120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'4'!I12</f>
        <v>14893</v>
      </c>
      <c r="D12" s="174"/>
      <c r="E12" s="105">
        <v>0</v>
      </c>
      <c r="F12" s="105"/>
      <c r="G12" s="105">
        <v>3767</v>
      </c>
      <c r="H12" s="105"/>
      <c r="I12" s="107">
        <f>C12+E12-G12</f>
        <v>11126</v>
      </c>
      <c r="J12" s="109"/>
      <c r="K12" s="105">
        <f>'4'!K12+E12</f>
        <v>15450</v>
      </c>
      <c r="L12" s="105"/>
      <c r="M12" s="105">
        <f>'4'!M12+G12</f>
        <v>19238</v>
      </c>
      <c r="N12" s="105"/>
      <c r="O12" s="1"/>
      <c r="P12" s="149" t="s">
        <v>101</v>
      </c>
      <c r="Q12" s="105"/>
      <c r="R12" s="105"/>
      <c r="S12" s="143">
        <v>0</v>
      </c>
      <c r="T12" s="144"/>
      <c r="U12" s="144"/>
      <c r="V12" s="144"/>
      <c r="W12" s="194">
        <f>'4'!W12+'5'!S12</f>
        <v>194.68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'4'!I13</f>
        <v>930</v>
      </c>
      <c r="D13" s="174"/>
      <c r="E13" s="104">
        <v>0</v>
      </c>
      <c r="F13" s="104"/>
      <c r="G13" s="104">
        <v>110</v>
      </c>
      <c r="H13" s="104"/>
      <c r="I13" s="102">
        <f t="shared" ref="I13:I18" si="0">C13+E13-G13</f>
        <v>820</v>
      </c>
      <c r="J13" s="103"/>
      <c r="K13" s="102">
        <f>'4'!K13+E13</f>
        <v>710</v>
      </c>
      <c r="L13" s="103"/>
      <c r="M13" s="102">
        <f>'4'!M13+G13</f>
        <v>480</v>
      </c>
      <c r="N13" s="103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'4'!I14</f>
        <v>120</v>
      </c>
      <c r="D14" s="174"/>
      <c r="E14" s="104">
        <v>0</v>
      </c>
      <c r="F14" s="104"/>
      <c r="G14" s="104">
        <v>120</v>
      </c>
      <c r="H14" s="104"/>
      <c r="I14" s="102">
        <f t="shared" si="0"/>
        <v>0</v>
      </c>
      <c r="J14" s="103"/>
      <c r="K14" s="102">
        <f>'4'!K14+E14</f>
        <v>0</v>
      </c>
      <c r="L14" s="103"/>
      <c r="M14" s="102">
        <f>'4'!M14+G14</f>
        <v>600</v>
      </c>
      <c r="N14" s="103"/>
      <c r="O14" s="1"/>
      <c r="P14" s="104" t="s">
        <v>26</v>
      </c>
      <c r="Q14" s="104"/>
      <c r="R14" s="104"/>
      <c r="S14" s="155">
        <v>0</v>
      </c>
      <c r="T14" s="156"/>
      <c r="U14" s="156"/>
      <c r="V14" s="156"/>
      <c r="W14" s="155">
        <f>'4'!W14+'5'!S14</f>
        <v>46.84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'4'!I15</f>
        <v>1176</v>
      </c>
      <c r="D15" s="174"/>
      <c r="E15" s="104">
        <v>0</v>
      </c>
      <c r="F15" s="104"/>
      <c r="G15" s="104">
        <v>29</v>
      </c>
      <c r="H15" s="104"/>
      <c r="I15" s="102">
        <f t="shared" si="0"/>
        <v>1147</v>
      </c>
      <c r="J15" s="103"/>
      <c r="K15" s="102">
        <f>'4'!K15+E15</f>
        <v>0</v>
      </c>
      <c r="L15" s="103"/>
      <c r="M15" s="102">
        <f>'4'!M15+G15</f>
        <v>152</v>
      </c>
      <c r="N15" s="103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'4'!I16</f>
        <v>2270</v>
      </c>
      <c r="D16" s="174"/>
      <c r="E16" s="104">
        <v>0</v>
      </c>
      <c r="F16" s="104"/>
      <c r="G16" s="104">
        <v>20</v>
      </c>
      <c r="H16" s="104"/>
      <c r="I16" s="102">
        <f t="shared" si="0"/>
        <v>2250</v>
      </c>
      <c r="J16" s="103"/>
      <c r="K16" s="102">
        <f>'4'!K16+E16</f>
        <v>0</v>
      </c>
      <c r="L16" s="103"/>
      <c r="M16" s="102">
        <f>'4'!M16+G16</f>
        <v>100</v>
      </c>
      <c r="N16" s="103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'4'!I17</f>
        <v>1050</v>
      </c>
      <c r="D17" s="174"/>
      <c r="E17" s="104">
        <v>1440</v>
      </c>
      <c r="F17" s="104"/>
      <c r="G17" s="104">
        <v>200</v>
      </c>
      <c r="H17" s="104"/>
      <c r="I17" s="102">
        <f t="shared" si="0"/>
        <v>2290</v>
      </c>
      <c r="J17" s="103"/>
      <c r="K17" s="102">
        <f>'4'!K17+E17</f>
        <v>1440</v>
      </c>
      <c r="L17" s="103"/>
      <c r="M17" s="102">
        <f>'4'!M17+'5'!G17</f>
        <v>1000</v>
      </c>
      <c r="N17" s="103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'4'!I18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0"/>
        <v>5340</v>
      </c>
      <c r="J18" s="103"/>
      <c r="K18" s="102">
        <f>'4'!K18+E18</f>
        <v>0</v>
      </c>
      <c r="L18" s="103"/>
      <c r="M18" s="102">
        <f>'4'!M18+G18</f>
        <v>0</v>
      </c>
      <c r="N18" s="103"/>
      <c r="O18" s="1"/>
      <c r="P18" s="164" t="s">
        <v>27</v>
      </c>
      <c r="Q18" s="164"/>
      <c r="R18" s="164"/>
      <c r="S18" s="114">
        <v>3</v>
      </c>
      <c r="T18" s="115"/>
      <c r="U18" s="114">
        <v>2</v>
      </c>
      <c r="V18" s="115"/>
      <c r="W18" s="114">
        <f>S18+U18</f>
        <v>5</v>
      </c>
      <c r="X18" s="115"/>
      <c r="Y18" s="151">
        <f>'4'!Y18+'5'!W18</f>
        <v>20</v>
      </c>
      <c r="Z18" s="151"/>
    </row>
    <row r="19" spans="1:31" ht="21.9" customHeight="1">
      <c r="A19" s="153" t="s">
        <v>62</v>
      </c>
      <c r="B19" s="153"/>
      <c r="C19" s="174">
        <f>'4'!I19</f>
        <v>115549</v>
      </c>
      <c r="D19" s="174"/>
      <c r="E19" s="154">
        <v>45930</v>
      </c>
      <c r="F19" s="154"/>
      <c r="G19" s="154">
        <f>D7</f>
        <v>65675</v>
      </c>
      <c r="H19" s="154"/>
      <c r="I19" s="99">
        <f t="shared" ref="I19" si="1">C19+E19-G19</f>
        <v>95804</v>
      </c>
      <c r="J19" s="101"/>
      <c r="K19" s="99">
        <f>'4'!K19+E19</f>
        <v>308560</v>
      </c>
      <c r="L19" s="101"/>
      <c r="M19" s="99">
        <f>'4'!M19+G19</f>
        <v>322756</v>
      </c>
      <c r="N19" s="101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'4'!I20</f>
        <v>-</v>
      </c>
      <c r="D20" s="174"/>
      <c r="E20" s="102"/>
      <c r="F20" s="103"/>
      <c r="G20" s="104"/>
      <c r="H20" s="104"/>
      <c r="I20" s="102" t="s">
        <v>60</v>
      </c>
      <c r="J20" s="103"/>
      <c r="K20" s="105">
        <f>'4'!K20+'5'!E20</f>
        <v>0</v>
      </c>
      <c r="L20" s="105"/>
      <c r="M20" s="99">
        <f>'4'!M20+G20</f>
        <v>0</v>
      </c>
      <c r="N20" s="101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'4'!G24</f>
        <v>3777062</v>
      </c>
      <c r="E24" s="187"/>
      <c r="F24" s="187"/>
      <c r="G24" s="164">
        <v>3798128</v>
      </c>
      <c r="H24" s="164"/>
      <c r="I24" s="164"/>
      <c r="J24" s="164">
        <f>G24-D24</f>
        <v>21066</v>
      </c>
      <c r="K24" s="164"/>
      <c r="L24" s="164"/>
      <c r="M24" s="164">
        <f>'4'!M24+'5'!J24</f>
        <v>126560</v>
      </c>
      <c r="N24" s="164"/>
      <c r="P24" s="105" t="s">
        <v>36</v>
      </c>
      <c r="Q24" s="105"/>
      <c r="R24" s="105"/>
      <c r="S24" s="183">
        <f>'4'!V24</f>
        <v>428.1</v>
      </c>
      <c r="T24" s="184"/>
      <c r="U24" s="184"/>
      <c r="V24" s="107">
        <v>424.3</v>
      </c>
      <c r="W24" s="108"/>
      <c r="X24" s="109"/>
      <c r="Y24" s="121">
        <f>'4'!Y24+'5'!V24</f>
        <v>2140.9</v>
      </c>
      <c r="Z24" s="121"/>
    </row>
    <row r="25" spans="1:31" ht="21.9" customHeight="1">
      <c r="A25" s="104" t="s">
        <v>30</v>
      </c>
      <c r="B25" s="104"/>
      <c r="C25" s="104"/>
      <c r="D25" s="102">
        <f>'4'!G25</f>
        <v>32922.400000000001</v>
      </c>
      <c r="E25" s="106"/>
      <c r="F25" s="103"/>
      <c r="G25" s="104">
        <v>32955.5</v>
      </c>
      <c r="H25" s="104"/>
      <c r="I25" s="104"/>
      <c r="J25" s="104">
        <f>G25-D25</f>
        <v>33.099999999998545</v>
      </c>
      <c r="K25" s="104"/>
      <c r="L25" s="104"/>
      <c r="M25" s="102">
        <f>'4'!M25+'5'!J25</f>
        <v>191.40000000000146</v>
      </c>
      <c r="N25" s="103"/>
      <c r="P25" s="104" t="s">
        <v>37</v>
      </c>
      <c r="Q25" s="104"/>
      <c r="R25" s="104"/>
      <c r="S25" s="102">
        <f>'4'!V25</f>
        <v>57.3</v>
      </c>
      <c r="T25" s="106"/>
      <c r="U25" s="103"/>
      <c r="V25" s="104">
        <v>55</v>
      </c>
      <c r="W25" s="104"/>
      <c r="X25" s="104"/>
      <c r="Y25" s="102">
        <f>'4'!Y25+'5'!V25</f>
        <v>280.09999999999997</v>
      </c>
      <c r="Z25" s="103"/>
    </row>
    <row r="26" spans="1:31" ht="21.9" customHeight="1">
      <c r="A26" s="104" t="s">
        <v>31</v>
      </c>
      <c r="B26" s="104"/>
      <c r="C26" s="104"/>
      <c r="D26" s="102">
        <f>'4'!G26</f>
        <v>24390</v>
      </c>
      <c r="E26" s="106"/>
      <c r="F26" s="103"/>
      <c r="G26" s="104">
        <v>24410</v>
      </c>
      <c r="H26" s="104"/>
      <c r="I26" s="104"/>
      <c r="J26" s="104">
        <f t="shared" ref="J26:J33" si="2">G26-D26</f>
        <v>20</v>
      </c>
      <c r="K26" s="104"/>
      <c r="L26" s="104"/>
      <c r="M26" s="102">
        <f>'4'!M26+'5'!J26</f>
        <v>110</v>
      </c>
      <c r="N26" s="103"/>
      <c r="P26" s="104" t="s">
        <v>38</v>
      </c>
      <c r="Q26" s="104"/>
      <c r="R26" s="104"/>
      <c r="S26" s="102">
        <f>'4'!V26</f>
        <v>430.3</v>
      </c>
      <c r="T26" s="106"/>
      <c r="U26" s="103"/>
      <c r="V26" s="104">
        <v>454.9</v>
      </c>
      <c r="W26" s="104"/>
      <c r="X26" s="104"/>
      <c r="Y26" s="188">
        <f>'4'!Y26+'5'!V26</f>
        <v>2292.3000000000002</v>
      </c>
      <c r="Z26" s="190"/>
    </row>
    <row r="27" spans="1:31" ht="21.9" customHeight="1">
      <c r="A27" s="104" t="s">
        <v>32</v>
      </c>
      <c r="B27" s="104"/>
      <c r="C27" s="104"/>
      <c r="D27" s="102">
        <f>'4'!G27</f>
        <v>1356000</v>
      </c>
      <c r="E27" s="106"/>
      <c r="F27" s="103"/>
      <c r="G27" s="104">
        <v>1359000</v>
      </c>
      <c r="H27" s="104"/>
      <c r="I27" s="104"/>
      <c r="J27" s="104">
        <f>G27-D27</f>
        <v>3000</v>
      </c>
      <c r="K27" s="104"/>
      <c r="L27" s="104"/>
      <c r="M27" s="102">
        <f>'4'!M27+'5'!J27</f>
        <v>20000</v>
      </c>
      <c r="N27" s="103"/>
      <c r="P27" s="104" t="s">
        <v>39</v>
      </c>
      <c r="Q27" s="104"/>
      <c r="R27" s="104"/>
      <c r="S27" s="102">
        <f>'4'!V27</f>
        <v>480.1</v>
      </c>
      <c r="T27" s="106"/>
      <c r="U27" s="103"/>
      <c r="V27" s="104">
        <v>491</v>
      </c>
      <c r="W27" s="104"/>
      <c r="X27" s="104"/>
      <c r="Y27" s="188">
        <f>'4'!Y27+'5'!V27</f>
        <v>2467.6</v>
      </c>
      <c r="Z27" s="190"/>
    </row>
    <row r="28" spans="1:31" ht="21.9" customHeight="1">
      <c r="A28" s="104" t="s">
        <v>33</v>
      </c>
      <c r="B28" s="104"/>
      <c r="C28" s="104"/>
      <c r="D28" s="102">
        <f>'4'!G28</f>
        <v>5204</v>
      </c>
      <c r="E28" s="106"/>
      <c r="F28" s="103"/>
      <c r="G28" s="104">
        <v>5257</v>
      </c>
      <c r="H28" s="104"/>
      <c r="I28" s="104"/>
      <c r="J28" s="104">
        <f t="shared" si="2"/>
        <v>53</v>
      </c>
      <c r="K28" s="104"/>
      <c r="L28" s="104"/>
      <c r="M28" s="102">
        <f>'4'!M28+'5'!J28</f>
        <v>319</v>
      </c>
      <c r="N28" s="103"/>
      <c r="P28" s="104" t="s">
        <v>41</v>
      </c>
      <c r="Q28" s="104"/>
      <c r="R28" s="104"/>
      <c r="S28" s="102">
        <f>'4'!V28</f>
        <v>0</v>
      </c>
      <c r="T28" s="106"/>
      <c r="U28" s="103"/>
      <c r="V28" s="104">
        <v>0</v>
      </c>
      <c r="W28" s="104"/>
      <c r="X28" s="104"/>
      <c r="Y28" s="102">
        <f>'4'!Y28+'5'!V28</f>
        <v>0</v>
      </c>
      <c r="Z28" s="103"/>
    </row>
    <row r="29" spans="1:31" ht="21.9" customHeight="1">
      <c r="A29" s="104" t="s">
        <v>34</v>
      </c>
      <c r="B29" s="104"/>
      <c r="C29" s="104"/>
      <c r="D29" s="102">
        <f>'4'!G29</f>
        <v>66200</v>
      </c>
      <c r="E29" s="106"/>
      <c r="F29" s="103"/>
      <c r="G29" s="104">
        <v>66200</v>
      </c>
      <c r="H29" s="104"/>
      <c r="I29" s="104"/>
      <c r="J29" s="104">
        <f t="shared" si="2"/>
        <v>0</v>
      </c>
      <c r="K29" s="104"/>
      <c r="L29" s="104"/>
      <c r="M29" s="102">
        <f>'4'!M29+'5'!J29</f>
        <v>20</v>
      </c>
      <c r="N29" s="103"/>
      <c r="P29" s="104" t="s">
        <v>40</v>
      </c>
      <c r="Q29" s="104"/>
      <c r="R29" s="104"/>
      <c r="S29" s="102">
        <f>'4'!V29</f>
        <v>60.8</v>
      </c>
      <c r="T29" s="106"/>
      <c r="U29" s="103"/>
      <c r="V29" s="104">
        <v>61.2</v>
      </c>
      <c r="W29" s="104"/>
      <c r="X29" s="104"/>
      <c r="Y29" s="102">
        <f>'4'!Y29+'5'!V29</f>
        <v>308.39999999999998</v>
      </c>
      <c r="Z29" s="103"/>
    </row>
    <row r="30" spans="1:31" ht="21.9" customHeight="1">
      <c r="A30" s="104" t="s">
        <v>35</v>
      </c>
      <c r="B30" s="104"/>
      <c r="C30" s="104"/>
      <c r="D30" s="102">
        <f>'4'!G30</f>
        <v>53280</v>
      </c>
      <c r="E30" s="106"/>
      <c r="F30" s="103"/>
      <c r="G30" s="104">
        <v>53290</v>
      </c>
      <c r="H30" s="104"/>
      <c r="I30" s="104"/>
      <c r="J30" s="104">
        <f t="shared" si="2"/>
        <v>10</v>
      </c>
      <c r="K30" s="104"/>
      <c r="L30" s="104"/>
      <c r="M30" s="102">
        <f>'4'!M30+'5'!J30</f>
        <v>70</v>
      </c>
      <c r="N30" s="103"/>
      <c r="P30" s="104" t="s">
        <v>28</v>
      </c>
      <c r="Q30" s="104"/>
      <c r="R30" s="104"/>
      <c r="S30" s="104">
        <f>SUM(S24:U29)</f>
        <v>1456.6000000000001</v>
      </c>
      <c r="T30" s="104"/>
      <c r="U30" s="104"/>
      <c r="V30" s="102"/>
      <c r="W30" s="106"/>
      <c r="X30" s="103"/>
      <c r="Y30" s="102">
        <f>'4'!Y30+'5'!V30</f>
        <v>1528.3</v>
      </c>
      <c r="Z30" s="103"/>
    </row>
    <row r="31" spans="1:31" ht="21.9" customHeight="1">
      <c r="A31" s="104" t="s">
        <v>120</v>
      </c>
      <c r="B31" s="104"/>
      <c r="C31" s="104"/>
      <c r="D31" s="102">
        <f>'4'!G31</f>
        <v>6237766</v>
      </c>
      <c r="E31" s="106"/>
      <c r="F31" s="103"/>
      <c r="G31" s="102">
        <v>6244869</v>
      </c>
      <c r="H31" s="106"/>
      <c r="I31" s="103"/>
      <c r="J31" s="102">
        <f t="shared" si="2"/>
        <v>7103</v>
      </c>
      <c r="K31" s="106">
        <v>12.255000000000001</v>
      </c>
      <c r="L31" s="103">
        <v>12.255000000000001</v>
      </c>
      <c r="M31" s="102">
        <f>'4'!M31+J31</f>
        <v>42774</v>
      </c>
      <c r="N31" s="103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31" ht="21.9" customHeight="1">
      <c r="A32" s="104" t="s">
        <v>121</v>
      </c>
      <c r="B32" s="104"/>
      <c r="C32" s="104"/>
      <c r="D32" s="102">
        <f>'4'!G32</f>
        <v>1.6</v>
      </c>
      <c r="E32" s="106"/>
      <c r="F32" s="103"/>
      <c r="G32" s="102">
        <v>1.6</v>
      </c>
      <c r="H32" s="106"/>
      <c r="I32" s="103"/>
      <c r="J32" s="102">
        <f t="shared" si="2"/>
        <v>0</v>
      </c>
      <c r="K32" s="106">
        <v>12.255000000000001</v>
      </c>
      <c r="L32" s="103">
        <v>12.255000000000001</v>
      </c>
      <c r="M32" s="102">
        <f>'4'!M32+J32</f>
        <v>0</v>
      </c>
      <c r="N32" s="103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ht="21.9" customHeight="1">
      <c r="A33" s="104" t="s">
        <v>122</v>
      </c>
      <c r="B33" s="104"/>
      <c r="C33" s="104"/>
      <c r="D33" s="102">
        <f>'4'!G33</f>
        <v>0</v>
      </c>
      <c r="E33" s="106"/>
      <c r="F33" s="103"/>
      <c r="G33" s="102">
        <v>0</v>
      </c>
      <c r="H33" s="106"/>
      <c r="I33" s="103"/>
      <c r="J33" s="102">
        <f t="shared" si="2"/>
        <v>0</v>
      </c>
      <c r="K33" s="106">
        <v>12.255000000000001</v>
      </c>
      <c r="L33" s="103">
        <v>12.255000000000001</v>
      </c>
      <c r="M33" s="102">
        <f>'4'!M33+J33</f>
        <v>0</v>
      </c>
      <c r="N33" s="103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H3" name="범위2"/>
    <protectedRange sqref="U2:Z3 R7:Z7 S12:V15 S18:V20 D7:I7 E20:H20 V31:X33" name="범위1"/>
    <protectedRange sqref="J31:L33" name="범위3"/>
    <protectedRange sqref="B2:C3" name="범위1_1_1"/>
    <protectedRange sqref="D2:G3" name="범위1_1_2"/>
    <protectedRange sqref="E12:H19" name="범위1_1"/>
    <protectedRange sqref="G24:I30" name="범위1_2"/>
    <protectedRange sqref="G31:I33" name="범위3_1"/>
    <protectedRange sqref="V24:X30" name="범위1_3"/>
  </protectedRanges>
  <mergeCells count="223">
    <mergeCell ref="A63:B76"/>
    <mergeCell ref="C63:Z76"/>
    <mergeCell ref="A33:C33"/>
    <mergeCell ref="D33:F33"/>
    <mergeCell ref="G33:I33"/>
    <mergeCell ref="J33:L33"/>
    <mergeCell ref="M33:N33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49:B62"/>
    <mergeCell ref="C49:Z62"/>
    <mergeCell ref="S30:U30"/>
    <mergeCell ref="V30:X30"/>
    <mergeCell ref="Y30:Z30"/>
    <mergeCell ref="S29:U29"/>
    <mergeCell ref="A36:B48"/>
    <mergeCell ref="C36:Z48"/>
    <mergeCell ref="V29:X29"/>
    <mergeCell ref="V28:X28"/>
    <mergeCell ref="A30:C30"/>
    <mergeCell ref="D30:F30"/>
    <mergeCell ref="G30:I30"/>
    <mergeCell ref="J30:L30"/>
    <mergeCell ref="M30:N30"/>
    <mergeCell ref="P30:R30"/>
    <mergeCell ref="A29:C29"/>
    <mergeCell ref="D29:F29"/>
    <mergeCell ref="G29:I29"/>
    <mergeCell ref="Y28:Z28"/>
    <mergeCell ref="S28:U28"/>
    <mergeCell ref="S27:U27"/>
    <mergeCell ref="V23:X23"/>
    <mergeCell ref="Y23:Z23"/>
    <mergeCell ref="J29:L29"/>
    <mergeCell ref="M29:N29"/>
    <mergeCell ref="P29:R29"/>
    <mergeCell ref="A28:C28"/>
    <mergeCell ref="D28:F28"/>
    <mergeCell ref="G28:I28"/>
    <mergeCell ref="J28:L28"/>
    <mergeCell ref="M28:N28"/>
    <mergeCell ref="P28:R28"/>
    <mergeCell ref="A24:C24"/>
    <mergeCell ref="D24:F24"/>
    <mergeCell ref="G24:I24"/>
    <mergeCell ref="J24:L24"/>
    <mergeCell ref="M24:N24"/>
    <mergeCell ref="P24:R24"/>
    <mergeCell ref="Y29:Z29"/>
    <mergeCell ref="Y24:Z24"/>
    <mergeCell ref="S24:U24"/>
    <mergeCell ref="V24:X24"/>
    <mergeCell ref="A25:C25"/>
    <mergeCell ref="D25:F25"/>
    <mergeCell ref="G25:I25"/>
    <mergeCell ref="J25:L25"/>
    <mergeCell ref="M25:N25"/>
    <mergeCell ref="P25:R25"/>
    <mergeCell ref="Y25:Z25"/>
    <mergeCell ref="Y26:Z26"/>
    <mergeCell ref="A27:C27"/>
    <mergeCell ref="D27:F27"/>
    <mergeCell ref="M26:N26"/>
    <mergeCell ref="P26:R26"/>
    <mergeCell ref="Y27:Z27"/>
    <mergeCell ref="S26:U26"/>
    <mergeCell ref="S25:U25"/>
    <mergeCell ref="V25:X25"/>
    <mergeCell ref="G27:I27"/>
    <mergeCell ref="J27:L27"/>
    <mergeCell ref="M27:N27"/>
    <mergeCell ref="P27:R27"/>
    <mergeCell ref="V26:X26"/>
    <mergeCell ref="A26:C26"/>
    <mergeCell ref="V27:X27"/>
    <mergeCell ref="D26:F26"/>
    <mergeCell ref="G26:I26"/>
    <mergeCell ref="J26:L26"/>
    <mergeCell ref="P22:U22"/>
    <mergeCell ref="A23:C23"/>
    <mergeCell ref="D23:F23"/>
    <mergeCell ref="G23:I23"/>
    <mergeCell ref="J23:L23"/>
    <mergeCell ref="M23:N23"/>
    <mergeCell ref="P23:R23"/>
    <mergeCell ref="S23:U23"/>
    <mergeCell ref="P18:R20"/>
    <mergeCell ref="M18:N18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A17:B17"/>
    <mergeCell ref="C17:D17"/>
    <mergeCell ref="E17:F17"/>
    <mergeCell ref="G17:H17"/>
    <mergeCell ref="I17:J17"/>
    <mergeCell ref="K17:L17"/>
    <mergeCell ref="K20:L20"/>
    <mergeCell ref="M17:N17"/>
    <mergeCell ref="A18:B18"/>
    <mergeCell ref="C18:D18"/>
    <mergeCell ref="E18:F18"/>
    <mergeCell ref="G18:H18"/>
    <mergeCell ref="I18:J18"/>
    <mergeCell ref="K18:L18"/>
    <mergeCell ref="M20:N20"/>
    <mergeCell ref="M14:N14"/>
    <mergeCell ref="M15:N15"/>
    <mergeCell ref="A16:B16"/>
    <mergeCell ref="C16:D16"/>
    <mergeCell ref="E16:F16"/>
    <mergeCell ref="G16:H16"/>
    <mergeCell ref="I16:J16"/>
    <mergeCell ref="K16:L16"/>
    <mergeCell ref="M16:N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A1:A3"/>
    <mergeCell ref="A8:C8"/>
    <mergeCell ref="D8:F8"/>
    <mergeCell ref="J8:L8"/>
    <mergeCell ref="P8:Q8"/>
    <mergeCell ref="R8:T8"/>
    <mergeCell ref="G8:I8"/>
    <mergeCell ref="T1:T3"/>
    <mergeCell ref="H3:S3"/>
    <mergeCell ref="J6:L6"/>
    <mergeCell ref="P6:Q6"/>
    <mergeCell ref="R6:T6"/>
    <mergeCell ref="H1:S2"/>
    <mergeCell ref="D1:E1"/>
    <mergeCell ref="F1:G1"/>
    <mergeCell ref="B2:C3"/>
    <mergeCell ref="D2:E3"/>
    <mergeCell ref="F2:G3"/>
    <mergeCell ref="A6:C6"/>
    <mergeCell ref="D6:F6"/>
    <mergeCell ref="G6:I6"/>
    <mergeCell ref="B1:C1"/>
    <mergeCell ref="S16:T17"/>
    <mergeCell ref="U16:V17"/>
    <mergeCell ref="W16:X17"/>
    <mergeCell ref="S18:T20"/>
    <mergeCell ref="U18:V20"/>
    <mergeCell ref="W18:X20"/>
    <mergeCell ref="Y18:Z20"/>
    <mergeCell ref="W1:X1"/>
    <mergeCell ref="U8:W8"/>
    <mergeCell ref="X8:Z8"/>
    <mergeCell ref="R7:T7"/>
    <mergeCell ref="Y1:Z1"/>
    <mergeCell ref="W2:X3"/>
    <mergeCell ref="Y2:Z3"/>
    <mergeCell ref="U6:W6"/>
    <mergeCell ref="X6:Z6"/>
    <mergeCell ref="U7:W7"/>
    <mergeCell ref="X7:Z7"/>
    <mergeCell ref="U1:V1"/>
    <mergeCell ref="U2:V3"/>
    <mergeCell ref="P11:R11"/>
    <mergeCell ref="S11:V11"/>
    <mergeCell ref="P16:R17"/>
    <mergeCell ref="Y16:Z17"/>
    <mergeCell ref="W11:Z11"/>
    <mergeCell ref="S12:V13"/>
    <mergeCell ref="W12:Z13"/>
    <mergeCell ref="S14:V15"/>
    <mergeCell ref="W14:Z15"/>
    <mergeCell ref="G7:I7"/>
    <mergeCell ref="A7:C7"/>
    <mergeCell ref="D7:F7"/>
    <mergeCell ref="J7:L7"/>
    <mergeCell ref="P7:Q7"/>
    <mergeCell ref="E11:F11"/>
    <mergeCell ref="G11:H11"/>
    <mergeCell ref="I11:J11"/>
    <mergeCell ref="K11:L11"/>
    <mergeCell ref="M11:N11"/>
    <mergeCell ref="A11:B11"/>
    <mergeCell ref="C11:D11"/>
    <mergeCell ref="P12:R13"/>
    <mergeCell ref="P14:R15"/>
    <mergeCell ref="A12:B12"/>
    <mergeCell ref="C12:D12"/>
    <mergeCell ref="E12:F12"/>
    <mergeCell ref="G12:H12"/>
    <mergeCell ref="I12:J1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G76"/>
  <sheetViews>
    <sheetView topLeftCell="A22" zoomScaleNormal="100" zoomScaleSheetLayoutView="100" workbookViewId="0">
      <selection activeCell="G33" sqref="G33:I33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  <col min="29" max="40" width="5.59765625" customWidth="1"/>
  </cols>
  <sheetData>
    <row r="1" spans="1:33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33" ht="14.25" customHeight="1">
      <c r="A2" s="123"/>
      <c r="B2" s="135" t="s">
        <v>164</v>
      </c>
      <c r="C2" s="135"/>
      <c r="D2" s="135" t="s">
        <v>165</v>
      </c>
      <c r="E2" s="135"/>
      <c r="F2" s="135" t="s">
        <v>166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33" ht="37.5" customHeight="1">
      <c r="A3" s="124"/>
      <c r="B3" s="105"/>
      <c r="C3" s="105"/>
      <c r="D3" s="105"/>
      <c r="E3" s="105"/>
      <c r="F3" s="105"/>
      <c r="G3" s="105"/>
      <c r="H3" s="132">
        <v>46209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33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33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33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33" ht="30" customHeight="1" thickTop="1">
      <c r="A7" s="105" t="s">
        <v>48</v>
      </c>
      <c r="B7" s="105"/>
      <c r="C7" s="105"/>
      <c r="D7" s="203">
        <v>73379</v>
      </c>
      <c r="E7" s="204"/>
      <c r="F7" s="205"/>
      <c r="G7" s="139">
        <v>163900</v>
      </c>
      <c r="H7" s="139"/>
      <c r="I7" s="139"/>
      <c r="J7" s="154">
        <f>D7+G7</f>
        <v>237279</v>
      </c>
      <c r="K7" s="154"/>
      <c r="L7" s="154"/>
      <c r="M7" s="1"/>
      <c r="N7" s="1"/>
      <c r="O7" s="1"/>
      <c r="P7" s="105" t="s">
        <v>48</v>
      </c>
      <c r="Q7" s="105"/>
      <c r="R7" s="140">
        <v>488.7</v>
      </c>
      <c r="S7" s="140"/>
      <c r="T7" s="140"/>
      <c r="U7" s="140">
        <v>354.5</v>
      </c>
      <c r="V7" s="140"/>
      <c r="W7" s="140"/>
      <c r="X7" s="141">
        <v>24</v>
      </c>
      <c r="Y7" s="141"/>
      <c r="Z7" s="141"/>
    </row>
    <row r="8" spans="1:33" ht="30" customHeight="1">
      <c r="A8" s="104" t="s">
        <v>2</v>
      </c>
      <c r="B8" s="104"/>
      <c r="C8" s="104"/>
      <c r="D8" s="154">
        <f>'5'!D8+D7</f>
        <v>396135</v>
      </c>
      <c r="E8" s="154"/>
      <c r="F8" s="154"/>
      <c r="G8" s="154">
        <f>'5'!G8+'6'!G7</f>
        <v>988800</v>
      </c>
      <c r="H8" s="154"/>
      <c r="I8" s="154"/>
      <c r="J8" s="154">
        <f>D8+G8</f>
        <v>1384935</v>
      </c>
      <c r="K8" s="154"/>
      <c r="L8" s="154"/>
      <c r="M8" s="1"/>
      <c r="N8" s="1"/>
      <c r="O8" s="1"/>
      <c r="P8" s="104" t="s">
        <v>2</v>
      </c>
      <c r="Q8" s="104"/>
      <c r="R8" s="137">
        <f>'5'!R8+'6'!R7</f>
        <v>2874.7</v>
      </c>
      <c r="S8" s="137"/>
      <c r="T8" s="137"/>
      <c r="U8" s="137">
        <f>'5'!U8+'6'!U7</f>
        <v>2082.9</v>
      </c>
      <c r="V8" s="137"/>
      <c r="W8" s="137"/>
      <c r="X8" s="138">
        <f>'5'!X8+X7</f>
        <v>144</v>
      </c>
      <c r="Y8" s="138"/>
      <c r="Z8" s="138"/>
    </row>
    <row r="9" spans="1:33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3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33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33" ht="21.9" customHeight="1" thickTop="1">
      <c r="A12" s="142" t="s">
        <v>114</v>
      </c>
      <c r="B12" s="142"/>
      <c r="C12" s="174">
        <f>'5'!I12</f>
        <v>11126</v>
      </c>
      <c r="D12" s="174"/>
      <c r="E12" s="105">
        <v>0</v>
      </c>
      <c r="F12" s="105"/>
      <c r="G12" s="105">
        <v>4082</v>
      </c>
      <c r="H12" s="105"/>
      <c r="I12" s="107">
        <f t="shared" ref="I12:I18" si="0">C12+E12-G12</f>
        <v>7044</v>
      </c>
      <c r="J12" s="109"/>
      <c r="K12" s="105">
        <f>'5'!K12+'6'!E12</f>
        <v>15450</v>
      </c>
      <c r="L12" s="105"/>
      <c r="M12" s="105">
        <f>'5'!M12+'6'!G12</f>
        <v>23320</v>
      </c>
      <c r="N12" s="105"/>
      <c r="O12" s="1"/>
      <c r="P12" s="149" t="s">
        <v>101</v>
      </c>
      <c r="Q12" s="105"/>
      <c r="R12" s="105"/>
      <c r="S12" s="143">
        <v>25.95</v>
      </c>
      <c r="T12" s="144"/>
      <c r="U12" s="144"/>
      <c r="V12" s="144"/>
      <c r="W12" s="194">
        <f>'5'!W12+'6'!S12</f>
        <v>220.63</v>
      </c>
      <c r="X12" s="144"/>
      <c r="Y12" s="144"/>
      <c r="Z12" s="147"/>
    </row>
    <row r="13" spans="1:33" ht="21.9" customHeight="1">
      <c r="A13" s="104" t="s">
        <v>4</v>
      </c>
      <c r="B13" s="104"/>
      <c r="C13" s="174">
        <f>'5'!I13</f>
        <v>820</v>
      </c>
      <c r="D13" s="174"/>
      <c r="E13" s="104">
        <v>0</v>
      </c>
      <c r="F13" s="104"/>
      <c r="G13" s="104">
        <v>90</v>
      </c>
      <c r="H13" s="104"/>
      <c r="I13" s="102">
        <f t="shared" si="0"/>
        <v>730</v>
      </c>
      <c r="J13" s="103"/>
      <c r="K13" s="102">
        <f>'5'!K13+'6'!E13</f>
        <v>710</v>
      </c>
      <c r="L13" s="103"/>
      <c r="M13" s="102">
        <f>'5'!M13+'6'!G13</f>
        <v>570</v>
      </c>
      <c r="N13" s="103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33" ht="21.9" customHeight="1">
      <c r="A14" s="104" t="s">
        <v>5</v>
      </c>
      <c r="B14" s="104"/>
      <c r="C14" s="174">
        <f>'5'!I14</f>
        <v>0</v>
      </c>
      <c r="D14" s="174"/>
      <c r="E14" s="104">
        <v>2000</v>
      </c>
      <c r="F14" s="104"/>
      <c r="G14" s="104">
        <v>120</v>
      </c>
      <c r="H14" s="104"/>
      <c r="I14" s="102">
        <f t="shared" si="0"/>
        <v>1880</v>
      </c>
      <c r="J14" s="103"/>
      <c r="K14" s="102">
        <f>'5'!K14+'6'!E14</f>
        <v>2000</v>
      </c>
      <c r="L14" s="103"/>
      <c r="M14" s="102">
        <f>'5'!M14+'6'!G14</f>
        <v>720</v>
      </c>
      <c r="N14" s="103"/>
      <c r="O14" s="1"/>
      <c r="P14" s="104" t="s">
        <v>26</v>
      </c>
      <c r="Q14" s="104"/>
      <c r="R14" s="104"/>
      <c r="S14" s="155">
        <v>0</v>
      </c>
      <c r="T14" s="156"/>
      <c r="U14" s="156"/>
      <c r="V14" s="156"/>
      <c r="W14" s="186">
        <f>'5'!W14+'6'!S14</f>
        <v>46.84</v>
      </c>
      <c r="X14" s="156"/>
      <c r="Y14" s="156"/>
      <c r="Z14" s="157"/>
    </row>
    <row r="15" spans="1:33" ht="21.9" customHeight="1">
      <c r="A15" s="104" t="s">
        <v>7</v>
      </c>
      <c r="B15" s="104"/>
      <c r="C15" s="174">
        <f>'5'!I15</f>
        <v>1147</v>
      </c>
      <c r="D15" s="174"/>
      <c r="E15" s="104">
        <v>0</v>
      </c>
      <c r="F15" s="104"/>
      <c r="G15" s="104">
        <v>24</v>
      </c>
      <c r="H15" s="104"/>
      <c r="I15" s="102">
        <f>C15+E15-G15</f>
        <v>1123</v>
      </c>
      <c r="J15" s="103"/>
      <c r="K15" s="102">
        <f>'5'!K15+'6'!E15</f>
        <v>0</v>
      </c>
      <c r="L15" s="103"/>
      <c r="M15" s="102">
        <f>'5'!M15+'6'!G15</f>
        <v>176</v>
      </c>
      <c r="N15" s="103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  <c r="AG15" s="1"/>
    </row>
    <row r="16" spans="1:33" ht="21.9" customHeight="1">
      <c r="A16" s="104" t="s">
        <v>6</v>
      </c>
      <c r="B16" s="104"/>
      <c r="C16" s="174">
        <f>'5'!I16</f>
        <v>2250</v>
      </c>
      <c r="D16" s="174"/>
      <c r="E16" s="104">
        <v>0</v>
      </c>
      <c r="F16" s="104"/>
      <c r="G16" s="104">
        <v>20</v>
      </c>
      <c r="H16" s="104"/>
      <c r="I16" s="102">
        <f t="shared" si="0"/>
        <v>2230</v>
      </c>
      <c r="J16" s="103"/>
      <c r="K16" s="102">
        <f>'5'!K16+'6'!E16</f>
        <v>0</v>
      </c>
      <c r="L16" s="103"/>
      <c r="M16" s="102">
        <f>'5'!M16+'6'!G16</f>
        <v>120</v>
      </c>
      <c r="N16" s="103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'5'!I17</f>
        <v>2290</v>
      </c>
      <c r="D17" s="174"/>
      <c r="E17" s="104">
        <v>0</v>
      </c>
      <c r="F17" s="104"/>
      <c r="G17" s="104">
        <v>200</v>
      </c>
      <c r="H17" s="104"/>
      <c r="I17" s="102">
        <f t="shared" si="0"/>
        <v>2090</v>
      </c>
      <c r="J17" s="103"/>
      <c r="K17" s="102">
        <f>'5'!K17+'6'!E17</f>
        <v>1440</v>
      </c>
      <c r="L17" s="103"/>
      <c r="M17" s="102">
        <f>'5'!M17+'6'!G17</f>
        <v>1200</v>
      </c>
      <c r="N17" s="103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'5'!I18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0"/>
        <v>5340</v>
      </c>
      <c r="J18" s="103"/>
      <c r="K18" s="102">
        <f>'5'!K18+'6'!E18</f>
        <v>0</v>
      </c>
      <c r="L18" s="103"/>
      <c r="M18" s="102">
        <f>'5'!M18+'6'!G18</f>
        <v>0</v>
      </c>
      <c r="N18" s="103"/>
      <c r="O18" s="1"/>
      <c r="P18" s="164" t="s">
        <v>27</v>
      </c>
      <c r="Q18" s="164"/>
      <c r="R18" s="164"/>
      <c r="S18" s="114">
        <v>2</v>
      </c>
      <c r="T18" s="115"/>
      <c r="U18" s="114">
        <v>2</v>
      </c>
      <c r="V18" s="115"/>
      <c r="W18" s="114">
        <f>S18+U18</f>
        <v>4</v>
      </c>
      <c r="X18" s="115"/>
      <c r="Y18" s="151">
        <f>'5'!Y18+'6'!W18</f>
        <v>24</v>
      </c>
      <c r="Z18" s="151"/>
    </row>
    <row r="19" spans="1:31" ht="21.9" customHeight="1">
      <c r="A19" s="153" t="s">
        <v>62</v>
      </c>
      <c r="B19" s="153"/>
      <c r="C19" s="174">
        <f>'5'!I19</f>
        <v>95804</v>
      </c>
      <c r="D19" s="174"/>
      <c r="E19" s="154">
        <v>70810</v>
      </c>
      <c r="F19" s="154"/>
      <c r="G19" s="154">
        <f>D7</f>
        <v>73379</v>
      </c>
      <c r="H19" s="154"/>
      <c r="I19" s="99">
        <f t="shared" ref="I19" si="1">C19+E19-G19</f>
        <v>93235</v>
      </c>
      <c r="J19" s="101"/>
      <c r="K19" s="99">
        <f>'5'!K19+'6'!E19</f>
        <v>379370</v>
      </c>
      <c r="L19" s="101"/>
      <c r="M19" s="99">
        <f>'5'!M19+'6'!G19</f>
        <v>396135</v>
      </c>
      <c r="N19" s="101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'5'!I20</f>
        <v>-</v>
      </c>
      <c r="D20" s="174"/>
      <c r="E20" s="102"/>
      <c r="F20" s="103"/>
      <c r="G20" s="104"/>
      <c r="H20" s="104"/>
      <c r="I20" s="102" t="s">
        <v>60</v>
      </c>
      <c r="J20" s="103"/>
      <c r="K20" s="105">
        <f>'5'!K20+'6'!E20</f>
        <v>0</v>
      </c>
      <c r="L20" s="105"/>
      <c r="M20" s="99">
        <f>'5'!M20+'6'!G20</f>
        <v>0</v>
      </c>
      <c r="N20" s="101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'5'!G24</f>
        <v>3798128</v>
      </c>
      <c r="E24" s="187"/>
      <c r="F24" s="187"/>
      <c r="G24" s="164">
        <v>3819302</v>
      </c>
      <c r="H24" s="164"/>
      <c r="I24" s="164"/>
      <c r="J24" s="164">
        <f>G24-D24</f>
        <v>21174</v>
      </c>
      <c r="K24" s="164"/>
      <c r="L24" s="164"/>
      <c r="M24" s="107">
        <f>'5'!M24+J24</f>
        <v>147734</v>
      </c>
      <c r="N24" s="109"/>
      <c r="P24" s="105" t="s">
        <v>36</v>
      </c>
      <c r="Q24" s="105"/>
      <c r="R24" s="105"/>
      <c r="S24" s="105">
        <f>'5'!V24</f>
        <v>424.3</v>
      </c>
      <c r="T24" s="105"/>
      <c r="U24" s="105"/>
      <c r="V24" s="140">
        <v>426.3</v>
      </c>
      <c r="W24" s="140"/>
      <c r="X24" s="140"/>
      <c r="Y24" s="140">
        <f>'5'!Y24+'6'!V24</f>
        <v>2567.2000000000003</v>
      </c>
      <c r="Z24" s="140"/>
    </row>
    <row r="25" spans="1:31" ht="21.9" customHeight="1">
      <c r="A25" s="104" t="s">
        <v>30</v>
      </c>
      <c r="B25" s="104"/>
      <c r="C25" s="104"/>
      <c r="D25" s="102">
        <f>'5'!G25</f>
        <v>32955.5</v>
      </c>
      <c r="E25" s="106"/>
      <c r="F25" s="103"/>
      <c r="G25" s="104">
        <v>32988.400000000001</v>
      </c>
      <c r="H25" s="104"/>
      <c r="I25" s="104"/>
      <c r="J25" s="104">
        <f>G25-D25</f>
        <v>32.900000000001455</v>
      </c>
      <c r="K25" s="104"/>
      <c r="L25" s="104"/>
      <c r="M25" s="102">
        <f>'5'!M25+J25</f>
        <v>224.30000000000291</v>
      </c>
      <c r="N25" s="103"/>
      <c r="P25" s="104" t="s">
        <v>37</v>
      </c>
      <c r="Q25" s="104"/>
      <c r="R25" s="104"/>
      <c r="S25" s="105">
        <f>'5'!V25</f>
        <v>55</v>
      </c>
      <c r="T25" s="105"/>
      <c r="U25" s="105"/>
      <c r="V25" s="137">
        <v>57.3</v>
      </c>
      <c r="W25" s="137"/>
      <c r="X25" s="137"/>
      <c r="Y25" s="188">
        <f>'5'!Y25+'6'!V25</f>
        <v>337.4</v>
      </c>
      <c r="Z25" s="190"/>
    </row>
    <row r="26" spans="1:31" ht="21.9" customHeight="1">
      <c r="A26" s="104" t="s">
        <v>31</v>
      </c>
      <c r="B26" s="104"/>
      <c r="C26" s="104"/>
      <c r="D26" s="102">
        <f>'5'!G26</f>
        <v>24410</v>
      </c>
      <c r="E26" s="106"/>
      <c r="F26" s="103"/>
      <c r="G26" s="104">
        <v>24430</v>
      </c>
      <c r="H26" s="104"/>
      <c r="I26" s="104"/>
      <c r="J26" s="104">
        <f t="shared" ref="J26:J33" si="2">G26-D26</f>
        <v>20</v>
      </c>
      <c r="K26" s="104"/>
      <c r="L26" s="104"/>
      <c r="M26" s="102">
        <f>'5'!M26+J26</f>
        <v>130</v>
      </c>
      <c r="N26" s="103"/>
      <c r="P26" s="104" t="s">
        <v>38</v>
      </c>
      <c r="Q26" s="104"/>
      <c r="R26" s="104"/>
      <c r="S26" s="105">
        <f>'5'!V26</f>
        <v>454.9</v>
      </c>
      <c r="T26" s="105"/>
      <c r="U26" s="105"/>
      <c r="V26" s="137">
        <v>541.20000000000005</v>
      </c>
      <c r="W26" s="137"/>
      <c r="X26" s="137"/>
      <c r="Y26" s="188">
        <f>'5'!Y26+'6'!V26</f>
        <v>2833.5</v>
      </c>
      <c r="Z26" s="190"/>
    </row>
    <row r="27" spans="1:31" ht="21.9" customHeight="1">
      <c r="A27" s="104" t="s">
        <v>32</v>
      </c>
      <c r="B27" s="104"/>
      <c r="C27" s="104"/>
      <c r="D27" s="102">
        <f>'5'!G27</f>
        <v>1359000</v>
      </c>
      <c r="E27" s="106"/>
      <c r="F27" s="103"/>
      <c r="G27" s="104">
        <v>1362000</v>
      </c>
      <c r="H27" s="104"/>
      <c r="I27" s="104"/>
      <c r="J27" s="104">
        <f t="shared" si="2"/>
        <v>3000</v>
      </c>
      <c r="K27" s="104"/>
      <c r="L27" s="104"/>
      <c r="M27" s="102">
        <f>'5'!M27+J27</f>
        <v>23000</v>
      </c>
      <c r="N27" s="103"/>
      <c r="P27" s="104" t="s">
        <v>39</v>
      </c>
      <c r="Q27" s="104"/>
      <c r="R27" s="104"/>
      <c r="S27" s="105">
        <f>'5'!V27</f>
        <v>491</v>
      </c>
      <c r="T27" s="105"/>
      <c r="U27" s="105"/>
      <c r="V27" s="137">
        <v>531.5</v>
      </c>
      <c r="W27" s="137"/>
      <c r="X27" s="137"/>
      <c r="Y27" s="188">
        <f>'5'!Y27+'6'!V27</f>
        <v>2999.1</v>
      </c>
      <c r="Z27" s="190"/>
    </row>
    <row r="28" spans="1:31" ht="21.9" customHeight="1">
      <c r="A28" s="104" t="s">
        <v>33</v>
      </c>
      <c r="B28" s="104"/>
      <c r="C28" s="104"/>
      <c r="D28" s="102">
        <f>'5'!G28</f>
        <v>5257</v>
      </c>
      <c r="E28" s="106"/>
      <c r="F28" s="103"/>
      <c r="G28" s="104">
        <v>5310</v>
      </c>
      <c r="H28" s="104"/>
      <c r="I28" s="104"/>
      <c r="J28" s="104">
        <f t="shared" si="2"/>
        <v>53</v>
      </c>
      <c r="K28" s="104"/>
      <c r="L28" s="104"/>
      <c r="M28" s="102">
        <f>'5'!M28+J28</f>
        <v>372</v>
      </c>
      <c r="N28" s="103"/>
      <c r="P28" s="104" t="s">
        <v>41</v>
      </c>
      <c r="Q28" s="104"/>
      <c r="R28" s="104"/>
      <c r="S28" s="105">
        <f>'5'!V28</f>
        <v>0</v>
      </c>
      <c r="T28" s="105"/>
      <c r="U28" s="105"/>
      <c r="V28" s="137">
        <v>0</v>
      </c>
      <c r="W28" s="137"/>
      <c r="X28" s="137"/>
      <c r="Y28" s="188">
        <f>'5'!Y28+'6'!V28</f>
        <v>0</v>
      </c>
      <c r="Z28" s="190"/>
    </row>
    <row r="29" spans="1:31" ht="21.9" customHeight="1">
      <c r="A29" s="104" t="s">
        <v>34</v>
      </c>
      <c r="B29" s="104"/>
      <c r="C29" s="104"/>
      <c r="D29" s="102">
        <f>'5'!G29</f>
        <v>66200</v>
      </c>
      <c r="E29" s="106"/>
      <c r="F29" s="103"/>
      <c r="G29" s="104">
        <v>66200</v>
      </c>
      <c r="H29" s="104"/>
      <c r="I29" s="104"/>
      <c r="J29" s="104">
        <f t="shared" si="2"/>
        <v>0</v>
      </c>
      <c r="K29" s="104"/>
      <c r="L29" s="104"/>
      <c r="M29" s="102">
        <f>'5'!M29+J29</f>
        <v>20</v>
      </c>
      <c r="N29" s="103"/>
      <c r="P29" s="104" t="s">
        <v>40</v>
      </c>
      <c r="Q29" s="104"/>
      <c r="R29" s="104"/>
      <c r="S29" s="105">
        <f>'5'!V29</f>
        <v>61.2</v>
      </c>
      <c r="T29" s="105"/>
      <c r="U29" s="105"/>
      <c r="V29" s="137">
        <v>61.6</v>
      </c>
      <c r="W29" s="137"/>
      <c r="X29" s="137"/>
      <c r="Y29" s="188">
        <f>'5'!Y29+'6'!V29</f>
        <v>370</v>
      </c>
      <c r="Z29" s="190"/>
    </row>
    <row r="30" spans="1:31" ht="21.9" customHeight="1">
      <c r="A30" s="104" t="s">
        <v>35</v>
      </c>
      <c r="B30" s="104"/>
      <c r="C30" s="104"/>
      <c r="D30" s="102">
        <f>'5'!G30</f>
        <v>53290</v>
      </c>
      <c r="E30" s="106"/>
      <c r="F30" s="103"/>
      <c r="G30" s="104">
        <v>53310</v>
      </c>
      <c r="H30" s="104"/>
      <c r="I30" s="104"/>
      <c r="J30" s="104">
        <f t="shared" si="2"/>
        <v>20</v>
      </c>
      <c r="K30" s="104"/>
      <c r="L30" s="104"/>
      <c r="M30" s="102">
        <f>'5'!M30+J30</f>
        <v>90</v>
      </c>
      <c r="N30" s="103"/>
      <c r="P30" s="104" t="s">
        <v>28</v>
      </c>
      <c r="Q30" s="104"/>
      <c r="R30" s="104"/>
      <c r="S30" s="104">
        <f>SUM(S24:U29)</f>
        <v>1486.4</v>
      </c>
      <c r="T30" s="104"/>
      <c r="U30" s="104"/>
      <c r="V30" s="137"/>
      <c r="W30" s="137"/>
      <c r="X30" s="137"/>
      <c r="Y30" s="188">
        <f>'5'!Y30+'6'!V30</f>
        <v>1528.3</v>
      </c>
      <c r="Z30" s="190"/>
    </row>
    <row r="31" spans="1:31" ht="21.9" customHeight="1">
      <c r="A31" s="104" t="s">
        <v>120</v>
      </c>
      <c r="B31" s="104"/>
      <c r="C31" s="104"/>
      <c r="D31" s="102">
        <f>'5'!G31</f>
        <v>6244869</v>
      </c>
      <c r="E31" s="106"/>
      <c r="F31" s="103"/>
      <c r="G31" s="102">
        <v>6252030</v>
      </c>
      <c r="H31" s="106"/>
      <c r="I31" s="103"/>
      <c r="J31" s="102">
        <f t="shared" si="2"/>
        <v>7161</v>
      </c>
      <c r="K31" s="106">
        <v>12.255000000000001</v>
      </c>
      <c r="L31" s="103">
        <v>12.255000000000001</v>
      </c>
      <c r="M31" s="102">
        <f>'5'!M31+J31</f>
        <v>49935</v>
      </c>
      <c r="N31" s="103"/>
      <c r="P31" s="57"/>
      <c r="Q31" s="57"/>
      <c r="R31" s="57"/>
      <c r="S31" s="57"/>
      <c r="T31" s="57"/>
      <c r="U31" s="57"/>
      <c r="V31" s="58"/>
      <c r="W31" s="58"/>
      <c r="X31" s="58"/>
      <c r="Y31" s="58"/>
      <c r="Z31" s="58"/>
    </row>
    <row r="32" spans="1:31" ht="21.9" customHeight="1">
      <c r="A32" s="104" t="s">
        <v>121</v>
      </c>
      <c r="B32" s="104"/>
      <c r="C32" s="104"/>
      <c r="D32" s="102">
        <f>'5'!G32</f>
        <v>1.6</v>
      </c>
      <c r="E32" s="106"/>
      <c r="F32" s="103"/>
      <c r="G32" s="102">
        <v>1.7</v>
      </c>
      <c r="H32" s="106"/>
      <c r="I32" s="103"/>
      <c r="J32" s="102">
        <f t="shared" si="2"/>
        <v>9.9999999999999867E-2</v>
      </c>
      <c r="K32" s="106">
        <v>12.255000000000001</v>
      </c>
      <c r="L32" s="103">
        <v>12.255000000000001</v>
      </c>
      <c r="M32" s="102">
        <f>'5'!M32+J32</f>
        <v>9.9999999999999867E-2</v>
      </c>
      <c r="N32" s="103"/>
      <c r="P32" s="57"/>
      <c r="Q32" s="57"/>
      <c r="R32" s="57"/>
      <c r="S32" s="57"/>
      <c r="T32" s="57"/>
      <c r="U32" s="57"/>
      <c r="V32" s="58"/>
      <c r="W32" s="58"/>
      <c r="X32" s="58"/>
      <c r="Y32" s="58"/>
      <c r="Z32" s="58"/>
    </row>
    <row r="33" spans="1:26" ht="21.9" customHeight="1">
      <c r="A33" s="104" t="s">
        <v>122</v>
      </c>
      <c r="B33" s="104"/>
      <c r="C33" s="104"/>
      <c r="D33" s="102">
        <f>'5'!G33</f>
        <v>0</v>
      </c>
      <c r="E33" s="106"/>
      <c r="F33" s="103"/>
      <c r="G33" s="102">
        <v>0</v>
      </c>
      <c r="H33" s="106"/>
      <c r="I33" s="103"/>
      <c r="J33" s="102">
        <f t="shared" si="2"/>
        <v>0</v>
      </c>
      <c r="K33" s="106">
        <v>12.255000000000001</v>
      </c>
      <c r="L33" s="103">
        <v>12.255000000000001</v>
      </c>
      <c r="M33" s="102">
        <f>'5'!M33+J33</f>
        <v>0</v>
      </c>
      <c r="N33" s="103"/>
      <c r="P33" s="57"/>
      <c r="Q33" s="57"/>
      <c r="R33" s="57"/>
      <c r="S33" s="57"/>
      <c r="T33" s="57"/>
      <c r="U33" s="57"/>
      <c r="V33" s="58"/>
      <c r="W33" s="58"/>
      <c r="X33" s="58"/>
      <c r="Y33" s="58"/>
      <c r="Z33" s="58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H3" name="범위2"/>
    <protectedRange sqref="U2:Z3 R7:Z7 D7:I7 E20:H20 S12:V15 S18:V20 V31:X33" name="범위1"/>
    <protectedRange sqref="J31:L33" name="범위3"/>
    <protectedRange sqref="B2:C3" name="범위1_1_1_1"/>
    <protectedRange sqref="D2:G3" name="범위1_1_2_1"/>
    <protectedRange sqref="E12:H19" name="범위1_1"/>
    <protectedRange sqref="G24:I30" name="범위1_2"/>
    <protectedRange sqref="G31:I33" name="범위3_1"/>
    <protectedRange sqref="V24:X30" name="범위1_3"/>
  </protectedRanges>
  <mergeCells count="223">
    <mergeCell ref="A63:B76"/>
    <mergeCell ref="C63:Z76"/>
    <mergeCell ref="V30:X30"/>
    <mergeCell ref="Y30:Z30"/>
    <mergeCell ref="A36:B48"/>
    <mergeCell ref="C36:Z48"/>
    <mergeCell ref="A49:B62"/>
    <mergeCell ref="C49:Z62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M33:N33"/>
    <mergeCell ref="S30:U30"/>
    <mergeCell ref="A29:C29"/>
    <mergeCell ref="D29:F29"/>
    <mergeCell ref="G29:I29"/>
    <mergeCell ref="J29:L29"/>
    <mergeCell ref="M29:N29"/>
    <mergeCell ref="P29:R29"/>
    <mergeCell ref="S29:U29"/>
    <mergeCell ref="V29:X29"/>
    <mergeCell ref="Y29:Z29"/>
    <mergeCell ref="A28:C28"/>
    <mergeCell ref="D28:F28"/>
    <mergeCell ref="G28:I28"/>
    <mergeCell ref="J28:L28"/>
    <mergeCell ref="M28:N28"/>
    <mergeCell ref="P28:R28"/>
    <mergeCell ref="S28:U28"/>
    <mergeCell ref="V28:X28"/>
    <mergeCell ref="Y28:Z28"/>
    <mergeCell ref="S26:U26"/>
    <mergeCell ref="V26:X26"/>
    <mergeCell ref="Y26:Z26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V27:X27"/>
    <mergeCell ref="Y27:Z27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Y23:Z23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P16:R17"/>
    <mergeCell ref="Y16:Z17"/>
    <mergeCell ref="A17:B17"/>
    <mergeCell ref="C17:D17"/>
    <mergeCell ref="E17:F17"/>
    <mergeCell ref="G17:H17"/>
    <mergeCell ref="M20:N20"/>
    <mergeCell ref="P22:U22"/>
    <mergeCell ref="A23:C23"/>
    <mergeCell ref="D23:F23"/>
    <mergeCell ref="G23:I23"/>
    <mergeCell ref="J23:L23"/>
    <mergeCell ref="M23:N23"/>
    <mergeCell ref="P23:R23"/>
    <mergeCell ref="S23:U23"/>
    <mergeCell ref="P18:R20"/>
    <mergeCell ref="A19:B19"/>
    <mergeCell ref="C19:D19"/>
    <mergeCell ref="E19:F19"/>
    <mergeCell ref="G19:H19"/>
    <mergeCell ref="I19:J19"/>
    <mergeCell ref="K19:L19"/>
    <mergeCell ref="M19:N19"/>
    <mergeCell ref="V23:X23"/>
    <mergeCell ref="A20:B20"/>
    <mergeCell ref="C20:D20"/>
    <mergeCell ref="E20:F20"/>
    <mergeCell ref="G20:H20"/>
    <mergeCell ref="I20:J20"/>
    <mergeCell ref="K20:L20"/>
    <mergeCell ref="M17:N17"/>
    <mergeCell ref="A18:B18"/>
    <mergeCell ref="C18:D18"/>
    <mergeCell ref="E18:F18"/>
    <mergeCell ref="G18:H18"/>
    <mergeCell ref="I18:J18"/>
    <mergeCell ref="K18:L18"/>
    <mergeCell ref="M18:N18"/>
    <mergeCell ref="I17:J17"/>
    <mergeCell ref="K17:L17"/>
    <mergeCell ref="A16:B16"/>
    <mergeCell ref="C16:D16"/>
    <mergeCell ref="E16:F16"/>
    <mergeCell ref="G16:H16"/>
    <mergeCell ref="I16:J16"/>
    <mergeCell ref="K16:L16"/>
    <mergeCell ref="M16:N16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3:N13"/>
    <mergeCell ref="P12:R13"/>
    <mergeCell ref="P14:R15"/>
    <mergeCell ref="A15:B15"/>
    <mergeCell ref="C15:D15"/>
    <mergeCell ref="E15:F15"/>
    <mergeCell ref="G15:H15"/>
    <mergeCell ref="I15:J15"/>
    <mergeCell ref="K15:L15"/>
    <mergeCell ref="A12:B12"/>
    <mergeCell ref="C12:D12"/>
    <mergeCell ref="E12:F12"/>
    <mergeCell ref="G12:H12"/>
    <mergeCell ref="I12:J12"/>
    <mergeCell ref="K12:L12"/>
    <mergeCell ref="M12:N12"/>
    <mergeCell ref="M15:N15"/>
    <mergeCell ref="A11:B11"/>
    <mergeCell ref="C11:D11"/>
    <mergeCell ref="E11:F11"/>
    <mergeCell ref="G11:H11"/>
    <mergeCell ref="I11:J11"/>
    <mergeCell ref="K11:L11"/>
    <mergeCell ref="M11:N11"/>
    <mergeCell ref="P11:R11"/>
    <mergeCell ref="A8:C8"/>
    <mergeCell ref="D8:F8"/>
    <mergeCell ref="G8:I8"/>
    <mergeCell ref="J8:L8"/>
    <mergeCell ref="P8:Q8"/>
    <mergeCell ref="R8:T8"/>
    <mergeCell ref="S11:V11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G6:I6"/>
    <mergeCell ref="J6:L6"/>
    <mergeCell ref="P6:Q6"/>
    <mergeCell ref="R6:T6"/>
    <mergeCell ref="A1:A3"/>
    <mergeCell ref="W1:X1"/>
    <mergeCell ref="H1:S2"/>
    <mergeCell ref="T1:T3"/>
    <mergeCell ref="U1:V1"/>
    <mergeCell ref="U2:V3"/>
    <mergeCell ref="H3:S3"/>
    <mergeCell ref="B1:C1"/>
    <mergeCell ref="D1:E1"/>
    <mergeCell ref="F1:G1"/>
    <mergeCell ref="B2:C3"/>
    <mergeCell ref="D2:E3"/>
    <mergeCell ref="F2:G3"/>
    <mergeCell ref="S14:V15"/>
    <mergeCell ref="W14:Z15"/>
    <mergeCell ref="S16:T17"/>
    <mergeCell ref="U16:V17"/>
    <mergeCell ref="W16:X17"/>
    <mergeCell ref="S18:T20"/>
    <mergeCell ref="U18:V20"/>
    <mergeCell ref="W18:X20"/>
    <mergeCell ref="Y1:Z1"/>
    <mergeCell ref="U6:W6"/>
    <mergeCell ref="X6:Z6"/>
    <mergeCell ref="U8:W8"/>
    <mergeCell ref="X8:Z8"/>
    <mergeCell ref="W11:Z11"/>
    <mergeCell ref="Y18:Z20"/>
    <mergeCell ref="S12:V13"/>
    <mergeCell ref="W12:Z13"/>
    <mergeCell ref="W2:X3"/>
    <mergeCell ref="Y2:Z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zoomScaleNormal="100" zoomScaleSheetLayoutView="100" workbookViewId="0">
      <selection activeCell="J32" sqref="J32:L32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148</v>
      </c>
      <c r="C2" s="135"/>
      <c r="D2" s="135" t="s">
        <v>154</v>
      </c>
      <c r="E2" s="135"/>
      <c r="F2" s="135" t="s">
        <v>147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05"/>
      <c r="E3" s="105"/>
      <c r="F3" s="105"/>
      <c r="G3" s="105"/>
      <c r="H3" s="132">
        <v>46210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203">
        <v>78842</v>
      </c>
      <c r="E7" s="204"/>
      <c r="F7" s="205"/>
      <c r="G7" s="203">
        <v>117000</v>
      </c>
      <c r="H7" s="204"/>
      <c r="I7" s="205"/>
      <c r="J7" s="154">
        <f>D7+G7</f>
        <v>195842</v>
      </c>
      <c r="K7" s="154"/>
      <c r="L7" s="154"/>
      <c r="M7" s="1"/>
      <c r="N7" s="1"/>
      <c r="O7" s="1"/>
      <c r="P7" s="105" t="s">
        <v>48</v>
      </c>
      <c r="Q7" s="105"/>
      <c r="R7" s="140">
        <v>455</v>
      </c>
      <c r="S7" s="140"/>
      <c r="T7" s="140"/>
      <c r="U7" s="140">
        <v>259.2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'6'!D8+D7</f>
        <v>474977</v>
      </c>
      <c r="E8" s="154"/>
      <c r="F8" s="154"/>
      <c r="G8" s="154">
        <f>'6'!G8+G7</f>
        <v>1105800</v>
      </c>
      <c r="H8" s="154"/>
      <c r="I8" s="154"/>
      <c r="J8" s="154">
        <f>D8+G8</f>
        <v>1580777</v>
      </c>
      <c r="K8" s="154"/>
      <c r="L8" s="154"/>
      <c r="M8" s="1"/>
      <c r="N8" s="1"/>
      <c r="O8" s="1"/>
      <c r="P8" s="104" t="s">
        <v>2</v>
      </c>
      <c r="Q8" s="104"/>
      <c r="R8" s="137">
        <f>'6'!R8+'7'!R7</f>
        <v>3329.7</v>
      </c>
      <c r="S8" s="137"/>
      <c r="T8" s="137"/>
      <c r="U8" s="137">
        <f>'6'!U8+U7</f>
        <v>2342.1</v>
      </c>
      <c r="V8" s="137"/>
      <c r="W8" s="137"/>
      <c r="X8" s="138">
        <f>'6'!X8+X7</f>
        <v>168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'6'!I12</f>
        <v>7044</v>
      </c>
      <c r="D12" s="174"/>
      <c r="E12" s="105">
        <v>16020</v>
      </c>
      <c r="F12" s="105"/>
      <c r="G12" s="105">
        <v>3356</v>
      </c>
      <c r="H12" s="105"/>
      <c r="I12" s="107">
        <f t="shared" ref="I12:I18" si="0">C12+E12-G12</f>
        <v>19708</v>
      </c>
      <c r="J12" s="109"/>
      <c r="K12" s="105">
        <f>'6'!K12+E12</f>
        <v>31470</v>
      </c>
      <c r="L12" s="105"/>
      <c r="M12" s="105">
        <f>'6'!M12+'7'!G12</f>
        <v>26676</v>
      </c>
      <c r="N12" s="105"/>
      <c r="O12" s="1"/>
      <c r="P12" s="149" t="s">
        <v>101</v>
      </c>
      <c r="Q12" s="105"/>
      <c r="R12" s="105"/>
      <c r="S12" s="143">
        <v>55.97</v>
      </c>
      <c r="T12" s="144"/>
      <c r="U12" s="144"/>
      <c r="V12" s="144"/>
      <c r="W12" s="194">
        <f>'6'!W12+'7'!S12</f>
        <v>276.60000000000002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'6'!I13</f>
        <v>730</v>
      </c>
      <c r="D13" s="174"/>
      <c r="E13" s="104">
        <v>0</v>
      </c>
      <c r="F13" s="104"/>
      <c r="G13" s="104">
        <v>90</v>
      </c>
      <c r="H13" s="104"/>
      <c r="I13" s="102">
        <f t="shared" si="0"/>
        <v>640</v>
      </c>
      <c r="J13" s="103"/>
      <c r="K13" s="105">
        <f>'6'!K13+E13</f>
        <v>710</v>
      </c>
      <c r="L13" s="105"/>
      <c r="M13" s="105">
        <f>'6'!M13+'7'!G13</f>
        <v>660</v>
      </c>
      <c r="N13" s="105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'6'!I14</f>
        <v>1880</v>
      </c>
      <c r="D14" s="174"/>
      <c r="E14" s="104">
        <v>0</v>
      </c>
      <c r="F14" s="104"/>
      <c r="G14" s="104">
        <v>120</v>
      </c>
      <c r="H14" s="104"/>
      <c r="I14" s="102">
        <f t="shared" si="0"/>
        <v>1760</v>
      </c>
      <c r="J14" s="103"/>
      <c r="K14" s="105">
        <f>'6'!K14+E14</f>
        <v>2000</v>
      </c>
      <c r="L14" s="105"/>
      <c r="M14" s="105">
        <f>'6'!M14+'7'!G14</f>
        <v>840</v>
      </c>
      <c r="N14" s="105"/>
      <c r="O14" s="1"/>
      <c r="P14" s="104" t="s">
        <v>26</v>
      </c>
      <c r="Q14" s="104"/>
      <c r="R14" s="104"/>
      <c r="S14" s="155">
        <v>24.8</v>
      </c>
      <c r="T14" s="156"/>
      <c r="U14" s="156"/>
      <c r="V14" s="156"/>
      <c r="W14" s="186">
        <f>'6'!W14+'7'!S14</f>
        <v>71.64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'6'!I15</f>
        <v>1123</v>
      </c>
      <c r="D15" s="174"/>
      <c r="E15" s="104">
        <v>0</v>
      </c>
      <c r="F15" s="104"/>
      <c r="G15" s="104">
        <v>33</v>
      </c>
      <c r="H15" s="104"/>
      <c r="I15" s="102">
        <f t="shared" si="0"/>
        <v>1090</v>
      </c>
      <c r="J15" s="103"/>
      <c r="K15" s="105">
        <f>'6'!K15+E15</f>
        <v>0</v>
      </c>
      <c r="L15" s="105"/>
      <c r="M15" s="105">
        <f>'6'!M15+'7'!G15</f>
        <v>209</v>
      </c>
      <c r="N15" s="105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'6'!I16</f>
        <v>2230</v>
      </c>
      <c r="D16" s="174"/>
      <c r="E16" s="104">
        <v>0</v>
      </c>
      <c r="F16" s="104"/>
      <c r="G16" s="104">
        <v>20</v>
      </c>
      <c r="H16" s="104"/>
      <c r="I16" s="102">
        <f t="shared" si="0"/>
        <v>2210</v>
      </c>
      <c r="J16" s="103"/>
      <c r="K16" s="105">
        <f>'6'!K16+E16</f>
        <v>0</v>
      </c>
      <c r="L16" s="105"/>
      <c r="M16" s="105">
        <f>'6'!M16+'7'!G16</f>
        <v>140</v>
      </c>
      <c r="N16" s="105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'6'!I17</f>
        <v>2090</v>
      </c>
      <c r="D17" s="174"/>
      <c r="E17" s="104">
        <v>0</v>
      </c>
      <c r="F17" s="104"/>
      <c r="G17" s="104">
        <v>200</v>
      </c>
      <c r="H17" s="104"/>
      <c r="I17" s="102">
        <f t="shared" si="0"/>
        <v>1890</v>
      </c>
      <c r="J17" s="103"/>
      <c r="K17" s="105">
        <f>'6'!K17+E17</f>
        <v>1440</v>
      </c>
      <c r="L17" s="105"/>
      <c r="M17" s="105">
        <f>'6'!M17+'7'!G17</f>
        <v>1400</v>
      </c>
      <c r="N17" s="105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'6'!I18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0"/>
        <v>5340</v>
      </c>
      <c r="J18" s="103"/>
      <c r="K18" s="105">
        <f>'6'!K18+E18</f>
        <v>0</v>
      </c>
      <c r="L18" s="105"/>
      <c r="M18" s="105">
        <f>'6'!M18+'7'!G18</f>
        <v>0</v>
      </c>
      <c r="N18" s="105"/>
      <c r="O18" s="1"/>
      <c r="P18" s="164" t="s">
        <v>27</v>
      </c>
      <c r="Q18" s="164"/>
      <c r="R18" s="164"/>
      <c r="S18" s="114">
        <v>2</v>
      </c>
      <c r="T18" s="115"/>
      <c r="U18" s="114">
        <v>1</v>
      </c>
      <c r="V18" s="115"/>
      <c r="W18" s="114">
        <f>S18+U18</f>
        <v>3</v>
      </c>
      <c r="X18" s="115"/>
      <c r="Y18" s="151">
        <f>'6'!Y18+'7'!W18</f>
        <v>27</v>
      </c>
      <c r="Z18" s="151"/>
    </row>
    <row r="19" spans="1:31" ht="21.9" customHeight="1">
      <c r="A19" s="153" t="s">
        <v>62</v>
      </c>
      <c r="B19" s="153"/>
      <c r="C19" s="174">
        <f>'6'!I19</f>
        <v>93235</v>
      </c>
      <c r="D19" s="174"/>
      <c r="E19" s="154">
        <v>66070</v>
      </c>
      <c r="F19" s="154"/>
      <c r="G19" s="154">
        <v>78842</v>
      </c>
      <c r="H19" s="154"/>
      <c r="I19" s="99">
        <f t="shared" ref="I19" si="1">C19+E19-G19</f>
        <v>80463</v>
      </c>
      <c r="J19" s="101"/>
      <c r="K19" s="139">
        <f>'6'!K19+E19</f>
        <v>445440</v>
      </c>
      <c r="L19" s="139"/>
      <c r="M19" s="139">
        <f>'6'!M19+'7'!G19</f>
        <v>474977</v>
      </c>
      <c r="N19" s="139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'6'!I20</f>
        <v>-</v>
      </c>
      <c r="D20" s="174"/>
      <c r="E20" s="102">
        <v>0</v>
      </c>
      <c r="F20" s="103"/>
      <c r="G20" s="104">
        <v>0</v>
      </c>
      <c r="H20" s="104"/>
      <c r="I20" s="102" t="s">
        <v>60</v>
      </c>
      <c r="J20" s="103"/>
      <c r="K20" s="105">
        <f>'6'!K20+'7'!E20</f>
        <v>0</v>
      </c>
      <c r="L20" s="105"/>
      <c r="M20" s="139">
        <f>'6'!M20+'7'!G20</f>
        <v>0</v>
      </c>
      <c r="N20" s="139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'6'!G24</f>
        <v>3819302</v>
      </c>
      <c r="E24" s="187"/>
      <c r="F24" s="187"/>
      <c r="G24" s="164">
        <v>3840163</v>
      </c>
      <c r="H24" s="164"/>
      <c r="I24" s="164"/>
      <c r="J24" s="164">
        <f>G24-D24</f>
        <v>20861</v>
      </c>
      <c r="K24" s="164"/>
      <c r="L24" s="164"/>
      <c r="M24" s="164">
        <f>'6'!M24+J24</f>
        <v>168595</v>
      </c>
      <c r="N24" s="164"/>
      <c r="P24" s="105" t="s">
        <v>36</v>
      </c>
      <c r="Q24" s="105"/>
      <c r="R24" s="105"/>
      <c r="S24" s="105">
        <f>'6'!V24</f>
        <v>426.3</v>
      </c>
      <c r="T24" s="105"/>
      <c r="U24" s="105"/>
      <c r="V24" s="140">
        <v>421.4</v>
      </c>
      <c r="W24" s="140"/>
      <c r="X24" s="140"/>
      <c r="Y24" s="140">
        <f>'6'!Y24+'7'!V24</f>
        <v>2988.6000000000004</v>
      </c>
      <c r="Z24" s="140"/>
    </row>
    <row r="25" spans="1:31" ht="21.9" customHeight="1">
      <c r="A25" s="104" t="s">
        <v>30</v>
      </c>
      <c r="B25" s="104"/>
      <c r="C25" s="104"/>
      <c r="D25" s="104">
        <f>'6'!G25</f>
        <v>32988.400000000001</v>
      </c>
      <c r="E25" s="104"/>
      <c r="F25" s="104"/>
      <c r="G25" s="104">
        <v>33021.800000000003</v>
      </c>
      <c r="H25" s="104"/>
      <c r="I25" s="104"/>
      <c r="J25" s="104">
        <f>G25-D25</f>
        <v>33.400000000001455</v>
      </c>
      <c r="K25" s="104"/>
      <c r="L25" s="104"/>
      <c r="M25" s="102">
        <f>'6'!M25+J25</f>
        <v>257.70000000000437</v>
      </c>
      <c r="N25" s="103"/>
      <c r="P25" s="104" t="s">
        <v>37</v>
      </c>
      <c r="Q25" s="104"/>
      <c r="R25" s="104"/>
      <c r="S25" s="102">
        <f>'6'!V25</f>
        <v>57.3</v>
      </c>
      <c r="T25" s="106"/>
      <c r="U25" s="103"/>
      <c r="V25" s="137">
        <v>61.2</v>
      </c>
      <c r="W25" s="137"/>
      <c r="X25" s="137"/>
      <c r="Y25" s="188">
        <f>'6'!Y25+'7'!V25</f>
        <v>398.59999999999997</v>
      </c>
      <c r="Z25" s="190"/>
    </row>
    <row r="26" spans="1:31" ht="21.9" customHeight="1">
      <c r="A26" s="104" t="s">
        <v>31</v>
      </c>
      <c r="B26" s="104"/>
      <c r="C26" s="104"/>
      <c r="D26" s="104">
        <f>'6'!G26</f>
        <v>24430</v>
      </c>
      <c r="E26" s="104"/>
      <c r="F26" s="104"/>
      <c r="G26" s="104">
        <v>24450</v>
      </c>
      <c r="H26" s="104"/>
      <c r="I26" s="104"/>
      <c r="J26" s="104">
        <f t="shared" ref="J26:J33" si="2">G26-D26</f>
        <v>20</v>
      </c>
      <c r="K26" s="104"/>
      <c r="L26" s="104"/>
      <c r="M26" s="102">
        <f>'6'!M26+J26</f>
        <v>150</v>
      </c>
      <c r="N26" s="103"/>
      <c r="P26" s="104" t="s">
        <v>38</v>
      </c>
      <c r="Q26" s="104"/>
      <c r="R26" s="104"/>
      <c r="S26" s="102">
        <f>'6'!V26</f>
        <v>541.20000000000005</v>
      </c>
      <c r="T26" s="106"/>
      <c r="U26" s="103"/>
      <c r="V26" s="137">
        <v>574.79999999999995</v>
      </c>
      <c r="W26" s="137"/>
      <c r="X26" s="137"/>
      <c r="Y26" s="188">
        <f>'6'!Y26+'7'!V26</f>
        <v>3408.3</v>
      </c>
      <c r="Z26" s="190"/>
    </row>
    <row r="27" spans="1:31" ht="21.9" customHeight="1">
      <c r="A27" s="104" t="s">
        <v>32</v>
      </c>
      <c r="B27" s="104"/>
      <c r="C27" s="104"/>
      <c r="D27" s="104">
        <f>'6'!G27</f>
        <v>1362000</v>
      </c>
      <c r="E27" s="104"/>
      <c r="F27" s="104"/>
      <c r="G27" s="104">
        <v>1365000</v>
      </c>
      <c r="H27" s="104"/>
      <c r="I27" s="104"/>
      <c r="J27" s="104">
        <f t="shared" si="2"/>
        <v>3000</v>
      </c>
      <c r="K27" s="104"/>
      <c r="L27" s="104"/>
      <c r="M27" s="102">
        <f>'6'!M27+J27</f>
        <v>26000</v>
      </c>
      <c r="N27" s="103"/>
      <c r="P27" s="104" t="s">
        <v>39</v>
      </c>
      <c r="Q27" s="104"/>
      <c r="R27" s="104"/>
      <c r="S27" s="102">
        <f>'6'!V27</f>
        <v>531.5</v>
      </c>
      <c r="T27" s="106"/>
      <c r="U27" s="103"/>
      <c r="V27" s="137">
        <v>527.79999999999995</v>
      </c>
      <c r="W27" s="137"/>
      <c r="X27" s="137"/>
      <c r="Y27" s="188">
        <f>'6'!Y27+'7'!V27</f>
        <v>3526.8999999999996</v>
      </c>
      <c r="Z27" s="190"/>
    </row>
    <row r="28" spans="1:31" ht="21.9" customHeight="1">
      <c r="A28" s="104" t="s">
        <v>33</v>
      </c>
      <c r="B28" s="104"/>
      <c r="C28" s="104"/>
      <c r="D28" s="104">
        <f>'6'!G28</f>
        <v>5310</v>
      </c>
      <c r="E28" s="104"/>
      <c r="F28" s="104"/>
      <c r="G28" s="104">
        <v>5362</v>
      </c>
      <c r="H28" s="104"/>
      <c r="I28" s="104"/>
      <c r="J28" s="104">
        <f t="shared" si="2"/>
        <v>52</v>
      </c>
      <c r="K28" s="104"/>
      <c r="L28" s="104"/>
      <c r="M28" s="102">
        <f>'6'!M28+J28</f>
        <v>424</v>
      </c>
      <c r="N28" s="103"/>
      <c r="P28" s="104" t="s">
        <v>41</v>
      </c>
      <c r="Q28" s="104"/>
      <c r="R28" s="104"/>
      <c r="S28" s="102">
        <f>'6'!V28</f>
        <v>0</v>
      </c>
      <c r="T28" s="106"/>
      <c r="U28" s="103"/>
      <c r="V28" s="188">
        <v>0</v>
      </c>
      <c r="W28" s="189"/>
      <c r="X28" s="190"/>
      <c r="Y28" s="188">
        <f>'6'!Y28+'7'!V28</f>
        <v>0</v>
      </c>
      <c r="Z28" s="190"/>
    </row>
    <row r="29" spans="1:31" ht="21.9" customHeight="1">
      <c r="A29" s="104" t="s">
        <v>34</v>
      </c>
      <c r="B29" s="104"/>
      <c r="C29" s="104"/>
      <c r="D29" s="104">
        <f>'6'!G29</f>
        <v>66200</v>
      </c>
      <c r="E29" s="104"/>
      <c r="F29" s="104"/>
      <c r="G29" s="104">
        <v>66210</v>
      </c>
      <c r="H29" s="104"/>
      <c r="I29" s="104"/>
      <c r="J29" s="104">
        <f t="shared" si="2"/>
        <v>10</v>
      </c>
      <c r="K29" s="104"/>
      <c r="L29" s="104"/>
      <c r="M29" s="102">
        <f>'6'!M29+J29</f>
        <v>30</v>
      </c>
      <c r="N29" s="103"/>
      <c r="P29" s="104" t="s">
        <v>40</v>
      </c>
      <c r="Q29" s="104"/>
      <c r="R29" s="104"/>
      <c r="S29" s="102">
        <f>'6'!V29</f>
        <v>61.6</v>
      </c>
      <c r="T29" s="106"/>
      <c r="U29" s="103"/>
      <c r="V29" s="137">
        <v>69.900000000000006</v>
      </c>
      <c r="W29" s="137"/>
      <c r="X29" s="137"/>
      <c r="Y29" s="188">
        <f>'6'!Y29+'7'!V29</f>
        <v>439.9</v>
      </c>
      <c r="Z29" s="190"/>
    </row>
    <row r="30" spans="1:31" ht="21.9" customHeight="1">
      <c r="A30" s="104" t="s">
        <v>35</v>
      </c>
      <c r="B30" s="104"/>
      <c r="C30" s="104"/>
      <c r="D30" s="104">
        <f>'6'!G30</f>
        <v>53310</v>
      </c>
      <c r="E30" s="104"/>
      <c r="F30" s="104"/>
      <c r="G30" s="104">
        <v>53320</v>
      </c>
      <c r="H30" s="104"/>
      <c r="I30" s="104"/>
      <c r="J30" s="104">
        <f t="shared" si="2"/>
        <v>10</v>
      </c>
      <c r="K30" s="104"/>
      <c r="L30" s="104"/>
      <c r="M30" s="102">
        <f>'6'!M30+J30</f>
        <v>100</v>
      </c>
      <c r="N30" s="103"/>
      <c r="P30" s="104" t="s">
        <v>28</v>
      </c>
      <c r="Q30" s="104"/>
      <c r="R30" s="104"/>
      <c r="S30" s="104">
        <f>SUM(S24:U29)</f>
        <v>1617.9</v>
      </c>
      <c r="T30" s="104"/>
      <c r="U30" s="104"/>
      <c r="V30" s="104"/>
      <c r="W30" s="104"/>
      <c r="X30" s="104"/>
      <c r="Y30" s="188">
        <f>'6'!Y30+'7'!V30</f>
        <v>1528.3</v>
      </c>
      <c r="Z30" s="190"/>
    </row>
    <row r="31" spans="1:31" ht="21.9" customHeight="1">
      <c r="A31" s="104" t="s">
        <v>120</v>
      </c>
      <c r="B31" s="104"/>
      <c r="C31" s="104"/>
      <c r="D31" s="104">
        <f>'6'!G31</f>
        <v>6252030</v>
      </c>
      <c r="E31" s="104"/>
      <c r="F31" s="104"/>
      <c r="G31" s="102">
        <v>6259077</v>
      </c>
      <c r="H31" s="106"/>
      <c r="I31" s="103"/>
      <c r="J31" s="102">
        <f t="shared" si="2"/>
        <v>7047</v>
      </c>
      <c r="K31" s="106">
        <v>12.255000000000001</v>
      </c>
      <c r="L31" s="103">
        <v>12.255000000000001</v>
      </c>
      <c r="M31" s="102">
        <f>'6'!M31+J31</f>
        <v>56982</v>
      </c>
      <c r="N31" s="103"/>
      <c r="P31" s="57"/>
      <c r="Q31" s="57"/>
      <c r="R31" s="57"/>
      <c r="S31" s="57"/>
      <c r="T31" s="57"/>
      <c r="U31" s="57"/>
      <c r="V31" s="57"/>
      <c r="W31" s="57"/>
      <c r="X31" s="57"/>
      <c r="Y31" s="58"/>
      <c r="Z31" s="58"/>
    </row>
    <row r="32" spans="1:31" ht="21.9" customHeight="1">
      <c r="A32" s="104" t="s">
        <v>121</v>
      </c>
      <c r="B32" s="104"/>
      <c r="C32" s="104"/>
      <c r="D32" s="104">
        <f>'6'!G32</f>
        <v>1.7</v>
      </c>
      <c r="E32" s="104"/>
      <c r="F32" s="104"/>
      <c r="G32" s="102">
        <v>1.7</v>
      </c>
      <c r="H32" s="106"/>
      <c r="I32" s="103"/>
      <c r="J32" s="102">
        <f t="shared" si="2"/>
        <v>0</v>
      </c>
      <c r="K32" s="106">
        <v>12.255000000000001</v>
      </c>
      <c r="L32" s="103">
        <v>12.255000000000001</v>
      </c>
      <c r="M32" s="102">
        <f>'6'!M32+J32</f>
        <v>9.9999999999999867E-2</v>
      </c>
      <c r="N32" s="103"/>
      <c r="P32" s="57"/>
      <c r="Q32" s="57"/>
      <c r="R32" s="57"/>
      <c r="S32" s="57"/>
      <c r="T32" s="57"/>
      <c r="U32" s="57"/>
      <c r="V32" s="57"/>
      <c r="W32" s="57"/>
      <c r="X32" s="57"/>
      <c r="Y32" s="58"/>
      <c r="Z32" s="58"/>
    </row>
    <row r="33" spans="1:26" ht="21.9" customHeight="1">
      <c r="A33" s="104" t="s">
        <v>122</v>
      </c>
      <c r="B33" s="104"/>
      <c r="C33" s="104"/>
      <c r="D33" s="104">
        <f>'6'!G33</f>
        <v>0</v>
      </c>
      <c r="E33" s="104"/>
      <c r="F33" s="104"/>
      <c r="G33" s="102">
        <v>0</v>
      </c>
      <c r="H33" s="106"/>
      <c r="I33" s="103"/>
      <c r="J33" s="102">
        <f t="shared" si="2"/>
        <v>0</v>
      </c>
      <c r="K33" s="106">
        <v>12.255000000000001</v>
      </c>
      <c r="L33" s="103">
        <v>12.255000000000001</v>
      </c>
      <c r="M33" s="102">
        <f>'6'!M33+J33</f>
        <v>0</v>
      </c>
      <c r="N33" s="103"/>
      <c r="P33" s="57"/>
      <c r="Q33" s="57"/>
      <c r="R33" s="57"/>
      <c r="S33" s="57"/>
      <c r="T33" s="57"/>
      <c r="U33" s="57"/>
      <c r="V33" s="57"/>
      <c r="W33" s="57"/>
      <c r="X33" s="57"/>
      <c r="Y33" s="58"/>
      <c r="Z33" s="58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H3" name="범위2"/>
    <protectedRange sqref="U2:Z3 D7:I7 R7:Z7 E20:H20 S12:V15 S18:V20 V31:X33" name="범위1"/>
    <protectedRange sqref="J31:L33" name="범위3"/>
    <protectedRange sqref="E12:H19" name="범위1_1"/>
    <protectedRange sqref="G24:I30" name="범위1_2"/>
    <protectedRange sqref="G31:I33" name="범위3_1"/>
    <protectedRange sqref="V24:X30" name="범위1_3"/>
    <protectedRange sqref="B2:C3" name="범위1_1_1_1_1"/>
    <protectedRange sqref="D2:G3" name="범위1_1_2_1_1"/>
  </protectedRanges>
  <mergeCells count="223">
    <mergeCell ref="A63:B76"/>
    <mergeCell ref="C63:Z76"/>
    <mergeCell ref="A36:B48"/>
    <mergeCell ref="C36:Z48"/>
    <mergeCell ref="A49:B62"/>
    <mergeCell ref="C49:Z62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M33:N33"/>
    <mergeCell ref="S30:U30"/>
    <mergeCell ref="Y28:Z28"/>
    <mergeCell ref="A29:C29"/>
    <mergeCell ref="D29:F29"/>
    <mergeCell ref="G29:I29"/>
    <mergeCell ref="J29:L29"/>
    <mergeCell ref="M29:N29"/>
    <mergeCell ref="P29:R29"/>
    <mergeCell ref="S29:U29"/>
    <mergeCell ref="Y29:Z29"/>
    <mergeCell ref="A28:C28"/>
    <mergeCell ref="D28:F28"/>
    <mergeCell ref="G28:I28"/>
    <mergeCell ref="J28:L28"/>
    <mergeCell ref="M28:N28"/>
    <mergeCell ref="P28:R28"/>
    <mergeCell ref="S28:U28"/>
    <mergeCell ref="V29:X29"/>
    <mergeCell ref="V28:X28"/>
    <mergeCell ref="V30:X30"/>
    <mergeCell ref="Y30:Z30"/>
    <mergeCell ref="S26:U26"/>
    <mergeCell ref="V26:X26"/>
    <mergeCell ref="Y26:Z26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V27:X27"/>
    <mergeCell ref="Y27:Z27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Y23:Z23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P16:R17"/>
    <mergeCell ref="Y16:Z17"/>
    <mergeCell ref="A17:B17"/>
    <mergeCell ref="C17:D17"/>
    <mergeCell ref="E17:F17"/>
    <mergeCell ref="G17:H17"/>
    <mergeCell ref="M20:N20"/>
    <mergeCell ref="P22:U22"/>
    <mergeCell ref="A23:C23"/>
    <mergeCell ref="D23:F23"/>
    <mergeCell ref="G23:I23"/>
    <mergeCell ref="J23:L23"/>
    <mergeCell ref="M23:N23"/>
    <mergeCell ref="P23:R23"/>
    <mergeCell ref="S23:U23"/>
    <mergeCell ref="P18:R20"/>
    <mergeCell ref="A19:B19"/>
    <mergeCell ref="C19:D19"/>
    <mergeCell ref="E19:F19"/>
    <mergeCell ref="G19:H19"/>
    <mergeCell ref="I19:J19"/>
    <mergeCell ref="K19:L19"/>
    <mergeCell ref="M19:N19"/>
    <mergeCell ref="V23:X23"/>
    <mergeCell ref="A20:B20"/>
    <mergeCell ref="C20:D20"/>
    <mergeCell ref="E20:F20"/>
    <mergeCell ref="G20:H20"/>
    <mergeCell ref="I20:J20"/>
    <mergeCell ref="K20:L20"/>
    <mergeCell ref="M17:N17"/>
    <mergeCell ref="A18:B18"/>
    <mergeCell ref="C18:D18"/>
    <mergeCell ref="E18:F18"/>
    <mergeCell ref="G18:H18"/>
    <mergeCell ref="I18:J18"/>
    <mergeCell ref="K18:L18"/>
    <mergeCell ref="M18:N18"/>
    <mergeCell ref="I17:J17"/>
    <mergeCell ref="K17:L17"/>
    <mergeCell ref="A16:B16"/>
    <mergeCell ref="C16:D16"/>
    <mergeCell ref="E16:F16"/>
    <mergeCell ref="G16:H16"/>
    <mergeCell ref="I16:J16"/>
    <mergeCell ref="K16:L16"/>
    <mergeCell ref="M16:N16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3:N13"/>
    <mergeCell ref="P12:R13"/>
    <mergeCell ref="P14:R15"/>
    <mergeCell ref="A15:B15"/>
    <mergeCell ref="C15:D15"/>
    <mergeCell ref="E15:F15"/>
    <mergeCell ref="G15:H15"/>
    <mergeCell ref="I15:J15"/>
    <mergeCell ref="K15:L15"/>
    <mergeCell ref="A12:B12"/>
    <mergeCell ref="C12:D12"/>
    <mergeCell ref="E12:F12"/>
    <mergeCell ref="G12:H12"/>
    <mergeCell ref="I12:J12"/>
    <mergeCell ref="K12:L12"/>
    <mergeCell ref="M12:N12"/>
    <mergeCell ref="M15:N15"/>
    <mergeCell ref="A11:B11"/>
    <mergeCell ref="C11:D11"/>
    <mergeCell ref="E11:F11"/>
    <mergeCell ref="G11:H11"/>
    <mergeCell ref="I11:J11"/>
    <mergeCell ref="K11:L11"/>
    <mergeCell ref="M11:N11"/>
    <mergeCell ref="P11:R11"/>
    <mergeCell ref="A8:C8"/>
    <mergeCell ref="D8:F8"/>
    <mergeCell ref="G8:I8"/>
    <mergeCell ref="J8:L8"/>
    <mergeCell ref="P8:Q8"/>
    <mergeCell ref="R8:T8"/>
    <mergeCell ref="S11:V11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G6:I6"/>
    <mergeCell ref="J6:L6"/>
    <mergeCell ref="P6:Q6"/>
    <mergeCell ref="R6:T6"/>
    <mergeCell ref="A1:A3"/>
    <mergeCell ref="W1:X1"/>
    <mergeCell ref="H1:S2"/>
    <mergeCell ref="T1:T3"/>
    <mergeCell ref="U1:V1"/>
    <mergeCell ref="U2:V3"/>
    <mergeCell ref="H3:S3"/>
    <mergeCell ref="B1:C1"/>
    <mergeCell ref="D1:E1"/>
    <mergeCell ref="F1:G1"/>
    <mergeCell ref="B2:C3"/>
    <mergeCell ref="D2:E3"/>
    <mergeCell ref="F2:G3"/>
    <mergeCell ref="S14:V15"/>
    <mergeCell ref="W14:Z15"/>
    <mergeCell ref="S16:T17"/>
    <mergeCell ref="U16:V17"/>
    <mergeCell ref="W16:X17"/>
    <mergeCell ref="S18:T20"/>
    <mergeCell ref="U18:V20"/>
    <mergeCell ref="W18:X20"/>
    <mergeCell ref="Y1:Z1"/>
    <mergeCell ref="U6:W6"/>
    <mergeCell ref="X6:Z6"/>
    <mergeCell ref="U8:W8"/>
    <mergeCell ref="X8:Z8"/>
    <mergeCell ref="W11:Z11"/>
    <mergeCell ref="Y18:Z20"/>
    <mergeCell ref="S12:V13"/>
    <mergeCell ref="W12:Z13"/>
    <mergeCell ref="W2:X3"/>
    <mergeCell ref="Y2:Z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zoomScaleNormal="100" zoomScaleSheetLayoutView="100" workbookViewId="0">
      <selection activeCell="J32" sqref="J32:L32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167</v>
      </c>
      <c r="C2" s="135"/>
      <c r="D2" s="135" t="s">
        <v>169</v>
      </c>
      <c r="E2" s="135"/>
      <c r="F2" s="135" t="s">
        <v>168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05"/>
      <c r="E3" s="105"/>
      <c r="F3" s="105"/>
      <c r="G3" s="105"/>
      <c r="H3" s="132">
        <v>46211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81006</v>
      </c>
      <c r="E7" s="139"/>
      <c r="F7" s="139"/>
      <c r="G7" s="139">
        <v>106400</v>
      </c>
      <c r="H7" s="139"/>
      <c r="I7" s="139"/>
      <c r="J7" s="154">
        <f>D7+G7</f>
        <v>187406</v>
      </c>
      <c r="K7" s="154"/>
      <c r="L7" s="154"/>
      <c r="M7" s="1"/>
      <c r="N7" s="1"/>
      <c r="O7" s="1"/>
      <c r="P7" s="105" t="s">
        <v>48</v>
      </c>
      <c r="Q7" s="105"/>
      <c r="R7" s="140">
        <v>468.2</v>
      </c>
      <c r="S7" s="140"/>
      <c r="T7" s="140"/>
      <c r="U7" s="140">
        <v>253.9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'7'!D8+D7</f>
        <v>555983</v>
      </c>
      <c r="E8" s="154"/>
      <c r="F8" s="154"/>
      <c r="G8" s="154">
        <f>'7'!G8+'8'!G7</f>
        <v>1212200</v>
      </c>
      <c r="H8" s="154"/>
      <c r="I8" s="154"/>
      <c r="J8" s="154">
        <f>D8+G8</f>
        <v>1768183</v>
      </c>
      <c r="K8" s="154"/>
      <c r="L8" s="154"/>
      <c r="M8" s="1"/>
      <c r="N8" s="1"/>
      <c r="O8" s="1"/>
      <c r="P8" s="104" t="s">
        <v>2</v>
      </c>
      <c r="Q8" s="104"/>
      <c r="R8" s="137">
        <f>'7'!R8+'8'!R7</f>
        <v>3797.8999999999996</v>
      </c>
      <c r="S8" s="137"/>
      <c r="T8" s="137"/>
      <c r="U8" s="137">
        <f>'7'!U8+U7</f>
        <v>2596</v>
      </c>
      <c r="V8" s="137"/>
      <c r="W8" s="137"/>
      <c r="X8" s="138">
        <f>'7'!X8+'8'!X7</f>
        <v>192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'7'!I12</f>
        <v>19708</v>
      </c>
      <c r="D12" s="174"/>
      <c r="E12" s="105">
        <v>0</v>
      </c>
      <c r="F12" s="105"/>
      <c r="G12" s="105">
        <v>4727</v>
      </c>
      <c r="H12" s="105"/>
      <c r="I12" s="107">
        <f t="shared" ref="I12:I18" si="0">C12+E12-G12</f>
        <v>14981</v>
      </c>
      <c r="J12" s="109"/>
      <c r="K12" s="105">
        <f>'7'!K12+'8'!E12</f>
        <v>31470</v>
      </c>
      <c r="L12" s="105"/>
      <c r="M12" s="105">
        <f>'7'!M12+'8'!G12</f>
        <v>31403</v>
      </c>
      <c r="N12" s="105"/>
      <c r="O12" s="1"/>
      <c r="P12" s="149" t="s">
        <v>101</v>
      </c>
      <c r="Q12" s="105"/>
      <c r="R12" s="105"/>
      <c r="S12" s="143">
        <v>55.74</v>
      </c>
      <c r="T12" s="144"/>
      <c r="U12" s="144"/>
      <c r="V12" s="147"/>
      <c r="W12" s="194">
        <f>'7'!W12+'8'!S12</f>
        <v>332.34000000000003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'7'!I13</f>
        <v>640</v>
      </c>
      <c r="D13" s="174"/>
      <c r="E13" s="104">
        <v>0</v>
      </c>
      <c r="F13" s="104"/>
      <c r="G13" s="104">
        <v>80</v>
      </c>
      <c r="H13" s="104"/>
      <c r="I13" s="102">
        <f t="shared" si="0"/>
        <v>560</v>
      </c>
      <c r="J13" s="103"/>
      <c r="K13" s="105">
        <f>'7'!K13+'8'!E13</f>
        <v>710</v>
      </c>
      <c r="L13" s="105"/>
      <c r="M13" s="105">
        <f>'7'!M13+'8'!G13</f>
        <v>740</v>
      </c>
      <c r="N13" s="105"/>
      <c r="O13" s="1"/>
      <c r="P13" s="104"/>
      <c r="Q13" s="104"/>
      <c r="R13" s="104"/>
      <c r="S13" s="145"/>
      <c r="T13" s="146"/>
      <c r="U13" s="146"/>
      <c r="V13" s="148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'7'!I14</f>
        <v>1760</v>
      </c>
      <c r="D14" s="174"/>
      <c r="E14" s="104">
        <v>0</v>
      </c>
      <c r="F14" s="104"/>
      <c r="G14" s="104">
        <v>120</v>
      </c>
      <c r="H14" s="104"/>
      <c r="I14" s="102">
        <f t="shared" si="0"/>
        <v>1640</v>
      </c>
      <c r="J14" s="103"/>
      <c r="K14" s="105">
        <f>'7'!K14+'8'!E14</f>
        <v>2000</v>
      </c>
      <c r="L14" s="105"/>
      <c r="M14" s="105">
        <f>'7'!M14+'8'!G14</f>
        <v>960</v>
      </c>
      <c r="N14" s="105"/>
      <c r="O14" s="1"/>
      <c r="P14" s="104" t="s">
        <v>26</v>
      </c>
      <c r="Q14" s="104"/>
      <c r="R14" s="104"/>
      <c r="S14" s="155">
        <v>0</v>
      </c>
      <c r="T14" s="156"/>
      <c r="U14" s="156"/>
      <c r="V14" s="156"/>
      <c r="W14" s="155">
        <f>'7'!W14+'8'!S14</f>
        <v>71.64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'7'!I15</f>
        <v>1090</v>
      </c>
      <c r="D15" s="174"/>
      <c r="E15" s="104">
        <v>0</v>
      </c>
      <c r="F15" s="104"/>
      <c r="G15" s="104">
        <v>29</v>
      </c>
      <c r="H15" s="104"/>
      <c r="I15" s="102">
        <f t="shared" si="0"/>
        <v>1061</v>
      </c>
      <c r="J15" s="103"/>
      <c r="K15" s="105">
        <f>'7'!K15+'8'!E15</f>
        <v>0</v>
      </c>
      <c r="L15" s="105"/>
      <c r="M15" s="105">
        <f>'7'!M15+'8'!G15</f>
        <v>238</v>
      </c>
      <c r="N15" s="105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'7'!I16</f>
        <v>2210</v>
      </c>
      <c r="D16" s="174"/>
      <c r="E16" s="104">
        <v>0</v>
      </c>
      <c r="F16" s="104"/>
      <c r="G16" s="104">
        <v>20</v>
      </c>
      <c r="H16" s="104"/>
      <c r="I16" s="102">
        <f t="shared" si="0"/>
        <v>2190</v>
      </c>
      <c r="J16" s="103"/>
      <c r="K16" s="105">
        <f>'7'!K16+'8'!E16</f>
        <v>0</v>
      </c>
      <c r="L16" s="105"/>
      <c r="M16" s="105">
        <f>'7'!M16+'8'!G16</f>
        <v>160</v>
      </c>
      <c r="N16" s="105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'7'!I17</f>
        <v>1890</v>
      </c>
      <c r="D17" s="174"/>
      <c r="E17" s="104">
        <v>0</v>
      </c>
      <c r="F17" s="104"/>
      <c r="G17" s="104">
        <v>200</v>
      </c>
      <c r="H17" s="104"/>
      <c r="I17" s="102">
        <f t="shared" si="0"/>
        <v>1690</v>
      </c>
      <c r="J17" s="103"/>
      <c r="K17" s="105">
        <f>'7'!K17+'8'!E17</f>
        <v>1440</v>
      </c>
      <c r="L17" s="105"/>
      <c r="M17" s="105">
        <f>'7'!M17+'8'!G17</f>
        <v>1600</v>
      </c>
      <c r="N17" s="105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'7'!I18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0"/>
        <v>5340</v>
      </c>
      <c r="J18" s="103"/>
      <c r="K18" s="105">
        <f>'7'!K18+'8'!E18</f>
        <v>0</v>
      </c>
      <c r="L18" s="105"/>
      <c r="M18" s="105">
        <f>'7'!M18+'8'!G18</f>
        <v>0</v>
      </c>
      <c r="N18" s="105"/>
      <c r="O18" s="1"/>
      <c r="P18" s="164" t="s">
        <v>27</v>
      </c>
      <c r="Q18" s="164"/>
      <c r="R18" s="164"/>
      <c r="S18" s="114">
        <v>2</v>
      </c>
      <c r="T18" s="115"/>
      <c r="U18" s="114">
        <v>2</v>
      </c>
      <c r="V18" s="115"/>
      <c r="W18" s="114">
        <f>S18+U18</f>
        <v>4</v>
      </c>
      <c r="X18" s="115"/>
      <c r="Y18" s="151">
        <f>'7'!Y18+'8'!W18</f>
        <v>31</v>
      </c>
      <c r="Z18" s="151"/>
    </row>
    <row r="19" spans="1:31" ht="21.9" customHeight="1">
      <c r="A19" s="153" t="s">
        <v>62</v>
      </c>
      <c r="B19" s="153"/>
      <c r="C19" s="174">
        <f>'7'!I19</f>
        <v>80463</v>
      </c>
      <c r="D19" s="174"/>
      <c r="E19" s="154">
        <v>71350</v>
      </c>
      <c r="F19" s="154"/>
      <c r="G19" s="99">
        <f>D7</f>
        <v>81006</v>
      </c>
      <c r="H19" s="101"/>
      <c r="I19" s="99">
        <f t="shared" ref="I19" si="1">C19+E19-G19</f>
        <v>70807</v>
      </c>
      <c r="J19" s="101"/>
      <c r="K19" s="139">
        <f>'7'!K19+'8'!E19</f>
        <v>516790</v>
      </c>
      <c r="L19" s="139"/>
      <c r="M19" s="139">
        <f>'7'!M19+'8'!G19</f>
        <v>555983</v>
      </c>
      <c r="N19" s="139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'7'!I20</f>
        <v>-</v>
      </c>
      <c r="D20" s="174"/>
      <c r="E20" s="102"/>
      <c r="F20" s="103"/>
      <c r="G20" s="104"/>
      <c r="H20" s="104"/>
      <c r="I20" s="102" t="s">
        <v>60</v>
      </c>
      <c r="J20" s="103"/>
      <c r="K20" s="105">
        <f>'7'!K20+'8'!E20</f>
        <v>0</v>
      </c>
      <c r="L20" s="105"/>
      <c r="M20" s="139">
        <f>'7'!M20+'8'!G20</f>
        <v>0</v>
      </c>
      <c r="N20" s="139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'7'!G24</f>
        <v>3840163</v>
      </c>
      <c r="E24" s="187"/>
      <c r="F24" s="187"/>
      <c r="G24" s="164">
        <v>3861765</v>
      </c>
      <c r="H24" s="164"/>
      <c r="I24" s="164"/>
      <c r="J24" s="164">
        <f>G24-D24</f>
        <v>21602</v>
      </c>
      <c r="K24" s="164"/>
      <c r="L24" s="164"/>
      <c r="M24" s="164">
        <f>'7'!M24+J24</f>
        <v>190197</v>
      </c>
      <c r="N24" s="164"/>
      <c r="P24" s="105" t="s">
        <v>36</v>
      </c>
      <c r="Q24" s="105"/>
      <c r="R24" s="105"/>
      <c r="S24" s="105">
        <f>'7'!V24</f>
        <v>421.4</v>
      </c>
      <c r="T24" s="105"/>
      <c r="U24" s="105"/>
      <c r="V24" s="140">
        <v>414.6</v>
      </c>
      <c r="W24" s="140"/>
      <c r="X24" s="140"/>
      <c r="Y24" s="140">
        <f>'7'!Y24+'8'!V24</f>
        <v>3403.2000000000003</v>
      </c>
      <c r="Z24" s="140"/>
    </row>
    <row r="25" spans="1:31" ht="21.9" customHeight="1">
      <c r="A25" s="104" t="s">
        <v>30</v>
      </c>
      <c r="B25" s="104"/>
      <c r="C25" s="104"/>
      <c r="D25" s="104">
        <f>'7'!G25</f>
        <v>33021.800000000003</v>
      </c>
      <c r="E25" s="104"/>
      <c r="F25" s="104"/>
      <c r="G25" s="104">
        <v>33055.300000000003</v>
      </c>
      <c r="H25" s="104"/>
      <c r="I25" s="104"/>
      <c r="J25" s="104">
        <f>G25-D25</f>
        <v>33.5</v>
      </c>
      <c r="K25" s="104"/>
      <c r="L25" s="104"/>
      <c r="M25" s="102">
        <f>'7'!M25+J25</f>
        <v>291.20000000000437</v>
      </c>
      <c r="N25" s="103"/>
      <c r="P25" s="104" t="s">
        <v>37</v>
      </c>
      <c r="Q25" s="104"/>
      <c r="R25" s="104"/>
      <c r="S25" s="105">
        <f>'7'!V25</f>
        <v>61.2</v>
      </c>
      <c r="T25" s="105"/>
      <c r="U25" s="105"/>
      <c r="V25" s="137">
        <v>55.2</v>
      </c>
      <c r="W25" s="137"/>
      <c r="X25" s="137"/>
      <c r="Y25" s="140">
        <f>'7'!Y25+'8'!V25</f>
        <v>453.79999999999995</v>
      </c>
      <c r="Z25" s="140"/>
    </row>
    <row r="26" spans="1:31" ht="21.9" customHeight="1">
      <c r="A26" s="104" t="s">
        <v>31</v>
      </c>
      <c r="B26" s="104"/>
      <c r="C26" s="104"/>
      <c r="D26" s="104">
        <f>'7'!G26</f>
        <v>24450</v>
      </c>
      <c r="E26" s="104"/>
      <c r="F26" s="104"/>
      <c r="G26" s="104">
        <v>24470</v>
      </c>
      <c r="H26" s="104"/>
      <c r="I26" s="104"/>
      <c r="J26" s="104">
        <f t="shared" ref="J26:J33" si="2">G26-D26</f>
        <v>20</v>
      </c>
      <c r="K26" s="104"/>
      <c r="L26" s="104"/>
      <c r="M26" s="102">
        <f>'7'!M26+J26</f>
        <v>170</v>
      </c>
      <c r="N26" s="103"/>
      <c r="P26" s="104" t="s">
        <v>38</v>
      </c>
      <c r="Q26" s="104"/>
      <c r="R26" s="104"/>
      <c r="S26" s="105">
        <f>'7'!V26</f>
        <v>574.79999999999995</v>
      </c>
      <c r="T26" s="105"/>
      <c r="U26" s="105"/>
      <c r="V26" s="137">
        <v>532.6</v>
      </c>
      <c r="W26" s="137"/>
      <c r="X26" s="137"/>
      <c r="Y26" s="140">
        <f>'7'!Y26+'8'!V26</f>
        <v>3940.9</v>
      </c>
      <c r="Z26" s="140"/>
    </row>
    <row r="27" spans="1:31" ht="21.9" customHeight="1">
      <c r="A27" s="104" t="s">
        <v>32</v>
      </c>
      <c r="B27" s="104"/>
      <c r="C27" s="104"/>
      <c r="D27" s="104">
        <f>'7'!G27</f>
        <v>1365000</v>
      </c>
      <c r="E27" s="104"/>
      <c r="F27" s="104"/>
      <c r="G27" s="104">
        <v>1369000</v>
      </c>
      <c r="H27" s="104"/>
      <c r="I27" s="104"/>
      <c r="J27" s="104">
        <f t="shared" si="2"/>
        <v>4000</v>
      </c>
      <c r="K27" s="104"/>
      <c r="L27" s="104"/>
      <c r="M27" s="102">
        <f>'7'!M27+J27</f>
        <v>30000</v>
      </c>
      <c r="N27" s="103"/>
      <c r="P27" s="104" t="s">
        <v>39</v>
      </c>
      <c r="Q27" s="104"/>
      <c r="R27" s="104"/>
      <c r="S27" s="105">
        <f>'7'!V27</f>
        <v>527.79999999999995</v>
      </c>
      <c r="T27" s="105"/>
      <c r="U27" s="105"/>
      <c r="V27" s="137">
        <v>506.4</v>
      </c>
      <c r="W27" s="137"/>
      <c r="X27" s="137"/>
      <c r="Y27" s="140">
        <f>'7'!Y27+'8'!V27</f>
        <v>4033.2999999999997</v>
      </c>
      <c r="Z27" s="140"/>
    </row>
    <row r="28" spans="1:31" ht="21.9" customHeight="1">
      <c r="A28" s="104" t="s">
        <v>33</v>
      </c>
      <c r="B28" s="104"/>
      <c r="C28" s="104"/>
      <c r="D28" s="104">
        <f>'7'!G28</f>
        <v>5362</v>
      </c>
      <c r="E28" s="104"/>
      <c r="F28" s="104"/>
      <c r="G28" s="104">
        <v>5418</v>
      </c>
      <c r="H28" s="104"/>
      <c r="I28" s="104"/>
      <c r="J28" s="104">
        <f t="shared" si="2"/>
        <v>56</v>
      </c>
      <c r="K28" s="104"/>
      <c r="L28" s="104"/>
      <c r="M28" s="102">
        <f>'7'!M28+J28</f>
        <v>480</v>
      </c>
      <c r="N28" s="103"/>
      <c r="P28" s="104" t="s">
        <v>41</v>
      </c>
      <c r="Q28" s="104"/>
      <c r="R28" s="104"/>
      <c r="S28" s="105">
        <f>'7'!V28</f>
        <v>0</v>
      </c>
      <c r="T28" s="105"/>
      <c r="U28" s="105"/>
      <c r="V28" s="137">
        <v>0</v>
      </c>
      <c r="W28" s="137"/>
      <c r="X28" s="137"/>
      <c r="Y28" s="140">
        <f>'7'!Y28+'8'!V28</f>
        <v>0</v>
      </c>
      <c r="Z28" s="140"/>
    </row>
    <row r="29" spans="1:31" ht="21.9" customHeight="1">
      <c r="A29" s="104" t="s">
        <v>34</v>
      </c>
      <c r="B29" s="104"/>
      <c r="C29" s="104"/>
      <c r="D29" s="104">
        <f>'7'!G29</f>
        <v>66210</v>
      </c>
      <c r="E29" s="104"/>
      <c r="F29" s="104"/>
      <c r="G29" s="104">
        <v>66210</v>
      </c>
      <c r="H29" s="104"/>
      <c r="I29" s="104"/>
      <c r="J29" s="104">
        <f t="shared" si="2"/>
        <v>0</v>
      </c>
      <c r="K29" s="104"/>
      <c r="L29" s="104"/>
      <c r="M29" s="102">
        <f>'7'!M29+J29</f>
        <v>30</v>
      </c>
      <c r="N29" s="103"/>
      <c r="P29" s="104" t="s">
        <v>40</v>
      </c>
      <c r="Q29" s="104"/>
      <c r="R29" s="104"/>
      <c r="S29" s="105">
        <f>'7'!V29</f>
        <v>69.900000000000006</v>
      </c>
      <c r="T29" s="105"/>
      <c r="U29" s="105"/>
      <c r="V29" s="137">
        <v>59.7</v>
      </c>
      <c r="W29" s="137"/>
      <c r="X29" s="137"/>
      <c r="Y29" s="140">
        <f>'7'!Y29+'8'!V29</f>
        <v>499.59999999999997</v>
      </c>
      <c r="Z29" s="140"/>
    </row>
    <row r="30" spans="1:31" ht="21.9" customHeight="1">
      <c r="A30" s="104" t="s">
        <v>35</v>
      </c>
      <c r="B30" s="104"/>
      <c r="C30" s="104"/>
      <c r="D30" s="104">
        <f>'7'!G30</f>
        <v>53320</v>
      </c>
      <c r="E30" s="104"/>
      <c r="F30" s="104"/>
      <c r="G30" s="104">
        <v>53330</v>
      </c>
      <c r="H30" s="104"/>
      <c r="I30" s="104"/>
      <c r="J30" s="104">
        <f t="shared" si="2"/>
        <v>10</v>
      </c>
      <c r="K30" s="104"/>
      <c r="L30" s="104"/>
      <c r="M30" s="102">
        <f>'7'!M30+J30</f>
        <v>110</v>
      </c>
      <c r="N30" s="103"/>
      <c r="P30" s="104" t="s">
        <v>28</v>
      </c>
      <c r="Q30" s="104"/>
      <c r="R30" s="104"/>
      <c r="S30" s="104">
        <f>SUM(S24:U29)</f>
        <v>1655.1</v>
      </c>
      <c r="T30" s="104"/>
      <c r="U30" s="104"/>
      <c r="V30" s="104"/>
      <c r="W30" s="104"/>
      <c r="X30" s="104"/>
      <c r="Y30" s="140">
        <f>'7'!Y30+'8'!V30</f>
        <v>1528.3</v>
      </c>
      <c r="Z30" s="140"/>
    </row>
    <row r="31" spans="1:31" ht="21.9" customHeight="1">
      <c r="A31" s="104" t="s">
        <v>120</v>
      </c>
      <c r="B31" s="104"/>
      <c r="C31" s="104"/>
      <c r="D31" s="104">
        <f>'7'!G31</f>
        <v>6259077</v>
      </c>
      <c r="E31" s="104"/>
      <c r="F31" s="104"/>
      <c r="G31" s="102">
        <v>6266307</v>
      </c>
      <c r="H31" s="106"/>
      <c r="I31" s="103"/>
      <c r="J31" s="102">
        <f t="shared" si="2"/>
        <v>7230</v>
      </c>
      <c r="K31" s="106">
        <v>12.255000000000001</v>
      </c>
      <c r="L31" s="103">
        <v>12.255000000000001</v>
      </c>
      <c r="M31" s="102">
        <f>'7'!M31+J31</f>
        <v>64212</v>
      </c>
      <c r="N31" s="103"/>
      <c r="P31" s="57"/>
      <c r="Q31" s="57"/>
      <c r="R31" s="57"/>
      <c r="S31" s="57"/>
      <c r="T31" s="57"/>
      <c r="U31" s="57"/>
      <c r="V31" s="57"/>
      <c r="W31" s="57"/>
      <c r="X31" s="57"/>
      <c r="Y31" s="58"/>
      <c r="Z31" s="58"/>
    </row>
    <row r="32" spans="1:31" ht="21.9" customHeight="1">
      <c r="A32" s="104" t="s">
        <v>121</v>
      </c>
      <c r="B32" s="104"/>
      <c r="C32" s="104"/>
      <c r="D32" s="104">
        <f>'7'!G32</f>
        <v>1.7</v>
      </c>
      <c r="E32" s="104"/>
      <c r="F32" s="104"/>
      <c r="G32" s="102">
        <v>1.7</v>
      </c>
      <c r="H32" s="106"/>
      <c r="I32" s="103"/>
      <c r="J32" s="102">
        <f t="shared" si="2"/>
        <v>0</v>
      </c>
      <c r="K32" s="106">
        <v>12.255000000000001</v>
      </c>
      <c r="L32" s="103">
        <v>12.255000000000001</v>
      </c>
      <c r="M32" s="102">
        <f>'7'!M32+J32</f>
        <v>9.9999999999999867E-2</v>
      </c>
      <c r="N32" s="103"/>
      <c r="P32" s="57"/>
      <c r="Q32" s="57"/>
      <c r="R32" s="57"/>
      <c r="S32" s="57"/>
      <c r="T32" s="57"/>
      <c r="U32" s="57"/>
      <c r="V32" s="57"/>
      <c r="W32" s="57"/>
      <c r="X32" s="57"/>
      <c r="Y32" s="58"/>
      <c r="Z32" s="58"/>
    </row>
    <row r="33" spans="1:26" ht="21.9" customHeight="1">
      <c r="A33" s="104" t="s">
        <v>122</v>
      </c>
      <c r="B33" s="104"/>
      <c r="C33" s="104"/>
      <c r="D33" s="104">
        <f>'7'!G33</f>
        <v>0</v>
      </c>
      <c r="E33" s="104"/>
      <c r="F33" s="104"/>
      <c r="G33" s="102">
        <v>0</v>
      </c>
      <c r="H33" s="106"/>
      <c r="I33" s="103"/>
      <c r="J33" s="102">
        <f t="shared" si="2"/>
        <v>0</v>
      </c>
      <c r="K33" s="106">
        <v>12.255000000000001</v>
      </c>
      <c r="L33" s="103">
        <v>12.255000000000001</v>
      </c>
      <c r="M33" s="102">
        <f>'7'!M33+J33</f>
        <v>0</v>
      </c>
      <c r="N33" s="103"/>
      <c r="P33" s="57"/>
      <c r="Q33" s="57"/>
      <c r="R33" s="57"/>
      <c r="S33" s="57"/>
      <c r="T33" s="57"/>
      <c r="U33" s="57"/>
      <c r="V33" s="57"/>
      <c r="W33" s="57"/>
      <c r="X33" s="57"/>
      <c r="Y33" s="58"/>
      <c r="Z33" s="58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20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7"/>
    </row>
    <row r="50" spans="1:26">
      <c r="A50" s="167"/>
      <c r="B50" s="168"/>
      <c r="C50" s="198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200"/>
    </row>
    <row r="51" spans="1:26">
      <c r="A51" s="167"/>
      <c r="B51" s="168"/>
      <c r="C51" s="198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200"/>
    </row>
    <row r="52" spans="1:26">
      <c r="A52" s="167"/>
      <c r="B52" s="168"/>
      <c r="C52" s="198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200"/>
    </row>
    <row r="53" spans="1:26">
      <c r="A53" s="167"/>
      <c r="B53" s="168"/>
      <c r="C53" s="198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200"/>
    </row>
    <row r="54" spans="1:26">
      <c r="A54" s="167"/>
      <c r="B54" s="168"/>
      <c r="C54" s="198"/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200"/>
    </row>
    <row r="55" spans="1:26">
      <c r="A55" s="167"/>
      <c r="B55" s="168"/>
      <c r="C55" s="198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200"/>
    </row>
    <row r="56" spans="1:26">
      <c r="A56" s="167"/>
      <c r="B56" s="168"/>
      <c r="C56" s="198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200"/>
    </row>
    <row r="57" spans="1:26">
      <c r="A57" s="167"/>
      <c r="B57" s="168"/>
      <c r="C57" s="198"/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200"/>
    </row>
    <row r="58" spans="1:26">
      <c r="A58" s="167"/>
      <c r="B58" s="168"/>
      <c r="C58" s="198"/>
      <c r="D58" s="199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200"/>
    </row>
    <row r="59" spans="1:26">
      <c r="A59" s="167"/>
      <c r="B59" s="168"/>
      <c r="C59" s="198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200"/>
    </row>
    <row r="60" spans="1:26">
      <c r="A60" s="167"/>
      <c r="B60" s="168"/>
      <c r="C60" s="198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200"/>
    </row>
    <row r="61" spans="1:26">
      <c r="A61" s="167"/>
      <c r="B61" s="168"/>
      <c r="C61" s="198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200"/>
    </row>
    <row r="62" spans="1:26">
      <c r="A62" s="169"/>
      <c r="B62" s="170"/>
      <c r="C62" s="201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202"/>
    </row>
    <row r="63" spans="1:26">
      <c r="A63" s="165" t="s">
        <v>16</v>
      </c>
      <c r="B63" s="166"/>
      <c r="C63" s="20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7"/>
    </row>
    <row r="64" spans="1:26">
      <c r="A64" s="167"/>
      <c r="B64" s="168"/>
      <c r="C64" s="198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200"/>
    </row>
    <row r="65" spans="1:26">
      <c r="A65" s="167"/>
      <c r="B65" s="168"/>
      <c r="C65" s="198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200"/>
    </row>
    <row r="66" spans="1:26">
      <c r="A66" s="167"/>
      <c r="B66" s="168"/>
      <c r="C66" s="198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200"/>
    </row>
    <row r="67" spans="1:26">
      <c r="A67" s="167"/>
      <c r="B67" s="168"/>
      <c r="C67" s="198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200"/>
    </row>
    <row r="68" spans="1:26">
      <c r="A68" s="167"/>
      <c r="B68" s="168"/>
      <c r="C68" s="198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200"/>
    </row>
    <row r="69" spans="1:26">
      <c r="A69" s="167"/>
      <c r="B69" s="168"/>
      <c r="C69" s="198"/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200"/>
    </row>
    <row r="70" spans="1:26">
      <c r="A70" s="167"/>
      <c r="B70" s="168"/>
      <c r="C70" s="198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200"/>
    </row>
    <row r="71" spans="1:26">
      <c r="A71" s="167"/>
      <c r="B71" s="168"/>
      <c r="C71" s="198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200"/>
    </row>
    <row r="72" spans="1:26">
      <c r="A72" s="167"/>
      <c r="B72" s="168"/>
      <c r="C72" s="198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200"/>
    </row>
    <row r="73" spans="1:26">
      <c r="A73" s="167"/>
      <c r="B73" s="168"/>
      <c r="C73" s="198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200"/>
    </row>
    <row r="74" spans="1:26">
      <c r="A74" s="167"/>
      <c r="B74" s="168"/>
      <c r="C74" s="198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200"/>
    </row>
    <row r="75" spans="1:26">
      <c r="A75" s="167"/>
      <c r="B75" s="168"/>
      <c r="C75" s="198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200"/>
    </row>
    <row r="76" spans="1:26">
      <c r="A76" s="169"/>
      <c r="B76" s="170"/>
      <c r="C76" s="201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202"/>
    </row>
  </sheetData>
  <protectedRanges>
    <protectedRange sqref="H3" name="범위2"/>
    <protectedRange sqref="U2:Z3 D7:I7 R7:Z7 E12:H20 S12:V15 S18:V20 G24:I30 V24:X33" name="범위1"/>
    <protectedRange sqref="G31:L33" name="범위3_1"/>
    <protectedRange sqref="B2:C3" name="범위1_1_1_1"/>
    <protectedRange sqref="D2:G3" name="범위1_1_2_1"/>
  </protectedRanges>
  <mergeCells count="223">
    <mergeCell ref="A63:B76"/>
    <mergeCell ref="C63:Z76"/>
    <mergeCell ref="V30:X30"/>
    <mergeCell ref="Y30:Z30"/>
    <mergeCell ref="A36:B48"/>
    <mergeCell ref="C36:Z48"/>
    <mergeCell ref="A49:B62"/>
    <mergeCell ref="C49:Z62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M33:N33"/>
    <mergeCell ref="S30:U30"/>
    <mergeCell ref="A29:C29"/>
    <mergeCell ref="D29:F29"/>
    <mergeCell ref="G29:I29"/>
    <mergeCell ref="J29:L29"/>
    <mergeCell ref="M29:N29"/>
    <mergeCell ref="P29:R29"/>
    <mergeCell ref="S29:U29"/>
    <mergeCell ref="V29:X29"/>
    <mergeCell ref="Y29:Z29"/>
    <mergeCell ref="A28:C28"/>
    <mergeCell ref="D28:F28"/>
    <mergeCell ref="G28:I28"/>
    <mergeCell ref="J28:L28"/>
    <mergeCell ref="M28:N28"/>
    <mergeCell ref="P28:R28"/>
    <mergeCell ref="S28:U28"/>
    <mergeCell ref="V28:X28"/>
    <mergeCell ref="Y28:Z28"/>
    <mergeCell ref="S26:U26"/>
    <mergeCell ref="V26:X26"/>
    <mergeCell ref="Y26:Z26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V27:X27"/>
    <mergeCell ref="Y27:Z27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Y23:Z23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P16:R17"/>
    <mergeCell ref="Y16:Z17"/>
    <mergeCell ref="A17:B17"/>
    <mergeCell ref="C17:D17"/>
    <mergeCell ref="E17:F17"/>
    <mergeCell ref="G17:H17"/>
    <mergeCell ref="M20:N20"/>
    <mergeCell ref="P22:U22"/>
    <mergeCell ref="A23:C23"/>
    <mergeCell ref="D23:F23"/>
    <mergeCell ref="G23:I23"/>
    <mergeCell ref="J23:L23"/>
    <mergeCell ref="M23:N23"/>
    <mergeCell ref="P23:R23"/>
    <mergeCell ref="S23:U23"/>
    <mergeCell ref="P18:R20"/>
    <mergeCell ref="A19:B19"/>
    <mergeCell ref="C19:D19"/>
    <mergeCell ref="E19:F19"/>
    <mergeCell ref="G19:H19"/>
    <mergeCell ref="I19:J19"/>
    <mergeCell ref="K19:L19"/>
    <mergeCell ref="M19:N19"/>
    <mergeCell ref="V23:X23"/>
    <mergeCell ref="A20:B20"/>
    <mergeCell ref="C20:D20"/>
    <mergeCell ref="E20:F20"/>
    <mergeCell ref="G20:H20"/>
    <mergeCell ref="I20:J20"/>
    <mergeCell ref="K20:L20"/>
    <mergeCell ref="M17:N17"/>
    <mergeCell ref="A18:B18"/>
    <mergeCell ref="C18:D18"/>
    <mergeCell ref="E18:F18"/>
    <mergeCell ref="G18:H18"/>
    <mergeCell ref="I18:J18"/>
    <mergeCell ref="K18:L18"/>
    <mergeCell ref="M18:N18"/>
    <mergeCell ref="I17:J17"/>
    <mergeCell ref="K17:L17"/>
    <mergeCell ref="A16:B16"/>
    <mergeCell ref="C16:D16"/>
    <mergeCell ref="E16:F16"/>
    <mergeCell ref="G16:H16"/>
    <mergeCell ref="I16:J16"/>
    <mergeCell ref="K16:L16"/>
    <mergeCell ref="M16:N16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3:N13"/>
    <mergeCell ref="P12:R13"/>
    <mergeCell ref="P14:R15"/>
    <mergeCell ref="A15:B15"/>
    <mergeCell ref="C15:D15"/>
    <mergeCell ref="E15:F15"/>
    <mergeCell ref="G15:H15"/>
    <mergeCell ref="I15:J15"/>
    <mergeCell ref="K15:L15"/>
    <mergeCell ref="A12:B12"/>
    <mergeCell ref="C12:D12"/>
    <mergeCell ref="E12:F12"/>
    <mergeCell ref="G12:H12"/>
    <mergeCell ref="I12:J12"/>
    <mergeCell ref="K12:L12"/>
    <mergeCell ref="M12:N12"/>
    <mergeCell ref="M15:N15"/>
    <mergeCell ref="A11:B11"/>
    <mergeCell ref="C11:D11"/>
    <mergeCell ref="E11:F11"/>
    <mergeCell ref="G11:H11"/>
    <mergeCell ref="I11:J11"/>
    <mergeCell ref="K11:L11"/>
    <mergeCell ref="M11:N11"/>
    <mergeCell ref="P11:R11"/>
    <mergeCell ref="A8:C8"/>
    <mergeCell ref="D8:F8"/>
    <mergeCell ref="G8:I8"/>
    <mergeCell ref="J8:L8"/>
    <mergeCell ref="P8:Q8"/>
    <mergeCell ref="R8:T8"/>
    <mergeCell ref="S11:V11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G6:I6"/>
    <mergeCell ref="J6:L6"/>
    <mergeCell ref="P6:Q6"/>
    <mergeCell ref="R6:T6"/>
    <mergeCell ref="A1:A3"/>
    <mergeCell ref="W1:X1"/>
    <mergeCell ref="H1:S2"/>
    <mergeCell ref="T1:T3"/>
    <mergeCell ref="U1:V1"/>
    <mergeCell ref="U2:V3"/>
    <mergeCell ref="H3:S3"/>
    <mergeCell ref="B1:C1"/>
    <mergeCell ref="D1:E1"/>
    <mergeCell ref="F1:G1"/>
    <mergeCell ref="B2:C3"/>
    <mergeCell ref="D2:E3"/>
    <mergeCell ref="F2:G3"/>
    <mergeCell ref="S14:V15"/>
    <mergeCell ref="W14:Z15"/>
    <mergeCell ref="S16:T17"/>
    <mergeCell ref="U16:V17"/>
    <mergeCell ref="W16:X17"/>
    <mergeCell ref="S18:T20"/>
    <mergeCell ref="U18:V20"/>
    <mergeCell ref="W18:X20"/>
    <mergeCell ref="Y1:Z1"/>
    <mergeCell ref="U6:W6"/>
    <mergeCell ref="X6:Z6"/>
    <mergeCell ref="U8:W8"/>
    <mergeCell ref="X8:Z8"/>
    <mergeCell ref="W11:Z11"/>
    <mergeCell ref="Y18:Z20"/>
    <mergeCell ref="S12:V13"/>
    <mergeCell ref="W12:Z13"/>
    <mergeCell ref="W2:X3"/>
    <mergeCell ref="Y2:Z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zoomScaleNormal="100" zoomScaleSheetLayoutView="100" workbookViewId="0">
      <selection activeCell="V30" sqref="V30:X30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9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  <c r="AC1" t="s">
        <v>112</v>
      </c>
    </row>
    <row r="2" spans="1:29" ht="14.25" customHeight="1">
      <c r="A2" s="123"/>
      <c r="B2" s="135" t="s">
        <v>170</v>
      </c>
      <c r="C2" s="135"/>
      <c r="D2" s="207" t="s">
        <v>171</v>
      </c>
      <c r="E2" s="207"/>
      <c r="F2" s="135" t="s">
        <v>172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9" ht="37.5" customHeight="1">
      <c r="A3" s="124"/>
      <c r="B3" s="105"/>
      <c r="C3" s="105"/>
      <c r="D3" s="142"/>
      <c r="E3" s="142"/>
      <c r="F3" s="105"/>
      <c r="G3" s="105"/>
      <c r="H3" s="132">
        <v>46212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9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9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9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9" ht="30" customHeight="1" thickTop="1">
      <c r="A7" s="105" t="s">
        <v>48</v>
      </c>
      <c r="B7" s="105"/>
      <c r="C7" s="105"/>
      <c r="D7" s="139">
        <v>78799</v>
      </c>
      <c r="E7" s="139"/>
      <c r="F7" s="139"/>
      <c r="G7" s="139">
        <v>152000</v>
      </c>
      <c r="H7" s="139"/>
      <c r="I7" s="139"/>
      <c r="J7" s="154">
        <f>D7+G7</f>
        <v>230799</v>
      </c>
      <c r="K7" s="154"/>
      <c r="L7" s="154"/>
      <c r="M7" s="1"/>
      <c r="N7" s="1"/>
      <c r="O7" s="1"/>
      <c r="P7" s="105" t="s">
        <v>48</v>
      </c>
      <c r="Q7" s="105"/>
      <c r="R7" s="140">
        <v>497</v>
      </c>
      <c r="S7" s="140"/>
      <c r="T7" s="140"/>
      <c r="U7" s="140">
        <v>388.7</v>
      </c>
      <c r="V7" s="140"/>
      <c r="W7" s="140"/>
      <c r="X7" s="141">
        <v>24</v>
      </c>
      <c r="Y7" s="141"/>
      <c r="Z7" s="141"/>
    </row>
    <row r="8" spans="1:29" ht="30" customHeight="1">
      <c r="A8" s="104" t="s">
        <v>2</v>
      </c>
      <c r="B8" s="104"/>
      <c r="C8" s="104"/>
      <c r="D8" s="154">
        <f>'8'!D8+'9'!D7</f>
        <v>634782</v>
      </c>
      <c r="E8" s="154"/>
      <c r="F8" s="154"/>
      <c r="G8" s="154">
        <f>'8'!G8+'9'!G7</f>
        <v>1364200</v>
      </c>
      <c r="H8" s="154"/>
      <c r="I8" s="154"/>
      <c r="J8" s="154">
        <f>D8+G8</f>
        <v>1998982</v>
      </c>
      <c r="K8" s="154"/>
      <c r="L8" s="154"/>
      <c r="M8" s="1"/>
      <c r="N8" s="1"/>
      <c r="O8" s="1"/>
      <c r="P8" s="104" t="s">
        <v>2</v>
      </c>
      <c r="Q8" s="104"/>
      <c r="R8" s="137">
        <f>'8'!R8+'9'!R7</f>
        <v>4294.8999999999996</v>
      </c>
      <c r="S8" s="137"/>
      <c r="T8" s="137"/>
      <c r="U8" s="137">
        <f>'8'!U8+U7</f>
        <v>2984.7</v>
      </c>
      <c r="V8" s="137"/>
      <c r="W8" s="137"/>
      <c r="X8" s="138">
        <f>'8'!X8+'9'!X7</f>
        <v>216</v>
      </c>
      <c r="Y8" s="138"/>
      <c r="Z8" s="138"/>
    </row>
    <row r="9" spans="1:29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9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9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9" ht="21.9" customHeight="1" thickTop="1">
      <c r="A12" s="142" t="s">
        <v>114</v>
      </c>
      <c r="B12" s="142"/>
      <c r="C12" s="174">
        <f>'8'!I12</f>
        <v>14981</v>
      </c>
      <c r="D12" s="174"/>
      <c r="E12" s="105">
        <v>0</v>
      </c>
      <c r="F12" s="105"/>
      <c r="G12" s="105">
        <v>3518</v>
      </c>
      <c r="H12" s="105"/>
      <c r="I12" s="107">
        <f t="shared" ref="I12:I18" si="0">C12+E12-G12</f>
        <v>11463</v>
      </c>
      <c r="J12" s="109"/>
      <c r="K12" s="105">
        <f>'8'!K12+'9'!E12</f>
        <v>31470</v>
      </c>
      <c r="L12" s="105"/>
      <c r="M12" s="105">
        <f>'8'!M12+G12</f>
        <v>34921</v>
      </c>
      <c r="N12" s="105"/>
      <c r="O12" s="1"/>
      <c r="P12" s="149" t="s">
        <v>101</v>
      </c>
      <c r="Q12" s="105"/>
      <c r="R12" s="105"/>
      <c r="S12" s="143">
        <v>30.99</v>
      </c>
      <c r="T12" s="144"/>
      <c r="U12" s="144"/>
      <c r="V12" s="144"/>
      <c r="W12" s="194">
        <f>'8'!W12+'9'!S12</f>
        <v>363.33000000000004</v>
      </c>
      <c r="X12" s="144"/>
      <c r="Y12" s="144"/>
      <c r="Z12" s="147"/>
    </row>
    <row r="13" spans="1:29" ht="21.9" customHeight="1">
      <c r="A13" s="104" t="s">
        <v>4</v>
      </c>
      <c r="B13" s="104"/>
      <c r="C13" s="174">
        <f>'8'!I13</f>
        <v>560</v>
      </c>
      <c r="D13" s="174"/>
      <c r="E13" s="104">
        <v>0</v>
      </c>
      <c r="F13" s="104"/>
      <c r="G13" s="104">
        <v>90</v>
      </c>
      <c r="H13" s="104"/>
      <c r="I13" s="102">
        <f t="shared" si="0"/>
        <v>470</v>
      </c>
      <c r="J13" s="103"/>
      <c r="K13" s="105">
        <f>'8'!K13+'9'!E13</f>
        <v>710</v>
      </c>
      <c r="L13" s="105"/>
      <c r="M13" s="105">
        <f>'8'!M13+G13</f>
        <v>830</v>
      </c>
      <c r="N13" s="105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9" ht="21.9" customHeight="1">
      <c r="A14" s="104" t="s">
        <v>5</v>
      </c>
      <c r="B14" s="104"/>
      <c r="C14" s="174">
        <f>'8'!I14</f>
        <v>1640</v>
      </c>
      <c r="D14" s="174"/>
      <c r="E14" s="104">
        <v>0</v>
      </c>
      <c r="F14" s="104"/>
      <c r="G14" s="104">
        <v>120</v>
      </c>
      <c r="H14" s="104"/>
      <c r="I14" s="102">
        <f t="shared" si="0"/>
        <v>1520</v>
      </c>
      <c r="J14" s="103"/>
      <c r="K14" s="105">
        <f>'8'!K14+'9'!E14</f>
        <v>2000</v>
      </c>
      <c r="L14" s="105"/>
      <c r="M14" s="105">
        <f>'8'!M14+G14</f>
        <v>1080</v>
      </c>
      <c r="N14" s="105"/>
      <c r="O14" s="1"/>
      <c r="P14" s="104" t="s">
        <v>26</v>
      </c>
      <c r="Q14" s="104"/>
      <c r="R14" s="104"/>
      <c r="S14" s="155">
        <v>0</v>
      </c>
      <c r="T14" s="156"/>
      <c r="U14" s="156"/>
      <c r="V14" s="156"/>
      <c r="W14" s="155">
        <f>'8'!W14+'9'!S14</f>
        <v>71.64</v>
      </c>
      <c r="X14" s="156"/>
      <c r="Y14" s="156"/>
      <c r="Z14" s="157"/>
    </row>
    <row r="15" spans="1:29" ht="21.9" customHeight="1">
      <c r="A15" s="104" t="s">
        <v>7</v>
      </c>
      <c r="B15" s="104"/>
      <c r="C15" s="174">
        <f>'8'!I15</f>
        <v>1061</v>
      </c>
      <c r="D15" s="174"/>
      <c r="E15" s="104">
        <v>0</v>
      </c>
      <c r="F15" s="104"/>
      <c r="G15" s="104">
        <v>26</v>
      </c>
      <c r="H15" s="104"/>
      <c r="I15" s="102">
        <f t="shared" si="0"/>
        <v>1035</v>
      </c>
      <c r="J15" s="103"/>
      <c r="K15" s="105">
        <f>'8'!K15+'9'!E15</f>
        <v>0</v>
      </c>
      <c r="L15" s="105"/>
      <c r="M15" s="105">
        <f>'8'!M15+G15</f>
        <v>264</v>
      </c>
      <c r="N15" s="105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9" ht="21.9" customHeight="1">
      <c r="A16" s="104" t="s">
        <v>6</v>
      </c>
      <c r="B16" s="104"/>
      <c r="C16" s="174">
        <f>'8'!I16</f>
        <v>2190</v>
      </c>
      <c r="D16" s="174"/>
      <c r="E16" s="104">
        <v>0</v>
      </c>
      <c r="F16" s="104"/>
      <c r="G16" s="104">
        <v>20</v>
      </c>
      <c r="H16" s="104"/>
      <c r="I16" s="102">
        <f t="shared" si="0"/>
        <v>2170</v>
      </c>
      <c r="J16" s="103"/>
      <c r="K16" s="105">
        <f>'8'!K16+'9'!E16</f>
        <v>0</v>
      </c>
      <c r="L16" s="105"/>
      <c r="M16" s="105">
        <f>'8'!M16+G16</f>
        <v>180</v>
      </c>
      <c r="N16" s="105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'8'!I17</f>
        <v>1690</v>
      </c>
      <c r="D17" s="174"/>
      <c r="E17" s="104">
        <v>0</v>
      </c>
      <c r="F17" s="104"/>
      <c r="G17" s="104">
        <v>200</v>
      </c>
      <c r="H17" s="104"/>
      <c r="I17" s="102">
        <f t="shared" si="0"/>
        <v>1490</v>
      </c>
      <c r="J17" s="103"/>
      <c r="K17" s="105">
        <f>'8'!K17+'9'!E17</f>
        <v>1440</v>
      </c>
      <c r="L17" s="105"/>
      <c r="M17" s="105">
        <f>'8'!M17+G17</f>
        <v>1800</v>
      </c>
      <c r="N17" s="105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'8'!I18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0"/>
        <v>5340</v>
      </c>
      <c r="J18" s="103"/>
      <c r="K18" s="105">
        <f>'8'!K18+'9'!E18</f>
        <v>0</v>
      </c>
      <c r="L18" s="105"/>
      <c r="M18" s="105">
        <f>'8'!M18+G18</f>
        <v>0</v>
      </c>
      <c r="N18" s="105"/>
      <c r="O18" s="1"/>
      <c r="P18" s="164" t="s">
        <v>27</v>
      </c>
      <c r="Q18" s="164"/>
      <c r="R18" s="164"/>
      <c r="S18" s="114">
        <v>2</v>
      </c>
      <c r="T18" s="115"/>
      <c r="U18" s="114">
        <v>1</v>
      </c>
      <c r="V18" s="115"/>
      <c r="W18" s="114">
        <f>S18+U18</f>
        <v>3</v>
      </c>
      <c r="X18" s="115"/>
      <c r="Y18" s="151">
        <f>'8'!Y18+'9'!W18</f>
        <v>34</v>
      </c>
      <c r="Z18" s="151"/>
    </row>
    <row r="19" spans="1:31" ht="21.9" customHeight="1">
      <c r="A19" s="153" t="s">
        <v>62</v>
      </c>
      <c r="B19" s="153"/>
      <c r="C19" s="174">
        <f>'8'!I19</f>
        <v>70807</v>
      </c>
      <c r="D19" s="174"/>
      <c r="E19" s="154">
        <v>70800</v>
      </c>
      <c r="F19" s="154"/>
      <c r="G19" s="154">
        <f>D7</f>
        <v>78799</v>
      </c>
      <c r="H19" s="154"/>
      <c r="I19" s="99">
        <f t="shared" ref="I19" si="1">C19+E19-G19</f>
        <v>62808</v>
      </c>
      <c r="J19" s="101"/>
      <c r="K19" s="139">
        <f>'8'!K19+'9'!E19</f>
        <v>587590</v>
      </c>
      <c r="L19" s="139"/>
      <c r="M19" s="139">
        <f>'8'!M19+G19</f>
        <v>634782</v>
      </c>
      <c r="N19" s="139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'8'!I20</f>
        <v>-</v>
      </c>
      <c r="D20" s="174"/>
      <c r="E20" s="102">
        <v>0</v>
      </c>
      <c r="F20" s="103"/>
      <c r="G20" s="104">
        <v>0</v>
      </c>
      <c r="H20" s="104"/>
      <c r="I20" s="102" t="s">
        <v>60</v>
      </c>
      <c r="J20" s="103"/>
      <c r="K20" s="105">
        <f>'8'!K20+'9'!E20</f>
        <v>0</v>
      </c>
      <c r="L20" s="105"/>
      <c r="M20" s="139">
        <f>'8'!M20+G20</f>
        <v>0</v>
      </c>
      <c r="N20" s="139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'8'!G24</f>
        <v>3861765</v>
      </c>
      <c r="E24" s="187"/>
      <c r="F24" s="187"/>
      <c r="G24" s="164">
        <v>3883602</v>
      </c>
      <c r="H24" s="164"/>
      <c r="I24" s="164"/>
      <c r="J24" s="164">
        <f>G24-D24</f>
        <v>21837</v>
      </c>
      <c r="K24" s="164"/>
      <c r="L24" s="164"/>
      <c r="M24" s="164">
        <f>'8'!M24+J24</f>
        <v>212034</v>
      </c>
      <c r="N24" s="164"/>
      <c r="P24" s="105" t="s">
        <v>36</v>
      </c>
      <c r="Q24" s="105"/>
      <c r="R24" s="105"/>
      <c r="S24" s="105">
        <f>'8'!V24</f>
        <v>414.6</v>
      </c>
      <c r="T24" s="105"/>
      <c r="U24" s="105"/>
      <c r="V24" s="140">
        <v>473.9</v>
      </c>
      <c r="W24" s="140"/>
      <c r="X24" s="140"/>
      <c r="Y24" s="140">
        <f>'8'!Y24+'9'!V24</f>
        <v>3877.1000000000004</v>
      </c>
      <c r="Z24" s="140"/>
    </row>
    <row r="25" spans="1:31" ht="21.9" customHeight="1">
      <c r="A25" s="104" t="s">
        <v>30</v>
      </c>
      <c r="B25" s="104"/>
      <c r="C25" s="104"/>
      <c r="D25" s="104">
        <f>'8'!G25</f>
        <v>33055.300000000003</v>
      </c>
      <c r="E25" s="104"/>
      <c r="F25" s="104"/>
      <c r="G25" s="137">
        <v>33087.1</v>
      </c>
      <c r="H25" s="137"/>
      <c r="I25" s="137"/>
      <c r="J25" s="104">
        <f>G25-D25</f>
        <v>31.799999999995634</v>
      </c>
      <c r="K25" s="104"/>
      <c r="L25" s="104"/>
      <c r="M25" s="102">
        <f>'8'!M25+J25</f>
        <v>323</v>
      </c>
      <c r="N25" s="103"/>
      <c r="P25" s="104" t="s">
        <v>37</v>
      </c>
      <c r="Q25" s="104"/>
      <c r="R25" s="104"/>
      <c r="S25" s="105">
        <f>'8'!V25</f>
        <v>55.2</v>
      </c>
      <c r="T25" s="105"/>
      <c r="U25" s="105"/>
      <c r="V25" s="137">
        <v>55.4</v>
      </c>
      <c r="W25" s="137"/>
      <c r="X25" s="137"/>
      <c r="Y25" s="140">
        <f>'8'!Y25+'9'!V25</f>
        <v>509.19999999999993</v>
      </c>
      <c r="Z25" s="140"/>
    </row>
    <row r="26" spans="1:31" ht="21.9" customHeight="1">
      <c r="A26" s="104" t="s">
        <v>31</v>
      </c>
      <c r="B26" s="104"/>
      <c r="C26" s="104"/>
      <c r="D26" s="104">
        <f>'8'!G26</f>
        <v>24470</v>
      </c>
      <c r="E26" s="104"/>
      <c r="F26" s="104"/>
      <c r="G26" s="104">
        <v>24490</v>
      </c>
      <c r="H26" s="104"/>
      <c r="I26" s="104"/>
      <c r="J26" s="104">
        <f t="shared" ref="J26:J33" si="2">G26-D26</f>
        <v>20</v>
      </c>
      <c r="K26" s="104"/>
      <c r="L26" s="104"/>
      <c r="M26" s="102">
        <f>'8'!M26+J26</f>
        <v>190</v>
      </c>
      <c r="N26" s="103"/>
      <c r="P26" s="104" t="s">
        <v>38</v>
      </c>
      <c r="Q26" s="104"/>
      <c r="R26" s="104"/>
      <c r="S26" s="105">
        <f>'8'!V26</f>
        <v>532.6</v>
      </c>
      <c r="T26" s="105"/>
      <c r="U26" s="105"/>
      <c r="V26" s="137">
        <v>514.9</v>
      </c>
      <c r="W26" s="137"/>
      <c r="X26" s="137"/>
      <c r="Y26" s="140">
        <f>'8'!Y26+'9'!V26</f>
        <v>4455.8</v>
      </c>
      <c r="Z26" s="140"/>
    </row>
    <row r="27" spans="1:31" ht="21.9" customHeight="1">
      <c r="A27" s="104" t="s">
        <v>32</v>
      </c>
      <c r="B27" s="104"/>
      <c r="C27" s="104"/>
      <c r="D27" s="104">
        <f>'8'!G27</f>
        <v>1369000</v>
      </c>
      <c r="E27" s="104"/>
      <c r="F27" s="104"/>
      <c r="G27" s="104">
        <v>1372000</v>
      </c>
      <c r="H27" s="104"/>
      <c r="I27" s="104"/>
      <c r="J27" s="104">
        <f t="shared" si="2"/>
        <v>3000</v>
      </c>
      <c r="K27" s="104"/>
      <c r="L27" s="104"/>
      <c r="M27" s="102">
        <f>'8'!M27+J27</f>
        <v>33000</v>
      </c>
      <c r="N27" s="103"/>
      <c r="P27" s="104" t="s">
        <v>39</v>
      </c>
      <c r="Q27" s="104"/>
      <c r="R27" s="104"/>
      <c r="S27" s="105">
        <f>'8'!V27</f>
        <v>506.4</v>
      </c>
      <c r="T27" s="105"/>
      <c r="U27" s="105"/>
      <c r="V27" s="137">
        <v>508.5</v>
      </c>
      <c r="W27" s="137"/>
      <c r="X27" s="137"/>
      <c r="Y27" s="140">
        <f>'8'!Y27+'9'!V27</f>
        <v>4541.7999999999993</v>
      </c>
      <c r="Z27" s="140"/>
    </row>
    <row r="28" spans="1:31" ht="21.9" customHeight="1">
      <c r="A28" s="104" t="s">
        <v>33</v>
      </c>
      <c r="B28" s="104"/>
      <c r="C28" s="104"/>
      <c r="D28" s="104">
        <f>'8'!G28</f>
        <v>5418</v>
      </c>
      <c r="E28" s="104"/>
      <c r="F28" s="104"/>
      <c r="G28" s="104">
        <v>5471</v>
      </c>
      <c r="H28" s="104"/>
      <c r="I28" s="104"/>
      <c r="J28" s="104">
        <f t="shared" si="2"/>
        <v>53</v>
      </c>
      <c r="K28" s="104"/>
      <c r="L28" s="104"/>
      <c r="M28" s="102">
        <f>'8'!M28+J28</f>
        <v>533</v>
      </c>
      <c r="N28" s="103"/>
      <c r="P28" s="104" t="s">
        <v>41</v>
      </c>
      <c r="Q28" s="104"/>
      <c r="R28" s="104"/>
      <c r="S28" s="105">
        <f>'8'!V28</f>
        <v>0</v>
      </c>
      <c r="T28" s="105"/>
      <c r="U28" s="105"/>
      <c r="V28" s="137">
        <v>0</v>
      </c>
      <c r="W28" s="137"/>
      <c r="X28" s="137"/>
      <c r="Y28" s="140">
        <f>'8'!Y28+'9'!V28</f>
        <v>0</v>
      </c>
      <c r="Z28" s="140"/>
    </row>
    <row r="29" spans="1:31" ht="21.9" customHeight="1">
      <c r="A29" s="104" t="s">
        <v>34</v>
      </c>
      <c r="B29" s="104"/>
      <c r="C29" s="104"/>
      <c r="D29" s="104">
        <f>'8'!G29</f>
        <v>66210</v>
      </c>
      <c r="E29" s="104"/>
      <c r="F29" s="104"/>
      <c r="G29" s="104">
        <v>66210</v>
      </c>
      <c r="H29" s="104"/>
      <c r="I29" s="104"/>
      <c r="J29" s="104">
        <f t="shared" si="2"/>
        <v>0</v>
      </c>
      <c r="K29" s="104"/>
      <c r="L29" s="104"/>
      <c r="M29" s="102">
        <f>'8'!M29+J29</f>
        <v>30</v>
      </c>
      <c r="N29" s="103"/>
      <c r="P29" s="104" t="s">
        <v>40</v>
      </c>
      <c r="Q29" s="104"/>
      <c r="R29" s="104"/>
      <c r="S29" s="105">
        <f>'8'!V29</f>
        <v>59.7</v>
      </c>
      <c r="T29" s="105"/>
      <c r="U29" s="105"/>
      <c r="V29" s="137">
        <v>62</v>
      </c>
      <c r="W29" s="137"/>
      <c r="X29" s="137"/>
      <c r="Y29" s="140">
        <f>'8'!Y29+'9'!V29</f>
        <v>561.59999999999991</v>
      </c>
      <c r="Z29" s="140"/>
    </row>
    <row r="30" spans="1:31" ht="21.9" customHeight="1">
      <c r="A30" s="104" t="s">
        <v>35</v>
      </c>
      <c r="B30" s="104"/>
      <c r="C30" s="104"/>
      <c r="D30" s="104">
        <f>'8'!G30</f>
        <v>53330</v>
      </c>
      <c r="E30" s="104"/>
      <c r="F30" s="104"/>
      <c r="G30" s="104">
        <v>53340</v>
      </c>
      <c r="H30" s="104"/>
      <c r="I30" s="104"/>
      <c r="J30" s="104">
        <f t="shared" si="2"/>
        <v>10</v>
      </c>
      <c r="K30" s="104"/>
      <c r="L30" s="104"/>
      <c r="M30" s="102">
        <f>'8'!M30+J30</f>
        <v>120</v>
      </c>
      <c r="N30" s="103"/>
      <c r="P30" s="104" t="s">
        <v>28</v>
      </c>
      <c r="Q30" s="104"/>
      <c r="R30" s="104"/>
      <c r="S30" s="104">
        <f>SUM(S24:U29)</f>
        <v>1568.5000000000002</v>
      </c>
      <c r="T30" s="104"/>
      <c r="U30" s="104"/>
      <c r="V30" s="137"/>
      <c r="W30" s="104"/>
      <c r="X30" s="104"/>
      <c r="Y30" s="140">
        <f>'8'!Y30+'9'!V30</f>
        <v>1528.3</v>
      </c>
      <c r="Z30" s="140"/>
    </row>
    <row r="31" spans="1:31" ht="21.9" customHeight="1">
      <c r="A31" s="104" t="s">
        <v>120</v>
      </c>
      <c r="B31" s="104"/>
      <c r="C31" s="104"/>
      <c r="D31" s="104">
        <f>'8'!G31</f>
        <v>6266307</v>
      </c>
      <c r="E31" s="104"/>
      <c r="F31" s="104"/>
      <c r="G31" s="102">
        <v>6273899</v>
      </c>
      <c r="H31" s="106"/>
      <c r="I31" s="103"/>
      <c r="J31" s="102">
        <f t="shared" si="2"/>
        <v>7592</v>
      </c>
      <c r="K31" s="106">
        <v>12.255000000000001</v>
      </c>
      <c r="L31" s="103">
        <v>12.255000000000001</v>
      </c>
      <c r="M31" s="102">
        <f>'8'!M31+J31</f>
        <v>71804</v>
      </c>
      <c r="N31" s="103"/>
      <c r="P31" s="57"/>
      <c r="Q31" s="57"/>
      <c r="R31" s="57"/>
      <c r="S31" s="57"/>
      <c r="T31" s="57"/>
      <c r="U31" s="57"/>
      <c r="V31" s="58"/>
      <c r="W31" s="57"/>
      <c r="X31" s="57"/>
      <c r="Y31" s="58"/>
      <c r="Z31" s="58"/>
    </row>
    <row r="32" spans="1:31" ht="21.9" customHeight="1">
      <c r="A32" s="104" t="s">
        <v>121</v>
      </c>
      <c r="B32" s="104"/>
      <c r="C32" s="104"/>
      <c r="D32" s="104">
        <f>'8'!G32</f>
        <v>1.7</v>
      </c>
      <c r="E32" s="104"/>
      <c r="F32" s="104"/>
      <c r="G32" s="102">
        <v>1.7</v>
      </c>
      <c r="H32" s="106"/>
      <c r="I32" s="103"/>
      <c r="J32" s="102">
        <f t="shared" ref="J32" si="3">G32-D32</f>
        <v>0</v>
      </c>
      <c r="K32" s="106">
        <v>12.255000000000001</v>
      </c>
      <c r="L32" s="103">
        <v>12.255000000000001</v>
      </c>
      <c r="M32" s="102">
        <f>'8'!M32+J32</f>
        <v>9.9999999999999867E-2</v>
      </c>
      <c r="N32" s="103"/>
      <c r="P32" s="57"/>
      <c r="Q32" s="57"/>
      <c r="R32" s="57"/>
      <c r="S32" s="57"/>
      <c r="T32" s="57"/>
      <c r="U32" s="57"/>
      <c r="V32" s="58"/>
      <c r="W32" s="57"/>
      <c r="X32" s="57"/>
      <c r="Y32" s="58"/>
      <c r="Z32" s="58"/>
    </row>
    <row r="33" spans="1:26" ht="21.9" customHeight="1">
      <c r="A33" s="104" t="s">
        <v>122</v>
      </c>
      <c r="B33" s="104"/>
      <c r="C33" s="104"/>
      <c r="D33" s="104">
        <f>'8'!G33</f>
        <v>0</v>
      </c>
      <c r="E33" s="104"/>
      <c r="F33" s="104"/>
      <c r="G33" s="102">
        <v>0</v>
      </c>
      <c r="H33" s="106"/>
      <c r="I33" s="103"/>
      <c r="J33" s="102">
        <f t="shared" si="2"/>
        <v>0</v>
      </c>
      <c r="K33" s="106">
        <v>12.255000000000001</v>
      </c>
      <c r="L33" s="103">
        <v>12.255000000000001</v>
      </c>
      <c r="M33" s="102">
        <f>'8'!M33+J33</f>
        <v>0</v>
      </c>
      <c r="N33" s="103"/>
      <c r="P33" s="57"/>
      <c r="Q33" s="57"/>
      <c r="R33" s="57"/>
      <c r="S33" s="57"/>
      <c r="T33" s="57"/>
      <c r="U33" s="57"/>
      <c r="V33" s="58"/>
      <c r="W33" s="57"/>
      <c r="X33" s="57"/>
      <c r="Y33" s="58"/>
      <c r="Z33" s="58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208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20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7"/>
    </row>
    <row r="50" spans="1:26">
      <c r="A50" s="167"/>
      <c r="B50" s="168"/>
      <c r="C50" s="198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200"/>
    </row>
    <row r="51" spans="1:26">
      <c r="A51" s="167"/>
      <c r="B51" s="168"/>
      <c r="C51" s="198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200"/>
    </row>
    <row r="52" spans="1:26">
      <c r="A52" s="167"/>
      <c r="B52" s="168"/>
      <c r="C52" s="198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200"/>
    </row>
    <row r="53" spans="1:26">
      <c r="A53" s="167"/>
      <c r="B53" s="168"/>
      <c r="C53" s="198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200"/>
    </row>
    <row r="54" spans="1:26">
      <c r="A54" s="167"/>
      <c r="B54" s="168"/>
      <c r="C54" s="198"/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200"/>
    </row>
    <row r="55" spans="1:26">
      <c r="A55" s="167"/>
      <c r="B55" s="168"/>
      <c r="C55" s="198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200"/>
    </row>
    <row r="56" spans="1:26">
      <c r="A56" s="167"/>
      <c r="B56" s="168"/>
      <c r="C56" s="198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200"/>
    </row>
    <row r="57" spans="1:26">
      <c r="A57" s="167"/>
      <c r="B57" s="168"/>
      <c r="C57" s="198"/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200"/>
    </row>
    <row r="58" spans="1:26">
      <c r="A58" s="167"/>
      <c r="B58" s="168"/>
      <c r="C58" s="198"/>
      <c r="D58" s="199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200"/>
    </row>
    <row r="59" spans="1:26">
      <c r="A59" s="167"/>
      <c r="B59" s="168"/>
      <c r="C59" s="198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200"/>
    </row>
    <row r="60" spans="1:26">
      <c r="A60" s="167"/>
      <c r="B60" s="168"/>
      <c r="C60" s="198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200"/>
    </row>
    <row r="61" spans="1:26">
      <c r="A61" s="167"/>
      <c r="B61" s="168"/>
      <c r="C61" s="198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200"/>
    </row>
    <row r="62" spans="1:26">
      <c r="A62" s="169"/>
      <c r="B62" s="170"/>
      <c r="C62" s="201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202"/>
    </row>
    <row r="63" spans="1:26">
      <c r="A63" s="165" t="s">
        <v>16</v>
      </c>
      <c r="B63" s="166"/>
      <c r="C63" s="20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7"/>
    </row>
    <row r="64" spans="1:26">
      <c r="A64" s="167"/>
      <c r="B64" s="168"/>
      <c r="C64" s="198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200"/>
    </row>
    <row r="65" spans="1:26">
      <c r="A65" s="167"/>
      <c r="B65" s="168"/>
      <c r="C65" s="198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200"/>
    </row>
    <row r="66" spans="1:26">
      <c r="A66" s="167"/>
      <c r="B66" s="168"/>
      <c r="C66" s="198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200"/>
    </row>
    <row r="67" spans="1:26">
      <c r="A67" s="167"/>
      <c r="B67" s="168"/>
      <c r="C67" s="198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200"/>
    </row>
    <row r="68" spans="1:26">
      <c r="A68" s="167"/>
      <c r="B68" s="168"/>
      <c r="C68" s="198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200"/>
    </row>
    <row r="69" spans="1:26">
      <c r="A69" s="167"/>
      <c r="B69" s="168"/>
      <c r="C69" s="198"/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200"/>
    </row>
    <row r="70" spans="1:26">
      <c r="A70" s="167"/>
      <c r="B70" s="168"/>
      <c r="C70" s="198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200"/>
    </row>
    <row r="71" spans="1:26">
      <c r="A71" s="167"/>
      <c r="B71" s="168"/>
      <c r="C71" s="198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200"/>
    </row>
    <row r="72" spans="1:26">
      <c r="A72" s="167"/>
      <c r="B72" s="168"/>
      <c r="C72" s="198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200"/>
    </row>
    <row r="73" spans="1:26">
      <c r="A73" s="167"/>
      <c r="B73" s="168"/>
      <c r="C73" s="198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200"/>
    </row>
    <row r="74" spans="1:26">
      <c r="A74" s="167"/>
      <c r="B74" s="168"/>
      <c r="C74" s="198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200"/>
    </row>
    <row r="75" spans="1:26">
      <c r="A75" s="167"/>
      <c r="B75" s="168"/>
      <c r="C75" s="198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200"/>
    </row>
    <row r="76" spans="1:26">
      <c r="A76" s="169"/>
      <c r="B76" s="170"/>
      <c r="C76" s="201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202"/>
    </row>
  </sheetData>
  <protectedRanges>
    <protectedRange sqref="H3:S3" name="범위2"/>
    <protectedRange sqref="U2:Z3 D7:I7 R7:Z7 E12:H20 S12:V15 S18:V20 G24:I30 V24:X33" name="범위1"/>
    <protectedRange sqref="G31:L33" name="범위3_1"/>
    <protectedRange sqref="B2:G3" name="범위1_1"/>
  </protectedRanges>
  <mergeCells count="223">
    <mergeCell ref="A63:B76"/>
    <mergeCell ref="C63:Z76"/>
    <mergeCell ref="V30:X30"/>
    <mergeCell ref="Y30:Z30"/>
    <mergeCell ref="A36:B48"/>
    <mergeCell ref="C36:Z48"/>
    <mergeCell ref="A49:B62"/>
    <mergeCell ref="C49:Z62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M33:N33"/>
    <mergeCell ref="S30:U30"/>
    <mergeCell ref="A29:C29"/>
    <mergeCell ref="D29:F29"/>
    <mergeCell ref="G29:I29"/>
    <mergeCell ref="J29:L29"/>
    <mergeCell ref="M29:N29"/>
    <mergeCell ref="P29:R29"/>
    <mergeCell ref="S29:U29"/>
    <mergeCell ref="V29:X29"/>
    <mergeCell ref="Y29:Z29"/>
    <mergeCell ref="A28:C28"/>
    <mergeCell ref="D28:F28"/>
    <mergeCell ref="G28:I28"/>
    <mergeCell ref="J28:L28"/>
    <mergeCell ref="M28:N28"/>
    <mergeCell ref="P28:R28"/>
    <mergeCell ref="S28:U28"/>
    <mergeCell ref="V28:X28"/>
    <mergeCell ref="Y28:Z28"/>
    <mergeCell ref="S26:U26"/>
    <mergeCell ref="V26:X26"/>
    <mergeCell ref="Y26:Z26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V27:X27"/>
    <mergeCell ref="Y27:Z27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Y23:Z23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P16:R17"/>
    <mergeCell ref="Y16:Z17"/>
    <mergeCell ref="A17:B17"/>
    <mergeCell ref="C17:D17"/>
    <mergeCell ref="E17:F17"/>
    <mergeCell ref="G17:H17"/>
    <mergeCell ref="M20:N20"/>
    <mergeCell ref="P22:U22"/>
    <mergeCell ref="A23:C23"/>
    <mergeCell ref="D23:F23"/>
    <mergeCell ref="G23:I23"/>
    <mergeCell ref="J23:L23"/>
    <mergeCell ref="M23:N23"/>
    <mergeCell ref="P23:R23"/>
    <mergeCell ref="S23:U23"/>
    <mergeCell ref="P18:R20"/>
    <mergeCell ref="A19:B19"/>
    <mergeCell ref="C19:D19"/>
    <mergeCell ref="E19:F19"/>
    <mergeCell ref="G19:H19"/>
    <mergeCell ref="I19:J19"/>
    <mergeCell ref="K19:L19"/>
    <mergeCell ref="M19:N19"/>
    <mergeCell ref="V23:X23"/>
    <mergeCell ref="A20:B20"/>
    <mergeCell ref="C20:D20"/>
    <mergeCell ref="E20:F20"/>
    <mergeCell ref="G20:H20"/>
    <mergeCell ref="I20:J20"/>
    <mergeCell ref="K20:L20"/>
    <mergeCell ref="M17:N17"/>
    <mergeCell ref="A18:B18"/>
    <mergeCell ref="C18:D18"/>
    <mergeCell ref="E18:F18"/>
    <mergeCell ref="G18:H18"/>
    <mergeCell ref="I18:J18"/>
    <mergeCell ref="K18:L18"/>
    <mergeCell ref="M18:N18"/>
    <mergeCell ref="I17:J17"/>
    <mergeCell ref="K17:L17"/>
    <mergeCell ref="A16:B16"/>
    <mergeCell ref="C16:D16"/>
    <mergeCell ref="E16:F16"/>
    <mergeCell ref="G16:H16"/>
    <mergeCell ref="I16:J16"/>
    <mergeCell ref="K16:L16"/>
    <mergeCell ref="M16:N16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3:N13"/>
    <mergeCell ref="P12:R13"/>
    <mergeCell ref="P14:R15"/>
    <mergeCell ref="A15:B15"/>
    <mergeCell ref="C15:D15"/>
    <mergeCell ref="E15:F15"/>
    <mergeCell ref="G15:H15"/>
    <mergeCell ref="I15:J15"/>
    <mergeCell ref="K15:L15"/>
    <mergeCell ref="A12:B12"/>
    <mergeCell ref="C12:D12"/>
    <mergeCell ref="E12:F12"/>
    <mergeCell ref="G12:H12"/>
    <mergeCell ref="I12:J12"/>
    <mergeCell ref="K12:L12"/>
    <mergeCell ref="M12:N12"/>
    <mergeCell ref="M15:N15"/>
    <mergeCell ref="A11:B11"/>
    <mergeCell ref="C11:D11"/>
    <mergeCell ref="E11:F11"/>
    <mergeCell ref="G11:H11"/>
    <mergeCell ref="I11:J11"/>
    <mergeCell ref="K11:L11"/>
    <mergeCell ref="M11:N11"/>
    <mergeCell ref="P11:R11"/>
    <mergeCell ref="A8:C8"/>
    <mergeCell ref="D8:F8"/>
    <mergeCell ref="G8:I8"/>
    <mergeCell ref="J8:L8"/>
    <mergeCell ref="P8:Q8"/>
    <mergeCell ref="R8:T8"/>
    <mergeCell ref="S11:V11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G6:I6"/>
    <mergeCell ref="J6:L6"/>
    <mergeCell ref="P6:Q6"/>
    <mergeCell ref="R6:T6"/>
    <mergeCell ref="A1:A3"/>
    <mergeCell ref="W1:X1"/>
    <mergeCell ref="H1:S2"/>
    <mergeCell ref="T1:T3"/>
    <mergeCell ref="U1:V1"/>
    <mergeCell ref="U2:V3"/>
    <mergeCell ref="H3:S3"/>
    <mergeCell ref="B1:C1"/>
    <mergeCell ref="D1:E1"/>
    <mergeCell ref="F1:G1"/>
    <mergeCell ref="B2:C3"/>
    <mergeCell ref="D2:E3"/>
    <mergeCell ref="F2:G3"/>
    <mergeCell ref="S14:V15"/>
    <mergeCell ref="W14:Z15"/>
    <mergeCell ref="S16:T17"/>
    <mergeCell ref="U16:V17"/>
    <mergeCell ref="W16:X17"/>
    <mergeCell ref="S18:T20"/>
    <mergeCell ref="U18:V20"/>
    <mergeCell ref="W18:X20"/>
    <mergeCell ref="Y1:Z1"/>
    <mergeCell ref="U6:W6"/>
    <mergeCell ref="X6:Z6"/>
    <mergeCell ref="U8:W8"/>
    <mergeCell ref="X8:Z8"/>
    <mergeCell ref="W11:Z11"/>
    <mergeCell ref="Y18:Z20"/>
    <mergeCell ref="S12:V13"/>
    <mergeCell ref="W12:Z13"/>
    <mergeCell ref="W2:X3"/>
    <mergeCell ref="Y2:Z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zoomScaleNormal="100" zoomScaleSheetLayoutView="100" workbookViewId="0">
      <selection activeCell="G7" sqref="G7:I7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173</v>
      </c>
      <c r="C2" s="135"/>
      <c r="D2" s="135" t="s">
        <v>170</v>
      </c>
      <c r="E2" s="135"/>
      <c r="F2" s="135" t="s">
        <v>172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05"/>
      <c r="E3" s="105"/>
      <c r="F3" s="105"/>
      <c r="G3" s="105"/>
      <c r="H3" s="132">
        <v>46213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80936</v>
      </c>
      <c r="E7" s="139"/>
      <c r="F7" s="139"/>
      <c r="G7" s="139">
        <v>138500</v>
      </c>
      <c r="H7" s="139"/>
      <c r="I7" s="139"/>
      <c r="J7" s="154">
        <f>D7+G7</f>
        <v>219436</v>
      </c>
      <c r="K7" s="154"/>
      <c r="L7" s="154"/>
      <c r="M7" s="1"/>
      <c r="N7" s="1"/>
      <c r="O7" s="1"/>
      <c r="P7" s="105" t="s">
        <v>48</v>
      </c>
      <c r="Q7" s="105"/>
      <c r="R7" s="140">
        <v>507.6</v>
      </c>
      <c r="S7" s="140"/>
      <c r="T7" s="140"/>
      <c r="U7" s="140">
        <v>319.8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'9'!D8+'10'!D7</f>
        <v>715718</v>
      </c>
      <c r="E8" s="154"/>
      <c r="F8" s="154"/>
      <c r="G8" s="154">
        <f>'9'!G8+'10'!G7</f>
        <v>1502700</v>
      </c>
      <c r="H8" s="154"/>
      <c r="I8" s="154"/>
      <c r="J8" s="154">
        <f>D8+G8</f>
        <v>2218418</v>
      </c>
      <c r="K8" s="154"/>
      <c r="L8" s="154"/>
      <c r="M8" s="1"/>
      <c r="N8" s="1"/>
      <c r="O8" s="1"/>
      <c r="P8" s="104" t="s">
        <v>2</v>
      </c>
      <c r="Q8" s="104"/>
      <c r="R8" s="137">
        <f>'9'!R8+'10'!R7</f>
        <v>4802.5</v>
      </c>
      <c r="S8" s="137"/>
      <c r="T8" s="137"/>
      <c r="U8" s="137">
        <f>'9'!U8+U7</f>
        <v>3304.5</v>
      </c>
      <c r="V8" s="137"/>
      <c r="W8" s="137"/>
      <c r="X8" s="138">
        <f>'9'!X8+'10'!X7</f>
        <v>240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'9'!I12</f>
        <v>11463</v>
      </c>
      <c r="D12" s="174"/>
      <c r="E12" s="105">
        <v>11400</v>
      </c>
      <c r="F12" s="105"/>
      <c r="G12" s="105">
        <v>3494</v>
      </c>
      <c r="H12" s="105"/>
      <c r="I12" s="107">
        <f t="shared" ref="I12:I18" si="0">C12+E12-G12</f>
        <v>19369</v>
      </c>
      <c r="J12" s="109"/>
      <c r="K12" s="105">
        <f>'9'!K12+'10'!E12</f>
        <v>42870</v>
      </c>
      <c r="L12" s="105"/>
      <c r="M12" s="105">
        <f>'9'!M12+'10'!G12</f>
        <v>38415</v>
      </c>
      <c r="N12" s="105"/>
      <c r="O12" s="1"/>
      <c r="P12" s="149" t="s">
        <v>101</v>
      </c>
      <c r="Q12" s="105"/>
      <c r="R12" s="105"/>
      <c r="S12" s="143">
        <v>26.21</v>
      </c>
      <c r="T12" s="144"/>
      <c r="U12" s="144"/>
      <c r="V12" s="144"/>
      <c r="W12" s="194">
        <f>'9'!W12+'10'!S12</f>
        <v>389.54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'9'!I13</f>
        <v>470</v>
      </c>
      <c r="D13" s="174"/>
      <c r="E13" s="104">
        <v>0</v>
      </c>
      <c r="F13" s="104"/>
      <c r="G13" s="104">
        <v>100</v>
      </c>
      <c r="H13" s="104"/>
      <c r="I13" s="102">
        <f t="shared" si="0"/>
        <v>370</v>
      </c>
      <c r="J13" s="103"/>
      <c r="K13" s="105">
        <f>'9'!K13+'10'!E13</f>
        <v>710</v>
      </c>
      <c r="L13" s="105"/>
      <c r="M13" s="105">
        <f>'9'!M13+'10'!G13</f>
        <v>930</v>
      </c>
      <c r="N13" s="105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'9'!I14</f>
        <v>1520</v>
      </c>
      <c r="D14" s="174"/>
      <c r="E14" s="104">
        <v>0</v>
      </c>
      <c r="F14" s="104"/>
      <c r="G14" s="104">
        <v>120</v>
      </c>
      <c r="H14" s="104"/>
      <c r="I14" s="102">
        <f t="shared" si="0"/>
        <v>1400</v>
      </c>
      <c r="J14" s="103"/>
      <c r="K14" s="105">
        <f>'9'!K14+'10'!E14</f>
        <v>2000</v>
      </c>
      <c r="L14" s="105"/>
      <c r="M14" s="105">
        <f>'9'!M14+'10'!G14</f>
        <v>1200</v>
      </c>
      <c r="N14" s="105"/>
      <c r="O14" s="1"/>
      <c r="P14" s="104" t="s">
        <v>26</v>
      </c>
      <c r="Q14" s="104"/>
      <c r="R14" s="104"/>
      <c r="S14" s="155">
        <v>0</v>
      </c>
      <c r="T14" s="156"/>
      <c r="U14" s="156"/>
      <c r="V14" s="156"/>
      <c r="W14" s="155">
        <f>'9'!W14+'10'!S14</f>
        <v>71.64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'9'!I15</f>
        <v>1035</v>
      </c>
      <c r="D15" s="174"/>
      <c r="E15" s="104">
        <v>0</v>
      </c>
      <c r="F15" s="104"/>
      <c r="G15" s="104">
        <v>31</v>
      </c>
      <c r="H15" s="104"/>
      <c r="I15" s="102">
        <f t="shared" si="0"/>
        <v>1004</v>
      </c>
      <c r="J15" s="103"/>
      <c r="K15" s="105">
        <f>'9'!K15+'10'!E15</f>
        <v>0</v>
      </c>
      <c r="L15" s="105"/>
      <c r="M15" s="105">
        <f>'9'!M15+'10'!G15</f>
        <v>295</v>
      </c>
      <c r="N15" s="105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'9'!I16</f>
        <v>2170</v>
      </c>
      <c r="D16" s="174"/>
      <c r="E16" s="104">
        <v>0</v>
      </c>
      <c r="F16" s="104"/>
      <c r="G16" s="104">
        <v>20</v>
      </c>
      <c r="H16" s="104"/>
      <c r="I16" s="102">
        <f t="shared" si="0"/>
        <v>2150</v>
      </c>
      <c r="J16" s="103"/>
      <c r="K16" s="105">
        <f>'9'!K16+'10'!E16</f>
        <v>0</v>
      </c>
      <c r="L16" s="105"/>
      <c r="M16" s="105">
        <f>'9'!M16+'10'!G16</f>
        <v>200</v>
      </c>
      <c r="N16" s="105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'9'!I17</f>
        <v>1490</v>
      </c>
      <c r="D17" s="174"/>
      <c r="E17" s="104">
        <v>0</v>
      </c>
      <c r="F17" s="104"/>
      <c r="G17" s="104">
        <v>200</v>
      </c>
      <c r="H17" s="104"/>
      <c r="I17" s="102">
        <f t="shared" si="0"/>
        <v>1290</v>
      </c>
      <c r="J17" s="103"/>
      <c r="K17" s="105">
        <f>'9'!K17+'10'!E17</f>
        <v>1440</v>
      </c>
      <c r="L17" s="105"/>
      <c r="M17" s="105">
        <f>'9'!M17+'10'!G17</f>
        <v>2000</v>
      </c>
      <c r="N17" s="105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'9'!I18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0"/>
        <v>5340</v>
      </c>
      <c r="J18" s="103"/>
      <c r="K18" s="105">
        <f>'9'!K18+'10'!E18</f>
        <v>0</v>
      </c>
      <c r="L18" s="105"/>
      <c r="M18" s="105">
        <f>'9'!M18+'10'!G18</f>
        <v>0</v>
      </c>
      <c r="N18" s="105"/>
      <c r="O18" s="1"/>
      <c r="P18" s="164" t="s">
        <v>27</v>
      </c>
      <c r="Q18" s="164"/>
      <c r="R18" s="164"/>
      <c r="S18" s="114">
        <v>1</v>
      </c>
      <c r="T18" s="115"/>
      <c r="U18" s="114">
        <v>1</v>
      </c>
      <c r="V18" s="115"/>
      <c r="W18" s="114">
        <f>S18+U18</f>
        <v>2</v>
      </c>
      <c r="X18" s="115"/>
      <c r="Y18" s="151">
        <f>'9'!Y18+W18</f>
        <v>36</v>
      </c>
      <c r="Z18" s="151"/>
    </row>
    <row r="19" spans="1:31" ht="21.9" customHeight="1">
      <c r="A19" s="153" t="s">
        <v>62</v>
      </c>
      <c r="B19" s="153"/>
      <c r="C19" s="174">
        <f>'9'!I19</f>
        <v>62808</v>
      </c>
      <c r="D19" s="174"/>
      <c r="E19" s="154">
        <v>65350</v>
      </c>
      <c r="F19" s="154"/>
      <c r="G19" s="154">
        <f>D7</f>
        <v>80936</v>
      </c>
      <c r="H19" s="154"/>
      <c r="I19" s="99">
        <f t="shared" ref="I19" si="1">C19+E19-G19</f>
        <v>47222</v>
      </c>
      <c r="J19" s="101"/>
      <c r="K19" s="139">
        <f>'9'!K19+'10'!E19</f>
        <v>652940</v>
      </c>
      <c r="L19" s="139"/>
      <c r="M19" s="139">
        <f>'9'!M19+'10'!G19</f>
        <v>715718</v>
      </c>
      <c r="N19" s="139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'9'!I20</f>
        <v>-</v>
      </c>
      <c r="D20" s="174"/>
      <c r="E20" s="102">
        <v>0</v>
      </c>
      <c r="F20" s="103"/>
      <c r="G20" s="104">
        <v>0</v>
      </c>
      <c r="H20" s="104"/>
      <c r="I20" s="102" t="s">
        <v>60</v>
      </c>
      <c r="J20" s="103"/>
      <c r="K20" s="105">
        <f>'9'!K20+'10'!E20</f>
        <v>0</v>
      </c>
      <c r="L20" s="105"/>
      <c r="M20" s="139">
        <f>'9'!M20+'10'!G20</f>
        <v>0</v>
      </c>
      <c r="N20" s="139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'9'!G24</f>
        <v>3883602</v>
      </c>
      <c r="E24" s="187"/>
      <c r="F24" s="187"/>
      <c r="G24" s="164">
        <v>3905553</v>
      </c>
      <c r="H24" s="164"/>
      <c r="I24" s="164"/>
      <c r="J24" s="164">
        <f>G24-D24</f>
        <v>21951</v>
      </c>
      <c r="K24" s="164"/>
      <c r="L24" s="164"/>
      <c r="M24" s="164">
        <f>'9'!M24+'10'!J24</f>
        <v>233985</v>
      </c>
      <c r="N24" s="164"/>
      <c r="P24" s="105" t="s">
        <v>36</v>
      </c>
      <c r="Q24" s="105"/>
      <c r="R24" s="105"/>
      <c r="S24" s="105">
        <f>'9'!V24</f>
        <v>473.9</v>
      </c>
      <c r="T24" s="105"/>
      <c r="U24" s="105"/>
      <c r="V24" s="140">
        <v>562</v>
      </c>
      <c r="W24" s="140"/>
      <c r="X24" s="140"/>
      <c r="Y24" s="140">
        <f>'9'!Y24+V24</f>
        <v>4439.1000000000004</v>
      </c>
      <c r="Z24" s="140"/>
    </row>
    <row r="25" spans="1:31" ht="21.9" customHeight="1">
      <c r="A25" s="104" t="s">
        <v>30</v>
      </c>
      <c r="B25" s="104"/>
      <c r="C25" s="104"/>
      <c r="D25" s="104">
        <f>'9'!G25</f>
        <v>33087.1</v>
      </c>
      <c r="E25" s="104"/>
      <c r="F25" s="104"/>
      <c r="G25" s="104">
        <v>33117.699999999997</v>
      </c>
      <c r="H25" s="104"/>
      <c r="I25" s="104"/>
      <c r="J25" s="104">
        <f>G25-D25</f>
        <v>30.599999999998545</v>
      </c>
      <c r="K25" s="104"/>
      <c r="L25" s="104"/>
      <c r="M25" s="102">
        <f>'9'!M25+'10'!J25</f>
        <v>353.59999999999854</v>
      </c>
      <c r="N25" s="103"/>
      <c r="P25" s="104" t="s">
        <v>37</v>
      </c>
      <c r="Q25" s="104"/>
      <c r="R25" s="104"/>
      <c r="S25" s="105">
        <f>'9'!V25</f>
        <v>55.4</v>
      </c>
      <c r="T25" s="105"/>
      <c r="U25" s="105"/>
      <c r="V25" s="137">
        <v>62.9</v>
      </c>
      <c r="W25" s="137"/>
      <c r="X25" s="137"/>
      <c r="Y25" s="140">
        <f>'9'!Y25+V25</f>
        <v>572.09999999999991</v>
      </c>
      <c r="Z25" s="140"/>
    </row>
    <row r="26" spans="1:31" ht="21.9" customHeight="1">
      <c r="A26" s="104" t="s">
        <v>31</v>
      </c>
      <c r="B26" s="104"/>
      <c r="C26" s="104"/>
      <c r="D26" s="104">
        <f>'9'!G26</f>
        <v>24490</v>
      </c>
      <c r="E26" s="104"/>
      <c r="F26" s="104"/>
      <c r="G26" s="104">
        <v>24510</v>
      </c>
      <c r="H26" s="104"/>
      <c r="I26" s="104"/>
      <c r="J26" s="104">
        <f t="shared" ref="J26:J33" si="2">G26-D26</f>
        <v>20</v>
      </c>
      <c r="K26" s="104"/>
      <c r="L26" s="104"/>
      <c r="M26" s="102">
        <f>'9'!M26+'10'!J26</f>
        <v>210</v>
      </c>
      <c r="N26" s="103"/>
      <c r="P26" s="104" t="s">
        <v>38</v>
      </c>
      <c r="Q26" s="104"/>
      <c r="R26" s="104"/>
      <c r="S26" s="105">
        <f>'9'!V26</f>
        <v>514.9</v>
      </c>
      <c r="T26" s="105"/>
      <c r="U26" s="105"/>
      <c r="V26" s="137">
        <v>488.1</v>
      </c>
      <c r="W26" s="137"/>
      <c r="X26" s="137"/>
      <c r="Y26" s="140">
        <f>'9'!Y26+V26</f>
        <v>4943.9000000000005</v>
      </c>
      <c r="Z26" s="140"/>
    </row>
    <row r="27" spans="1:31" ht="21.9" customHeight="1">
      <c r="A27" s="104" t="s">
        <v>32</v>
      </c>
      <c r="B27" s="104"/>
      <c r="C27" s="104"/>
      <c r="D27" s="104">
        <f>'9'!G27</f>
        <v>1372000</v>
      </c>
      <c r="E27" s="104"/>
      <c r="F27" s="104"/>
      <c r="G27" s="104">
        <v>1375000</v>
      </c>
      <c r="H27" s="104"/>
      <c r="I27" s="104"/>
      <c r="J27" s="104">
        <f t="shared" si="2"/>
        <v>3000</v>
      </c>
      <c r="K27" s="104"/>
      <c r="L27" s="104"/>
      <c r="M27" s="102">
        <f>'9'!M27+'10'!J27</f>
        <v>36000</v>
      </c>
      <c r="N27" s="103"/>
      <c r="P27" s="104" t="s">
        <v>39</v>
      </c>
      <c r="Q27" s="104"/>
      <c r="R27" s="104"/>
      <c r="S27" s="105">
        <f>'9'!V27</f>
        <v>508.5</v>
      </c>
      <c r="T27" s="105"/>
      <c r="U27" s="105"/>
      <c r="V27" s="137">
        <v>513.29999999999995</v>
      </c>
      <c r="W27" s="137"/>
      <c r="X27" s="137"/>
      <c r="Y27" s="140">
        <f>'9'!Y27+V27</f>
        <v>5055.0999999999995</v>
      </c>
      <c r="Z27" s="140"/>
    </row>
    <row r="28" spans="1:31" ht="21.9" customHeight="1">
      <c r="A28" s="104" t="s">
        <v>33</v>
      </c>
      <c r="B28" s="104"/>
      <c r="C28" s="104"/>
      <c r="D28" s="104">
        <f>'9'!G28</f>
        <v>5471</v>
      </c>
      <c r="E28" s="104"/>
      <c r="F28" s="104"/>
      <c r="G28" s="104">
        <v>5522</v>
      </c>
      <c r="H28" s="104"/>
      <c r="I28" s="104"/>
      <c r="J28" s="104">
        <f t="shared" si="2"/>
        <v>51</v>
      </c>
      <c r="K28" s="104"/>
      <c r="L28" s="104"/>
      <c r="M28" s="102">
        <f>'9'!M28+'10'!J28</f>
        <v>584</v>
      </c>
      <c r="N28" s="103"/>
      <c r="P28" s="104" t="s">
        <v>41</v>
      </c>
      <c r="Q28" s="104"/>
      <c r="R28" s="104"/>
      <c r="S28" s="105">
        <f>'9'!V28</f>
        <v>0</v>
      </c>
      <c r="T28" s="105"/>
      <c r="U28" s="105"/>
      <c r="V28" s="137">
        <v>0</v>
      </c>
      <c r="W28" s="137"/>
      <c r="X28" s="137"/>
      <c r="Y28" s="140">
        <f>'9'!Y28+V28</f>
        <v>0</v>
      </c>
      <c r="Z28" s="140"/>
    </row>
    <row r="29" spans="1:31" ht="21.9" customHeight="1">
      <c r="A29" s="104" t="s">
        <v>34</v>
      </c>
      <c r="B29" s="104"/>
      <c r="C29" s="104"/>
      <c r="D29" s="104">
        <f>'9'!G29</f>
        <v>66210</v>
      </c>
      <c r="E29" s="104"/>
      <c r="F29" s="104"/>
      <c r="G29" s="104">
        <v>66220</v>
      </c>
      <c r="H29" s="104"/>
      <c r="I29" s="104"/>
      <c r="J29" s="104">
        <f t="shared" si="2"/>
        <v>10</v>
      </c>
      <c r="K29" s="104"/>
      <c r="L29" s="104"/>
      <c r="M29" s="102">
        <f>'9'!M29+'10'!J29</f>
        <v>40</v>
      </c>
      <c r="N29" s="103"/>
      <c r="P29" s="104" t="s">
        <v>40</v>
      </c>
      <c r="Q29" s="104"/>
      <c r="R29" s="104"/>
      <c r="S29" s="105">
        <f>'9'!V29</f>
        <v>62</v>
      </c>
      <c r="T29" s="105"/>
      <c r="U29" s="105"/>
      <c r="V29" s="137">
        <v>70.3</v>
      </c>
      <c r="W29" s="137"/>
      <c r="X29" s="137"/>
      <c r="Y29" s="140">
        <f>'9'!Y29+V29</f>
        <v>631.89999999999986</v>
      </c>
      <c r="Z29" s="140"/>
    </row>
    <row r="30" spans="1:31" ht="21.9" customHeight="1">
      <c r="A30" s="104" t="s">
        <v>35</v>
      </c>
      <c r="B30" s="104"/>
      <c r="C30" s="104"/>
      <c r="D30" s="104">
        <f>'9'!G30</f>
        <v>53340</v>
      </c>
      <c r="E30" s="104"/>
      <c r="F30" s="104"/>
      <c r="G30" s="104">
        <v>53350</v>
      </c>
      <c r="H30" s="104"/>
      <c r="I30" s="104"/>
      <c r="J30" s="104">
        <f t="shared" si="2"/>
        <v>10</v>
      </c>
      <c r="K30" s="104"/>
      <c r="L30" s="104"/>
      <c r="M30" s="102">
        <f>'9'!M30+'10'!J30</f>
        <v>130</v>
      </c>
      <c r="N30" s="103"/>
      <c r="P30" s="104" t="s">
        <v>28</v>
      </c>
      <c r="Q30" s="104"/>
      <c r="R30" s="104"/>
      <c r="S30" s="102">
        <f>'9'!S30</f>
        <v>1568.5000000000002</v>
      </c>
      <c r="T30" s="106"/>
      <c r="U30" s="103"/>
      <c r="V30" s="188"/>
      <c r="W30" s="106"/>
      <c r="X30" s="103"/>
      <c r="Y30" s="140">
        <f>'9'!Y30+V30</f>
        <v>1528.3</v>
      </c>
      <c r="Z30" s="140"/>
    </row>
    <row r="31" spans="1:31" ht="21.9" customHeight="1">
      <c r="A31" s="104" t="s">
        <v>120</v>
      </c>
      <c r="B31" s="104"/>
      <c r="C31" s="104"/>
      <c r="D31" s="104">
        <f>'9'!G31</f>
        <v>6273899</v>
      </c>
      <c r="E31" s="104"/>
      <c r="F31" s="104"/>
      <c r="G31" s="102">
        <v>6281769</v>
      </c>
      <c r="H31" s="106"/>
      <c r="I31" s="103"/>
      <c r="J31" s="102">
        <f t="shared" si="2"/>
        <v>7870</v>
      </c>
      <c r="K31" s="106">
        <v>12.255000000000001</v>
      </c>
      <c r="L31" s="103">
        <v>12.255000000000001</v>
      </c>
      <c r="M31" s="102">
        <f>'9'!M31+'10'!J31</f>
        <v>79674</v>
      </c>
      <c r="N31" s="103"/>
      <c r="P31" s="57"/>
      <c r="Q31" s="57"/>
      <c r="R31" s="57"/>
      <c r="S31" s="57"/>
      <c r="T31" s="57"/>
      <c r="U31" s="57"/>
      <c r="V31" s="58"/>
      <c r="W31" s="57"/>
      <c r="X31" s="57"/>
      <c r="Y31" s="58"/>
      <c r="Z31" s="58"/>
    </row>
    <row r="32" spans="1:31" ht="21.9" customHeight="1">
      <c r="A32" s="104" t="s">
        <v>121</v>
      </c>
      <c r="B32" s="104"/>
      <c r="C32" s="104"/>
      <c r="D32" s="104">
        <f>'9'!G32</f>
        <v>1.7</v>
      </c>
      <c r="E32" s="104"/>
      <c r="F32" s="104"/>
      <c r="G32" s="102">
        <v>1.7</v>
      </c>
      <c r="H32" s="106"/>
      <c r="I32" s="103"/>
      <c r="J32" s="102">
        <f t="shared" ref="J32" si="3">G32-D32</f>
        <v>0</v>
      </c>
      <c r="K32" s="106">
        <v>12.255000000000001</v>
      </c>
      <c r="L32" s="103">
        <v>12.255000000000001</v>
      </c>
      <c r="M32" s="102">
        <f>'9'!M32+'10'!J32</f>
        <v>9.9999999999999867E-2</v>
      </c>
      <c r="N32" s="103"/>
      <c r="P32" s="57"/>
      <c r="Q32" s="57"/>
      <c r="R32" s="57"/>
      <c r="S32" s="57"/>
      <c r="T32" s="57"/>
      <c r="U32" s="57"/>
      <c r="V32" s="58"/>
      <c r="W32" s="57"/>
      <c r="X32" s="57"/>
      <c r="Y32" s="58"/>
      <c r="Z32" s="58"/>
    </row>
    <row r="33" spans="1:26" ht="21.9" customHeight="1">
      <c r="A33" s="104" t="s">
        <v>122</v>
      </c>
      <c r="B33" s="104"/>
      <c r="C33" s="104"/>
      <c r="D33" s="104">
        <f>'9'!G33</f>
        <v>0</v>
      </c>
      <c r="E33" s="104"/>
      <c r="F33" s="104"/>
      <c r="G33" s="102">
        <v>0</v>
      </c>
      <c r="H33" s="106"/>
      <c r="I33" s="103"/>
      <c r="J33" s="102">
        <f t="shared" si="2"/>
        <v>0</v>
      </c>
      <c r="K33" s="106">
        <v>12.255000000000001</v>
      </c>
      <c r="L33" s="103">
        <v>12.255000000000001</v>
      </c>
      <c r="M33" s="102">
        <f>'9'!M33+'10'!J33</f>
        <v>0</v>
      </c>
      <c r="N33" s="103"/>
      <c r="P33" s="57"/>
      <c r="Q33" s="57"/>
      <c r="R33" s="57"/>
      <c r="S33" s="57"/>
      <c r="T33" s="57"/>
      <c r="U33" s="57"/>
      <c r="V33" s="58"/>
      <c r="W33" s="57"/>
      <c r="X33" s="57"/>
      <c r="Y33" s="58"/>
      <c r="Z33" s="58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H3" name="범위2"/>
    <protectedRange sqref="U2:Z3 D7:I7 R7:Z7 E12:H20 S12:V15 S18:V20 G24:I30 V24:X30" name="범위1"/>
    <protectedRange sqref="V31:X33" name="범위1_1"/>
    <protectedRange sqref="G31:L33" name="범위3_1_1"/>
    <protectedRange sqref="B2:G3" name="범위1_2"/>
  </protectedRanges>
  <mergeCells count="223">
    <mergeCell ref="A63:B76"/>
    <mergeCell ref="C63:Z76"/>
    <mergeCell ref="A36:B48"/>
    <mergeCell ref="C36:Z48"/>
    <mergeCell ref="A49:B62"/>
    <mergeCell ref="C49:Z62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A29:C29"/>
    <mergeCell ref="D29:F29"/>
    <mergeCell ref="G29:I29"/>
    <mergeCell ref="J29:L29"/>
    <mergeCell ref="M29:N29"/>
    <mergeCell ref="P29:R29"/>
    <mergeCell ref="S29:U29"/>
    <mergeCell ref="M33:N33"/>
    <mergeCell ref="S30:U30"/>
    <mergeCell ref="V29:X29"/>
    <mergeCell ref="Y29:Z29"/>
    <mergeCell ref="A28:C28"/>
    <mergeCell ref="D28:F28"/>
    <mergeCell ref="G28:I28"/>
    <mergeCell ref="J28:L28"/>
    <mergeCell ref="M28:N28"/>
    <mergeCell ref="P28:R28"/>
    <mergeCell ref="S28:U28"/>
    <mergeCell ref="V28:X28"/>
    <mergeCell ref="Y28:Z28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A23:C23"/>
    <mergeCell ref="D23:F23"/>
    <mergeCell ref="G23:I23"/>
    <mergeCell ref="J23:L23"/>
    <mergeCell ref="M23:N23"/>
    <mergeCell ref="P23:R23"/>
    <mergeCell ref="S23:U23"/>
    <mergeCell ref="P18:R20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18:B18"/>
    <mergeCell ref="C18:D18"/>
    <mergeCell ref="E18:F18"/>
    <mergeCell ref="G18:H18"/>
    <mergeCell ref="I18:J18"/>
    <mergeCell ref="K18:L18"/>
    <mergeCell ref="M18:N18"/>
    <mergeCell ref="I17:J17"/>
    <mergeCell ref="K17:L17"/>
    <mergeCell ref="A17:B17"/>
    <mergeCell ref="C17:D17"/>
    <mergeCell ref="E17:F17"/>
    <mergeCell ref="G17:H17"/>
    <mergeCell ref="A16:B16"/>
    <mergeCell ref="C16:D16"/>
    <mergeCell ref="E16:F16"/>
    <mergeCell ref="G16:H16"/>
    <mergeCell ref="I16:J16"/>
    <mergeCell ref="K16:L16"/>
    <mergeCell ref="M16:N16"/>
    <mergeCell ref="A14:B14"/>
    <mergeCell ref="C14:D14"/>
    <mergeCell ref="E14:F14"/>
    <mergeCell ref="G14:H14"/>
    <mergeCell ref="I14:J14"/>
    <mergeCell ref="K14:L14"/>
    <mergeCell ref="M14:N14"/>
    <mergeCell ref="A15:B15"/>
    <mergeCell ref="C15:D15"/>
    <mergeCell ref="E15:F15"/>
    <mergeCell ref="G15:H15"/>
    <mergeCell ref="I15:J15"/>
    <mergeCell ref="K15:L15"/>
    <mergeCell ref="R8:T8"/>
    <mergeCell ref="S11:V11"/>
    <mergeCell ref="U8:W8"/>
    <mergeCell ref="A13:B13"/>
    <mergeCell ref="C13:D13"/>
    <mergeCell ref="E13:F13"/>
    <mergeCell ref="G13:H13"/>
    <mergeCell ref="I13:J13"/>
    <mergeCell ref="K13:L13"/>
    <mergeCell ref="M13:N13"/>
    <mergeCell ref="P12:R13"/>
    <mergeCell ref="M12:N12"/>
    <mergeCell ref="A12:B12"/>
    <mergeCell ref="C12:D12"/>
    <mergeCell ref="E12:F12"/>
    <mergeCell ref="G12:H12"/>
    <mergeCell ref="I12:J12"/>
    <mergeCell ref="K12:L12"/>
    <mergeCell ref="G8:I8"/>
    <mergeCell ref="J8:L8"/>
    <mergeCell ref="P8:Q8"/>
    <mergeCell ref="M11:N11"/>
    <mergeCell ref="P11:R11"/>
    <mergeCell ref="A8:C8"/>
    <mergeCell ref="A1:A3"/>
    <mergeCell ref="W1:X1"/>
    <mergeCell ref="H1:S2"/>
    <mergeCell ref="T1:T3"/>
    <mergeCell ref="U1:V1"/>
    <mergeCell ref="U2:V3"/>
    <mergeCell ref="H3:S3"/>
    <mergeCell ref="Y1:Z1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G6:I6"/>
    <mergeCell ref="J6:L6"/>
    <mergeCell ref="P6:Q6"/>
    <mergeCell ref="R6:T6"/>
    <mergeCell ref="U6:W6"/>
    <mergeCell ref="X6:Z6"/>
    <mergeCell ref="K11:L11"/>
    <mergeCell ref="P22:U22"/>
    <mergeCell ref="V23:X23"/>
    <mergeCell ref="Y23:Z23"/>
    <mergeCell ref="S26:U26"/>
    <mergeCell ref="V26:X26"/>
    <mergeCell ref="M17:N17"/>
    <mergeCell ref="Y26:Z26"/>
    <mergeCell ref="V27:X27"/>
    <mergeCell ref="Y27:Z27"/>
    <mergeCell ref="S14:V15"/>
    <mergeCell ref="W14:Z15"/>
    <mergeCell ref="S16:T17"/>
    <mergeCell ref="U16:V17"/>
    <mergeCell ref="W16:X17"/>
    <mergeCell ref="S18:T20"/>
    <mergeCell ref="U18:V20"/>
    <mergeCell ref="W18:X20"/>
    <mergeCell ref="P16:R17"/>
    <mergeCell ref="D8:F8"/>
    <mergeCell ref="V30:X30"/>
    <mergeCell ref="Y30:Z30"/>
    <mergeCell ref="P14:R15"/>
    <mergeCell ref="M15:N15"/>
    <mergeCell ref="B1:C1"/>
    <mergeCell ref="D1:E1"/>
    <mergeCell ref="F1:G1"/>
    <mergeCell ref="B2:C3"/>
    <mergeCell ref="D2:E3"/>
    <mergeCell ref="F2:G3"/>
    <mergeCell ref="X8:Z8"/>
    <mergeCell ref="W11:Z11"/>
    <mergeCell ref="Y18:Z20"/>
    <mergeCell ref="S12:V13"/>
    <mergeCell ref="W12:Z13"/>
    <mergeCell ref="Y16:Z17"/>
    <mergeCell ref="W2:X3"/>
    <mergeCell ref="Y2:Z3"/>
    <mergeCell ref="A11:B11"/>
    <mergeCell ref="C11:D11"/>
    <mergeCell ref="E11:F11"/>
    <mergeCell ref="G11:H11"/>
    <mergeCell ref="I11:J1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zoomScaleNormal="100" zoomScaleSheetLayoutView="100" workbookViewId="0">
      <selection activeCell="G16" sqref="G16:H16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174</v>
      </c>
      <c r="C2" s="135"/>
      <c r="D2" s="135" t="s">
        <v>175</v>
      </c>
      <c r="E2" s="135"/>
      <c r="F2" s="135" t="s">
        <v>176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05"/>
      <c r="E3" s="105"/>
      <c r="F3" s="105"/>
      <c r="G3" s="105"/>
      <c r="H3" s="132">
        <v>46214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73131</v>
      </c>
      <c r="E7" s="139"/>
      <c r="F7" s="139"/>
      <c r="G7" s="139">
        <v>127700</v>
      </c>
      <c r="H7" s="139"/>
      <c r="I7" s="139"/>
      <c r="J7" s="154">
        <f>D7+G7</f>
        <v>200831</v>
      </c>
      <c r="K7" s="154"/>
      <c r="L7" s="154"/>
      <c r="M7" s="1"/>
      <c r="N7" s="1"/>
      <c r="O7" s="1"/>
      <c r="P7" s="105" t="s">
        <v>48</v>
      </c>
      <c r="Q7" s="105"/>
      <c r="R7" s="140">
        <v>495.7</v>
      </c>
      <c r="S7" s="140"/>
      <c r="T7" s="140"/>
      <c r="U7" s="140">
        <v>384.2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'10'!D8+'11'!D7</f>
        <v>788849</v>
      </c>
      <c r="E8" s="154"/>
      <c r="F8" s="154"/>
      <c r="G8" s="154">
        <f>'10'!G8+G7</f>
        <v>1630400</v>
      </c>
      <c r="H8" s="154"/>
      <c r="I8" s="154"/>
      <c r="J8" s="154">
        <f>D8+G8</f>
        <v>2419249</v>
      </c>
      <c r="K8" s="154"/>
      <c r="L8" s="154"/>
      <c r="M8" s="1"/>
      <c r="N8" s="1"/>
      <c r="O8" s="1"/>
      <c r="P8" s="104" t="s">
        <v>2</v>
      </c>
      <c r="Q8" s="104"/>
      <c r="R8" s="137">
        <f>'10'!R8+R7</f>
        <v>5298.2</v>
      </c>
      <c r="S8" s="137"/>
      <c r="T8" s="137"/>
      <c r="U8" s="137">
        <f>'10'!U8+U7</f>
        <v>3688.7</v>
      </c>
      <c r="V8" s="137"/>
      <c r="W8" s="137"/>
      <c r="X8" s="138">
        <f>'10'!X8+'11'!X7</f>
        <v>264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'10'!I12</f>
        <v>19369</v>
      </c>
      <c r="D12" s="174"/>
      <c r="E12" s="105">
        <v>0</v>
      </c>
      <c r="F12" s="105"/>
      <c r="G12" s="105">
        <v>4136</v>
      </c>
      <c r="H12" s="105"/>
      <c r="I12" s="107">
        <f t="shared" ref="I12:I18" si="0">C12+E12-G12</f>
        <v>15233</v>
      </c>
      <c r="J12" s="109"/>
      <c r="K12" s="105">
        <f>'10'!K12+'11'!E12</f>
        <v>42870</v>
      </c>
      <c r="L12" s="105"/>
      <c r="M12" s="105">
        <f>'10'!M12+G12</f>
        <v>42551</v>
      </c>
      <c r="N12" s="105"/>
      <c r="O12" s="1"/>
      <c r="P12" s="149" t="s">
        <v>101</v>
      </c>
      <c r="Q12" s="105"/>
      <c r="R12" s="105"/>
      <c r="S12" s="143">
        <v>56.34</v>
      </c>
      <c r="T12" s="144"/>
      <c r="U12" s="144"/>
      <c r="V12" s="144"/>
      <c r="W12" s="194">
        <f>'10'!W12+'11'!S12</f>
        <v>445.88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'10'!I13</f>
        <v>370</v>
      </c>
      <c r="D13" s="174"/>
      <c r="E13" s="104">
        <v>0</v>
      </c>
      <c r="F13" s="104"/>
      <c r="G13" s="104">
        <v>90</v>
      </c>
      <c r="H13" s="104"/>
      <c r="I13" s="102">
        <f t="shared" si="0"/>
        <v>280</v>
      </c>
      <c r="J13" s="103"/>
      <c r="K13" s="105">
        <f>'10'!K13+'11'!E13</f>
        <v>710</v>
      </c>
      <c r="L13" s="105"/>
      <c r="M13" s="105">
        <f>'10'!M13+G13</f>
        <v>1020</v>
      </c>
      <c r="N13" s="105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'10'!I14</f>
        <v>1400</v>
      </c>
      <c r="D14" s="174"/>
      <c r="E14" s="104">
        <v>0</v>
      </c>
      <c r="F14" s="104"/>
      <c r="G14" s="104">
        <v>120</v>
      </c>
      <c r="H14" s="104"/>
      <c r="I14" s="102">
        <f t="shared" si="0"/>
        <v>1280</v>
      </c>
      <c r="J14" s="103"/>
      <c r="K14" s="105">
        <f>'10'!K14+'11'!E14</f>
        <v>2000</v>
      </c>
      <c r="L14" s="105"/>
      <c r="M14" s="105">
        <f>'10'!M14+G14</f>
        <v>1320</v>
      </c>
      <c r="N14" s="105"/>
      <c r="O14" s="1"/>
      <c r="P14" s="104" t="s">
        <v>26</v>
      </c>
      <c r="Q14" s="104"/>
      <c r="R14" s="104"/>
      <c r="S14" s="155">
        <v>22.1</v>
      </c>
      <c r="T14" s="156"/>
      <c r="U14" s="156"/>
      <c r="V14" s="156"/>
      <c r="W14" s="186">
        <f>'10'!W14+'11'!S14</f>
        <v>93.740000000000009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'10'!I15</f>
        <v>1004</v>
      </c>
      <c r="D15" s="174"/>
      <c r="E15" s="104">
        <v>0</v>
      </c>
      <c r="F15" s="104"/>
      <c r="G15" s="104">
        <v>24</v>
      </c>
      <c r="H15" s="104"/>
      <c r="I15" s="102">
        <f t="shared" si="0"/>
        <v>980</v>
      </c>
      <c r="J15" s="103"/>
      <c r="K15" s="105">
        <f>'10'!K15+'11'!E15</f>
        <v>0</v>
      </c>
      <c r="L15" s="105"/>
      <c r="M15" s="105">
        <f>'10'!M15+G15</f>
        <v>319</v>
      </c>
      <c r="N15" s="105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'10'!I16</f>
        <v>2150</v>
      </c>
      <c r="D16" s="174"/>
      <c r="E16" s="104">
        <v>0</v>
      </c>
      <c r="F16" s="104"/>
      <c r="G16" s="104">
        <v>20</v>
      </c>
      <c r="H16" s="104"/>
      <c r="I16" s="102">
        <f t="shared" si="0"/>
        <v>2130</v>
      </c>
      <c r="J16" s="103"/>
      <c r="K16" s="105">
        <f>'10'!K16+'11'!E16</f>
        <v>0</v>
      </c>
      <c r="L16" s="105"/>
      <c r="M16" s="105">
        <f>'10'!M16+G16</f>
        <v>220</v>
      </c>
      <c r="N16" s="105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'10'!I17</f>
        <v>1290</v>
      </c>
      <c r="D17" s="174"/>
      <c r="E17" s="104">
        <v>0</v>
      </c>
      <c r="F17" s="104"/>
      <c r="G17" s="104">
        <v>200</v>
      </c>
      <c r="H17" s="104"/>
      <c r="I17" s="102">
        <f t="shared" si="0"/>
        <v>1090</v>
      </c>
      <c r="J17" s="103"/>
      <c r="K17" s="105">
        <f>'10'!K17+'11'!E17</f>
        <v>1440</v>
      </c>
      <c r="L17" s="105"/>
      <c r="M17" s="105">
        <f>'10'!M17+G17</f>
        <v>2200</v>
      </c>
      <c r="N17" s="105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'10'!I18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0"/>
        <v>5340</v>
      </c>
      <c r="J18" s="103"/>
      <c r="K18" s="105">
        <f>'10'!K18+'11'!E18</f>
        <v>0</v>
      </c>
      <c r="L18" s="105"/>
      <c r="M18" s="105">
        <f>'10'!M18+G18</f>
        <v>0</v>
      </c>
      <c r="N18" s="105"/>
      <c r="O18" s="1"/>
      <c r="P18" s="164" t="s">
        <v>27</v>
      </c>
      <c r="Q18" s="164"/>
      <c r="R18" s="164"/>
      <c r="S18" s="114">
        <v>3</v>
      </c>
      <c r="T18" s="115"/>
      <c r="U18" s="114">
        <v>2</v>
      </c>
      <c r="V18" s="115"/>
      <c r="W18" s="114">
        <f>S18+U18</f>
        <v>5</v>
      </c>
      <c r="X18" s="115"/>
      <c r="Y18" s="151">
        <f>'10'!Y18+'11'!W18</f>
        <v>41</v>
      </c>
      <c r="Z18" s="151"/>
    </row>
    <row r="19" spans="1:31" ht="21.9" customHeight="1">
      <c r="A19" s="153" t="s">
        <v>62</v>
      </c>
      <c r="B19" s="153"/>
      <c r="C19" s="174">
        <f>'10'!I19</f>
        <v>47222</v>
      </c>
      <c r="D19" s="174"/>
      <c r="E19" s="154">
        <v>98650</v>
      </c>
      <c r="F19" s="154"/>
      <c r="G19" s="154">
        <f>D7</f>
        <v>73131</v>
      </c>
      <c r="H19" s="154"/>
      <c r="I19" s="99">
        <f t="shared" ref="I19" si="1">C19+E19-G19</f>
        <v>72741</v>
      </c>
      <c r="J19" s="101"/>
      <c r="K19" s="139">
        <f>'10'!K19+'11'!E19</f>
        <v>751590</v>
      </c>
      <c r="L19" s="139"/>
      <c r="M19" s="139">
        <f>'10'!M19+G19</f>
        <v>788849</v>
      </c>
      <c r="N19" s="139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'10'!I20</f>
        <v>-</v>
      </c>
      <c r="D20" s="174"/>
      <c r="E20" s="102">
        <v>0</v>
      </c>
      <c r="F20" s="103"/>
      <c r="G20" s="104">
        <v>0</v>
      </c>
      <c r="H20" s="104"/>
      <c r="I20" s="102" t="s">
        <v>60</v>
      </c>
      <c r="J20" s="103"/>
      <c r="K20" s="105">
        <f>'10'!K20+'11'!E20</f>
        <v>0</v>
      </c>
      <c r="L20" s="105"/>
      <c r="M20" s="139">
        <f>'10'!M20+G20</f>
        <v>0</v>
      </c>
      <c r="N20" s="139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  <c r="AB20" s="54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'10'!G24</f>
        <v>3905553</v>
      </c>
      <c r="E24" s="187"/>
      <c r="F24" s="187"/>
      <c r="G24" s="164">
        <v>3926872</v>
      </c>
      <c r="H24" s="164"/>
      <c r="I24" s="164"/>
      <c r="J24" s="164">
        <f>G24-D24</f>
        <v>21319</v>
      </c>
      <c r="K24" s="164"/>
      <c r="L24" s="164"/>
      <c r="M24" s="164">
        <f>'10'!M24+'11'!J24</f>
        <v>255304</v>
      </c>
      <c r="N24" s="164"/>
      <c r="P24" s="105" t="s">
        <v>36</v>
      </c>
      <c r="Q24" s="105"/>
      <c r="R24" s="105"/>
      <c r="S24" s="105">
        <f>'10'!V24</f>
        <v>562</v>
      </c>
      <c r="T24" s="105"/>
      <c r="U24" s="105"/>
      <c r="V24" s="177">
        <v>558.79999999999995</v>
      </c>
      <c r="W24" s="178"/>
      <c r="X24" s="179"/>
      <c r="Y24" s="140">
        <f>'10'!Y24+'11'!V24</f>
        <v>4997.9000000000005</v>
      </c>
      <c r="Z24" s="140"/>
    </row>
    <row r="25" spans="1:31" ht="21.9" customHeight="1">
      <c r="A25" s="104" t="s">
        <v>30</v>
      </c>
      <c r="B25" s="104"/>
      <c r="C25" s="104"/>
      <c r="D25" s="104">
        <f>'10'!G25</f>
        <v>33117.699999999997</v>
      </c>
      <c r="E25" s="104"/>
      <c r="F25" s="104"/>
      <c r="G25" s="104">
        <v>33147.1</v>
      </c>
      <c r="H25" s="104"/>
      <c r="I25" s="104"/>
      <c r="J25" s="104">
        <f>G25-D25</f>
        <v>29.400000000001455</v>
      </c>
      <c r="K25" s="104"/>
      <c r="L25" s="104"/>
      <c r="M25" s="102">
        <f>'10'!M25+'11'!J25</f>
        <v>383</v>
      </c>
      <c r="N25" s="103"/>
      <c r="P25" s="104" t="s">
        <v>37</v>
      </c>
      <c r="Q25" s="104"/>
      <c r="R25" s="104"/>
      <c r="S25" s="105">
        <f>'10'!V25</f>
        <v>62.9</v>
      </c>
      <c r="T25" s="105"/>
      <c r="U25" s="105"/>
      <c r="V25" s="188">
        <v>56.5</v>
      </c>
      <c r="W25" s="189"/>
      <c r="X25" s="190"/>
      <c r="Y25" s="140">
        <f>'10'!Y25+'11'!V25</f>
        <v>628.59999999999991</v>
      </c>
      <c r="Z25" s="140"/>
    </row>
    <row r="26" spans="1:31" ht="21.9" customHeight="1">
      <c r="A26" s="104" t="s">
        <v>31</v>
      </c>
      <c r="B26" s="104"/>
      <c r="C26" s="104"/>
      <c r="D26" s="104">
        <f>'10'!G26</f>
        <v>24510</v>
      </c>
      <c r="E26" s="104"/>
      <c r="F26" s="104"/>
      <c r="G26" s="104">
        <v>24530</v>
      </c>
      <c r="H26" s="104"/>
      <c r="I26" s="104"/>
      <c r="J26" s="104">
        <f t="shared" ref="J26:J33" si="2">G26-D26</f>
        <v>20</v>
      </c>
      <c r="K26" s="104"/>
      <c r="L26" s="104"/>
      <c r="M26" s="102">
        <f>'10'!M26+'11'!J26</f>
        <v>230</v>
      </c>
      <c r="N26" s="103"/>
      <c r="P26" s="104" t="s">
        <v>38</v>
      </c>
      <c r="Q26" s="104"/>
      <c r="R26" s="104"/>
      <c r="S26" s="105">
        <f>'10'!V26</f>
        <v>488.1</v>
      </c>
      <c r="T26" s="105"/>
      <c r="U26" s="105"/>
      <c r="V26" s="188">
        <v>468.7</v>
      </c>
      <c r="W26" s="189"/>
      <c r="X26" s="190"/>
      <c r="Y26" s="140">
        <f>'10'!Y26+'11'!V26</f>
        <v>5412.6</v>
      </c>
      <c r="Z26" s="140"/>
    </row>
    <row r="27" spans="1:31" ht="21.9" customHeight="1">
      <c r="A27" s="104" t="s">
        <v>32</v>
      </c>
      <c r="B27" s="104"/>
      <c r="C27" s="104"/>
      <c r="D27" s="104">
        <f>'10'!G27</f>
        <v>1375000</v>
      </c>
      <c r="E27" s="104"/>
      <c r="F27" s="104"/>
      <c r="G27" s="104">
        <v>1378000</v>
      </c>
      <c r="H27" s="104"/>
      <c r="I27" s="104"/>
      <c r="J27" s="104">
        <f>G27-D27</f>
        <v>3000</v>
      </c>
      <c r="K27" s="104"/>
      <c r="L27" s="104"/>
      <c r="M27" s="102">
        <f>'10'!M27+'11'!J27</f>
        <v>39000</v>
      </c>
      <c r="N27" s="103"/>
      <c r="P27" s="104" t="s">
        <v>39</v>
      </c>
      <c r="Q27" s="104"/>
      <c r="R27" s="104"/>
      <c r="S27" s="105">
        <f>'10'!V27</f>
        <v>513.29999999999995</v>
      </c>
      <c r="T27" s="105"/>
      <c r="U27" s="105"/>
      <c r="V27" s="188">
        <v>500</v>
      </c>
      <c r="W27" s="189"/>
      <c r="X27" s="190"/>
      <c r="Y27" s="140">
        <f>'10'!Y27+'11'!V27</f>
        <v>5555.0999999999995</v>
      </c>
      <c r="Z27" s="140"/>
    </row>
    <row r="28" spans="1:31" ht="21.9" customHeight="1">
      <c r="A28" s="104" t="s">
        <v>33</v>
      </c>
      <c r="B28" s="104"/>
      <c r="C28" s="104"/>
      <c r="D28" s="104">
        <f>'10'!G28</f>
        <v>5522</v>
      </c>
      <c r="E28" s="104"/>
      <c r="F28" s="104"/>
      <c r="G28" s="104">
        <v>5571</v>
      </c>
      <c r="H28" s="104"/>
      <c r="I28" s="104"/>
      <c r="J28" s="104">
        <f t="shared" si="2"/>
        <v>49</v>
      </c>
      <c r="K28" s="104"/>
      <c r="L28" s="104"/>
      <c r="M28" s="102">
        <f>'10'!M28+'11'!J28</f>
        <v>633</v>
      </c>
      <c r="N28" s="103"/>
      <c r="P28" s="104" t="s">
        <v>41</v>
      </c>
      <c r="Q28" s="104"/>
      <c r="R28" s="104"/>
      <c r="S28" s="105">
        <f>'10'!V28</f>
        <v>0</v>
      </c>
      <c r="T28" s="105"/>
      <c r="U28" s="105"/>
      <c r="V28" s="188">
        <v>0</v>
      </c>
      <c r="W28" s="189"/>
      <c r="X28" s="190"/>
      <c r="Y28" s="140">
        <f>'10'!Y28+'11'!V28</f>
        <v>0</v>
      </c>
      <c r="Z28" s="140"/>
    </row>
    <row r="29" spans="1:31" ht="21.9" customHeight="1">
      <c r="A29" s="104" t="s">
        <v>34</v>
      </c>
      <c r="B29" s="104"/>
      <c r="C29" s="104"/>
      <c r="D29" s="104">
        <f>'10'!G29</f>
        <v>66220</v>
      </c>
      <c r="E29" s="104"/>
      <c r="F29" s="104"/>
      <c r="G29" s="104">
        <v>66220</v>
      </c>
      <c r="H29" s="104"/>
      <c r="I29" s="104"/>
      <c r="J29" s="104">
        <f t="shared" si="2"/>
        <v>0</v>
      </c>
      <c r="K29" s="104"/>
      <c r="L29" s="104"/>
      <c r="M29" s="102">
        <f>'10'!M29+'11'!J29</f>
        <v>40</v>
      </c>
      <c r="N29" s="103"/>
      <c r="P29" s="104" t="s">
        <v>40</v>
      </c>
      <c r="Q29" s="104"/>
      <c r="R29" s="104"/>
      <c r="S29" s="105">
        <f>'10'!V29</f>
        <v>70.3</v>
      </c>
      <c r="T29" s="105"/>
      <c r="U29" s="105"/>
      <c r="V29" s="188">
        <v>64.8</v>
      </c>
      <c r="W29" s="189"/>
      <c r="X29" s="190"/>
      <c r="Y29" s="140">
        <f>'10'!Y29+'11'!V29</f>
        <v>696.69999999999982</v>
      </c>
      <c r="Z29" s="140"/>
    </row>
    <row r="30" spans="1:31" ht="21.9" customHeight="1">
      <c r="A30" s="104" t="s">
        <v>35</v>
      </c>
      <c r="B30" s="104"/>
      <c r="C30" s="104"/>
      <c r="D30" s="104">
        <f>'10'!G30</f>
        <v>53350</v>
      </c>
      <c r="E30" s="104"/>
      <c r="F30" s="104"/>
      <c r="G30" s="104">
        <v>53370</v>
      </c>
      <c r="H30" s="104"/>
      <c r="I30" s="104"/>
      <c r="J30" s="104">
        <f t="shared" si="2"/>
        <v>20</v>
      </c>
      <c r="K30" s="104"/>
      <c r="L30" s="104"/>
      <c r="M30" s="102">
        <f>'10'!M30+'11'!J30</f>
        <v>150</v>
      </c>
      <c r="N30" s="103"/>
      <c r="P30" s="104" t="s">
        <v>28</v>
      </c>
      <c r="Q30" s="104"/>
      <c r="R30" s="104"/>
      <c r="S30" s="104">
        <f>SUM(S24:U29)</f>
        <v>1696.6</v>
      </c>
      <c r="T30" s="104"/>
      <c r="U30" s="104"/>
      <c r="V30" s="137"/>
      <c r="W30" s="137"/>
      <c r="X30" s="137"/>
      <c r="Y30" s="140">
        <f>'10'!Y30+'11'!V30</f>
        <v>1528.3</v>
      </c>
      <c r="Z30" s="140"/>
    </row>
    <row r="31" spans="1:31" ht="21.9" customHeight="1">
      <c r="A31" s="104" t="s">
        <v>120</v>
      </c>
      <c r="B31" s="104"/>
      <c r="C31" s="104"/>
      <c r="D31" s="104">
        <f>'10'!G31</f>
        <v>6281769</v>
      </c>
      <c r="E31" s="104"/>
      <c r="F31" s="104"/>
      <c r="G31" s="102">
        <v>6289325</v>
      </c>
      <c r="H31" s="106"/>
      <c r="I31" s="103"/>
      <c r="J31" s="102">
        <f t="shared" si="2"/>
        <v>7556</v>
      </c>
      <c r="K31" s="106">
        <v>12.255000000000001</v>
      </c>
      <c r="L31" s="103">
        <v>12.255000000000001</v>
      </c>
      <c r="M31" s="102">
        <f>'10'!M31+J31</f>
        <v>87230</v>
      </c>
      <c r="N31" s="103"/>
      <c r="P31" s="57"/>
      <c r="Q31" s="57"/>
      <c r="R31" s="57"/>
      <c r="S31" s="57"/>
      <c r="T31" s="57"/>
      <c r="U31" s="57"/>
      <c r="V31" s="58"/>
      <c r="W31" s="58"/>
      <c r="X31" s="58"/>
      <c r="Y31" s="58"/>
      <c r="Z31" s="58"/>
    </row>
    <row r="32" spans="1:31" ht="21.9" customHeight="1">
      <c r="A32" s="104" t="s">
        <v>121</v>
      </c>
      <c r="B32" s="104"/>
      <c r="C32" s="104"/>
      <c r="D32" s="104">
        <f>'10'!G32</f>
        <v>1.7</v>
      </c>
      <c r="E32" s="104"/>
      <c r="F32" s="104"/>
      <c r="G32" s="102">
        <v>1.7</v>
      </c>
      <c r="H32" s="106"/>
      <c r="I32" s="103"/>
      <c r="J32" s="102">
        <v>0</v>
      </c>
      <c r="K32" s="106">
        <v>12.255000000000001</v>
      </c>
      <c r="L32" s="103">
        <v>12.255000000000001</v>
      </c>
      <c r="M32" s="102">
        <f>'10'!M32+J32</f>
        <v>9.9999999999999867E-2</v>
      </c>
      <c r="N32" s="103"/>
      <c r="P32" s="57"/>
      <c r="Q32" s="57"/>
      <c r="R32" s="57"/>
      <c r="S32" s="57"/>
      <c r="T32" s="57"/>
      <c r="U32" s="57"/>
      <c r="V32" s="58"/>
      <c r="W32" s="58"/>
      <c r="X32" s="58"/>
      <c r="Y32" s="58"/>
      <c r="Z32" s="58"/>
    </row>
    <row r="33" spans="1:26" ht="21.9" customHeight="1">
      <c r="A33" s="104" t="s">
        <v>122</v>
      </c>
      <c r="B33" s="104"/>
      <c r="C33" s="104"/>
      <c r="D33" s="104">
        <f>'10'!G33</f>
        <v>0</v>
      </c>
      <c r="E33" s="104"/>
      <c r="F33" s="104"/>
      <c r="G33" s="102">
        <v>0</v>
      </c>
      <c r="H33" s="106"/>
      <c r="I33" s="103"/>
      <c r="J33" s="102">
        <f t="shared" si="2"/>
        <v>0</v>
      </c>
      <c r="K33" s="106">
        <v>12.255000000000001</v>
      </c>
      <c r="L33" s="103">
        <v>12.255000000000001</v>
      </c>
      <c r="M33" s="102">
        <f>'10'!M33+J33</f>
        <v>0</v>
      </c>
      <c r="N33" s="103"/>
      <c r="P33" s="57"/>
      <c r="Q33" s="57"/>
      <c r="R33" s="57"/>
      <c r="S33" s="57"/>
      <c r="T33" s="57"/>
      <c r="U33" s="57"/>
      <c r="V33" s="58"/>
      <c r="W33" s="58"/>
      <c r="X33" s="58"/>
      <c r="Y33" s="58"/>
      <c r="Z33" s="58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H3" name="범위2"/>
    <protectedRange sqref="U2:Z3 R7:Z7 D7:I7 E12:H20 S12:V15 S18:V20 G24:I30 V24:X33" name="범위1"/>
    <protectedRange sqref="G31:L33" name="범위3_1_1"/>
    <protectedRange sqref="B2:G3" name="범위1_2"/>
  </protectedRanges>
  <mergeCells count="223">
    <mergeCell ref="A63:B76"/>
    <mergeCell ref="C63:Z76"/>
    <mergeCell ref="A36:B48"/>
    <mergeCell ref="C36:Z48"/>
    <mergeCell ref="A49:B62"/>
    <mergeCell ref="C49:Z62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A29:C29"/>
    <mergeCell ref="D29:F29"/>
    <mergeCell ref="G29:I29"/>
    <mergeCell ref="J29:L29"/>
    <mergeCell ref="M29:N29"/>
    <mergeCell ref="P29:R29"/>
    <mergeCell ref="S29:U29"/>
    <mergeCell ref="M33:N33"/>
    <mergeCell ref="S30:U30"/>
    <mergeCell ref="V29:X29"/>
    <mergeCell ref="Y29:Z29"/>
    <mergeCell ref="A28:C28"/>
    <mergeCell ref="D28:F28"/>
    <mergeCell ref="G28:I28"/>
    <mergeCell ref="J28:L28"/>
    <mergeCell ref="M28:N28"/>
    <mergeCell ref="P28:R28"/>
    <mergeCell ref="S28:U28"/>
    <mergeCell ref="V28:X28"/>
    <mergeCell ref="Y28:Z28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A23:C23"/>
    <mergeCell ref="D23:F23"/>
    <mergeCell ref="G23:I23"/>
    <mergeCell ref="J23:L23"/>
    <mergeCell ref="M23:N23"/>
    <mergeCell ref="P23:R23"/>
    <mergeCell ref="S23:U23"/>
    <mergeCell ref="P18:R20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18:B18"/>
    <mergeCell ref="C18:D18"/>
    <mergeCell ref="E18:F18"/>
    <mergeCell ref="G18:H18"/>
    <mergeCell ref="I18:J18"/>
    <mergeCell ref="K18:L18"/>
    <mergeCell ref="M18:N18"/>
    <mergeCell ref="I17:J17"/>
    <mergeCell ref="K17:L17"/>
    <mergeCell ref="A17:B17"/>
    <mergeCell ref="C17:D17"/>
    <mergeCell ref="E17:F17"/>
    <mergeCell ref="G17:H17"/>
    <mergeCell ref="A16:B16"/>
    <mergeCell ref="C16:D16"/>
    <mergeCell ref="E16:F16"/>
    <mergeCell ref="G16:H16"/>
    <mergeCell ref="I16:J16"/>
    <mergeCell ref="K16:L16"/>
    <mergeCell ref="M16:N16"/>
    <mergeCell ref="A14:B14"/>
    <mergeCell ref="C14:D14"/>
    <mergeCell ref="E14:F14"/>
    <mergeCell ref="G14:H14"/>
    <mergeCell ref="I14:J14"/>
    <mergeCell ref="K14:L14"/>
    <mergeCell ref="M14:N14"/>
    <mergeCell ref="A15:B15"/>
    <mergeCell ref="C15:D15"/>
    <mergeCell ref="E15:F15"/>
    <mergeCell ref="G15:H15"/>
    <mergeCell ref="I15:J15"/>
    <mergeCell ref="K15:L15"/>
    <mergeCell ref="R8:T8"/>
    <mergeCell ref="S11:V11"/>
    <mergeCell ref="U8:W8"/>
    <mergeCell ref="A13:B13"/>
    <mergeCell ref="C13:D13"/>
    <mergeCell ref="E13:F13"/>
    <mergeCell ref="G13:H13"/>
    <mergeCell ref="I13:J13"/>
    <mergeCell ref="K13:L13"/>
    <mergeCell ref="M13:N13"/>
    <mergeCell ref="P12:R13"/>
    <mergeCell ref="M12:N12"/>
    <mergeCell ref="A12:B12"/>
    <mergeCell ref="C12:D12"/>
    <mergeCell ref="E12:F12"/>
    <mergeCell ref="G12:H12"/>
    <mergeCell ref="I12:J12"/>
    <mergeCell ref="K12:L12"/>
    <mergeCell ref="G8:I8"/>
    <mergeCell ref="J8:L8"/>
    <mergeCell ref="P8:Q8"/>
    <mergeCell ref="M11:N11"/>
    <mergeCell ref="P11:R11"/>
    <mergeCell ref="A8:C8"/>
    <mergeCell ref="A1:A3"/>
    <mergeCell ref="W1:X1"/>
    <mergeCell ref="H1:S2"/>
    <mergeCell ref="T1:T3"/>
    <mergeCell ref="U1:V1"/>
    <mergeCell ref="U2:V3"/>
    <mergeCell ref="H3:S3"/>
    <mergeCell ref="Y1:Z1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G6:I6"/>
    <mergeCell ref="J6:L6"/>
    <mergeCell ref="P6:Q6"/>
    <mergeCell ref="R6:T6"/>
    <mergeCell ref="U6:W6"/>
    <mergeCell ref="X6:Z6"/>
    <mergeCell ref="K11:L11"/>
    <mergeCell ref="P22:U22"/>
    <mergeCell ref="V23:X23"/>
    <mergeCell ref="Y23:Z23"/>
    <mergeCell ref="S26:U26"/>
    <mergeCell ref="V26:X26"/>
    <mergeCell ref="M17:N17"/>
    <mergeCell ref="Y26:Z26"/>
    <mergeCell ref="V27:X27"/>
    <mergeCell ref="Y27:Z27"/>
    <mergeCell ref="S14:V15"/>
    <mergeCell ref="W14:Z15"/>
    <mergeCell ref="S16:T17"/>
    <mergeCell ref="U16:V17"/>
    <mergeCell ref="W16:X17"/>
    <mergeCell ref="S18:T20"/>
    <mergeCell ref="U18:V20"/>
    <mergeCell ref="W18:X20"/>
    <mergeCell ref="P16:R17"/>
    <mergeCell ref="D8:F8"/>
    <mergeCell ref="V30:X30"/>
    <mergeCell ref="Y30:Z30"/>
    <mergeCell ref="P14:R15"/>
    <mergeCell ref="M15:N15"/>
    <mergeCell ref="B1:C1"/>
    <mergeCell ref="D1:E1"/>
    <mergeCell ref="F1:G1"/>
    <mergeCell ref="B2:C3"/>
    <mergeCell ref="D2:E3"/>
    <mergeCell ref="F2:G3"/>
    <mergeCell ref="X8:Z8"/>
    <mergeCell ref="W11:Z11"/>
    <mergeCell ref="Y18:Z20"/>
    <mergeCell ref="S12:V13"/>
    <mergeCell ref="W12:Z13"/>
    <mergeCell ref="Y16:Z17"/>
    <mergeCell ref="W2:X3"/>
    <mergeCell ref="Y2:Z3"/>
    <mergeCell ref="A11:B11"/>
    <mergeCell ref="C11:D11"/>
    <mergeCell ref="E11:F11"/>
    <mergeCell ref="G11:H11"/>
    <mergeCell ref="I11:J1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zoomScaleNormal="100" zoomScaleSheetLayoutView="100" workbookViewId="0">
      <selection activeCell="D7" sqref="D7:F7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174</v>
      </c>
      <c r="C2" s="135"/>
      <c r="D2" s="135" t="s">
        <v>175</v>
      </c>
      <c r="E2" s="135"/>
      <c r="F2" s="135" t="s">
        <v>176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05"/>
      <c r="E3" s="105"/>
      <c r="F3" s="105"/>
      <c r="G3" s="105"/>
      <c r="H3" s="132">
        <v>46215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72830</v>
      </c>
      <c r="E7" s="139"/>
      <c r="F7" s="139"/>
      <c r="G7" s="139">
        <v>142900</v>
      </c>
      <c r="H7" s="139"/>
      <c r="I7" s="139"/>
      <c r="J7" s="154">
        <f>D7+G7</f>
        <v>215730</v>
      </c>
      <c r="K7" s="154"/>
      <c r="L7" s="154"/>
      <c r="M7" s="1"/>
      <c r="N7" s="1"/>
      <c r="O7" s="1"/>
      <c r="P7" s="105" t="s">
        <v>48</v>
      </c>
      <c r="Q7" s="105"/>
      <c r="R7" s="140">
        <v>491.5</v>
      </c>
      <c r="S7" s="140"/>
      <c r="T7" s="140"/>
      <c r="U7" s="140">
        <v>365.7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'11'!D8+'12'!D7</f>
        <v>861679</v>
      </c>
      <c r="E8" s="154"/>
      <c r="F8" s="154"/>
      <c r="G8" s="154">
        <f>'11'!G8+G7</f>
        <v>1773300</v>
      </c>
      <c r="H8" s="154"/>
      <c r="I8" s="154"/>
      <c r="J8" s="154">
        <f>D8+G8</f>
        <v>2634979</v>
      </c>
      <c r="K8" s="154"/>
      <c r="L8" s="154"/>
      <c r="M8" s="1"/>
      <c r="N8" s="1"/>
      <c r="O8" s="1"/>
      <c r="P8" s="104" t="s">
        <v>2</v>
      </c>
      <c r="Q8" s="104"/>
      <c r="R8" s="137">
        <f>'11'!R8+'12'!R7</f>
        <v>5789.7</v>
      </c>
      <c r="S8" s="137"/>
      <c r="T8" s="137"/>
      <c r="U8" s="137">
        <f>'11'!U8+U7</f>
        <v>4054.3999999999996</v>
      </c>
      <c r="V8" s="137"/>
      <c r="W8" s="137"/>
      <c r="X8" s="138">
        <f>'11'!X8+'12'!X7</f>
        <v>288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'11'!I12</f>
        <v>15233</v>
      </c>
      <c r="D12" s="174"/>
      <c r="E12" s="105">
        <v>0</v>
      </c>
      <c r="F12" s="105"/>
      <c r="G12" s="105">
        <v>3591</v>
      </c>
      <c r="H12" s="105"/>
      <c r="I12" s="107">
        <f>C12+E12-G12</f>
        <v>11642</v>
      </c>
      <c r="J12" s="109"/>
      <c r="K12" s="105">
        <f>'11'!K12+'12'!E12</f>
        <v>42870</v>
      </c>
      <c r="L12" s="105"/>
      <c r="M12" s="105">
        <f>'11'!M12+'12'!G12</f>
        <v>46142</v>
      </c>
      <c r="N12" s="105"/>
      <c r="O12" s="1"/>
      <c r="P12" s="149" t="s">
        <v>101</v>
      </c>
      <c r="Q12" s="105"/>
      <c r="R12" s="105"/>
      <c r="S12" s="143">
        <v>0</v>
      </c>
      <c r="T12" s="144"/>
      <c r="U12" s="144"/>
      <c r="V12" s="144"/>
      <c r="W12" s="194">
        <f>'11'!W12+'12'!S12</f>
        <v>445.88</v>
      </c>
      <c r="X12" s="209"/>
      <c r="Y12" s="209"/>
      <c r="Z12" s="210"/>
    </row>
    <row r="13" spans="1:26" ht="21.9" customHeight="1">
      <c r="A13" s="104" t="s">
        <v>4</v>
      </c>
      <c r="B13" s="104"/>
      <c r="C13" s="174">
        <f>'11'!I13</f>
        <v>280</v>
      </c>
      <c r="D13" s="174"/>
      <c r="E13" s="104">
        <v>0</v>
      </c>
      <c r="F13" s="104"/>
      <c r="G13" s="104">
        <v>100</v>
      </c>
      <c r="H13" s="104"/>
      <c r="I13" s="102">
        <f t="shared" ref="I13:I18" si="0">C13+E13-G13</f>
        <v>180</v>
      </c>
      <c r="J13" s="103"/>
      <c r="K13" s="105">
        <f>'11'!K13+'12'!E13</f>
        <v>710</v>
      </c>
      <c r="L13" s="105"/>
      <c r="M13" s="105">
        <f>'11'!M13+'12'!G13</f>
        <v>1120</v>
      </c>
      <c r="N13" s="105"/>
      <c r="O13" s="1"/>
      <c r="P13" s="104"/>
      <c r="Q13" s="104"/>
      <c r="R13" s="104"/>
      <c r="S13" s="145"/>
      <c r="T13" s="146"/>
      <c r="U13" s="146"/>
      <c r="V13" s="146"/>
      <c r="W13" s="211"/>
      <c r="X13" s="212"/>
      <c r="Y13" s="212"/>
      <c r="Z13" s="213"/>
    </row>
    <row r="14" spans="1:26" ht="21.9" customHeight="1">
      <c r="A14" s="104" t="s">
        <v>5</v>
      </c>
      <c r="B14" s="104"/>
      <c r="C14" s="174">
        <f>'11'!I14</f>
        <v>1280</v>
      </c>
      <c r="D14" s="174"/>
      <c r="E14" s="104">
        <v>0</v>
      </c>
      <c r="F14" s="104"/>
      <c r="G14" s="104">
        <v>120</v>
      </c>
      <c r="H14" s="104"/>
      <c r="I14" s="102">
        <f t="shared" si="0"/>
        <v>1160</v>
      </c>
      <c r="J14" s="103"/>
      <c r="K14" s="105">
        <f>'11'!K14+'12'!E14</f>
        <v>2000</v>
      </c>
      <c r="L14" s="105"/>
      <c r="M14" s="105">
        <f>'11'!M14+'12'!G14</f>
        <v>1440</v>
      </c>
      <c r="N14" s="105"/>
      <c r="O14" s="1"/>
      <c r="P14" s="104" t="s">
        <v>26</v>
      </c>
      <c r="Q14" s="104"/>
      <c r="R14" s="104"/>
      <c r="S14" s="155">
        <v>0</v>
      </c>
      <c r="T14" s="156"/>
      <c r="U14" s="156"/>
      <c r="V14" s="156"/>
      <c r="W14" s="186">
        <f>'11'!W14+'12'!S14</f>
        <v>93.740000000000009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'11'!I15</f>
        <v>980</v>
      </c>
      <c r="D15" s="174"/>
      <c r="E15" s="104">
        <v>0</v>
      </c>
      <c r="F15" s="104"/>
      <c r="G15" s="104">
        <v>22</v>
      </c>
      <c r="H15" s="104"/>
      <c r="I15" s="102">
        <f t="shared" si="0"/>
        <v>958</v>
      </c>
      <c r="J15" s="103"/>
      <c r="K15" s="105">
        <f>'11'!K15+'12'!E15</f>
        <v>0</v>
      </c>
      <c r="L15" s="105"/>
      <c r="M15" s="105">
        <f>'11'!M15+'12'!G15</f>
        <v>341</v>
      </c>
      <c r="N15" s="105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'11'!I16</f>
        <v>2130</v>
      </c>
      <c r="D16" s="174"/>
      <c r="E16" s="104">
        <v>0</v>
      </c>
      <c r="F16" s="104"/>
      <c r="G16" s="104">
        <v>20</v>
      </c>
      <c r="H16" s="104"/>
      <c r="I16" s="102">
        <f t="shared" si="0"/>
        <v>2110</v>
      </c>
      <c r="J16" s="103"/>
      <c r="K16" s="105">
        <f>'11'!K16+'12'!E16</f>
        <v>0</v>
      </c>
      <c r="L16" s="105"/>
      <c r="M16" s="105">
        <f>'11'!M16+'12'!G16</f>
        <v>240</v>
      </c>
      <c r="N16" s="105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'11'!I17</f>
        <v>1090</v>
      </c>
      <c r="D17" s="174"/>
      <c r="E17" s="104">
        <v>1440</v>
      </c>
      <c r="F17" s="104"/>
      <c r="G17" s="104">
        <v>200</v>
      </c>
      <c r="H17" s="104"/>
      <c r="I17" s="102">
        <f t="shared" si="0"/>
        <v>2330</v>
      </c>
      <c r="J17" s="103"/>
      <c r="K17" s="105">
        <f>'11'!K17+'12'!E17</f>
        <v>2880</v>
      </c>
      <c r="L17" s="105"/>
      <c r="M17" s="105">
        <f>'11'!M17+'12'!G17</f>
        <v>2400</v>
      </c>
      <c r="N17" s="105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'11'!I18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0"/>
        <v>5340</v>
      </c>
      <c r="J18" s="103"/>
      <c r="K18" s="105">
        <f>'11'!K18+'12'!E18</f>
        <v>0</v>
      </c>
      <c r="L18" s="105"/>
      <c r="M18" s="105">
        <f>'11'!M18+'12'!G18</f>
        <v>0</v>
      </c>
      <c r="N18" s="105"/>
      <c r="O18" s="1"/>
      <c r="P18" s="164" t="s">
        <v>27</v>
      </c>
      <c r="Q18" s="164"/>
      <c r="R18" s="164"/>
      <c r="S18" s="114">
        <v>2</v>
      </c>
      <c r="T18" s="115"/>
      <c r="U18" s="114">
        <v>2</v>
      </c>
      <c r="V18" s="115"/>
      <c r="W18" s="114">
        <f>S18+U18</f>
        <v>4</v>
      </c>
      <c r="X18" s="115"/>
      <c r="Y18" s="151">
        <f>'11'!Y18+'12'!W18</f>
        <v>45</v>
      </c>
      <c r="Z18" s="151"/>
    </row>
    <row r="19" spans="1:31" ht="21.9" customHeight="1">
      <c r="A19" s="153" t="s">
        <v>62</v>
      </c>
      <c r="B19" s="153"/>
      <c r="C19" s="174">
        <f>'11'!I19</f>
        <v>72741</v>
      </c>
      <c r="D19" s="174"/>
      <c r="E19" s="154">
        <v>68680</v>
      </c>
      <c r="F19" s="154"/>
      <c r="G19" s="154">
        <f>D7</f>
        <v>72830</v>
      </c>
      <c r="H19" s="154"/>
      <c r="I19" s="99">
        <f t="shared" ref="I19" si="1">C19+E19-G19</f>
        <v>68591</v>
      </c>
      <c r="J19" s="101"/>
      <c r="K19" s="139">
        <f>'11'!K19+'12'!E19</f>
        <v>820270</v>
      </c>
      <c r="L19" s="139"/>
      <c r="M19" s="139">
        <f>'11'!M19+'12'!G19</f>
        <v>861679</v>
      </c>
      <c r="N19" s="139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'11'!I20</f>
        <v>-</v>
      </c>
      <c r="D20" s="174"/>
      <c r="E20" s="102">
        <v>0</v>
      </c>
      <c r="F20" s="103"/>
      <c r="G20" s="104">
        <v>0</v>
      </c>
      <c r="H20" s="104"/>
      <c r="I20" s="102" t="s">
        <v>60</v>
      </c>
      <c r="J20" s="103"/>
      <c r="K20" s="105">
        <f>'11'!K20+'12'!E20</f>
        <v>0</v>
      </c>
      <c r="L20" s="105"/>
      <c r="M20" s="139">
        <f>'11'!M20+'12'!G20</f>
        <v>0</v>
      </c>
      <c r="N20" s="139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'11'!G24</f>
        <v>3926872</v>
      </c>
      <c r="E24" s="187"/>
      <c r="F24" s="187"/>
      <c r="G24" s="164">
        <v>3949272</v>
      </c>
      <c r="H24" s="164"/>
      <c r="I24" s="164"/>
      <c r="J24" s="164">
        <f>G24-D24</f>
        <v>22400</v>
      </c>
      <c r="K24" s="164"/>
      <c r="L24" s="164"/>
      <c r="M24" s="164">
        <f>'11'!M24+J24</f>
        <v>277704</v>
      </c>
      <c r="N24" s="164"/>
      <c r="P24" s="105" t="s">
        <v>36</v>
      </c>
      <c r="Q24" s="105"/>
      <c r="R24" s="105"/>
      <c r="S24" s="105">
        <f>'11'!V24</f>
        <v>558.79999999999995</v>
      </c>
      <c r="T24" s="105"/>
      <c r="U24" s="105"/>
      <c r="V24" s="140">
        <v>561.29999999999995</v>
      </c>
      <c r="W24" s="140"/>
      <c r="X24" s="140"/>
      <c r="Y24" s="140">
        <f>'11'!Y24+'12'!V24</f>
        <v>5559.2000000000007</v>
      </c>
      <c r="Z24" s="140"/>
    </row>
    <row r="25" spans="1:31" ht="21.9" customHeight="1">
      <c r="A25" s="104" t="s">
        <v>30</v>
      </c>
      <c r="B25" s="104"/>
      <c r="C25" s="104"/>
      <c r="D25" s="104">
        <f>'11'!G25</f>
        <v>33147.1</v>
      </c>
      <c r="E25" s="104"/>
      <c r="F25" s="104"/>
      <c r="G25" s="104">
        <v>33176.5</v>
      </c>
      <c r="H25" s="104"/>
      <c r="I25" s="104"/>
      <c r="J25" s="104">
        <f>G25-D25</f>
        <v>29.400000000001455</v>
      </c>
      <c r="K25" s="104"/>
      <c r="L25" s="104"/>
      <c r="M25" s="102">
        <f>'11'!M25+J25</f>
        <v>412.40000000000146</v>
      </c>
      <c r="N25" s="103"/>
      <c r="P25" s="104" t="s">
        <v>37</v>
      </c>
      <c r="Q25" s="104"/>
      <c r="R25" s="104"/>
      <c r="S25" s="102">
        <f>'11'!V25</f>
        <v>56.5</v>
      </c>
      <c r="T25" s="106"/>
      <c r="U25" s="103"/>
      <c r="V25" s="137">
        <v>60.8</v>
      </c>
      <c r="W25" s="137"/>
      <c r="X25" s="137"/>
      <c r="Y25" s="140">
        <f>'11'!Y25+'12'!V25</f>
        <v>689.39999999999986</v>
      </c>
      <c r="Z25" s="140"/>
    </row>
    <row r="26" spans="1:31" ht="21.9" customHeight="1">
      <c r="A26" s="104" t="s">
        <v>31</v>
      </c>
      <c r="B26" s="104"/>
      <c r="C26" s="104"/>
      <c r="D26" s="104">
        <f>'11'!G26</f>
        <v>24530</v>
      </c>
      <c r="E26" s="104"/>
      <c r="F26" s="104"/>
      <c r="G26" s="104">
        <v>24550</v>
      </c>
      <c r="H26" s="104"/>
      <c r="I26" s="104"/>
      <c r="J26" s="104">
        <f t="shared" ref="J26:J31" si="2">G26-D26</f>
        <v>20</v>
      </c>
      <c r="K26" s="104"/>
      <c r="L26" s="104"/>
      <c r="M26" s="102">
        <f>'11'!M26+J26</f>
        <v>250</v>
      </c>
      <c r="N26" s="103"/>
      <c r="P26" s="104" t="s">
        <v>38</v>
      </c>
      <c r="Q26" s="104"/>
      <c r="R26" s="104"/>
      <c r="S26" s="102">
        <f>'11'!V26</f>
        <v>468.7</v>
      </c>
      <c r="T26" s="106"/>
      <c r="U26" s="103"/>
      <c r="V26" s="137">
        <v>521.6</v>
      </c>
      <c r="W26" s="137"/>
      <c r="X26" s="137"/>
      <c r="Y26" s="140">
        <f>'11'!Y26+'12'!V26</f>
        <v>5934.2000000000007</v>
      </c>
      <c r="Z26" s="140"/>
    </row>
    <row r="27" spans="1:31" ht="21.9" customHeight="1">
      <c r="A27" s="104" t="s">
        <v>32</v>
      </c>
      <c r="B27" s="104"/>
      <c r="C27" s="104"/>
      <c r="D27" s="104">
        <f>'11'!G27</f>
        <v>1378000</v>
      </c>
      <c r="E27" s="104"/>
      <c r="F27" s="104"/>
      <c r="G27" s="104">
        <v>1381000</v>
      </c>
      <c r="H27" s="104"/>
      <c r="I27" s="104"/>
      <c r="J27" s="104">
        <f t="shared" si="2"/>
        <v>3000</v>
      </c>
      <c r="K27" s="104"/>
      <c r="L27" s="104"/>
      <c r="M27" s="102">
        <f>'11'!M27+J27</f>
        <v>42000</v>
      </c>
      <c r="N27" s="103"/>
      <c r="P27" s="104" t="s">
        <v>39</v>
      </c>
      <c r="Q27" s="104"/>
      <c r="R27" s="104"/>
      <c r="S27" s="102">
        <f>'11'!V27</f>
        <v>500</v>
      </c>
      <c r="T27" s="106"/>
      <c r="U27" s="103"/>
      <c r="V27" s="137">
        <v>516.5</v>
      </c>
      <c r="W27" s="137"/>
      <c r="X27" s="137"/>
      <c r="Y27" s="140">
        <f>'11'!Y27+'12'!V27</f>
        <v>6071.5999999999995</v>
      </c>
      <c r="Z27" s="140"/>
    </row>
    <row r="28" spans="1:31" ht="21.9" customHeight="1">
      <c r="A28" s="104" t="s">
        <v>33</v>
      </c>
      <c r="B28" s="104"/>
      <c r="C28" s="104"/>
      <c r="D28" s="104">
        <f>'11'!G28</f>
        <v>5571</v>
      </c>
      <c r="E28" s="104"/>
      <c r="F28" s="104"/>
      <c r="G28" s="104">
        <v>5620</v>
      </c>
      <c r="H28" s="104"/>
      <c r="I28" s="104"/>
      <c r="J28" s="104">
        <f t="shared" si="2"/>
        <v>49</v>
      </c>
      <c r="K28" s="104"/>
      <c r="L28" s="104"/>
      <c r="M28" s="102">
        <f>'11'!M28+J28</f>
        <v>682</v>
      </c>
      <c r="N28" s="103"/>
      <c r="P28" s="104" t="s">
        <v>41</v>
      </c>
      <c r="Q28" s="104"/>
      <c r="R28" s="104"/>
      <c r="S28" s="102">
        <f>'11'!V28</f>
        <v>0</v>
      </c>
      <c r="T28" s="106"/>
      <c r="U28" s="103"/>
      <c r="V28" s="137">
        <v>0</v>
      </c>
      <c r="W28" s="137"/>
      <c r="X28" s="137"/>
      <c r="Y28" s="140">
        <f>'11'!Y28+'12'!V28</f>
        <v>0</v>
      </c>
      <c r="Z28" s="140"/>
    </row>
    <row r="29" spans="1:31" ht="21.9" customHeight="1">
      <c r="A29" s="104" t="s">
        <v>34</v>
      </c>
      <c r="B29" s="104"/>
      <c r="C29" s="104"/>
      <c r="D29" s="104">
        <f>'11'!G29</f>
        <v>66220</v>
      </c>
      <c r="E29" s="104"/>
      <c r="F29" s="104"/>
      <c r="G29" s="104">
        <v>66220</v>
      </c>
      <c r="H29" s="104"/>
      <c r="I29" s="104"/>
      <c r="J29" s="104">
        <f t="shared" si="2"/>
        <v>0</v>
      </c>
      <c r="K29" s="104"/>
      <c r="L29" s="104"/>
      <c r="M29" s="102">
        <f>'11'!M29+J29</f>
        <v>40</v>
      </c>
      <c r="N29" s="103"/>
      <c r="P29" s="104" t="s">
        <v>40</v>
      </c>
      <c r="Q29" s="104"/>
      <c r="R29" s="104"/>
      <c r="S29" s="102">
        <f>'11'!V29</f>
        <v>64.8</v>
      </c>
      <c r="T29" s="106"/>
      <c r="U29" s="103"/>
      <c r="V29" s="137">
        <v>68.900000000000006</v>
      </c>
      <c r="W29" s="137"/>
      <c r="X29" s="137"/>
      <c r="Y29" s="140">
        <f>'11'!Y29+'12'!V29</f>
        <v>765.5999999999998</v>
      </c>
      <c r="Z29" s="140"/>
    </row>
    <row r="30" spans="1:31" ht="21.9" customHeight="1">
      <c r="A30" s="104" t="s">
        <v>35</v>
      </c>
      <c r="B30" s="104"/>
      <c r="C30" s="104"/>
      <c r="D30" s="104">
        <f>'11'!G30</f>
        <v>53370</v>
      </c>
      <c r="E30" s="104"/>
      <c r="F30" s="104"/>
      <c r="G30" s="104">
        <v>53380</v>
      </c>
      <c r="H30" s="104"/>
      <c r="I30" s="104"/>
      <c r="J30" s="104">
        <f t="shared" si="2"/>
        <v>10</v>
      </c>
      <c r="K30" s="104"/>
      <c r="L30" s="104"/>
      <c r="M30" s="102">
        <f>'11'!M30+J30</f>
        <v>160</v>
      </c>
      <c r="N30" s="103"/>
      <c r="P30" s="104" t="s">
        <v>28</v>
      </c>
      <c r="Q30" s="104"/>
      <c r="R30" s="104"/>
      <c r="S30" s="104">
        <f>SUM(S24:U29)</f>
        <v>1648.8</v>
      </c>
      <c r="T30" s="104"/>
      <c r="U30" s="104"/>
      <c r="V30" s="137"/>
      <c r="W30" s="137"/>
      <c r="X30" s="137"/>
      <c r="Y30" s="140">
        <f>'11'!Y30+'12'!V30</f>
        <v>1528.3</v>
      </c>
      <c r="Z30" s="140"/>
    </row>
    <row r="31" spans="1:31" ht="21.9" customHeight="1">
      <c r="A31" s="104" t="s">
        <v>120</v>
      </c>
      <c r="B31" s="104"/>
      <c r="C31" s="104"/>
      <c r="D31" s="104">
        <f>'11'!G31</f>
        <v>6289325</v>
      </c>
      <c r="E31" s="104"/>
      <c r="F31" s="104"/>
      <c r="G31" s="102">
        <v>6297139</v>
      </c>
      <c r="H31" s="106"/>
      <c r="I31" s="103"/>
      <c r="J31" s="102">
        <f t="shared" si="2"/>
        <v>7814</v>
      </c>
      <c r="K31" s="106">
        <v>12.255000000000001</v>
      </c>
      <c r="L31" s="103">
        <v>12.255000000000001</v>
      </c>
      <c r="M31" s="102">
        <f>'11'!M31+J31</f>
        <v>95044</v>
      </c>
      <c r="N31" s="103"/>
      <c r="P31" s="57"/>
      <c r="Q31" s="57"/>
      <c r="R31" s="57"/>
      <c r="S31" s="57"/>
      <c r="T31" s="57"/>
      <c r="U31" s="57"/>
      <c r="V31" s="58"/>
      <c r="W31" s="58"/>
      <c r="X31" s="58"/>
      <c r="Y31" s="58"/>
      <c r="Z31" s="58"/>
    </row>
    <row r="32" spans="1:31" ht="21.9" customHeight="1">
      <c r="A32" s="104" t="s">
        <v>121</v>
      </c>
      <c r="B32" s="104"/>
      <c r="C32" s="104"/>
      <c r="D32" s="104">
        <f>'11'!G32</f>
        <v>1.7</v>
      </c>
      <c r="E32" s="104"/>
      <c r="F32" s="104"/>
      <c r="G32" s="102">
        <v>1.7</v>
      </c>
      <c r="H32" s="106"/>
      <c r="I32" s="103"/>
      <c r="J32" s="102">
        <f t="shared" ref="J32:J33" si="3">G32-D32</f>
        <v>0</v>
      </c>
      <c r="K32" s="106">
        <v>12.255000000000001</v>
      </c>
      <c r="L32" s="103">
        <v>12.255000000000001</v>
      </c>
      <c r="M32" s="102">
        <f>'11'!M32+J32</f>
        <v>9.9999999999999867E-2</v>
      </c>
      <c r="N32" s="103"/>
      <c r="P32" s="57"/>
      <c r="Q32" s="57"/>
      <c r="R32" s="57"/>
      <c r="S32" s="57"/>
      <c r="T32" s="57"/>
      <c r="U32" s="57"/>
      <c r="V32" s="58"/>
      <c r="W32" s="58"/>
      <c r="X32" s="58"/>
      <c r="Y32" s="58"/>
      <c r="Z32" s="58"/>
    </row>
    <row r="33" spans="1:26" ht="21.9" customHeight="1">
      <c r="A33" s="104" t="s">
        <v>122</v>
      </c>
      <c r="B33" s="104"/>
      <c r="C33" s="104"/>
      <c r="D33" s="104">
        <f>'11'!G33</f>
        <v>0</v>
      </c>
      <c r="E33" s="104"/>
      <c r="F33" s="104"/>
      <c r="G33" s="188">
        <v>0</v>
      </c>
      <c r="H33" s="189"/>
      <c r="I33" s="190"/>
      <c r="J33" s="102">
        <f t="shared" si="3"/>
        <v>0</v>
      </c>
      <c r="K33" s="106">
        <v>12.255000000000001</v>
      </c>
      <c r="L33" s="103">
        <v>12.255000000000001</v>
      </c>
      <c r="M33" s="102">
        <f>'11'!M33+J33</f>
        <v>0</v>
      </c>
      <c r="N33" s="103"/>
      <c r="P33" s="57"/>
      <c r="Q33" s="57"/>
      <c r="R33" s="57"/>
      <c r="S33" s="57"/>
      <c r="T33" s="57"/>
      <c r="U33" s="57"/>
      <c r="V33" s="58"/>
      <c r="W33" s="58"/>
      <c r="X33" s="58"/>
      <c r="Y33" s="58"/>
      <c r="Z33" s="58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U2:Z3 D7:I7 R7:Z7 E12:H20 S12:V15 S18:V20 G24:I30 V24:X33" name="범위1"/>
    <protectedRange sqref="H3" name="범위2"/>
    <protectedRange sqref="G31:L33" name="범위3_1_1"/>
    <protectedRange sqref="D2:G3" name="범위1_2"/>
    <protectedRange sqref="B2:C3" name="범위1_1_2_1"/>
  </protectedRanges>
  <mergeCells count="223">
    <mergeCell ref="A63:B76"/>
    <mergeCell ref="C63:Z76"/>
    <mergeCell ref="A36:B48"/>
    <mergeCell ref="C36:Z48"/>
    <mergeCell ref="A49:B62"/>
    <mergeCell ref="C49:Z62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A29:C29"/>
    <mergeCell ref="D29:F29"/>
    <mergeCell ref="G29:I29"/>
    <mergeCell ref="J29:L29"/>
    <mergeCell ref="M29:N29"/>
    <mergeCell ref="P29:R29"/>
    <mergeCell ref="S29:U29"/>
    <mergeCell ref="M33:N33"/>
    <mergeCell ref="S30:U30"/>
    <mergeCell ref="V29:X29"/>
    <mergeCell ref="Y29:Z29"/>
    <mergeCell ref="A28:C28"/>
    <mergeCell ref="D28:F28"/>
    <mergeCell ref="G28:I28"/>
    <mergeCell ref="J28:L28"/>
    <mergeCell ref="M28:N28"/>
    <mergeCell ref="P28:R28"/>
    <mergeCell ref="S28:U28"/>
    <mergeCell ref="V28:X28"/>
    <mergeCell ref="Y28:Z28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A23:C23"/>
    <mergeCell ref="D23:F23"/>
    <mergeCell ref="G23:I23"/>
    <mergeCell ref="J23:L23"/>
    <mergeCell ref="M23:N23"/>
    <mergeCell ref="P23:R23"/>
    <mergeCell ref="S23:U23"/>
    <mergeCell ref="P18:R20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18:B18"/>
    <mergeCell ref="C18:D18"/>
    <mergeCell ref="E18:F18"/>
    <mergeCell ref="G18:H18"/>
    <mergeCell ref="I18:J18"/>
    <mergeCell ref="K18:L18"/>
    <mergeCell ref="M18:N18"/>
    <mergeCell ref="I17:J17"/>
    <mergeCell ref="K17:L17"/>
    <mergeCell ref="A17:B17"/>
    <mergeCell ref="C17:D17"/>
    <mergeCell ref="E17:F17"/>
    <mergeCell ref="G17:H17"/>
    <mergeCell ref="A16:B16"/>
    <mergeCell ref="C16:D16"/>
    <mergeCell ref="E16:F16"/>
    <mergeCell ref="G16:H16"/>
    <mergeCell ref="I16:J16"/>
    <mergeCell ref="K16:L16"/>
    <mergeCell ref="M16:N16"/>
    <mergeCell ref="A14:B14"/>
    <mergeCell ref="C14:D14"/>
    <mergeCell ref="E14:F14"/>
    <mergeCell ref="G14:H14"/>
    <mergeCell ref="I14:J14"/>
    <mergeCell ref="K14:L14"/>
    <mergeCell ref="M14:N14"/>
    <mergeCell ref="A15:B15"/>
    <mergeCell ref="C15:D15"/>
    <mergeCell ref="E15:F15"/>
    <mergeCell ref="G15:H15"/>
    <mergeCell ref="I15:J15"/>
    <mergeCell ref="K15:L15"/>
    <mergeCell ref="R8:T8"/>
    <mergeCell ref="S11:V11"/>
    <mergeCell ref="U8:W8"/>
    <mergeCell ref="A13:B13"/>
    <mergeCell ref="C13:D13"/>
    <mergeCell ref="E13:F13"/>
    <mergeCell ref="G13:H13"/>
    <mergeCell ref="I13:J13"/>
    <mergeCell ref="K13:L13"/>
    <mergeCell ref="M13:N13"/>
    <mergeCell ref="P12:R13"/>
    <mergeCell ref="M12:N12"/>
    <mergeCell ref="A12:B12"/>
    <mergeCell ref="C12:D12"/>
    <mergeCell ref="E12:F12"/>
    <mergeCell ref="G12:H12"/>
    <mergeCell ref="I12:J12"/>
    <mergeCell ref="K12:L12"/>
    <mergeCell ref="G8:I8"/>
    <mergeCell ref="J8:L8"/>
    <mergeCell ref="P8:Q8"/>
    <mergeCell ref="M11:N11"/>
    <mergeCell ref="P11:R11"/>
    <mergeCell ref="A8:C8"/>
    <mergeCell ref="A1:A3"/>
    <mergeCell ref="W1:X1"/>
    <mergeCell ref="H1:S2"/>
    <mergeCell ref="T1:T3"/>
    <mergeCell ref="U1:V1"/>
    <mergeCell ref="U2:V3"/>
    <mergeCell ref="H3:S3"/>
    <mergeCell ref="Y1:Z1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G6:I6"/>
    <mergeCell ref="J6:L6"/>
    <mergeCell ref="P6:Q6"/>
    <mergeCell ref="R6:T6"/>
    <mergeCell ref="U6:W6"/>
    <mergeCell ref="X6:Z6"/>
    <mergeCell ref="K11:L11"/>
    <mergeCell ref="P22:U22"/>
    <mergeCell ref="V23:X23"/>
    <mergeCell ref="Y23:Z23"/>
    <mergeCell ref="S26:U26"/>
    <mergeCell ref="V26:X26"/>
    <mergeCell ref="M17:N17"/>
    <mergeCell ref="Y26:Z26"/>
    <mergeCell ref="V27:X27"/>
    <mergeCell ref="Y27:Z27"/>
    <mergeCell ref="S14:V15"/>
    <mergeCell ref="W14:Z15"/>
    <mergeCell ref="S16:T17"/>
    <mergeCell ref="U16:V17"/>
    <mergeCell ref="W16:X17"/>
    <mergeCell ref="S18:T20"/>
    <mergeCell ref="U18:V20"/>
    <mergeCell ref="W18:X20"/>
    <mergeCell ref="P16:R17"/>
    <mergeCell ref="D8:F8"/>
    <mergeCell ref="V30:X30"/>
    <mergeCell ref="Y30:Z30"/>
    <mergeCell ref="P14:R15"/>
    <mergeCell ref="M15:N15"/>
    <mergeCell ref="B1:C1"/>
    <mergeCell ref="D1:E1"/>
    <mergeCell ref="F1:G1"/>
    <mergeCell ref="B2:C3"/>
    <mergeCell ref="D2:E3"/>
    <mergeCell ref="F2:G3"/>
    <mergeCell ref="X8:Z8"/>
    <mergeCell ref="W11:Z11"/>
    <mergeCell ref="Y18:Z20"/>
    <mergeCell ref="S12:V13"/>
    <mergeCell ref="W12:Z13"/>
    <mergeCell ref="Y16:Z17"/>
    <mergeCell ref="W2:X3"/>
    <mergeCell ref="Y2:Z3"/>
    <mergeCell ref="A11:B11"/>
    <mergeCell ref="C11:D11"/>
    <mergeCell ref="E11:F11"/>
    <mergeCell ref="G11:H11"/>
    <mergeCell ref="I11:J1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zoomScaleNormal="100" zoomScaleSheetLayoutView="100" workbookViewId="0">
      <selection activeCell="F2" sqref="F2:G3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177</v>
      </c>
      <c r="C2" s="135"/>
      <c r="D2" s="207" t="s">
        <v>178</v>
      </c>
      <c r="E2" s="207"/>
      <c r="F2" s="135" t="s">
        <v>179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42"/>
      <c r="E3" s="142"/>
      <c r="F3" s="105"/>
      <c r="G3" s="105"/>
      <c r="H3" s="132">
        <v>46216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76475</v>
      </c>
      <c r="E7" s="139"/>
      <c r="F7" s="139"/>
      <c r="G7" s="139">
        <v>137100</v>
      </c>
      <c r="H7" s="139"/>
      <c r="I7" s="139"/>
      <c r="J7" s="154">
        <f>D7+G7</f>
        <v>213575</v>
      </c>
      <c r="K7" s="154"/>
      <c r="L7" s="154"/>
      <c r="M7" s="1"/>
      <c r="N7" s="1"/>
      <c r="O7" s="1"/>
      <c r="P7" s="105" t="s">
        <v>48</v>
      </c>
      <c r="Q7" s="105"/>
      <c r="R7" s="140">
        <v>487.2</v>
      </c>
      <c r="S7" s="140"/>
      <c r="T7" s="140"/>
      <c r="U7" s="140">
        <v>338.4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'12'!D8+D7</f>
        <v>938154</v>
      </c>
      <c r="E8" s="154"/>
      <c r="F8" s="154"/>
      <c r="G8" s="154">
        <f>'12'!G8+G7</f>
        <v>1910400</v>
      </c>
      <c r="H8" s="154"/>
      <c r="I8" s="154"/>
      <c r="J8" s="154">
        <f>D8+G8</f>
        <v>2848554</v>
      </c>
      <c r="K8" s="154"/>
      <c r="L8" s="154"/>
      <c r="M8" s="1"/>
      <c r="N8" s="1"/>
      <c r="O8" s="1"/>
      <c r="P8" s="104" t="s">
        <v>2</v>
      </c>
      <c r="Q8" s="104"/>
      <c r="R8" s="137">
        <f>'12'!R8+'13'!R7</f>
        <v>6276.9</v>
      </c>
      <c r="S8" s="137"/>
      <c r="T8" s="137"/>
      <c r="U8" s="137">
        <f>'12'!U8+'13'!U7</f>
        <v>4392.7999999999993</v>
      </c>
      <c r="V8" s="137"/>
      <c r="W8" s="137"/>
      <c r="X8" s="138">
        <f>'12'!X8+X7</f>
        <v>312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'12'!I12</f>
        <v>11642</v>
      </c>
      <c r="D12" s="174"/>
      <c r="E12" s="105">
        <v>11350</v>
      </c>
      <c r="F12" s="105"/>
      <c r="G12" s="105">
        <v>3941</v>
      </c>
      <c r="H12" s="105"/>
      <c r="I12" s="107">
        <f>C12+E12-G12</f>
        <v>19051</v>
      </c>
      <c r="J12" s="109"/>
      <c r="K12" s="105">
        <f>'12'!K12+E12</f>
        <v>54220</v>
      </c>
      <c r="L12" s="105"/>
      <c r="M12" s="105">
        <f>'12'!M12+'13'!G12</f>
        <v>50083</v>
      </c>
      <c r="N12" s="105"/>
      <c r="O12" s="1"/>
      <c r="P12" s="149" t="s">
        <v>101</v>
      </c>
      <c r="Q12" s="105"/>
      <c r="R12" s="105"/>
      <c r="S12" s="143">
        <v>26.67</v>
      </c>
      <c r="T12" s="144"/>
      <c r="U12" s="144"/>
      <c r="V12" s="144"/>
      <c r="W12" s="194">
        <f>'12'!W12+'13'!S12</f>
        <v>472.55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'12'!I13</f>
        <v>180</v>
      </c>
      <c r="D13" s="174"/>
      <c r="E13" s="104">
        <v>910</v>
      </c>
      <c r="F13" s="104"/>
      <c r="G13" s="104">
        <v>100</v>
      </c>
      <c r="H13" s="104"/>
      <c r="I13" s="102">
        <f t="shared" ref="I13:I18" si="0">C13+E13-G13</f>
        <v>990</v>
      </c>
      <c r="J13" s="103"/>
      <c r="K13" s="105">
        <f>'12'!K13+E13</f>
        <v>1620</v>
      </c>
      <c r="L13" s="105"/>
      <c r="M13" s="105">
        <f>'12'!M13+'13'!G13</f>
        <v>1220</v>
      </c>
      <c r="N13" s="105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'12'!I14</f>
        <v>1160</v>
      </c>
      <c r="D14" s="174"/>
      <c r="E14" s="104">
        <v>0</v>
      </c>
      <c r="F14" s="104"/>
      <c r="G14" s="104">
        <v>120</v>
      </c>
      <c r="H14" s="104"/>
      <c r="I14" s="102">
        <f t="shared" si="0"/>
        <v>1040</v>
      </c>
      <c r="J14" s="103"/>
      <c r="K14" s="105">
        <f>'12'!K14+E14</f>
        <v>2000</v>
      </c>
      <c r="L14" s="105"/>
      <c r="M14" s="105">
        <f>'12'!M14+'13'!G14</f>
        <v>1560</v>
      </c>
      <c r="N14" s="105"/>
      <c r="O14" s="1"/>
      <c r="P14" s="104" t="s">
        <v>26</v>
      </c>
      <c r="Q14" s="104"/>
      <c r="R14" s="104"/>
      <c r="S14" s="155">
        <v>0</v>
      </c>
      <c r="T14" s="156"/>
      <c r="U14" s="156"/>
      <c r="V14" s="156"/>
      <c r="W14" s="186">
        <f>'12'!W14+'13'!S14</f>
        <v>93.740000000000009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'12'!I15</f>
        <v>958</v>
      </c>
      <c r="D15" s="174"/>
      <c r="E15" s="104">
        <v>0</v>
      </c>
      <c r="F15" s="104"/>
      <c r="G15" s="104">
        <v>31</v>
      </c>
      <c r="H15" s="104"/>
      <c r="I15" s="102">
        <f t="shared" si="0"/>
        <v>927</v>
      </c>
      <c r="J15" s="103"/>
      <c r="K15" s="105">
        <f>'12'!K15+E15</f>
        <v>0</v>
      </c>
      <c r="L15" s="105"/>
      <c r="M15" s="105">
        <f>'12'!M15+'13'!G15</f>
        <v>372</v>
      </c>
      <c r="N15" s="105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'12'!I16</f>
        <v>2110</v>
      </c>
      <c r="D16" s="174"/>
      <c r="E16" s="104">
        <v>0</v>
      </c>
      <c r="F16" s="104"/>
      <c r="G16" s="104">
        <v>20</v>
      </c>
      <c r="H16" s="104"/>
      <c r="I16" s="102">
        <f t="shared" si="0"/>
        <v>2090</v>
      </c>
      <c r="J16" s="103"/>
      <c r="K16" s="105">
        <f>'12'!K16+E16</f>
        <v>0</v>
      </c>
      <c r="L16" s="105"/>
      <c r="M16" s="105">
        <f>'12'!M16+'13'!G16</f>
        <v>260</v>
      </c>
      <c r="N16" s="105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'12'!I17</f>
        <v>2330</v>
      </c>
      <c r="D17" s="174"/>
      <c r="E17" s="104">
        <v>0</v>
      </c>
      <c r="F17" s="104"/>
      <c r="G17" s="104">
        <v>200</v>
      </c>
      <c r="H17" s="104"/>
      <c r="I17" s="102">
        <f t="shared" si="0"/>
        <v>2130</v>
      </c>
      <c r="J17" s="103"/>
      <c r="K17" s="105">
        <f>'12'!K17+E17</f>
        <v>2880</v>
      </c>
      <c r="L17" s="105"/>
      <c r="M17" s="105">
        <f>'12'!M17+'13'!G17</f>
        <v>2600</v>
      </c>
      <c r="N17" s="105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'12'!I18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0"/>
        <v>5340</v>
      </c>
      <c r="J18" s="103"/>
      <c r="K18" s="105">
        <f>'12'!K18+E18</f>
        <v>0</v>
      </c>
      <c r="L18" s="105"/>
      <c r="M18" s="105">
        <f>'12'!M18+'13'!G18</f>
        <v>0</v>
      </c>
      <c r="N18" s="105"/>
      <c r="O18" s="1"/>
      <c r="P18" s="164" t="s">
        <v>27</v>
      </c>
      <c r="Q18" s="164"/>
      <c r="R18" s="164"/>
      <c r="S18" s="114">
        <v>1</v>
      </c>
      <c r="T18" s="115"/>
      <c r="U18" s="114">
        <v>2</v>
      </c>
      <c r="V18" s="115"/>
      <c r="W18" s="114">
        <f>S18+U18</f>
        <v>3</v>
      </c>
      <c r="X18" s="115"/>
      <c r="Y18" s="151">
        <f>'12'!Y18+'13'!W18</f>
        <v>48</v>
      </c>
      <c r="Z18" s="151"/>
    </row>
    <row r="19" spans="1:31" ht="21.9" customHeight="1">
      <c r="A19" s="153" t="s">
        <v>62</v>
      </c>
      <c r="B19" s="153"/>
      <c r="C19" s="174">
        <f>'12'!I19</f>
        <v>68591</v>
      </c>
      <c r="D19" s="174"/>
      <c r="E19" s="154">
        <v>74790</v>
      </c>
      <c r="F19" s="154"/>
      <c r="G19" s="154">
        <f>D7</f>
        <v>76475</v>
      </c>
      <c r="H19" s="154"/>
      <c r="I19" s="99">
        <f t="shared" ref="I19" si="1">C19+E19-G19</f>
        <v>66906</v>
      </c>
      <c r="J19" s="101"/>
      <c r="K19" s="139">
        <f>'12'!K19+E19</f>
        <v>895060</v>
      </c>
      <c r="L19" s="139"/>
      <c r="M19" s="139">
        <f>'12'!M19+'13'!G19</f>
        <v>938154</v>
      </c>
      <c r="N19" s="139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'12'!I20</f>
        <v>-</v>
      </c>
      <c r="D20" s="174"/>
      <c r="E20" s="102">
        <v>0</v>
      </c>
      <c r="F20" s="103"/>
      <c r="G20" s="104">
        <v>0</v>
      </c>
      <c r="H20" s="104"/>
      <c r="I20" s="102" t="s">
        <v>60</v>
      </c>
      <c r="J20" s="103"/>
      <c r="K20" s="105">
        <f>'12'!K20+'13'!E20</f>
        <v>0</v>
      </c>
      <c r="L20" s="105"/>
      <c r="M20" s="139">
        <f>'12'!M20+'13'!G20</f>
        <v>0</v>
      </c>
      <c r="N20" s="139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'12'!G24</f>
        <v>3949272</v>
      </c>
      <c r="E24" s="187"/>
      <c r="F24" s="187"/>
      <c r="G24" s="164">
        <v>3971350</v>
      </c>
      <c r="H24" s="164"/>
      <c r="I24" s="164"/>
      <c r="J24" s="164">
        <f>G24-D24</f>
        <v>22078</v>
      </c>
      <c r="K24" s="164"/>
      <c r="L24" s="164"/>
      <c r="M24" s="164">
        <f>'12'!M24+J24</f>
        <v>299782</v>
      </c>
      <c r="N24" s="164"/>
      <c r="P24" s="105" t="s">
        <v>36</v>
      </c>
      <c r="Q24" s="105"/>
      <c r="R24" s="105"/>
      <c r="S24" s="105">
        <f>'12'!V24</f>
        <v>561.29999999999995</v>
      </c>
      <c r="T24" s="105"/>
      <c r="U24" s="105"/>
      <c r="V24" s="140">
        <v>561.29999999999995</v>
      </c>
      <c r="W24" s="140"/>
      <c r="X24" s="140"/>
      <c r="Y24" s="140">
        <f>'12'!Y24+V24</f>
        <v>6120.5000000000009</v>
      </c>
      <c r="Z24" s="140"/>
    </row>
    <row r="25" spans="1:31" ht="21.9" customHeight="1">
      <c r="A25" s="104" t="s">
        <v>30</v>
      </c>
      <c r="B25" s="104"/>
      <c r="C25" s="104"/>
      <c r="D25" s="104">
        <f>'12'!G25</f>
        <v>33176.5</v>
      </c>
      <c r="E25" s="104"/>
      <c r="F25" s="104"/>
      <c r="G25" s="104">
        <v>33206.6</v>
      </c>
      <c r="H25" s="104"/>
      <c r="I25" s="104"/>
      <c r="J25" s="104">
        <f>G25-D25</f>
        <v>30.099999999998545</v>
      </c>
      <c r="K25" s="104"/>
      <c r="L25" s="104"/>
      <c r="M25" s="102">
        <f>'12'!M25+J25</f>
        <v>442.5</v>
      </c>
      <c r="N25" s="103"/>
      <c r="P25" s="104" t="s">
        <v>37</v>
      </c>
      <c r="Q25" s="104"/>
      <c r="R25" s="104"/>
      <c r="S25" s="102">
        <f>'12'!V25</f>
        <v>60.8</v>
      </c>
      <c r="T25" s="106"/>
      <c r="U25" s="103"/>
      <c r="V25" s="137">
        <v>60.6</v>
      </c>
      <c r="W25" s="137"/>
      <c r="X25" s="137"/>
      <c r="Y25" s="140">
        <f>'12'!Y25+V25</f>
        <v>749.99999999999989</v>
      </c>
      <c r="Z25" s="140"/>
    </row>
    <row r="26" spans="1:31" ht="21.9" customHeight="1">
      <c r="A26" s="104" t="s">
        <v>31</v>
      </c>
      <c r="B26" s="104"/>
      <c r="C26" s="104"/>
      <c r="D26" s="104">
        <f>'12'!G26</f>
        <v>24550</v>
      </c>
      <c r="E26" s="104"/>
      <c r="F26" s="104"/>
      <c r="G26" s="104">
        <v>24570</v>
      </c>
      <c r="H26" s="104"/>
      <c r="I26" s="104"/>
      <c r="J26" s="104">
        <f t="shared" ref="J26:J33" si="2">G26-D26</f>
        <v>20</v>
      </c>
      <c r="K26" s="104"/>
      <c r="L26" s="104"/>
      <c r="M26" s="102">
        <f>'12'!M26+J26</f>
        <v>270</v>
      </c>
      <c r="N26" s="103"/>
      <c r="P26" s="104" t="s">
        <v>38</v>
      </c>
      <c r="Q26" s="104"/>
      <c r="R26" s="104"/>
      <c r="S26" s="102">
        <f>'12'!V26</f>
        <v>521.6</v>
      </c>
      <c r="T26" s="106"/>
      <c r="U26" s="103"/>
      <c r="V26" s="137">
        <v>525.1</v>
      </c>
      <c r="W26" s="137"/>
      <c r="X26" s="137"/>
      <c r="Y26" s="140">
        <f>'12'!Y26+V26</f>
        <v>6459.3000000000011</v>
      </c>
      <c r="Z26" s="140"/>
    </row>
    <row r="27" spans="1:31" ht="21.9" customHeight="1">
      <c r="A27" s="104" t="s">
        <v>32</v>
      </c>
      <c r="B27" s="104"/>
      <c r="C27" s="104"/>
      <c r="D27" s="104">
        <f>'12'!G27</f>
        <v>1381000</v>
      </c>
      <c r="E27" s="104"/>
      <c r="F27" s="104"/>
      <c r="G27" s="104">
        <v>1384000</v>
      </c>
      <c r="H27" s="104"/>
      <c r="I27" s="104"/>
      <c r="J27" s="104">
        <f t="shared" si="2"/>
        <v>3000</v>
      </c>
      <c r="K27" s="104"/>
      <c r="L27" s="104"/>
      <c r="M27" s="102">
        <f>'12'!M27+J27</f>
        <v>45000</v>
      </c>
      <c r="N27" s="103"/>
      <c r="P27" s="104" t="s">
        <v>39</v>
      </c>
      <c r="Q27" s="104"/>
      <c r="R27" s="104"/>
      <c r="S27" s="102">
        <f>'12'!V27</f>
        <v>516.5</v>
      </c>
      <c r="T27" s="106"/>
      <c r="U27" s="103"/>
      <c r="V27" s="137">
        <v>577.6</v>
      </c>
      <c r="W27" s="137"/>
      <c r="X27" s="137"/>
      <c r="Y27" s="140">
        <f>'12'!Y27+V27</f>
        <v>6649.2</v>
      </c>
      <c r="Z27" s="140"/>
    </row>
    <row r="28" spans="1:31" ht="21.9" customHeight="1">
      <c r="A28" s="104" t="s">
        <v>33</v>
      </c>
      <c r="B28" s="104"/>
      <c r="C28" s="104"/>
      <c r="D28" s="104">
        <f>'12'!G28</f>
        <v>5620</v>
      </c>
      <c r="E28" s="104"/>
      <c r="F28" s="104"/>
      <c r="G28" s="104">
        <v>5669</v>
      </c>
      <c r="H28" s="104"/>
      <c r="I28" s="104"/>
      <c r="J28" s="104">
        <f t="shared" si="2"/>
        <v>49</v>
      </c>
      <c r="K28" s="104"/>
      <c r="L28" s="104"/>
      <c r="M28" s="102">
        <f>'12'!M28+J28</f>
        <v>731</v>
      </c>
      <c r="N28" s="103"/>
      <c r="P28" s="104" t="s">
        <v>41</v>
      </c>
      <c r="Q28" s="104"/>
      <c r="R28" s="104"/>
      <c r="S28" s="102">
        <f>'12'!V28</f>
        <v>0</v>
      </c>
      <c r="T28" s="106"/>
      <c r="U28" s="103"/>
      <c r="V28" s="137">
        <v>0</v>
      </c>
      <c r="W28" s="137"/>
      <c r="X28" s="137"/>
      <c r="Y28" s="140">
        <f>'12'!Y28+V28</f>
        <v>0</v>
      </c>
      <c r="Z28" s="140"/>
    </row>
    <row r="29" spans="1:31" ht="21.9" customHeight="1">
      <c r="A29" s="104" t="s">
        <v>34</v>
      </c>
      <c r="B29" s="104"/>
      <c r="C29" s="104"/>
      <c r="D29" s="104">
        <f>'12'!G29</f>
        <v>66220</v>
      </c>
      <c r="E29" s="104"/>
      <c r="F29" s="104"/>
      <c r="G29" s="104">
        <v>66220</v>
      </c>
      <c r="H29" s="104"/>
      <c r="I29" s="104"/>
      <c r="J29" s="104">
        <f t="shared" si="2"/>
        <v>0</v>
      </c>
      <c r="K29" s="104"/>
      <c r="L29" s="104"/>
      <c r="M29" s="102">
        <f>'12'!M29+J29</f>
        <v>40</v>
      </c>
      <c r="N29" s="103"/>
      <c r="P29" s="104" t="s">
        <v>40</v>
      </c>
      <c r="Q29" s="104"/>
      <c r="R29" s="104"/>
      <c r="S29" s="102">
        <f>'12'!V29</f>
        <v>68.900000000000006</v>
      </c>
      <c r="T29" s="106"/>
      <c r="U29" s="103"/>
      <c r="V29" s="137">
        <v>75.599999999999994</v>
      </c>
      <c r="W29" s="137"/>
      <c r="X29" s="137"/>
      <c r="Y29" s="140">
        <f>'12'!Y29+V29</f>
        <v>841.19999999999982</v>
      </c>
      <c r="Z29" s="140"/>
    </row>
    <row r="30" spans="1:31" ht="21.9" customHeight="1">
      <c r="A30" s="104" t="s">
        <v>35</v>
      </c>
      <c r="B30" s="104"/>
      <c r="C30" s="104"/>
      <c r="D30" s="104">
        <f>'12'!G30</f>
        <v>53380</v>
      </c>
      <c r="E30" s="104"/>
      <c r="F30" s="104"/>
      <c r="G30" s="104">
        <v>53390</v>
      </c>
      <c r="H30" s="104"/>
      <c r="I30" s="104"/>
      <c r="J30" s="104">
        <f t="shared" si="2"/>
        <v>10</v>
      </c>
      <c r="K30" s="104"/>
      <c r="L30" s="104"/>
      <c r="M30" s="102">
        <f>'12'!M30+J30</f>
        <v>170</v>
      </c>
      <c r="N30" s="103"/>
      <c r="P30" s="104" t="s">
        <v>28</v>
      </c>
      <c r="Q30" s="104"/>
      <c r="R30" s="104"/>
      <c r="S30" s="104">
        <f>SUM(S24:U29)</f>
        <v>1729.1</v>
      </c>
      <c r="T30" s="104"/>
      <c r="U30" s="104"/>
      <c r="V30" s="137"/>
      <c r="W30" s="137"/>
      <c r="X30" s="137"/>
      <c r="Y30" s="140">
        <f>'12'!Y30+V30</f>
        <v>1528.3</v>
      </c>
      <c r="Z30" s="140"/>
    </row>
    <row r="31" spans="1:31" ht="21.9" customHeight="1">
      <c r="A31" s="104" t="s">
        <v>120</v>
      </c>
      <c r="B31" s="104"/>
      <c r="C31" s="104"/>
      <c r="D31" s="104">
        <f>'12'!G31</f>
        <v>6297139</v>
      </c>
      <c r="E31" s="104"/>
      <c r="F31" s="104"/>
      <c r="G31" s="102">
        <v>6304835</v>
      </c>
      <c r="H31" s="106"/>
      <c r="I31" s="103"/>
      <c r="J31" s="102">
        <f t="shared" si="2"/>
        <v>7696</v>
      </c>
      <c r="K31" s="106">
        <v>12.255000000000001</v>
      </c>
      <c r="L31" s="103">
        <v>12.255000000000001</v>
      </c>
      <c r="M31" s="102">
        <f>'12'!M31+J31</f>
        <v>102740</v>
      </c>
      <c r="N31" s="103"/>
      <c r="P31" s="57"/>
      <c r="Q31" s="57"/>
      <c r="R31" s="57"/>
      <c r="S31" s="57"/>
      <c r="T31" s="57"/>
      <c r="U31" s="57"/>
      <c r="V31" s="58"/>
      <c r="W31" s="58"/>
      <c r="X31" s="58"/>
      <c r="Y31" s="58"/>
      <c r="Z31" s="58"/>
    </row>
    <row r="32" spans="1:31" ht="21.9" customHeight="1">
      <c r="A32" s="104" t="s">
        <v>121</v>
      </c>
      <c r="B32" s="104"/>
      <c r="C32" s="104"/>
      <c r="D32" s="104">
        <f>'12'!G32</f>
        <v>1.7</v>
      </c>
      <c r="E32" s="104"/>
      <c r="F32" s="104"/>
      <c r="G32" s="102">
        <v>1.7</v>
      </c>
      <c r="H32" s="106"/>
      <c r="I32" s="103"/>
      <c r="J32" s="102">
        <f t="shared" si="2"/>
        <v>0</v>
      </c>
      <c r="K32" s="106">
        <v>12.255000000000001</v>
      </c>
      <c r="L32" s="103">
        <v>12.255000000000001</v>
      </c>
      <c r="M32" s="102">
        <f>'12'!M32+J32</f>
        <v>9.9999999999999867E-2</v>
      </c>
      <c r="N32" s="103"/>
      <c r="P32" s="57"/>
      <c r="Q32" s="57"/>
      <c r="R32" s="57"/>
      <c r="S32" s="57"/>
      <c r="T32" s="57"/>
      <c r="U32" s="57"/>
      <c r="V32" s="58"/>
      <c r="W32" s="58"/>
      <c r="X32" s="58"/>
      <c r="Y32" s="58"/>
      <c r="Z32" s="58"/>
    </row>
    <row r="33" spans="1:26" ht="21.9" customHeight="1">
      <c r="A33" s="104" t="s">
        <v>122</v>
      </c>
      <c r="B33" s="104"/>
      <c r="C33" s="104"/>
      <c r="D33" s="137">
        <f>'12'!G33</f>
        <v>0</v>
      </c>
      <c r="E33" s="137"/>
      <c r="F33" s="137"/>
      <c r="G33" s="102">
        <v>0</v>
      </c>
      <c r="H33" s="106"/>
      <c r="I33" s="103"/>
      <c r="J33" s="102">
        <f t="shared" si="2"/>
        <v>0</v>
      </c>
      <c r="K33" s="106">
        <v>12.255000000000001</v>
      </c>
      <c r="L33" s="103">
        <v>12.255000000000001</v>
      </c>
      <c r="M33" s="102">
        <f>'12'!M33+J33</f>
        <v>0</v>
      </c>
      <c r="N33" s="103"/>
      <c r="P33" s="57"/>
      <c r="Q33" s="57"/>
      <c r="R33" s="57"/>
      <c r="S33" s="57"/>
      <c r="T33" s="57"/>
      <c r="U33" s="57"/>
      <c r="V33" s="58"/>
      <c r="W33" s="58"/>
      <c r="X33" s="58"/>
      <c r="Y33" s="58"/>
      <c r="Z33" s="58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H3" name="범위2"/>
    <protectedRange sqref="U2:Z3 D7:I7 R7:Z7 E12:H20 S12:V15 S18:V20 G24:I30 V24:X33" name="범위1"/>
    <protectedRange sqref="G31:L33" name="범위3_1_1"/>
    <protectedRange sqref="D2:G3" name="범위1_2"/>
    <protectedRange sqref="B2:C3" name="범위1_1_2_1_1"/>
  </protectedRanges>
  <mergeCells count="223">
    <mergeCell ref="A63:B76"/>
    <mergeCell ref="C63:Z76"/>
    <mergeCell ref="Y30:Z30"/>
    <mergeCell ref="A36:B48"/>
    <mergeCell ref="C36:Z48"/>
    <mergeCell ref="A49:B62"/>
    <mergeCell ref="C49:Z62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A29:C29"/>
    <mergeCell ref="D29:F29"/>
    <mergeCell ref="G29:I29"/>
    <mergeCell ref="J29:L29"/>
    <mergeCell ref="M29:N29"/>
    <mergeCell ref="P29:R29"/>
    <mergeCell ref="S29:U29"/>
    <mergeCell ref="J33:L33"/>
    <mergeCell ref="M33:N33"/>
    <mergeCell ref="Y29:Z29"/>
    <mergeCell ref="A28:C28"/>
    <mergeCell ref="D28:F28"/>
    <mergeCell ref="G28:I28"/>
    <mergeCell ref="J28:L28"/>
    <mergeCell ref="M28:N28"/>
    <mergeCell ref="P28:R28"/>
    <mergeCell ref="S28:U28"/>
    <mergeCell ref="V28:X28"/>
    <mergeCell ref="Y28:Z28"/>
    <mergeCell ref="Y26:Z26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V27:X27"/>
    <mergeCell ref="Y27:Z27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Y23:Z23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A23:C23"/>
    <mergeCell ref="D23:F23"/>
    <mergeCell ref="G23:I23"/>
    <mergeCell ref="J23:L23"/>
    <mergeCell ref="M23:N23"/>
    <mergeCell ref="P23:R23"/>
    <mergeCell ref="S23:U23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18:B18"/>
    <mergeCell ref="C18:D18"/>
    <mergeCell ref="E18:F18"/>
    <mergeCell ref="G18:H18"/>
    <mergeCell ref="I18:J18"/>
    <mergeCell ref="K18:L18"/>
    <mergeCell ref="M18:N18"/>
    <mergeCell ref="I17:J17"/>
    <mergeCell ref="K17:L17"/>
    <mergeCell ref="A17:B17"/>
    <mergeCell ref="C17:D17"/>
    <mergeCell ref="E17:F17"/>
    <mergeCell ref="G17:H17"/>
    <mergeCell ref="A16:B16"/>
    <mergeCell ref="C16:D16"/>
    <mergeCell ref="E16:F16"/>
    <mergeCell ref="G16:H16"/>
    <mergeCell ref="I16:J16"/>
    <mergeCell ref="K16:L16"/>
    <mergeCell ref="M16:N16"/>
    <mergeCell ref="A14:B14"/>
    <mergeCell ref="C14:D14"/>
    <mergeCell ref="E14:F14"/>
    <mergeCell ref="G14:H14"/>
    <mergeCell ref="I14:J14"/>
    <mergeCell ref="K14:L14"/>
    <mergeCell ref="M14:N14"/>
    <mergeCell ref="P12:R13"/>
    <mergeCell ref="P14:R15"/>
    <mergeCell ref="A15:B15"/>
    <mergeCell ref="C15:D15"/>
    <mergeCell ref="E15:F15"/>
    <mergeCell ref="G15:H15"/>
    <mergeCell ref="I15:J15"/>
    <mergeCell ref="K15:L15"/>
    <mergeCell ref="A12:B12"/>
    <mergeCell ref="C12:D12"/>
    <mergeCell ref="E12:F12"/>
    <mergeCell ref="G12:H12"/>
    <mergeCell ref="I12:J12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M15:N15"/>
    <mergeCell ref="A11:B11"/>
    <mergeCell ref="C11:D11"/>
    <mergeCell ref="E11:F11"/>
    <mergeCell ref="G11:H11"/>
    <mergeCell ref="I11:J11"/>
    <mergeCell ref="K11:L11"/>
    <mergeCell ref="M11:N11"/>
    <mergeCell ref="P11:R11"/>
    <mergeCell ref="A8:C8"/>
    <mergeCell ref="D8:F8"/>
    <mergeCell ref="G8:I8"/>
    <mergeCell ref="J8:L8"/>
    <mergeCell ref="P8:Q8"/>
    <mergeCell ref="R8:T8"/>
    <mergeCell ref="S11:V11"/>
    <mergeCell ref="A1:A3"/>
    <mergeCell ref="W1:X1"/>
    <mergeCell ref="H1:S2"/>
    <mergeCell ref="T1:T3"/>
    <mergeCell ref="U1:V1"/>
    <mergeCell ref="U2:V3"/>
    <mergeCell ref="H3:S3"/>
    <mergeCell ref="G6:I6"/>
    <mergeCell ref="J6:L6"/>
    <mergeCell ref="P6:Q6"/>
    <mergeCell ref="R6:T6"/>
    <mergeCell ref="B1:C1"/>
    <mergeCell ref="D1:E1"/>
    <mergeCell ref="F1:G1"/>
    <mergeCell ref="B2:C3"/>
    <mergeCell ref="D2:E3"/>
    <mergeCell ref="F2:G3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S12:V13"/>
    <mergeCell ref="W12:Z13"/>
    <mergeCell ref="W11:Z11"/>
    <mergeCell ref="W14:Z15"/>
    <mergeCell ref="S14:V15"/>
    <mergeCell ref="Y18:Z20"/>
    <mergeCell ref="Y1:Z1"/>
    <mergeCell ref="W2:X3"/>
    <mergeCell ref="Y2:Z3"/>
    <mergeCell ref="U6:W6"/>
    <mergeCell ref="X6:Z6"/>
    <mergeCell ref="U8:W8"/>
    <mergeCell ref="X8:Z8"/>
    <mergeCell ref="Y16:Z17"/>
    <mergeCell ref="S16:T17"/>
    <mergeCell ref="U16:V17"/>
    <mergeCell ref="W16:X17"/>
    <mergeCell ref="S18:T20"/>
    <mergeCell ref="U18:V20"/>
    <mergeCell ref="W18:X20"/>
    <mergeCell ref="P16:R17"/>
    <mergeCell ref="S26:U26"/>
    <mergeCell ref="V26:X26"/>
    <mergeCell ref="S30:U30"/>
    <mergeCell ref="V30:X30"/>
    <mergeCell ref="P22:U22"/>
    <mergeCell ref="V23:X23"/>
    <mergeCell ref="M17:N17"/>
    <mergeCell ref="P18:R20"/>
    <mergeCell ref="V29:X29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zoomScaleNormal="100" zoomScaleSheetLayoutView="100" workbookViewId="0">
      <selection activeCell="V30" sqref="V30:X30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147</v>
      </c>
      <c r="C2" s="135"/>
      <c r="D2" s="207" t="s">
        <v>180</v>
      </c>
      <c r="E2" s="207"/>
      <c r="F2" s="135" t="s">
        <v>148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42"/>
      <c r="E3" s="142"/>
      <c r="F3" s="105"/>
      <c r="G3" s="105"/>
      <c r="H3" s="132">
        <v>46217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69312</v>
      </c>
      <c r="E7" s="139"/>
      <c r="F7" s="139"/>
      <c r="G7" s="139">
        <v>148900</v>
      </c>
      <c r="H7" s="139"/>
      <c r="I7" s="139"/>
      <c r="J7" s="154">
        <f>D7+G7</f>
        <v>218212</v>
      </c>
      <c r="K7" s="154"/>
      <c r="L7" s="154"/>
      <c r="M7" s="1"/>
      <c r="N7" s="1"/>
      <c r="O7" s="1"/>
      <c r="P7" s="105" t="s">
        <v>48</v>
      </c>
      <c r="Q7" s="105"/>
      <c r="R7" s="140">
        <v>487.8</v>
      </c>
      <c r="S7" s="140"/>
      <c r="T7" s="140"/>
      <c r="U7" s="140">
        <v>86.6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'13'!D8+D7</f>
        <v>1007466</v>
      </c>
      <c r="E8" s="154"/>
      <c r="F8" s="154"/>
      <c r="G8" s="154">
        <f>'13'!G8+G7</f>
        <v>2059300</v>
      </c>
      <c r="H8" s="154"/>
      <c r="I8" s="154"/>
      <c r="J8" s="154">
        <f>D8+G8</f>
        <v>3066766</v>
      </c>
      <c r="K8" s="154"/>
      <c r="L8" s="154"/>
      <c r="M8" s="1"/>
      <c r="N8" s="1"/>
      <c r="O8" s="1"/>
      <c r="P8" s="104" t="s">
        <v>2</v>
      </c>
      <c r="Q8" s="104"/>
      <c r="R8" s="137">
        <f>'13'!R8+'14'!R7</f>
        <v>6764.7</v>
      </c>
      <c r="S8" s="137"/>
      <c r="T8" s="137"/>
      <c r="U8" s="137">
        <f>'13'!U8+U7</f>
        <v>4479.3999999999996</v>
      </c>
      <c r="V8" s="137"/>
      <c r="W8" s="137"/>
      <c r="X8" s="138">
        <f>'13'!X8+'14'!X7</f>
        <v>336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'13'!I12</f>
        <v>19051</v>
      </c>
      <c r="D12" s="174"/>
      <c r="E12" s="105">
        <v>0</v>
      </c>
      <c r="F12" s="105"/>
      <c r="G12" s="105">
        <v>4270</v>
      </c>
      <c r="H12" s="105"/>
      <c r="I12" s="107">
        <f t="shared" ref="I12:I18" si="0">C12+E12-G12</f>
        <v>14781</v>
      </c>
      <c r="J12" s="109"/>
      <c r="K12" s="105">
        <f>'13'!K12+'14'!E12</f>
        <v>54220</v>
      </c>
      <c r="L12" s="105"/>
      <c r="M12" s="105">
        <f>'13'!M12+G12</f>
        <v>54353</v>
      </c>
      <c r="N12" s="105"/>
      <c r="O12" s="1"/>
      <c r="P12" s="149" t="s">
        <v>101</v>
      </c>
      <c r="Q12" s="105"/>
      <c r="R12" s="105"/>
      <c r="S12" s="143">
        <v>59.94</v>
      </c>
      <c r="T12" s="144"/>
      <c r="U12" s="144"/>
      <c r="V12" s="144"/>
      <c r="W12" s="194">
        <f>'13'!W12+'14'!S12</f>
        <v>532.49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'13'!I13</f>
        <v>990</v>
      </c>
      <c r="D13" s="174"/>
      <c r="E13" s="104">
        <v>0</v>
      </c>
      <c r="F13" s="104"/>
      <c r="G13" s="104">
        <v>90</v>
      </c>
      <c r="H13" s="104"/>
      <c r="I13" s="102">
        <f t="shared" si="0"/>
        <v>900</v>
      </c>
      <c r="J13" s="103"/>
      <c r="K13" s="105">
        <f>'13'!K13+'14'!E13</f>
        <v>1620</v>
      </c>
      <c r="L13" s="105"/>
      <c r="M13" s="105">
        <f>'13'!M13+G13</f>
        <v>1310</v>
      </c>
      <c r="N13" s="105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'13'!I14</f>
        <v>1040</v>
      </c>
      <c r="D14" s="174"/>
      <c r="E14" s="104">
        <v>0</v>
      </c>
      <c r="F14" s="104"/>
      <c r="G14" s="104">
        <v>120</v>
      </c>
      <c r="H14" s="104"/>
      <c r="I14" s="102">
        <f t="shared" si="0"/>
        <v>920</v>
      </c>
      <c r="J14" s="103"/>
      <c r="K14" s="105">
        <f>'13'!K14+'14'!E14</f>
        <v>2000</v>
      </c>
      <c r="L14" s="105"/>
      <c r="M14" s="105">
        <f>'13'!M14+G14</f>
        <v>1680</v>
      </c>
      <c r="N14" s="105"/>
      <c r="O14" s="1"/>
      <c r="P14" s="104" t="s">
        <v>26</v>
      </c>
      <c r="Q14" s="104"/>
      <c r="R14" s="104"/>
      <c r="S14" s="155">
        <v>24.69</v>
      </c>
      <c r="T14" s="156"/>
      <c r="U14" s="156"/>
      <c r="V14" s="156"/>
      <c r="W14" s="155">
        <f>'13'!W14+'14'!S14</f>
        <v>118.43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'13'!I15</f>
        <v>927</v>
      </c>
      <c r="D15" s="174"/>
      <c r="E15" s="104">
        <v>0</v>
      </c>
      <c r="F15" s="104"/>
      <c r="G15" s="104">
        <v>24</v>
      </c>
      <c r="H15" s="104"/>
      <c r="I15" s="102">
        <f t="shared" si="0"/>
        <v>903</v>
      </c>
      <c r="J15" s="103"/>
      <c r="K15" s="105">
        <f>'13'!K15+'14'!E15</f>
        <v>0</v>
      </c>
      <c r="L15" s="105"/>
      <c r="M15" s="105">
        <f>'13'!M15+G15</f>
        <v>396</v>
      </c>
      <c r="N15" s="105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'13'!I16</f>
        <v>2090</v>
      </c>
      <c r="D16" s="174"/>
      <c r="E16" s="104">
        <v>0</v>
      </c>
      <c r="F16" s="104"/>
      <c r="G16" s="104">
        <v>20</v>
      </c>
      <c r="H16" s="104"/>
      <c r="I16" s="102">
        <f t="shared" si="0"/>
        <v>2070</v>
      </c>
      <c r="J16" s="103"/>
      <c r="K16" s="105">
        <f>'13'!K16+'14'!E16</f>
        <v>0</v>
      </c>
      <c r="L16" s="105"/>
      <c r="M16" s="105">
        <f>'13'!M16+G16</f>
        <v>280</v>
      </c>
      <c r="N16" s="105"/>
      <c r="O16" s="1"/>
      <c r="P16" s="162" t="s">
        <v>64</v>
      </c>
      <c r="Q16" s="162"/>
      <c r="R16" s="162"/>
      <c r="S16" s="158" t="s">
        <v>103</v>
      </c>
      <c r="T16" s="159"/>
      <c r="U16" s="158" t="s">
        <v>116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'13'!I17</f>
        <v>2130</v>
      </c>
      <c r="D17" s="174"/>
      <c r="E17" s="104">
        <v>0</v>
      </c>
      <c r="F17" s="104"/>
      <c r="G17" s="104">
        <v>200</v>
      </c>
      <c r="H17" s="104"/>
      <c r="I17" s="102">
        <f t="shared" si="0"/>
        <v>1930</v>
      </c>
      <c r="J17" s="103"/>
      <c r="K17" s="105">
        <f>'13'!K17+'14'!E17</f>
        <v>2880</v>
      </c>
      <c r="L17" s="105"/>
      <c r="M17" s="105">
        <f>'13'!M17+G17</f>
        <v>2800</v>
      </c>
      <c r="N17" s="105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'13'!I18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0"/>
        <v>5340</v>
      </c>
      <c r="J18" s="103"/>
      <c r="K18" s="105">
        <f>'13'!K18+'14'!E18</f>
        <v>0</v>
      </c>
      <c r="L18" s="105"/>
      <c r="M18" s="105">
        <f>'13'!M18+G18</f>
        <v>0</v>
      </c>
      <c r="N18" s="105"/>
      <c r="O18" s="1"/>
      <c r="P18" s="164" t="s">
        <v>27</v>
      </c>
      <c r="Q18" s="164"/>
      <c r="R18" s="164"/>
      <c r="S18" s="114">
        <v>1</v>
      </c>
      <c r="T18" s="115"/>
      <c r="U18" s="114">
        <v>2</v>
      </c>
      <c r="V18" s="115"/>
      <c r="W18" s="114">
        <f>S18+U18</f>
        <v>3</v>
      </c>
      <c r="X18" s="115"/>
      <c r="Y18" s="151">
        <f>'13'!Y18+'14'!W18</f>
        <v>51</v>
      </c>
      <c r="Z18" s="151"/>
    </row>
    <row r="19" spans="1:31" ht="21.9" customHeight="1">
      <c r="A19" s="153" t="s">
        <v>62</v>
      </c>
      <c r="B19" s="153"/>
      <c r="C19" s="174">
        <f>'13'!I19</f>
        <v>66906</v>
      </c>
      <c r="D19" s="174"/>
      <c r="E19" s="154">
        <v>67100</v>
      </c>
      <c r="F19" s="154"/>
      <c r="G19" s="154">
        <f>D7</f>
        <v>69312</v>
      </c>
      <c r="H19" s="154"/>
      <c r="I19" s="99">
        <f t="shared" ref="I19" si="1">C19+E19-G19</f>
        <v>64694</v>
      </c>
      <c r="J19" s="101"/>
      <c r="K19" s="139">
        <f>'13'!K19+'14'!E19</f>
        <v>962160</v>
      </c>
      <c r="L19" s="139"/>
      <c r="M19" s="139">
        <f>'13'!M19+G19</f>
        <v>1007466</v>
      </c>
      <c r="N19" s="139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'13'!I20</f>
        <v>-</v>
      </c>
      <c r="D20" s="174"/>
      <c r="E20" s="102">
        <v>0</v>
      </c>
      <c r="F20" s="103"/>
      <c r="G20" s="154">
        <v>0</v>
      </c>
      <c r="H20" s="104"/>
      <c r="I20" s="102" t="s">
        <v>60</v>
      </c>
      <c r="J20" s="103"/>
      <c r="K20" s="105">
        <f>'13'!K20+'14'!E20</f>
        <v>0</v>
      </c>
      <c r="L20" s="105"/>
      <c r="M20" s="139">
        <f>'13'!M20+G20</f>
        <v>0</v>
      </c>
      <c r="N20" s="139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'13'!G24</f>
        <v>3971350</v>
      </c>
      <c r="E24" s="187"/>
      <c r="F24" s="187"/>
      <c r="G24" s="164">
        <v>3993645</v>
      </c>
      <c r="H24" s="164"/>
      <c r="I24" s="164"/>
      <c r="J24" s="164">
        <f>G24-D24</f>
        <v>22295</v>
      </c>
      <c r="K24" s="164"/>
      <c r="L24" s="164"/>
      <c r="M24" s="164">
        <f>'13'!M24+'14'!J24</f>
        <v>322077</v>
      </c>
      <c r="N24" s="164"/>
      <c r="P24" s="105" t="s">
        <v>36</v>
      </c>
      <c r="Q24" s="105"/>
      <c r="R24" s="105"/>
      <c r="S24" s="105">
        <f>'13'!V24</f>
        <v>561.29999999999995</v>
      </c>
      <c r="T24" s="105"/>
      <c r="U24" s="105"/>
      <c r="V24" s="140">
        <v>559.9</v>
      </c>
      <c r="W24" s="140"/>
      <c r="X24" s="140"/>
      <c r="Y24" s="140">
        <f>'13'!Y24+V24</f>
        <v>6680.4000000000005</v>
      </c>
      <c r="Z24" s="140"/>
    </row>
    <row r="25" spans="1:31" ht="21.9" customHeight="1">
      <c r="A25" s="104" t="s">
        <v>30</v>
      </c>
      <c r="B25" s="104"/>
      <c r="C25" s="104"/>
      <c r="D25" s="104">
        <f>'13'!G25</f>
        <v>33206.6</v>
      </c>
      <c r="E25" s="104"/>
      <c r="F25" s="104"/>
      <c r="G25" s="104">
        <v>33239.9</v>
      </c>
      <c r="H25" s="104"/>
      <c r="I25" s="104"/>
      <c r="J25" s="104">
        <f>G25-D25</f>
        <v>33.30000000000291</v>
      </c>
      <c r="K25" s="104"/>
      <c r="L25" s="104"/>
      <c r="M25" s="102">
        <f>'13'!M25+'14'!J25</f>
        <v>475.80000000000291</v>
      </c>
      <c r="N25" s="103"/>
      <c r="P25" s="104" t="s">
        <v>37</v>
      </c>
      <c r="Q25" s="104"/>
      <c r="R25" s="104"/>
      <c r="S25" s="102">
        <f>'13'!V25</f>
        <v>60.6</v>
      </c>
      <c r="T25" s="106"/>
      <c r="U25" s="103"/>
      <c r="V25" s="137">
        <v>61.1</v>
      </c>
      <c r="W25" s="137"/>
      <c r="X25" s="137"/>
      <c r="Y25" s="140">
        <f>'13'!Y25+V25</f>
        <v>811.09999999999991</v>
      </c>
      <c r="Z25" s="140"/>
    </row>
    <row r="26" spans="1:31" ht="21.9" customHeight="1">
      <c r="A26" s="104" t="s">
        <v>31</v>
      </c>
      <c r="B26" s="104"/>
      <c r="C26" s="104"/>
      <c r="D26" s="104">
        <f>'13'!G26</f>
        <v>24570</v>
      </c>
      <c r="E26" s="104"/>
      <c r="F26" s="104"/>
      <c r="G26" s="104">
        <v>24590</v>
      </c>
      <c r="H26" s="104"/>
      <c r="I26" s="104"/>
      <c r="J26" s="104">
        <f t="shared" ref="J26:J33" si="2">G26-D26</f>
        <v>20</v>
      </c>
      <c r="K26" s="104"/>
      <c r="L26" s="104"/>
      <c r="M26" s="102">
        <f>'13'!M26+'14'!J26</f>
        <v>290</v>
      </c>
      <c r="N26" s="103"/>
      <c r="P26" s="104" t="s">
        <v>38</v>
      </c>
      <c r="Q26" s="104"/>
      <c r="R26" s="104"/>
      <c r="S26" s="102">
        <f>'13'!V26</f>
        <v>525.1</v>
      </c>
      <c r="T26" s="106"/>
      <c r="U26" s="103"/>
      <c r="V26" s="137">
        <v>472.2</v>
      </c>
      <c r="W26" s="137"/>
      <c r="X26" s="137"/>
      <c r="Y26" s="140">
        <f>'13'!Y26+V26</f>
        <v>6931.5000000000009</v>
      </c>
      <c r="Z26" s="140"/>
    </row>
    <row r="27" spans="1:31" ht="21.9" customHeight="1">
      <c r="A27" s="104" t="s">
        <v>32</v>
      </c>
      <c r="B27" s="104"/>
      <c r="C27" s="104"/>
      <c r="D27" s="104">
        <f>'13'!G27</f>
        <v>1384000</v>
      </c>
      <c r="E27" s="104"/>
      <c r="F27" s="104"/>
      <c r="G27" s="104">
        <v>1387000</v>
      </c>
      <c r="H27" s="104"/>
      <c r="I27" s="104"/>
      <c r="J27" s="104">
        <f t="shared" si="2"/>
        <v>3000</v>
      </c>
      <c r="K27" s="104"/>
      <c r="L27" s="104"/>
      <c r="M27" s="102">
        <f>'13'!M27+'14'!J27</f>
        <v>48000</v>
      </c>
      <c r="N27" s="103"/>
      <c r="P27" s="104" t="s">
        <v>39</v>
      </c>
      <c r="Q27" s="104"/>
      <c r="R27" s="104"/>
      <c r="S27" s="102">
        <f>'13'!V27</f>
        <v>577.6</v>
      </c>
      <c r="T27" s="106"/>
      <c r="U27" s="103"/>
      <c r="V27" s="137">
        <v>482.6</v>
      </c>
      <c r="W27" s="137"/>
      <c r="X27" s="137"/>
      <c r="Y27" s="140">
        <f>'13'!Y27+V27</f>
        <v>7131.8</v>
      </c>
      <c r="Z27" s="140"/>
    </row>
    <row r="28" spans="1:31" ht="21.9" customHeight="1">
      <c r="A28" s="104" t="s">
        <v>33</v>
      </c>
      <c r="B28" s="104"/>
      <c r="C28" s="104"/>
      <c r="D28" s="104">
        <f>'13'!G28</f>
        <v>5669</v>
      </c>
      <c r="E28" s="104"/>
      <c r="F28" s="104"/>
      <c r="G28" s="104">
        <v>5719</v>
      </c>
      <c r="H28" s="104"/>
      <c r="I28" s="104"/>
      <c r="J28" s="104">
        <f t="shared" si="2"/>
        <v>50</v>
      </c>
      <c r="K28" s="104"/>
      <c r="L28" s="104"/>
      <c r="M28" s="102">
        <f>'13'!M28+'14'!J28</f>
        <v>781</v>
      </c>
      <c r="N28" s="103"/>
      <c r="P28" s="104" t="s">
        <v>41</v>
      </c>
      <c r="Q28" s="104"/>
      <c r="R28" s="104"/>
      <c r="S28" s="102">
        <f>'13'!V28</f>
        <v>0</v>
      </c>
      <c r="T28" s="106"/>
      <c r="U28" s="103"/>
      <c r="V28" s="137">
        <v>0</v>
      </c>
      <c r="W28" s="137"/>
      <c r="X28" s="137"/>
      <c r="Y28" s="140">
        <f>'13'!Y28+V28</f>
        <v>0</v>
      </c>
      <c r="Z28" s="140"/>
    </row>
    <row r="29" spans="1:31" ht="21.9" customHeight="1">
      <c r="A29" s="104" t="s">
        <v>34</v>
      </c>
      <c r="B29" s="104"/>
      <c r="C29" s="104"/>
      <c r="D29" s="104">
        <f>'13'!G29</f>
        <v>66220</v>
      </c>
      <c r="E29" s="104"/>
      <c r="F29" s="104"/>
      <c r="G29" s="104">
        <v>66230</v>
      </c>
      <c r="H29" s="104"/>
      <c r="I29" s="104"/>
      <c r="J29" s="104">
        <f t="shared" si="2"/>
        <v>10</v>
      </c>
      <c r="K29" s="104"/>
      <c r="L29" s="104"/>
      <c r="M29" s="102">
        <f>'13'!M29+'14'!J29</f>
        <v>50</v>
      </c>
      <c r="N29" s="103"/>
      <c r="P29" s="104" t="s">
        <v>40</v>
      </c>
      <c r="Q29" s="104"/>
      <c r="R29" s="104"/>
      <c r="S29" s="102">
        <f>'13'!V29</f>
        <v>75.599999999999994</v>
      </c>
      <c r="T29" s="106"/>
      <c r="U29" s="103"/>
      <c r="V29" s="137">
        <v>69</v>
      </c>
      <c r="W29" s="137"/>
      <c r="X29" s="137"/>
      <c r="Y29" s="140">
        <f>'13'!Y29+V29</f>
        <v>910.19999999999982</v>
      </c>
      <c r="Z29" s="140"/>
    </row>
    <row r="30" spans="1:31" ht="21.9" customHeight="1">
      <c r="A30" s="104" t="s">
        <v>35</v>
      </c>
      <c r="B30" s="104"/>
      <c r="C30" s="104"/>
      <c r="D30" s="104">
        <f>'13'!G30</f>
        <v>53390</v>
      </c>
      <c r="E30" s="104"/>
      <c r="F30" s="104"/>
      <c r="G30" s="104">
        <v>53400</v>
      </c>
      <c r="H30" s="104"/>
      <c r="I30" s="104"/>
      <c r="J30" s="104">
        <f t="shared" si="2"/>
        <v>10</v>
      </c>
      <c r="K30" s="104"/>
      <c r="L30" s="104"/>
      <c r="M30" s="102">
        <f>'13'!M30+'14'!J30</f>
        <v>180</v>
      </c>
      <c r="N30" s="103"/>
      <c r="P30" s="104" t="s">
        <v>28</v>
      </c>
      <c r="Q30" s="104"/>
      <c r="R30" s="104"/>
      <c r="S30" s="104">
        <f>SUM(S24:U29)</f>
        <v>1800.1999999999998</v>
      </c>
      <c r="T30" s="104"/>
      <c r="U30" s="104"/>
      <c r="V30" s="137"/>
      <c r="W30" s="137"/>
      <c r="X30" s="137"/>
      <c r="Y30" s="140">
        <f>'13'!Y30+V30</f>
        <v>1528.3</v>
      </c>
      <c r="Z30" s="140"/>
    </row>
    <row r="31" spans="1:31" ht="21.9" customHeight="1">
      <c r="A31" s="104" t="s">
        <v>120</v>
      </c>
      <c r="B31" s="104"/>
      <c r="C31" s="104"/>
      <c r="D31" s="104">
        <f>'13'!G31</f>
        <v>6304835</v>
      </c>
      <c r="E31" s="104"/>
      <c r="F31" s="104"/>
      <c r="G31" s="102">
        <v>6312416</v>
      </c>
      <c r="H31" s="106"/>
      <c r="I31" s="103"/>
      <c r="J31" s="104">
        <f t="shared" ref="J31" si="3">G31-D31</f>
        <v>7581</v>
      </c>
      <c r="K31" s="104"/>
      <c r="L31" s="104"/>
      <c r="M31" s="102">
        <f>'13'!M31+J31</f>
        <v>110321</v>
      </c>
      <c r="N31" s="103"/>
      <c r="P31" s="57"/>
      <c r="Q31" s="57"/>
      <c r="R31" s="57"/>
      <c r="S31" s="57"/>
      <c r="T31" s="57"/>
      <c r="U31" s="57"/>
      <c r="V31" s="58"/>
      <c r="W31" s="58"/>
      <c r="X31" s="58"/>
      <c r="Y31" s="58"/>
      <c r="Z31" s="58"/>
    </row>
    <row r="32" spans="1:31" ht="21.9" customHeight="1">
      <c r="A32" s="104" t="s">
        <v>121</v>
      </c>
      <c r="B32" s="104"/>
      <c r="C32" s="104"/>
      <c r="D32" s="104">
        <f>'13'!G32</f>
        <v>1.7</v>
      </c>
      <c r="E32" s="104"/>
      <c r="F32" s="104"/>
      <c r="G32" s="102">
        <v>1.7</v>
      </c>
      <c r="H32" s="106"/>
      <c r="I32" s="103"/>
      <c r="J32" s="102">
        <f t="shared" si="2"/>
        <v>0</v>
      </c>
      <c r="K32" s="106">
        <v>12.255000000000001</v>
      </c>
      <c r="L32" s="103">
        <v>12.255000000000001</v>
      </c>
      <c r="M32" s="102">
        <f>'13'!M32+J32</f>
        <v>9.9999999999999867E-2</v>
      </c>
      <c r="N32" s="103"/>
      <c r="P32" s="57"/>
      <c r="Q32" s="57"/>
      <c r="R32" s="57"/>
      <c r="S32" s="57"/>
      <c r="T32" s="57"/>
      <c r="U32" s="57"/>
      <c r="V32" s="58"/>
      <c r="W32" s="58"/>
      <c r="X32" s="58"/>
      <c r="Y32" s="58"/>
      <c r="Z32" s="58"/>
    </row>
    <row r="33" spans="1:26" ht="21.9" customHeight="1">
      <c r="A33" s="104" t="s">
        <v>122</v>
      </c>
      <c r="B33" s="104"/>
      <c r="C33" s="104"/>
      <c r="D33" s="104">
        <f>'13'!G33</f>
        <v>0</v>
      </c>
      <c r="E33" s="104"/>
      <c r="F33" s="104"/>
      <c r="G33" s="102">
        <v>0</v>
      </c>
      <c r="H33" s="106"/>
      <c r="I33" s="103"/>
      <c r="J33" s="102">
        <f t="shared" si="2"/>
        <v>0</v>
      </c>
      <c r="K33" s="106">
        <v>12.255000000000001</v>
      </c>
      <c r="L33" s="103">
        <v>12.255000000000001</v>
      </c>
      <c r="M33" s="102">
        <f>'13'!M33+J33</f>
        <v>0</v>
      </c>
      <c r="N33" s="103"/>
      <c r="P33" s="57"/>
      <c r="Q33" s="57"/>
      <c r="R33" s="57"/>
      <c r="S33" s="57"/>
      <c r="T33" s="57"/>
      <c r="U33" s="57"/>
      <c r="V33" s="58"/>
      <c r="W33" s="58"/>
      <c r="X33" s="58"/>
      <c r="Y33" s="58"/>
      <c r="Z33" s="58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H3" name="범위2"/>
    <protectedRange sqref="U2:Z3 R7:Z7 D7:I7 E12:H20 S12:V15 S18:V20 G24:I30 V24:X30" name="범위1"/>
    <protectedRange sqref="V31:X33" name="범위1_1"/>
    <protectedRange sqref="G31:I31 G32:L33" name="범위3_1_1"/>
    <protectedRange sqref="D2:G3" name="범위1_2"/>
    <protectedRange sqref="B2:C3" name="범위1_1_2_1_1"/>
  </protectedRanges>
  <mergeCells count="223">
    <mergeCell ref="A63:B76"/>
    <mergeCell ref="C63:Z76"/>
    <mergeCell ref="A36:B48"/>
    <mergeCell ref="C36:Z48"/>
    <mergeCell ref="A49:B62"/>
    <mergeCell ref="C49:Z62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A29:C29"/>
    <mergeCell ref="D29:F29"/>
    <mergeCell ref="G29:I29"/>
    <mergeCell ref="J29:L29"/>
    <mergeCell ref="M29:N29"/>
    <mergeCell ref="P29:R29"/>
    <mergeCell ref="S29:U29"/>
    <mergeCell ref="M33:N33"/>
    <mergeCell ref="S30:U30"/>
    <mergeCell ref="V29:X29"/>
    <mergeCell ref="Y29:Z29"/>
    <mergeCell ref="A28:C28"/>
    <mergeCell ref="D28:F28"/>
    <mergeCell ref="G28:I28"/>
    <mergeCell ref="J28:L28"/>
    <mergeCell ref="M28:N28"/>
    <mergeCell ref="P28:R28"/>
    <mergeCell ref="S28:U28"/>
    <mergeCell ref="V28:X28"/>
    <mergeCell ref="Y28:Z28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A23:C23"/>
    <mergeCell ref="D23:F23"/>
    <mergeCell ref="G23:I23"/>
    <mergeCell ref="J23:L23"/>
    <mergeCell ref="M23:N23"/>
    <mergeCell ref="P23:R23"/>
    <mergeCell ref="S23:U23"/>
    <mergeCell ref="P18:R20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18:B18"/>
    <mergeCell ref="C18:D18"/>
    <mergeCell ref="E18:F18"/>
    <mergeCell ref="G18:H18"/>
    <mergeCell ref="I18:J18"/>
    <mergeCell ref="K18:L18"/>
    <mergeCell ref="M18:N18"/>
    <mergeCell ref="I17:J17"/>
    <mergeCell ref="K17:L17"/>
    <mergeCell ref="A17:B17"/>
    <mergeCell ref="C17:D17"/>
    <mergeCell ref="E17:F17"/>
    <mergeCell ref="G17:H17"/>
    <mergeCell ref="A16:B16"/>
    <mergeCell ref="C16:D16"/>
    <mergeCell ref="E16:F16"/>
    <mergeCell ref="G16:H16"/>
    <mergeCell ref="I16:J16"/>
    <mergeCell ref="K16:L16"/>
    <mergeCell ref="M16:N16"/>
    <mergeCell ref="A14:B14"/>
    <mergeCell ref="C14:D14"/>
    <mergeCell ref="E14:F14"/>
    <mergeCell ref="G14:H14"/>
    <mergeCell ref="I14:J14"/>
    <mergeCell ref="K14:L14"/>
    <mergeCell ref="M14:N14"/>
    <mergeCell ref="A15:B15"/>
    <mergeCell ref="C15:D15"/>
    <mergeCell ref="E15:F15"/>
    <mergeCell ref="G15:H15"/>
    <mergeCell ref="I15:J15"/>
    <mergeCell ref="K15:L15"/>
    <mergeCell ref="R8:T8"/>
    <mergeCell ref="S11:V11"/>
    <mergeCell ref="U8:W8"/>
    <mergeCell ref="A13:B13"/>
    <mergeCell ref="C13:D13"/>
    <mergeCell ref="E13:F13"/>
    <mergeCell ref="G13:H13"/>
    <mergeCell ref="I13:J13"/>
    <mergeCell ref="K13:L13"/>
    <mergeCell ref="M13:N13"/>
    <mergeCell ref="P12:R13"/>
    <mergeCell ref="M12:N12"/>
    <mergeCell ref="A12:B12"/>
    <mergeCell ref="C12:D12"/>
    <mergeCell ref="E12:F12"/>
    <mergeCell ref="G12:H12"/>
    <mergeCell ref="I12:J12"/>
    <mergeCell ref="K12:L12"/>
    <mergeCell ref="G8:I8"/>
    <mergeCell ref="J8:L8"/>
    <mergeCell ref="P8:Q8"/>
    <mergeCell ref="M11:N11"/>
    <mergeCell ref="P11:R11"/>
    <mergeCell ref="A8:C8"/>
    <mergeCell ref="A1:A3"/>
    <mergeCell ref="W1:X1"/>
    <mergeCell ref="H1:S2"/>
    <mergeCell ref="T1:T3"/>
    <mergeCell ref="U1:V1"/>
    <mergeCell ref="U2:V3"/>
    <mergeCell ref="H3:S3"/>
    <mergeCell ref="Y1:Z1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G6:I6"/>
    <mergeCell ref="J6:L6"/>
    <mergeCell ref="P6:Q6"/>
    <mergeCell ref="R6:T6"/>
    <mergeCell ref="U6:W6"/>
    <mergeCell ref="X6:Z6"/>
    <mergeCell ref="K11:L11"/>
    <mergeCell ref="P22:U22"/>
    <mergeCell ref="V23:X23"/>
    <mergeCell ref="Y23:Z23"/>
    <mergeCell ref="S26:U26"/>
    <mergeCell ref="V26:X26"/>
    <mergeCell ref="M17:N17"/>
    <mergeCell ref="Y26:Z26"/>
    <mergeCell ref="V27:X27"/>
    <mergeCell ref="Y27:Z27"/>
    <mergeCell ref="S14:V15"/>
    <mergeCell ref="W14:Z15"/>
    <mergeCell ref="S16:T17"/>
    <mergeCell ref="U16:V17"/>
    <mergeCell ref="W16:X17"/>
    <mergeCell ref="S18:T20"/>
    <mergeCell ref="U18:V20"/>
    <mergeCell ref="W18:X20"/>
    <mergeCell ref="P16:R17"/>
    <mergeCell ref="D8:F8"/>
    <mergeCell ref="V30:X30"/>
    <mergeCell ref="Y30:Z30"/>
    <mergeCell ref="P14:R15"/>
    <mergeCell ref="M15:N15"/>
    <mergeCell ref="B1:C1"/>
    <mergeCell ref="D1:E1"/>
    <mergeCell ref="F1:G1"/>
    <mergeCell ref="B2:C3"/>
    <mergeCell ref="D2:E3"/>
    <mergeCell ref="F2:G3"/>
    <mergeCell ref="X8:Z8"/>
    <mergeCell ref="W11:Z11"/>
    <mergeCell ref="Y18:Z20"/>
    <mergeCell ref="S12:V13"/>
    <mergeCell ref="W12:Z13"/>
    <mergeCell ref="Y16:Z17"/>
    <mergeCell ref="W2:X3"/>
    <mergeCell ref="Y2:Z3"/>
    <mergeCell ref="A11:B11"/>
    <mergeCell ref="C11:D11"/>
    <mergeCell ref="E11:F11"/>
    <mergeCell ref="G11:H11"/>
    <mergeCell ref="I11:J1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topLeftCell="A19" zoomScaleNormal="100" zoomScaleSheetLayoutView="100" workbookViewId="0">
      <selection activeCell="G34" sqref="G34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149</v>
      </c>
      <c r="C2" s="135"/>
      <c r="D2" s="214" t="s">
        <v>181</v>
      </c>
      <c r="E2" s="214"/>
      <c r="F2" s="135" t="s">
        <v>148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215"/>
      <c r="E3" s="215"/>
      <c r="F3" s="105"/>
      <c r="G3" s="105"/>
      <c r="H3" s="132">
        <v>46218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61510</v>
      </c>
      <c r="E7" s="139"/>
      <c r="F7" s="139"/>
      <c r="G7" s="139">
        <v>171100</v>
      </c>
      <c r="H7" s="139"/>
      <c r="I7" s="139"/>
      <c r="J7" s="154">
        <f>D7+G7</f>
        <v>232610</v>
      </c>
      <c r="K7" s="154"/>
      <c r="L7" s="154"/>
      <c r="M7" s="1"/>
      <c r="N7" s="1"/>
      <c r="O7" s="1"/>
      <c r="P7" s="105" t="s">
        <v>48</v>
      </c>
      <c r="Q7" s="105"/>
      <c r="R7" s="140">
        <v>495.2</v>
      </c>
      <c r="S7" s="140"/>
      <c r="T7" s="140"/>
      <c r="U7" s="140">
        <v>124.8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'14'!D8+D7</f>
        <v>1068976</v>
      </c>
      <c r="E8" s="154"/>
      <c r="F8" s="154"/>
      <c r="G8" s="154">
        <f>'14'!G8+G7</f>
        <v>2230400</v>
      </c>
      <c r="H8" s="154"/>
      <c r="I8" s="154"/>
      <c r="J8" s="154">
        <f>D8+G8</f>
        <v>3299376</v>
      </c>
      <c r="K8" s="154"/>
      <c r="L8" s="154"/>
      <c r="M8" s="1"/>
      <c r="N8" s="1"/>
      <c r="O8" s="1"/>
      <c r="P8" s="104" t="s">
        <v>2</v>
      </c>
      <c r="Q8" s="104"/>
      <c r="R8" s="137">
        <f>'14'!R8+'15'!R7</f>
        <v>7259.9</v>
      </c>
      <c r="S8" s="137"/>
      <c r="T8" s="137"/>
      <c r="U8" s="137">
        <f>'14'!U8+U7</f>
        <v>4604.2</v>
      </c>
      <c r="V8" s="137"/>
      <c r="W8" s="137"/>
      <c r="X8" s="138">
        <f>'14'!X8+X7</f>
        <v>360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'14'!I12</f>
        <v>14781</v>
      </c>
      <c r="D12" s="174"/>
      <c r="E12" s="102">
        <v>0</v>
      </c>
      <c r="F12" s="103"/>
      <c r="G12" s="105">
        <v>4082</v>
      </c>
      <c r="H12" s="105"/>
      <c r="I12" s="107">
        <f t="shared" ref="I12:I18" si="0">C12+E12-G12</f>
        <v>10699</v>
      </c>
      <c r="J12" s="109"/>
      <c r="K12" s="107">
        <f>'14'!K12+'15'!E12</f>
        <v>54220</v>
      </c>
      <c r="L12" s="109"/>
      <c r="M12" s="105">
        <f>'14'!M12+G12</f>
        <v>58435</v>
      </c>
      <c r="N12" s="105"/>
      <c r="O12" s="1"/>
      <c r="P12" s="149" t="s">
        <v>101</v>
      </c>
      <c r="Q12" s="105"/>
      <c r="R12" s="105"/>
      <c r="S12" s="143">
        <v>54.94</v>
      </c>
      <c r="T12" s="144"/>
      <c r="U12" s="144"/>
      <c r="V12" s="144"/>
      <c r="W12" s="194">
        <f>'14'!W12+'15'!S12</f>
        <v>587.43000000000006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'14'!I13</f>
        <v>900</v>
      </c>
      <c r="D13" s="174"/>
      <c r="E13" s="104">
        <v>0</v>
      </c>
      <c r="F13" s="104"/>
      <c r="G13" s="104">
        <v>90</v>
      </c>
      <c r="H13" s="104"/>
      <c r="I13" s="102">
        <f t="shared" si="0"/>
        <v>810</v>
      </c>
      <c r="J13" s="103"/>
      <c r="K13" s="105">
        <f>'14'!K13+'15'!E13</f>
        <v>1620</v>
      </c>
      <c r="L13" s="105"/>
      <c r="M13" s="105">
        <f>'14'!M13+G13</f>
        <v>1400</v>
      </c>
      <c r="N13" s="105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'14'!I14</f>
        <v>920</v>
      </c>
      <c r="D14" s="174"/>
      <c r="E14" s="104">
        <v>0</v>
      </c>
      <c r="F14" s="104"/>
      <c r="G14" s="104">
        <v>120</v>
      </c>
      <c r="H14" s="104"/>
      <c r="I14" s="102">
        <f t="shared" si="0"/>
        <v>800</v>
      </c>
      <c r="J14" s="103"/>
      <c r="K14" s="105">
        <f>'14'!K14+'15'!E14</f>
        <v>2000</v>
      </c>
      <c r="L14" s="105"/>
      <c r="M14" s="105">
        <f>'14'!M14+G14</f>
        <v>1800</v>
      </c>
      <c r="N14" s="105"/>
      <c r="O14" s="1"/>
      <c r="P14" s="104" t="s">
        <v>26</v>
      </c>
      <c r="Q14" s="104"/>
      <c r="R14" s="104"/>
      <c r="S14" s="155">
        <v>0</v>
      </c>
      <c r="T14" s="156"/>
      <c r="U14" s="156"/>
      <c r="V14" s="156"/>
      <c r="W14" s="186">
        <f>'14'!W14+'15'!S14</f>
        <v>118.43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'14'!I15</f>
        <v>903</v>
      </c>
      <c r="D15" s="174"/>
      <c r="E15" s="104">
        <v>0</v>
      </c>
      <c r="F15" s="104"/>
      <c r="G15" s="104">
        <v>40</v>
      </c>
      <c r="H15" s="104"/>
      <c r="I15" s="102">
        <f t="shared" si="0"/>
        <v>863</v>
      </c>
      <c r="J15" s="103"/>
      <c r="K15" s="105">
        <f>'14'!K15+'15'!E15</f>
        <v>0</v>
      </c>
      <c r="L15" s="105"/>
      <c r="M15" s="105">
        <f>'14'!M15+G15</f>
        <v>436</v>
      </c>
      <c r="N15" s="105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'14'!I16</f>
        <v>2070</v>
      </c>
      <c r="D16" s="174"/>
      <c r="E16" s="104">
        <v>0</v>
      </c>
      <c r="F16" s="104"/>
      <c r="G16" s="104">
        <v>20</v>
      </c>
      <c r="H16" s="104"/>
      <c r="I16" s="102">
        <f t="shared" si="0"/>
        <v>2050</v>
      </c>
      <c r="J16" s="103"/>
      <c r="K16" s="105">
        <f>'14'!K16+'15'!E16</f>
        <v>0</v>
      </c>
      <c r="L16" s="105"/>
      <c r="M16" s="105">
        <f>'14'!M16+G16</f>
        <v>300</v>
      </c>
      <c r="N16" s="105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'14'!I17</f>
        <v>1930</v>
      </c>
      <c r="D17" s="174"/>
      <c r="E17" s="104">
        <v>0</v>
      </c>
      <c r="F17" s="104"/>
      <c r="G17" s="104">
        <v>200</v>
      </c>
      <c r="H17" s="104"/>
      <c r="I17" s="102">
        <f t="shared" si="0"/>
        <v>1730</v>
      </c>
      <c r="J17" s="103"/>
      <c r="K17" s="105">
        <f>'14'!K17+'15'!E17</f>
        <v>2880</v>
      </c>
      <c r="L17" s="105"/>
      <c r="M17" s="105">
        <f>'14'!M17+G17</f>
        <v>3000</v>
      </c>
      <c r="N17" s="105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'14'!I18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0"/>
        <v>5340</v>
      </c>
      <c r="J18" s="103"/>
      <c r="K18" s="105">
        <f>'14'!K18+'15'!E18</f>
        <v>0</v>
      </c>
      <c r="L18" s="105"/>
      <c r="M18" s="105">
        <f>'14'!M18+G18</f>
        <v>0</v>
      </c>
      <c r="N18" s="105"/>
      <c r="O18" s="1"/>
      <c r="P18" s="164" t="s">
        <v>27</v>
      </c>
      <c r="Q18" s="164"/>
      <c r="R18" s="164"/>
      <c r="S18" s="114">
        <v>1</v>
      </c>
      <c r="T18" s="115"/>
      <c r="U18" s="114">
        <v>2</v>
      </c>
      <c r="V18" s="115"/>
      <c r="W18" s="114">
        <f>S18+U18</f>
        <v>3</v>
      </c>
      <c r="X18" s="115"/>
      <c r="Y18" s="151">
        <f>'14'!Y18+'15'!W18</f>
        <v>54</v>
      </c>
      <c r="Z18" s="151"/>
    </row>
    <row r="19" spans="1:31" ht="21.9" customHeight="1">
      <c r="A19" s="153" t="s">
        <v>62</v>
      </c>
      <c r="B19" s="153"/>
      <c r="C19" s="174">
        <f>'14'!I19</f>
        <v>64694</v>
      </c>
      <c r="D19" s="174"/>
      <c r="E19" s="154">
        <v>94630</v>
      </c>
      <c r="F19" s="154"/>
      <c r="G19" s="154">
        <f>D7</f>
        <v>61510</v>
      </c>
      <c r="H19" s="154"/>
      <c r="I19" s="99">
        <f t="shared" ref="I19" si="1">C19+E19-G19</f>
        <v>97814</v>
      </c>
      <c r="J19" s="101"/>
      <c r="K19" s="139">
        <f>'14'!K19+'15'!E19</f>
        <v>1056790</v>
      </c>
      <c r="L19" s="139"/>
      <c r="M19" s="139">
        <f>'14'!M19+G19</f>
        <v>1068976</v>
      </c>
      <c r="N19" s="139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'14'!I20</f>
        <v>-</v>
      </c>
      <c r="D20" s="174"/>
      <c r="E20" s="102"/>
      <c r="F20" s="103"/>
      <c r="G20" s="104"/>
      <c r="H20" s="104"/>
      <c r="I20" s="102" t="s">
        <v>60</v>
      </c>
      <c r="J20" s="103"/>
      <c r="K20" s="105">
        <f>'14'!K20+'15'!E20</f>
        <v>0</v>
      </c>
      <c r="L20" s="105"/>
      <c r="M20" s="139">
        <f>'14'!M20+G20</f>
        <v>0</v>
      </c>
      <c r="N20" s="139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'14'!G24</f>
        <v>3993645</v>
      </c>
      <c r="E24" s="187"/>
      <c r="F24" s="187"/>
      <c r="G24" s="164">
        <v>4016997</v>
      </c>
      <c r="H24" s="164"/>
      <c r="I24" s="164"/>
      <c r="J24" s="164">
        <f>G24-D24</f>
        <v>23352</v>
      </c>
      <c r="K24" s="164"/>
      <c r="L24" s="164"/>
      <c r="M24" s="164">
        <f>'14'!M24+'15'!J24</f>
        <v>345429</v>
      </c>
      <c r="N24" s="164"/>
      <c r="P24" s="105" t="s">
        <v>36</v>
      </c>
      <c r="Q24" s="105"/>
      <c r="R24" s="105"/>
      <c r="S24" s="105">
        <f>'14'!V24</f>
        <v>559.9</v>
      </c>
      <c r="T24" s="105"/>
      <c r="U24" s="105"/>
      <c r="V24" s="140">
        <v>559.29999999999995</v>
      </c>
      <c r="W24" s="140"/>
      <c r="X24" s="140"/>
      <c r="Y24" s="140">
        <f>'14'!Y24+'15'!V24</f>
        <v>7239.7000000000007</v>
      </c>
      <c r="Z24" s="140"/>
    </row>
    <row r="25" spans="1:31" ht="21.9" customHeight="1">
      <c r="A25" s="104" t="s">
        <v>30</v>
      </c>
      <c r="B25" s="104"/>
      <c r="C25" s="104"/>
      <c r="D25" s="104">
        <f>'14'!G25</f>
        <v>33239.9</v>
      </c>
      <c r="E25" s="104"/>
      <c r="F25" s="104"/>
      <c r="G25" s="104">
        <v>33273.699999999997</v>
      </c>
      <c r="H25" s="104"/>
      <c r="I25" s="104"/>
      <c r="J25" s="104">
        <f>G25-D25</f>
        <v>33.799999999995634</v>
      </c>
      <c r="K25" s="104"/>
      <c r="L25" s="104"/>
      <c r="M25" s="102">
        <f>'14'!M25+'15'!J25</f>
        <v>509.59999999999854</v>
      </c>
      <c r="N25" s="103"/>
      <c r="P25" s="104" t="s">
        <v>37</v>
      </c>
      <c r="Q25" s="104"/>
      <c r="R25" s="104"/>
      <c r="S25" s="102">
        <f>'14'!V25</f>
        <v>61.1</v>
      </c>
      <c r="T25" s="106"/>
      <c r="U25" s="103"/>
      <c r="V25" s="137">
        <v>55.6</v>
      </c>
      <c r="W25" s="137"/>
      <c r="X25" s="137"/>
      <c r="Y25" s="140">
        <f>'14'!Y25+'15'!V25</f>
        <v>866.69999999999993</v>
      </c>
      <c r="Z25" s="140"/>
    </row>
    <row r="26" spans="1:31" ht="21.9" customHeight="1">
      <c r="A26" s="104" t="s">
        <v>31</v>
      </c>
      <c r="B26" s="104"/>
      <c r="C26" s="104"/>
      <c r="D26" s="104">
        <f>'14'!G26</f>
        <v>24590</v>
      </c>
      <c r="E26" s="104"/>
      <c r="F26" s="104"/>
      <c r="G26" s="104">
        <v>24610</v>
      </c>
      <c r="H26" s="104"/>
      <c r="I26" s="104"/>
      <c r="J26" s="104">
        <f t="shared" ref="J26:J33" si="2">G26-D26</f>
        <v>20</v>
      </c>
      <c r="K26" s="104"/>
      <c r="L26" s="104"/>
      <c r="M26" s="102">
        <f>'14'!M26+'15'!J26</f>
        <v>310</v>
      </c>
      <c r="N26" s="103"/>
      <c r="P26" s="104" t="s">
        <v>38</v>
      </c>
      <c r="Q26" s="104"/>
      <c r="R26" s="104"/>
      <c r="S26" s="102">
        <f>'14'!V26</f>
        <v>472.2</v>
      </c>
      <c r="T26" s="106"/>
      <c r="U26" s="103"/>
      <c r="V26" s="137">
        <v>480.7</v>
      </c>
      <c r="W26" s="137"/>
      <c r="X26" s="137"/>
      <c r="Y26" s="140">
        <f>'14'!Y26+'15'!V26</f>
        <v>7412.2000000000007</v>
      </c>
      <c r="Z26" s="140"/>
    </row>
    <row r="27" spans="1:31" ht="21.9" customHeight="1">
      <c r="A27" s="104" t="s">
        <v>32</v>
      </c>
      <c r="B27" s="104"/>
      <c r="C27" s="104"/>
      <c r="D27" s="104">
        <f>'14'!G27</f>
        <v>1387000</v>
      </c>
      <c r="E27" s="104"/>
      <c r="F27" s="104"/>
      <c r="G27" s="104">
        <v>1390000</v>
      </c>
      <c r="H27" s="104"/>
      <c r="I27" s="104"/>
      <c r="J27" s="104">
        <f t="shared" si="2"/>
        <v>3000</v>
      </c>
      <c r="K27" s="104"/>
      <c r="L27" s="104"/>
      <c r="M27" s="102">
        <f>'14'!M27+'15'!J27</f>
        <v>51000</v>
      </c>
      <c r="N27" s="103"/>
      <c r="P27" s="104" t="s">
        <v>39</v>
      </c>
      <c r="Q27" s="104"/>
      <c r="R27" s="104"/>
      <c r="S27" s="102">
        <f>'14'!V27</f>
        <v>482.6</v>
      </c>
      <c r="T27" s="106"/>
      <c r="U27" s="103"/>
      <c r="V27" s="137">
        <v>490.9</v>
      </c>
      <c r="W27" s="137"/>
      <c r="X27" s="137"/>
      <c r="Y27" s="140">
        <f>'14'!Y27+'15'!V27</f>
        <v>7622.7</v>
      </c>
      <c r="Z27" s="140"/>
    </row>
    <row r="28" spans="1:31" ht="21.9" customHeight="1">
      <c r="A28" s="104" t="s">
        <v>33</v>
      </c>
      <c r="B28" s="104"/>
      <c r="C28" s="104"/>
      <c r="D28" s="104">
        <f>'14'!G28</f>
        <v>5719</v>
      </c>
      <c r="E28" s="104"/>
      <c r="F28" s="104"/>
      <c r="G28" s="104">
        <v>5772</v>
      </c>
      <c r="H28" s="104"/>
      <c r="I28" s="104"/>
      <c r="J28" s="104">
        <f t="shared" si="2"/>
        <v>53</v>
      </c>
      <c r="K28" s="104"/>
      <c r="L28" s="104"/>
      <c r="M28" s="102">
        <f>'14'!M28+'15'!J28</f>
        <v>834</v>
      </c>
      <c r="N28" s="103"/>
      <c r="P28" s="104" t="s">
        <v>41</v>
      </c>
      <c r="Q28" s="104"/>
      <c r="R28" s="104"/>
      <c r="S28" s="102">
        <f>'14'!V28</f>
        <v>0</v>
      </c>
      <c r="T28" s="106"/>
      <c r="U28" s="103"/>
      <c r="V28" s="137">
        <v>0</v>
      </c>
      <c r="W28" s="137"/>
      <c r="X28" s="137"/>
      <c r="Y28" s="140">
        <f>'14'!Y28+'15'!V28</f>
        <v>0</v>
      </c>
      <c r="Z28" s="140"/>
    </row>
    <row r="29" spans="1:31" ht="21.9" customHeight="1">
      <c r="A29" s="104" t="s">
        <v>34</v>
      </c>
      <c r="B29" s="104"/>
      <c r="C29" s="104"/>
      <c r="D29" s="104">
        <f>'14'!G29</f>
        <v>66230</v>
      </c>
      <c r="E29" s="104"/>
      <c r="F29" s="104"/>
      <c r="G29" s="104">
        <v>66230</v>
      </c>
      <c r="H29" s="104"/>
      <c r="I29" s="104"/>
      <c r="J29" s="104">
        <f t="shared" si="2"/>
        <v>0</v>
      </c>
      <c r="K29" s="104"/>
      <c r="L29" s="104"/>
      <c r="M29" s="102">
        <f>'14'!M29+'15'!J29</f>
        <v>50</v>
      </c>
      <c r="N29" s="103"/>
      <c r="P29" s="104" t="s">
        <v>40</v>
      </c>
      <c r="Q29" s="104"/>
      <c r="R29" s="104"/>
      <c r="S29" s="102">
        <f>'14'!V29</f>
        <v>69</v>
      </c>
      <c r="T29" s="106"/>
      <c r="U29" s="103"/>
      <c r="V29" s="137">
        <v>66.599999999999994</v>
      </c>
      <c r="W29" s="137"/>
      <c r="X29" s="137"/>
      <c r="Y29" s="140">
        <f>'14'!Y29+'15'!V29</f>
        <v>976.79999999999984</v>
      </c>
      <c r="Z29" s="140"/>
    </row>
    <row r="30" spans="1:31" ht="21.9" customHeight="1">
      <c r="A30" s="104" t="s">
        <v>35</v>
      </c>
      <c r="B30" s="104"/>
      <c r="C30" s="104"/>
      <c r="D30" s="104">
        <f>'14'!G30</f>
        <v>53400</v>
      </c>
      <c r="E30" s="104"/>
      <c r="F30" s="104"/>
      <c r="G30" s="104">
        <v>53410</v>
      </c>
      <c r="H30" s="104"/>
      <c r="I30" s="104"/>
      <c r="J30" s="104">
        <f t="shared" si="2"/>
        <v>10</v>
      </c>
      <c r="K30" s="104"/>
      <c r="L30" s="104"/>
      <c r="M30" s="102">
        <f>'14'!M30+'15'!J30</f>
        <v>190</v>
      </c>
      <c r="N30" s="103"/>
      <c r="P30" s="104" t="s">
        <v>28</v>
      </c>
      <c r="Q30" s="104"/>
      <c r="R30" s="104"/>
      <c r="S30" s="104">
        <f>SUM(S24:U29)</f>
        <v>1644.8000000000002</v>
      </c>
      <c r="T30" s="104"/>
      <c r="U30" s="104"/>
      <c r="V30" s="137"/>
      <c r="W30" s="104"/>
      <c r="X30" s="104"/>
      <c r="Y30" s="140">
        <f>'14'!Y30+'15'!V30</f>
        <v>1528.3</v>
      </c>
      <c r="Z30" s="140"/>
    </row>
    <row r="31" spans="1:31" ht="21.9" customHeight="1">
      <c r="A31" s="104" t="s">
        <v>120</v>
      </c>
      <c r="B31" s="104"/>
      <c r="C31" s="104"/>
      <c r="D31" s="104">
        <f>'14'!G31</f>
        <v>6312416</v>
      </c>
      <c r="E31" s="104"/>
      <c r="F31" s="104"/>
      <c r="G31" s="102">
        <v>6320513</v>
      </c>
      <c r="H31" s="106"/>
      <c r="I31" s="103"/>
      <c r="J31" s="104">
        <f t="shared" si="2"/>
        <v>8097</v>
      </c>
      <c r="K31" s="104"/>
      <c r="L31" s="104"/>
      <c r="M31" s="102">
        <f>'14'!M31+J31</f>
        <v>118418</v>
      </c>
      <c r="N31" s="103"/>
      <c r="P31" s="57"/>
      <c r="Q31" s="57"/>
      <c r="R31" s="57"/>
      <c r="S31" s="57"/>
      <c r="T31" s="57"/>
      <c r="U31" s="57"/>
      <c r="V31" s="58"/>
      <c r="W31" s="58"/>
      <c r="X31" s="58"/>
      <c r="Y31" s="58"/>
      <c r="Z31" s="58"/>
    </row>
    <row r="32" spans="1:31" ht="21.9" customHeight="1">
      <c r="A32" s="104" t="s">
        <v>121</v>
      </c>
      <c r="B32" s="104"/>
      <c r="C32" s="104"/>
      <c r="D32" s="104">
        <f>'14'!G32</f>
        <v>1.7</v>
      </c>
      <c r="E32" s="104"/>
      <c r="F32" s="104"/>
      <c r="G32" s="102">
        <v>1.7</v>
      </c>
      <c r="H32" s="106"/>
      <c r="I32" s="103"/>
      <c r="J32" s="102">
        <f t="shared" si="2"/>
        <v>0</v>
      </c>
      <c r="K32" s="106">
        <v>12.255000000000001</v>
      </c>
      <c r="L32" s="103">
        <v>12.255000000000001</v>
      </c>
      <c r="M32" s="102">
        <f>'14'!M32+J32</f>
        <v>9.9999999999999867E-2</v>
      </c>
      <c r="N32" s="103"/>
      <c r="P32" s="57"/>
      <c r="Q32" s="57"/>
      <c r="R32" s="57"/>
      <c r="S32" s="57"/>
      <c r="T32" s="57"/>
      <c r="U32" s="57"/>
      <c r="V32" s="58"/>
      <c r="W32" s="58"/>
      <c r="X32" s="58"/>
      <c r="Y32" s="58"/>
      <c r="Z32" s="58"/>
    </row>
    <row r="33" spans="1:26" ht="21.9" customHeight="1">
      <c r="A33" s="104" t="s">
        <v>122</v>
      </c>
      <c r="B33" s="104"/>
      <c r="C33" s="104"/>
      <c r="D33" s="104">
        <f>'14'!G33</f>
        <v>0</v>
      </c>
      <c r="E33" s="104"/>
      <c r="F33" s="104"/>
      <c r="G33" s="102">
        <v>0</v>
      </c>
      <c r="H33" s="106"/>
      <c r="I33" s="103"/>
      <c r="J33" s="102">
        <f t="shared" si="2"/>
        <v>0</v>
      </c>
      <c r="K33" s="106">
        <v>12.255000000000001</v>
      </c>
      <c r="L33" s="103">
        <v>12.255000000000001</v>
      </c>
      <c r="M33" s="102">
        <f>'14'!M33+J33</f>
        <v>0</v>
      </c>
      <c r="N33" s="103"/>
      <c r="P33" s="57"/>
      <c r="Q33" s="57"/>
      <c r="R33" s="57"/>
      <c r="S33" s="57"/>
      <c r="T33" s="57"/>
      <c r="U33" s="57"/>
      <c r="V33" s="58"/>
      <c r="W33" s="58"/>
      <c r="X33" s="58"/>
      <c r="Y33" s="58"/>
      <c r="Z33" s="58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H3" name="범위2"/>
    <protectedRange sqref="U2:Z3 R7:Z7 D7:I7 E12:H20 S12:V15 S18:V20 G24:I30 V24:X30" name="범위1"/>
    <protectedRange sqref="V31:X33" name="범위1_1"/>
    <protectedRange sqref="G31:I31 G32:L33" name="범위3_1_1"/>
    <protectedRange sqref="B2:G3" name="범위1_2"/>
  </protectedRanges>
  <mergeCells count="223">
    <mergeCell ref="A63:B76"/>
    <mergeCell ref="C63:Z76"/>
    <mergeCell ref="V30:X30"/>
    <mergeCell ref="Y30:Z30"/>
    <mergeCell ref="A36:B48"/>
    <mergeCell ref="C36:Z48"/>
    <mergeCell ref="A49:B62"/>
    <mergeCell ref="C49:Z62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M33:N33"/>
    <mergeCell ref="S30:U30"/>
    <mergeCell ref="A29:C29"/>
    <mergeCell ref="D29:F29"/>
    <mergeCell ref="G29:I29"/>
    <mergeCell ref="J29:L29"/>
    <mergeCell ref="M29:N29"/>
    <mergeCell ref="P29:R29"/>
    <mergeCell ref="S29:U29"/>
    <mergeCell ref="V29:X29"/>
    <mergeCell ref="Y29:Z29"/>
    <mergeCell ref="A28:C28"/>
    <mergeCell ref="D28:F28"/>
    <mergeCell ref="G28:I28"/>
    <mergeCell ref="J28:L28"/>
    <mergeCell ref="M28:N28"/>
    <mergeCell ref="P28:R28"/>
    <mergeCell ref="S28:U28"/>
    <mergeCell ref="V28:X28"/>
    <mergeCell ref="Y28:Z28"/>
    <mergeCell ref="S26:U26"/>
    <mergeCell ref="V26:X26"/>
    <mergeCell ref="Y26:Z26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V27:X27"/>
    <mergeCell ref="Y27:Z27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Y23:Z23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P16:R17"/>
    <mergeCell ref="Y16:Z17"/>
    <mergeCell ref="A17:B17"/>
    <mergeCell ref="C17:D17"/>
    <mergeCell ref="E17:F17"/>
    <mergeCell ref="G17:H17"/>
    <mergeCell ref="M20:N20"/>
    <mergeCell ref="P22:U22"/>
    <mergeCell ref="A23:C23"/>
    <mergeCell ref="D23:F23"/>
    <mergeCell ref="G23:I23"/>
    <mergeCell ref="J23:L23"/>
    <mergeCell ref="M23:N23"/>
    <mergeCell ref="P23:R23"/>
    <mergeCell ref="S23:U23"/>
    <mergeCell ref="P18:R20"/>
    <mergeCell ref="A19:B19"/>
    <mergeCell ref="C19:D19"/>
    <mergeCell ref="E19:F19"/>
    <mergeCell ref="G19:H19"/>
    <mergeCell ref="I19:J19"/>
    <mergeCell ref="K19:L19"/>
    <mergeCell ref="M19:N19"/>
    <mergeCell ref="V23:X23"/>
    <mergeCell ref="A20:B20"/>
    <mergeCell ref="C20:D20"/>
    <mergeCell ref="E20:F20"/>
    <mergeCell ref="G20:H20"/>
    <mergeCell ref="I20:J20"/>
    <mergeCell ref="K20:L20"/>
    <mergeCell ref="M17:N17"/>
    <mergeCell ref="A18:B18"/>
    <mergeCell ref="C18:D18"/>
    <mergeCell ref="E18:F18"/>
    <mergeCell ref="G18:H18"/>
    <mergeCell ref="I18:J18"/>
    <mergeCell ref="K18:L18"/>
    <mergeCell ref="M18:N18"/>
    <mergeCell ref="I17:J17"/>
    <mergeCell ref="K17:L17"/>
    <mergeCell ref="A16:B16"/>
    <mergeCell ref="C16:D16"/>
    <mergeCell ref="E16:F16"/>
    <mergeCell ref="G16:H16"/>
    <mergeCell ref="I16:J16"/>
    <mergeCell ref="K16:L16"/>
    <mergeCell ref="M16:N16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3:N13"/>
    <mergeCell ref="P12:R13"/>
    <mergeCell ref="P14:R15"/>
    <mergeCell ref="A15:B15"/>
    <mergeCell ref="C15:D15"/>
    <mergeCell ref="E15:F15"/>
    <mergeCell ref="G15:H15"/>
    <mergeCell ref="I15:J15"/>
    <mergeCell ref="K15:L15"/>
    <mergeCell ref="A12:B12"/>
    <mergeCell ref="C12:D12"/>
    <mergeCell ref="E12:F12"/>
    <mergeCell ref="G12:H12"/>
    <mergeCell ref="I12:J12"/>
    <mergeCell ref="K12:L12"/>
    <mergeCell ref="M12:N12"/>
    <mergeCell ref="M15:N15"/>
    <mergeCell ref="A11:B11"/>
    <mergeCell ref="C11:D11"/>
    <mergeCell ref="E11:F11"/>
    <mergeCell ref="G11:H11"/>
    <mergeCell ref="I11:J11"/>
    <mergeCell ref="K11:L11"/>
    <mergeCell ref="M11:N11"/>
    <mergeCell ref="P11:R11"/>
    <mergeCell ref="A8:C8"/>
    <mergeCell ref="D8:F8"/>
    <mergeCell ref="G8:I8"/>
    <mergeCell ref="J8:L8"/>
    <mergeCell ref="P8:Q8"/>
    <mergeCell ref="R8:T8"/>
    <mergeCell ref="S11:V11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G6:I6"/>
    <mergeCell ref="J6:L6"/>
    <mergeCell ref="P6:Q6"/>
    <mergeCell ref="R6:T6"/>
    <mergeCell ref="A1:A3"/>
    <mergeCell ref="W1:X1"/>
    <mergeCell ref="H1:S2"/>
    <mergeCell ref="T1:T3"/>
    <mergeCell ref="U1:V1"/>
    <mergeCell ref="U2:V3"/>
    <mergeCell ref="H3:S3"/>
    <mergeCell ref="B1:C1"/>
    <mergeCell ref="D1:E1"/>
    <mergeCell ref="F1:G1"/>
    <mergeCell ref="B2:C3"/>
    <mergeCell ref="D2:E3"/>
    <mergeCell ref="F2:G3"/>
    <mergeCell ref="S14:V15"/>
    <mergeCell ref="W14:Z15"/>
    <mergeCell ref="S16:T17"/>
    <mergeCell ref="U16:V17"/>
    <mergeCell ref="W16:X17"/>
    <mergeCell ref="S18:T20"/>
    <mergeCell ref="U18:V20"/>
    <mergeCell ref="W18:X20"/>
    <mergeCell ref="Y1:Z1"/>
    <mergeCell ref="U6:W6"/>
    <mergeCell ref="X6:Z6"/>
    <mergeCell ref="U8:W8"/>
    <mergeCell ref="X8:Z8"/>
    <mergeCell ref="W11:Z11"/>
    <mergeCell ref="Y18:Z20"/>
    <mergeCell ref="S12:V13"/>
    <mergeCell ref="W12:Z13"/>
    <mergeCell ref="W2:X3"/>
    <mergeCell ref="Y2:Z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zoomScaleNormal="100" zoomScaleSheetLayoutView="100" workbookViewId="0">
      <selection activeCell="B2" sqref="B2:G3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182</v>
      </c>
      <c r="C2" s="135"/>
      <c r="D2" s="135" t="s">
        <v>183</v>
      </c>
      <c r="E2" s="135"/>
      <c r="F2" s="135" t="s">
        <v>184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05"/>
      <c r="E3" s="105"/>
      <c r="F3" s="105"/>
      <c r="G3" s="105"/>
      <c r="H3" s="132">
        <v>46219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67599</v>
      </c>
      <c r="E7" s="139"/>
      <c r="F7" s="139"/>
      <c r="G7" s="139">
        <v>145400</v>
      </c>
      <c r="H7" s="139"/>
      <c r="I7" s="139"/>
      <c r="J7" s="154">
        <f>D7+G7</f>
        <v>212999</v>
      </c>
      <c r="K7" s="154"/>
      <c r="L7" s="154"/>
      <c r="M7" s="1"/>
      <c r="N7" s="1"/>
      <c r="O7" s="1"/>
      <c r="P7" s="105" t="s">
        <v>48</v>
      </c>
      <c r="Q7" s="105"/>
      <c r="R7" s="140">
        <v>495.5</v>
      </c>
      <c r="S7" s="140"/>
      <c r="T7" s="140"/>
      <c r="U7" s="140">
        <v>405.4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'15'!D8+D7</f>
        <v>1136575</v>
      </c>
      <c r="E8" s="154"/>
      <c r="F8" s="154"/>
      <c r="G8" s="154">
        <f>'15'!G8+G7</f>
        <v>2375800</v>
      </c>
      <c r="H8" s="154"/>
      <c r="I8" s="154"/>
      <c r="J8" s="154">
        <f>D8+G8</f>
        <v>3512375</v>
      </c>
      <c r="K8" s="154"/>
      <c r="L8" s="154"/>
      <c r="M8" s="1"/>
      <c r="N8" s="1"/>
      <c r="O8" s="1"/>
      <c r="P8" s="104" t="s">
        <v>2</v>
      </c>
      <c r="Q8" s="104"/>
      <c r="R8" s="137">
        <f>'15'!R8+R7</f>
        <v>7755.4</v>
      </c>
      <c r="S8" s="137"/>
      <c r="T8" s="137"/>
      <c r="U8" s="137">
        <f>'15'!U8+U7</f>
        <v>5009.5999999999995</v>
      </c>
      <c r="V8" s="137"/>
      <c r="W8" s="137"/>
      <c r="X8" s="138">
        <f>'15'!X8+'16'!X7</f>
        <v>384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'15'!I12</f>
        <v>10699</v>
      </c>
      <c r="D12" s="174"/>
      <c r="E12" s="105">
        <v>12190</v>
      </c>
      <c r="F12" s="105"/>
      <c r="G12" s="105">
        <v>4223</v>
      </c>
      <c r="H12" s="105"/>
      <c r="I12" s="107">
        <f t="shared" ref="I12:I18" si="0">C12+E12-G12</f>
        <v>18666</v>
      </c>
      <c r="J12" s="109"/>
      <c r="K12" s="105">
        <f>'15'!K12+'16'!E12</f>
        <v>66410</v>
      </c>
      <c r="L12" s="105"/>
      <c r="M12" s="105">
        <f>'15'!M12+G12</f>
        <v>62658</v>
      </c>
      <c r="N12" s="105"/>
      <c r="O12" s="1"/>
      <c r="P12" s="149" t="s">
        <v>101</v>
      </c>
      <c r="Q12" s="105"/>
      <c r="R12" s="105"/>
      <c r="S12" s="143">
        <v>29.21</v>
      </c>
      <c r="T12" s="144"/>
      <c r="U12" s="144"/>
      <c r="V12" s="144"/>
      <c r="W12" s="194">
        <f>'15'!W12+'16'!S12</f>
        <v>616.6400000000001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'15'!I13</f>
        <v>810</v>
      </c>
      <c r="D13" s="174"/>
      <c r="E13" s="104">
        <v>0</v>
      </c>
      <c r="F13" s="104"/>
      <c r="G13" s="104">
        <v>90</v>
      </c>
      <c r="H13" s="104"/>
      <c r="I13" s="102">
        <f t="shared" si="0"/>
        <v>720</v>
      </c>
      <c r="J13" s="103"/>
      <c r="K13" s="105">
        <f>'15'!K13+'16'!E13</f>
        <v>1620</v>
      </c>
      <c r="L13" s="105"/>
      <c r="M13" s="105">
        <f>'15'!M13+G13</f>
        <v>1490</v>
      </c>
      <c r="N13" s="105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'15'!I14</f>
        <v>800</v>
      </c>
      <c r="D14" s="174"/>
      <c r="E14" s="104">
        <v>0</v>
      </c>
      <c r="F14" s="104"/>
      <c r="G14" s="104">
        <v>120</v>
      </c>
      <c r="H14" s="104"/>
      <c r="I14" s="102">
        <f t="shared" si="0"/>
        <v>680</v>
      </c>
      <c r="J14" s="103"/>
      <c r="K14" s="105">
        <f>'15'!K14+'16'!E14</f>
        <v>2000</v>
      </c>
      <c r="L14" s="105"/>
      <c r="M14" s="105">
        <f>'15'!M14+G14</f>
        <v>1920</v>
      </c>
      <c r="N14" s="105"/>
      <c r="O14" s="1"/>
      <c r="P14" s="104" t="s">
        <v>26</v>
      </c>
      <c r="Q14" s="104"/>
      <c r="R14" s="104"/>
      <c r="S14" s="155">
        <v>0</v>
      </c>
      <c r="T14" s="156"/>
      <c r="U14" s="156"/>
      <c r="V14" s="156"/>
      <c r="W14" s="186">
        <f>'15'!W14+'16'!S14</f>
        <v>118.43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'15'!I15</f>
        <v>863</v>
      </c>
      <c r="D15" s="174"/>
      <c r="E15" s="104">
        <v>0</v>
      </c>
      <c r="F15" s="104"/>
      <c r="G15" s="104">
        <v>31</v>
      </c>
      <c r="H15" s="104"/>
      <c r="I15" s="102">
        <f t="shared" si="0"/>
        <v>832</v>
      </c>
      <c r="J15" s="103"/>
      <c r="K15" s="105">
        <f>'15'!K15+'16'!E15</f>
        <v>0</v>
      </c>
      <c r="L15" s="105"/>
      <c r="M15" s="105">
        <f>'15'!M15+G15</f>
        <v>467</v>
      </c>
      <c r="N15" s="105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'15'!I16</f>
        <v>2050</v>
      </c>
      <c r="D16" s="174"/>
      <c r="E16" s="104">
        <v>0</v>
      </c>
      <c r="F16" s="104"/>
      <c r="G16" s="104">
        <v>20</v>
      </c>
      <c r="H16" s="104"/>
      <c r="I16" s="102">
        <f t="shared" si="0"/>
        <v>2030</v>
      </c>
      <c r="J16" s="103"/>
      <c r="K16" s="105">
        <f>'15'!K16+'16'!E16</f>
        <v>0</v>
      </c>
      <c r="L16" s="105"/>
      <c r="M16" s="105">
        <f>'15'!M16+G16</f>
        <v>320</v>
      </c>
      <c r="N16" s="105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'15'!I17</f>
        <v>1730</v>
      </c>
      <c r="D17" s="174"/>
      <c r="E17" s="104">
        <v>0</v>
      </c>
      <c r="F17" s="104"/>
      <c r="G17" s="104">
        <v>200</v>
      </c>
      <c r="H17" s="104"/>
      <c r="I17" s="102">
        <f t="shared" si="0"/>
        <v>1530</v>
      </c>
      <c r="J17" s="103"/>
      <c r="K17" s="105">
        <f>'15'!K17+'16'!E17</f>
        <v>2880</v>
      </c>
      <c r="L17" s="105"/>
      <c r="M17" s="105">
        <f>'15'!M17+G17</f>
        <v>3200</v>
      </c>
      <c r="N17" s="105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'15'!I18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0"/>
        <v>5340</v>
      </c>
      <c r="J18" s="103"/>
      <c r="K18" s="105">
        <f>'15'!K18+'16'!E18</f>
        <v>0</v>
      </c>
      <c r="L18" s="105"/>
      <c r="M18" s="105">
        <f>'15'!M18+G18</f>
        <v>0</v>
      </c>
      <c r="N18" s="105"/>
      <c r="O18" s="1"/>
      <c r="P18" s="164" t="s">
        <v>27</v>
      </c>
      <c r="Q18" s="164"/>
      <c r="R18" s="164"/>
      <c r="S18" s="114">
        <v>0</v>
      </c>
      <c r="T18" s="115"/>
      <c r="U18" s="114">
        <v>2</v>
      </c>
      <c r="V18" s="115"/>
      <c r="W18" s="114">
        <f>S18+U18</f>
        <v>2</v>
      </c>
      <c r="X18" s="115"/>
      <c r="Y18" s="151">
        <f>'15'!Y18+'16'!W18</f>
        <v>56</v>
      </c>
      <c r="Z18" s="151"/>
    </row>
    <row r="19" spans="1:31" ht="21.9" customHeight="1">
      <c r="A19" s="153" t="s">
        <v>62</v>
      </c>
      <c r="B19" s="153"/>
      <c r="C19" s="174">
        <f>'15'!I19</f>
        <v>97814</v>
      </c>
      <c r="D19" s="174"/>
      <c r="E19" s="154">
        <v>48570</v>
      </c>
      <c r="F19" s="154"/>
      <c r="G19" s="154">
        <f>D7</f>
        <v>67599</v>
      </c>
      <c r="H19" s="154"/>
      <c r="I19" s="99">
        <f t="shared" ref="I19" si="1">C19+E19-G19</f>
        <v>78785</v>
      </c>
      <c r="J19" s="101"/>
      <c r="K19" s="139">
        <f>'15'!K19+'16'!E19</f>
        <v>1105360</v>
      </c>
      <c r="L19" s="139"/>
      <c r="M19" s="139">
        <f>'15'!M19+G19</f>
        <v>1136575</v>
      </c>
      <c r="N19" s="139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'15'!I20</f>
        <v>-</v>
      </c>
      <c r="D20" s="174"/>
      <c r="E20" s="102"/>
      <c r="F20" s="103"/>
      <c r="G20" s="104"/>
      <c r="H20" s="104"/>
      <c r="I20" s="102" t="s">
        <v>60</v>
      </c>
      <c r="J20" s="103"/>
      <c r="K20" s="105">
        <f>'15'!K20+'16'!E20</f>
        <v>0</v>
      </c>
      <c r="L20" s="105"/>
      <c r="M20" s="139">
        <f>'15'!M20+G20</f>
        <v>0</v>
      </c>
      <c r="N20" s="139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'15'!G24</f>
        <v>4016997</v>
      </c>
      <c r="E24" s="187"/>
      <c r="F24" s="187"/>
      <c r="G24" s="164">
        <v>4039538</v>
      </c>
      <c r="H24" s="164"/>
      <c r="I24" s="164"/>
      <c r="J24" s="164">
        <f>G24-D24</f>
        <v>22541</v>
      </c>
      <c r="K24" s="164"/>
      <c r="L24" s="164"/>
      <c r="M24" s="164">
        <f>'15'!M24+'16'!J24</f>
        <v>367970</v>
      </c>
      <c r="N24" s="164"/>
      <c r="P24" s="105" t="s">
        <v>36</v>
      </c>
      <c r="Q24" s="105"/>
      <c r="R24" s="105"/>
      <c r="S24" s="105">
        <f>'15'!V24</f>
        <v>559.29999999999995</v>
      </c>
      <c r="T24" s="105"/>
      <c r="U24" s="105"/>
      <c r="V24" s="140">
        <v>561.4</v>
      </c>
      <c r="W24" s="140"/>
      <c r="X24" s="140"/>
      <c r="Y24" s="140">
        <f>'15'!Y24+'16'!V24</f>
        <v>7801.1</v>
      </c>
      <c r="Z24" s="140"/>
    </row>
    <row r="25" spans="1:31" ht="21.9" customHeight="1">
      <c r="A25" s="104" t="s">
        <v>30</v>
      </c>
      <c r="B25" s="104"/>
      <c r="C25" s="104"/>
      <c r="D25" s="104">
        <f>'15'!G25</f>
        <v>33273.699999999997</v>
      </c>
      <c r="E25" s="104"/>
      <c r="F25" s="104"/>
      <c r="G25" s="104">
        <v>33307.800000000003</v>
      </c>
      <c r="H25" s="104"/>
      <c r="I25" s="104"/>
      <c r="J25" s="104">
        <f>G25-D25</f>
        <v>34.100000000005821</v>
      </c>
      <c r="K25" s="104"/>
      <c r="L25" s="104"/>
      <c r="M25" s="102">
        <f>'15'!M25+'16'!J25</f>
        <v>543.70000000000437</v>
      </c>
      <c r="N25" s="103"/>
      <c r="P25" s="104" t="s">
        <v>37</v>
      </c>
      <c r="Q25" s="104"/>
      <c r="R25" s="104"/>
      <c r="S25" s="102">
        <f>'15'!V25</f>
        <v>55.6</v>
      </c>
      <c r="T25" s="106"/>
      <c r="U25" s="103"/>
      <c r="V25" s="137">
        <v>66.8</v>
      </c>
      <c r="W25" s="137"/>
      <c r="X25" s="137"/>
      <c r="Y25" s="140">
        <f>'15'!Y25+'16'!V25</f>
        <v>933.49999999999989</v>
      </c>
      <c r="Z25" s="140"/>
    </row>
    <row r="26" spans="1:31" ht="21.9" customHeight="1">
      <c r="A26" s="104" t="s">
        <v>31</v>
      </c>
      <c r="B26" s="104"/>
      <c r="C26" s="104"/>
      <c r="D26" s="104">
        <f>'15'!G26</f>
        <v>24610</v>
      </c>
      <c r="E26" s="104"/>
      <c r="F26" s="104"/>
      <c r="G26" s="104">
        <v>24630</v>
      </c>
      <c r="H26" s="104"/>
      <c r="I26" s="104"/>
      <c r="J26" s="104">
        <f t="shared" ref="J26:J33" si="2">G26-D26</f>
        <v>20</v>
      </c>
      <c r="K26" s="104"/>
      <c r="L26" s="104"/>
      <c r="M26" s="102">
        <f>'15'!M26+'16'!J26</f>
        <v>330</v>
      </c>
      <c r="N26" s="103"/>
      <c r="P26" s="104" t="s">
        <v>38</v>
      </c>
      <c r="Q26" s="104"/>
      <c r="R26" s="104"/>
      <c r="S26" s="102">
        <f>'15'!V26</f>
        <v>480.7</v>
      </c>
      <c r="T26" s="106"/>
      <c r="U26" s="103"/>
      <c r="V26" s="137">
        <v>485.3</v>
      </c>
      <c r="W26" s="137"/>
      <c r="X26" s="137"/>
      <c r="Y26" s="140">
        <f>'15'!Y26+'16'!V26</f>
        <v>7897.5000000000009</v>
      </c>
      <c r="Z26" s="140"/>
    </row>
    <row r="27" spans="1:31" ht="21.9" customHeight="1">
      <c r="A27" s="104" t="s">
        <v>32</v>
      </c>
      <c r="B27" s="104"/>
      <c r="C27" s="104"/>
      <c r="D27" s="104">
        <f>'15'!G27</f>
        <v>1390000</v>
      </c>
      <c r="E27" s="104"/>
      <c r="F27" s="104"/>
      <c r="G27" s="104">
        <v>1393000</v>
      </c>
      <c r="H27" s="104"/>
      <c r="I27" s="104"/>
      <c r="J27" s="104">
        <f t="shared" si="2"/>
        <v>3000</v>
      </c>
      <c r="K27" s="104"/>
      <c r="L27" s="104"/>
      <c r="M27" s="102">
        <f>'15'!M27+'16'!J27</f>
        <v>54000</v>
      </c>
      <c r="N27" s="103"/>
      <c r="P27" s="104" t="s">
        <v>39</v>
      </c>
      <c r="Q27" s="104"/>
      <c r="R27" s="104"/>
      <c r="S27" s="102">
        <f>'15'!V27</f>
        <v>490.9</v>
      </c>
      <c r="T27" s="106"/>
      <c r="U27" s="103"/>
      <c r="V27" s="137">
        <v>508.4</v>
      </c>
      <c r="W27" s="137"/>
      <c r="X27" s="137"/>
      <c r="Y27" s="140">
        <f>'15'!Y27+'16'!V27</f>
        <v>8131.0999999999995</v>
      </c>
      <c r="Z27" s="140"/>
    </row>
    <row r="28" spans="1:31" ht="21.9" customHeight="1">
      <c r="A28" s="104" t="s">
        <v>33</v>
      </c>
      <c r="B28" s="104"/>
      <c r="C28" s="104"/>
      <c r="D28" s="104">
        <f>'15'!G28</f>
        <v>5772</v>
      </c>
      <c r="E28" s="104"/>
      <c r="F28" s="104"/>
      <c r="G28" s="104">
        <v>5823</v>
      </c>
      <c r="H28" s="104"/>
      <c r="I28" s="104"/>
      <c r="J28" s="104">
        <f t="shared" si="2"/>
        <v>51</v>
      </c>
      <c r="K28" s="104"/>
      <c r="L28" s="104"/>
      <c r="M28" s="102">
        <f>'15'!M28+'16'!J28</f>
        <v>885</v>
      </c>
      <c r="N28" s="103"/>
      <c r="P28" s="104" t="s">
        <v>41</v>
      </c>
      <c r="Q28" s="104"/>
      <c r="R28" s="104"/>
      <c r="S28" s="102">
        <f>'15'!V28</f>
        <v>0</v>
      </c>
      <c r="T28" s="106"/>
      <c r="U28" s="103"/>
      <c r="V28" s="137">
        <v>0</v>
      </c>
      <c r="W28" s="137"/>
      <c r="X28" s="137"/>
      <c r="Y28" s="140">
        <f>'15'!Y28+'16'!V28</f>
        <v>0</v>
      </c>
      <c r="Z28" s="140"/>
    </row>
    <row r="29" spans="1:31" ht="21.9" customHeight="1">
      <c r="A29" s="104" t="s">
        <v>34</v>
      </c>
      <c r="B29" s="104"/>
      <c r="C29" s="104"/>
      <c r="D29" s="104">
        <f>'15'!G29</f>
        <v>66230</v>
      </c>
      <c r="E29" s="104"/>
      <c r="F29" s="104"/>
      <c r="G29" s="104">
        <v>66230</v>
      </c>
      <c r="H29" s="104"/>
      <c r="I29" s="104"/>
      <c r="J29" s="104">
        <f t="shared" si="2"/>
        <v>0</v>
      </c>
      <c r="K29" s="104"/>
      <c r="L29" s="104"/>
      <c r="M29" s="102">
        <f>'15'!M29+'16'!J29</f>
        <v>50</v>
      </c>
      <c r="N29" s="103"/>
      <c r="P29" s="104" t="s">
        <v>40</v>
      </c>
      <c r="Q29" s="104"/>
      <c r="R29" s="104"/>
      <c r="S29" s="102">
        <f>'15'!V29</f>
        <v>66.599999999999994</v>
      </c>
      <c r="T29" s="106"/>
      <c r="U29" s="103"/>
      <c r="V29" s="137">
        <v>75.2</v>
      </c>
      <c r="W29" s="137"/>
      <c r="X29" s="137"/>
      <c r="Y29" s="140">
        <f>'15'!Y29+'16'!V29</f>
        <v>1051.9999999999998</v>
      </c>
      <c r="Z29" s="140"/>
    </row>
    <row r="30" spans="1:31" ht="21.9" customHeight="1">
      <c r="A30" s="104" t="s">
        <v>35</v>
      </c>
      <c r="B30" s="104"/>
      <c r="C30" s="104"/>
      <c r="D30" s="104">
        <f>'15'!G30</f>
        <v>53410</v>
      </c>
      <c r="E30" s="104"/>
      <c r="F30" s="104"/>
      <c r="G30" s="104">
        <v>53430</v>
      </c>
      <c r="H30" s="104"/>
      <c r="I30" s="104"/>
      <c r="J30" s="104">
        <f t="shared" si="2"/>
        <v>20</v>
      </c>
      <c r="K30" s="104"/>
      <c r="L30" s="104"/>
      <c r="M30" s="102">
        <f>'15'!M30+'16'!J30</f>
        <v>210</v>
      </c>
      <c r="N30" s="103"/>
      <c r="P30" s="104" t="s">
        <v>28</v>
      </c>
      <c r="Q30" s="104"/>
      <c r="R30" s="104"/>
      <c r="S30" s="102">
        <f>'15'!V30</f>
        <v>0</v>
      </c>
      <c r="T30" s="106"/>
      <c r="U30" s="103"/>
      <c r="V30" s="137"/>
      <c r="W30" s="137"/>
      <c r="X30" s="137"/>
      <c r="Y30" s="140">
        <f>'15'!Y30+'16'!V30</f>
        <v>1528.3</v>
      </c>
      <c r="Z30" s="140"/>
    </row>
    <row r="31" spans="1:31" ht="21.9" customHeight="1">
      <c r="A31" s="104" t="s">
        <v>120</v>
      </c>
      <c r="B31" s="104"/>
      <c r="C31" s="104"/>
      <c r="D31" s="104">
        <f>'15'!G31</f>
        <v>6320513</v>
      </c>
      <c r="E31" s="104"/>
      <c r="F31" s="104"/>
      <c r="G31" s="102">
        <v>6328164</v>
      </c>
      <c r="H31" s="106"/>
      <c r="I31" s="103"/>
      <c r="J31" s="104">
        <f t="shared" si="2"/>
        <v>7651</v>
      </c>
      <c r="K31" s="104"/>
      <c r="L31" s="104"/>
      <c r="M31" s="102">
        <f>'15'!M31+J31</f>
        <v>126069</v>
      </c>
      <c r="N31" s="103"/>
      <c r="P31" s="57"/>
      <c r="Q31" s="57"/>
      <c r="R31" s="57"/>
      <c r="S31" s="57"/>
      <c r="T31" s="57"/>
      <c r="U31" s="57"/>
      <c r="V31" s="58"/>
      <c r="W31" s="58"/>
      <c r="X31" s="58"/>
      <c r="Y31" s="58"/>
      <c r="Z31" s="58"/>
    </row>
    <row r="32" spans="1:31" ht="21.9" customHeight="1">
      <c r="A32" s="104" t="s">
        <v>121</v>
      </c>
      <c r="B32" s="104"/>
      <c r="C32" s="104"/>
      <c r="D32" s="104">
        <f>'15'!G32</f>
        <v>1.7</v>
      </c>
      <c r="E32" s="104"/>
      <c r="F32" s="104"/>
      <c r="G32" s="102">
        <v>1.7</v>
      </c>
      <c r="H32" s="106"/>
      <c r="I32" s="103"/>
      <c r="J32" s="102">
        <f t="shared" si="2"/>
        <v>0</v>
      </c>
      <c r="K32" s="106">
        <v>12.255000000000001</v>
      </c>
      <c r="L32" s="103">
        <v>12.255000000000001</v>
      </c>
      <c r="M32" s="102">
        <f>'15'!M32+J32</f>
        <v>9.9999999999999867E-2</v>
      </c>
      <c r="N32" s="103"/>
      <c r="P32" s="57"/>
      <c r="Q32" s="57"/>
      <c r="R32" s="57"/>
      <c r="S32" s="57"/>
      <c r="T32" s="57"/>
      <c r="U32" s="57"/>
      <c r="V32" s="58"/>
      <c r="W32" s="58"/>
      <c r="X32" s="58"/>
      <c r="Y32" s="58"/>
      <c r="Z32" s="58"/>
    </row>
    <row r="33" spans="1:26" ht="21.9" customHeight="1">
      <c r="A33" s="104" t="s">
        <v>122</v>
      </c>
      <c r="B33" s="104"/>
      <c r="C33" s="104"/>
      <c r="D33" s="104">
        <f>'15'!G33</f>
        <v>0</v>
      </c>
      <c r="E33" s="104"/>
      <c r="F33" s="104"/>
      <c r="G33" s="102">
        <v>0</v>
      </c>
      <c r="H33" s="106"/>
      <c r="I33" s="103"/>
      <c r="J33" s="102">
        <f t="shared" si="2"/>
        <v>0</v>
      </c>
      <c r="K33" s="106">
        <v>12.255000000000001</v>
      </c>
      <c r="L33" s="103">
        <v>12.255000000000001</v>
      </c>
      <c r="M33" s="102">
        <f>'15'!M33+J33</f>
        <v>0</v>
      </c>
      <c r="N33" s="103"/>
      <c r="P33" s="57"/>
      <c r="Q33" s="57"/>
      <c r="R33" s="57"/>
      <c r="S33" s="57"/>
      <c r="T33" s="57"/>
      <c r="U33" s="57"/>
      <c r="V33" s="58"/>
      <c r="W33" s="58"/>
      <c r="X33" s="58"/>
      <c r="Y33" s="58"/>
      <c r="Z33" s="58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 t="s">
        <v>110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H3" name="범위2"/>
    <protectedRange sqref="D7:I7 U2:Z3 R7:Z7 S12:V15 S18:V20 E12:H20 G24:I30 V24:X33" name="범위1"/>
    <protectedRange sqref="G31:I31 G32:L33" name="범위3_1_1"/>
    <protectedRange sqref="B2:G3" name="범위1_1"/>
  </protectedRanges>
  <mergeCells count="223">
    <mergeCell ref="A63:B76"/>
    <mergeCell ref="C63:Z76"/>
    <mergeCell ref="A36:B48"/>
    <mergeCell ref="C36:Z48"/>
    <mergeCell ref="A49:B62"/>
    <mergeCell ref="C49:Z62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A29:C29"/>
    <mergeCell ref="D29:F29"/>
    <mergeCell ref="G29:I29"/>
    <mergeCell ref="J29:L29"/>
    <mergeCell ref="M29:N29"/>
    <mergeCell ref="P29:R29"/>
    <mergeCell ref="S29:U29"/>
    <mergeCell ref="M33:N33"/>
    <mergeCell ref="S30:U30"/>
    <mergeCell ref="V29:X29"/>
    <mergeCell ref="Y29:Z29"/>
    <mergeCell ref="A28:C28"/>
    <mergeCell ref="D28:F28"/>
    <mergeCell ref="G28:I28"/>
    <mergeCell ref="J28:L28"/>
    <mergeCell ref="M28:N28"/>
    <mergeCell ref="P28:R28"/>
    <mergeCell ref="S28:U28"/>
    <mergeCell ref="V28:X28"/>
    <mergeCell ref="Y28:Z28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A23:C23"/>
    <mergeCell ref="D23:F23"/>
    <mergeCell ref="G23:I23"/>
    <mergeCell ref="J23:L23"/>
    <mergeCell ref="M23:N23"/>
    <mergeCell ref="P23:R23"/>
    <mergeCell ref="S23:U23"/>
    <mergeCell ref="P18:R20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18:B18"/>
    <mergeCell ref="C18:D18"/>
    <mergeCell ref="E18:F18"/>
    <mergeCell ref="G18:H18"/>
    <mergeCell ref="I18:J18"/>
    <mergeCell ref="K18:L18"/>
    <mergeCell ref="M18:N18"/>
    <mergeCell ref="I17:J17"/>
    <mergeCell ref="K17:L17"/>
    <mergeCell ref="A17:B17"/>
    <mergeCell ref="C17:D17"/>
    <mergeCell ref="E17:F17"/>
    <mergeCell ref="G17:H17"/>
    <mergeCell ref="A16:B16"/>
    <mergeCell ref="C16:D16"/>
    <mergeCell ref="E16:F16"/>
    <mergeCell ref="G16:H16"/>
    <mergeCell ref="I16:J16"/>
    <mergeCell ref="K16:L16"/>
    <mergeCell ref="M16:N16"/>
    <mergeCell ref="A14:B14"/>
    <mergeCell ref="C14:D14"/>
    <mergeCell ref="E14:F14"/>
    <mergeCell ref="G14:H14"/>
    <mergeCell ref="I14:J14"/>
    <mergeCell ref="K14:L14"/>
    <mergeCell ref="M14:N14"/>
    <mergeCell ref="A15:B15"/>
    <mergeCell ref="C15:D15"/>
    <mergeCell ref="E15:F15"/>
    <mergeCell ref="G15:H15"/>
    <mergeCell ref="I15:J15"/>
    <mergeCell ref="K15:L15"/>
    <mergeCell ref="R8:T8"/>
    <mergeCell ref="S11:V11"/>
    <mergeCell ref="U8:W8"/>
    <mergeCell ref="A13:B13"/>
    <mergeCell ref="C13:D13"/>
    <mergeCell ref="E13:F13"/>
    <mergeCell ref="G13:H13"/>
    <mergeCell ref="I13:J13"/>
    <mergeCell ref="K13:L13"/>
    <mergeCell ref="M13:N13"/>
    <mergeCell ref="P12:R13"/>
    <mergeCell ref="M12:N12"/>
    <mergeCell ref="A12:B12"/>
    <mergeCell ref="C12:D12"/>
    <mergeCell ref="E12:F12"/>
    <mergeCell ref="G12:H12"/>
    <mergeCell ref="I12:J12"/>
    <mergeCell ref="K12:L12"/>
    <mergeCell ref="G8:I8"/>
    <mergeCell ref="J8:L8"/>
    <mergeCell ref="P8:Q8"/>
    <mergeCell ref="M11:N11"/>
    <mergeCell ref="P11:R11"/>
    <mergeCell ref="A8:C8"/>
    <mergeCell ref="A1:A3"/>
    <mergeCell ref="W1:X1"/>
    <mergeCell ref="H1:S2"/>
    <mergeCell ref="T1:T3"/>
    <mergeCell ref="U1:V1"/>
    <mergeCell ref="U2:V3"/>
    <mergeCell ref="H3:S3"/>
    <mergeCell ref="Y1:Z1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G6:I6"/>
    <mergeCell ref="J6:L6"/>
    <mergeCell ref="P6:Q6"/>
    <mergeCell ref="R6:T6"/>
    <mergeCell ref="U6:W6"/>
    <mergeCell ref="X6:Z6"/>
    <mergeCell ref="K11:L11"/>
    <mergeCell ref="P22:U22"/>
    <mergeCell ref="V23:X23"/>
    <mergeCell ref="Y23:Z23"/>
    <mergeCell ref="S26:U26"/>
    <mergeCell ref="V26:X26"/>
    <mergeCell ref="M17:N17"/>
    <mergeCell ref="Y26:Z26"/>
    <mergeCell ref="V27:X27"/>
    <mergeCell ref="Y27:Z27"/>
    <mergeCell ref="S14:V15"/>
    <mergeCell ref="W14:Z15"/>
    <mergeCell ref="S16:T17"/>
    <mergeCell ref="U16:V17"/>
    <mergeCell ref="W16:X17"/>
    <mergeCell ref="S18:T20"/>
    <mergeCell ref="U18:V20"/>
    <mergeCell ref="W18:X20"/>
    <mergeCell ref="P16:R17"/>
    <mergeCell ref="D8:F8"/>
    <mergeCell ref="V30:X30"/>
    <mergeCell ref="Y30:Z30"/>
    <mergeCell ref="P14:R15"/>
    <mergeCell ref="M15:N15"/>
    <mergeCell ref="B1:C1"/>
    <mergeCell ref="D1:E1"/>
    <mergeCell ref="F1:G1"/>
    <mergeCell ref="B2:C3"/>
    <mergeCell ref="D2:E3"/>
    <mergeCell ref="F2:G3"/>
    <mergeCell ref="X8:Z8"/>
    <mergeCell ref="W11:Z11"/>
    <mergeCell ref="Y18:Z20"/>
    <mergeCell ref="S12:V13"/>
    <mergeCell ref="W12:Z13"/>
    <mergeCell ref="Y16:Z17"/>
    <mergeCell ref="W2:X3"/>
    <mergeCell ref="Y2:Z3"/>
    <mergeCell ref="A11:B11"/>
    <mergeCell ref="C11:D11"/>
    <mergeCell ref="E11:F11"/>
    <mergeCell ref="G11:H11"/>
    <mergeCell ref="I11:J1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topLeftCell="A19" zoomScaleNormal="100" zoomScaleSheetLayoutView="100" workbookViewId="0">
      <selection activeCell="B2" sqref="B2:G3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149</v>
      </c>
      <c r="C2" s="135"/>
      <c r="D2" s="135" t="s">
        <v>147</v>
      </c>
      <c r="E2" s="135"/>
      <c r="F2" s="135" t="s">
        <v>154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05"/>
      <c r="E3" s="105"/>
      <c r="F3" s="105"/>
      <c r="G3" s="105"/>
      <c r="H3" s="132">
        <v>46220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77111</v>
      </c>
      <c r="E7" s="139"/>
      <c r="F7" s="139"/>
      <c r="G7" s="139">
        <v>135800</v>
      </c>
      <c r="H7" s="139"/>
      <c r="I7" s="139"/>
      <c r="J7" s="154">
        <f>D7+G7</f>
        <v>212911</v>
      </c>
      <c r="K7" s="154"/>
      <c r="L7" s="154"/>
      <c r="M7" s="1"/>
      <c r="N7" s="1"/>
      <c r="O7" s="1"/>
      <c r="P7" s="105" t="s">
        <v>48</v>
      </c>
      <c r="Q7" s="105"/>
      <c r="R7" s="140">
        <v>514.70000000000005</v>
      </c>
      <c r="S7" s="140"/>
      <c r="T7" s="140"/>
      <c r="U7" s="140">
        <v>389.5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'16'!D8+'17'!D7</f>
        <v>1213686</v>
      </c>
      <c r="E8" s="154"/>
      <c r="F8" s="154"/>
      <c r="G8" s="154">
        <f>'16'!G8+'17'!G7</f>
        <v>2511600</v>
      </c>
      <c r="H8" s="154"/>
      <c r="I8" s="154"/>
      <c r="J8" s="154">
        <f>D8+G8</f>
        <v>3725286</v>
      </c>
      <c r="K8" s="154"/>
      <c r="L8" s="154"/>
      <c r="M8" s="1"/>
      <c r="N8" s="1"/>
      <c r="O8" s="1"/>
      <c r="P8" s="104" t="s">
        <v>2</v>
      </c>
      <c r="Q8" s="104"/>
      <c r="R8" s="137">
        <f>'16'!R8+R7</f>
        <v>8270.1</v>
      </c>
      <c r="S8" s="137"/>
      <c r="T8" s="137"/>
      <c r="U8" s="137">
        <f>'16'!U8+'17'!U7</f>
        <v>5399.0999999999995</v>
      </c>
      <c r="V8" s="137"/>
      <c r="W8" s="137"/>
      <c r="X8" s="138">
        <f>'16'!X8+'17'!X7</f>
        <v>408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'16'!I12</f>
        <v>18666</v>
      </c>
      <c r="D12" s="174"/>
      <c r="E12" s="105">
        <v>0</v>
      </c>
      <c r="F12" s="105"/>
      <c r="G12" s="105">
        <v>4670</v>
      </c>
      <c r="H12" s="105"/>
      <c r="I12" s="107">
        <f t="shared" ref="I12:I18" si="0">C12+E12-G12</f>
        <v>13996</v>
      </c>
      <c r="J12" s="109"/>
      <c r="K12" s="105">
        <f>'16'!K12+'17'!E12</f>
        <v>66410</v>
      </c>
      <c r="L12" s="105"/>
      <c r="M12" s="105">
        <f>'16'!M12+G12</f>
        <v>67328</v>
      </c>
      <c r="N12" s="105"/>
      <c r="O12" s="1"/>
      <c r="P12" s="149" t="s">
        <v>101</v>
      </c>
      <c r="Q12" s="105"/>
      <c r="R12" s="105"/>
      <c r="S12" s="143">
        <v>55.46</v>
      </c>
      <c r="T12" s="144"/>
      <c r="U12" s="144"/>
      <c r="V12" s="144"/>
      <c r="W12" s="194">
        <f>'16'!W12+'17'!S12</f>
        <v>672.10000000000014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'16'!I13</f>
        <v>720</v>
      </c>
      <c r="D13" s="174"/>
      <c r="E13" s="104">
        <v>0</v>
      </c>
      <c r="F13" s="104"/>
      <c r="G13" s="104">
        <v>100</v>
      </c>
      <c r="H13" s="104"/>
      <c r="I13" s="102">
        <f t="shared" si="0"/>
        <v>620</v>
      </c>
      <c r="J13" s="103"/>
      <c r="K13" s="105">
        <f>'16'!K13+'17'!E13</f>
        <v>1620</v>
      </c>
      <c r="L13" s="105"/>
      <c r="M13" s="105">
        <f>'16'!M13+G13</f>
        <v>1590</v>
      </c>
      <c r="N13" s="105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'16'!I14</f>
        <v>680</v>
      </c>
      <c r="D14" s="174"/>
      <c r="E14" s="104">
        <v>0</v>
      </c>
      <c r="F14" s="104"/>
      <c r="G14" s="104">
        <v>120</v>
      </c>
      <c r="H14" s="104"/>
      <c r="I14" s="102">
        <f t="shared" si="0"/>
        <v>560</v>
      </c>
      <c r="J14" s="103"/>
      <c r="K14" s="105">
        <f>'16'!K14+'17'!E14</f>
        <v>2000</v>
      </c>
      <c r="L14" s="105"/>
      <c r="M14" s="105">
        <f>'16'!M14+G14</f>
        <v>2040</v>
      </c>
      <c r="N14" s="105"/>
      <c r="O14" s="1"/>
      <c r="P14" s="104" t="s">
        <v>26</v>
      </c>
      <c r="Q14" s="104"/>
      <c r="R14" s="104"/>
      <c r="S14" s="155">
        <v>0</v>
      </c>
      <c r="T14" s="156"/>
      <c r="U14" s="156"/>
      <c r="V14" s="156"/>
      <c r="W14" s="186">
        <f>'16'!W14+'17'!S14</f>
        <v>118.43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'16'!I15</f>
        <v>832</v>
      </c>
      <c r="D15" s="174"/>
      <c r="E15" s="104">
        <v>0</v>
      </c>
      <c r="F15" s="104"/>
      <c r="G15" s="104">
        <v>31</v>
      </c>
      <c r="H15" s="104"/>
      <c r="I15" s="102">
        <f t="shared" si="0"/>
        <v>801</v>
      </c>
      <c r="J15" s="103"/>
      <c r="K15" s="105">
        <f>'16'!K15+'17'!E15</f>
        <v>0</v>
      </c>
      <c r="L15" s="105"/>
      <c r="M15" s="105">
        <f>'16'!M15+G15</f>
        <v>498</v>
      </c>
      <c r="N15" s="105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'16'!I16</f>
        <v>2030</v>
      </c>
      <c r="D16" s="174"/>
      <c r="E16" s="104">
        <v>0</v>
      </c>
      <c r="F16" s="104"/>
      <c r="G16" s="104">
        <v>20</v>
      </c>
      <c r="H16" s="104"/>
      <c r="I16" s="102">
        <f t="shared" si="0"/>
        <v>2010</v>
      </c>
      <c r="J16" s="103"/>
      <c r="K16" s="105">
        <f>'16'!K16+'17'!E16</f>
        <v>0</v>
      </c>
      <c r="L16" s="105"/>
      <c r="M16" s="105">
        <f>'16'!M16+G16</f>
        <v>340</v>
      </c>
      <c r="N16" s="105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'16'!I17</f>
        <v>1530</v>
      </c>
      <c r="D17" s="174"/>
      <c r="E17" s="104">
        <v>0</v>
      </c>
      <c r="F17" s="104"/>
      <c r="G17" s="104">
        <v>200</v>
      </c>
      <c r="H17" s="104"/>
      <c r="I17" s="102">
        <f t="shared" si="0"/>
        <v>1330</v>
      </c>
      <c r="J17" s="103"/>
      <c r="K17" s="105">
        <f>'16'!K17+'17'!E17</f>
        <v>2880</v>
      </c>
      <c r="L17" s="105"/>
      <c r="M17" s="105">
        <f>'16'!M17+G17</f>
        <v>3400</v>
      </c>
      <c r="N17" s="105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'16'!I18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0"/>
        <v>5340</v>
      </c>
      <c r="J18" s="103"/>
      <c r="K18" s="105">
        <f>'16'!K18+'17'!E18</f>
        <v>0</v>
      </c>
      <c r="L18" s="105"/>
      <c r="M18" s="105">
        <f>'16'!M18+G18</f>
        <v>0</v>
      </c>
      <c r="N18" s="105"/>
      <c r="O18" s="1"/>
      <c r="P18" s="164" t="s">
        <v>27</v>
      </c>
      <c r="Q18" s="164"/>
      <c r="R18" s="164"/>
      <c r="S18" s="114">
        <v>1</v>
      </c>
      <c r="T18" s="115"/>
      <c r="U18" s="114">
        <v>1</v>
      </c>
      <c r="V18" s="115"/>
      <c r="W18" s="114">
        <f>S18+U18</f>
        <v>2</v>
      </c>
      <c r="X18" s="115"/>
      <c r="Y18" s="151">
        <f>'16'!Y18+'17'!W18</f>
        <v>58</v>
      </c>
      <c r="Z18" s="151"/>
    </row>
    <row r="19" spans="1:31" ht="21.9" customHeight="1">
      <c r="A19" s="153" t="s">
        <v>62</v>
      </c>
      <c r="B19" s="153"/>
      <c r="C19" s="174">
        <f>'16'!I19</f>
        <v>78785</v>
      </c>
      <c r="D19" s="174"/>
      <c r="E19" s="154">
        <v>62710</v>
      </c>
      <c r="F19" s="154"/>
      <c r="G19" s="154">
        <f>D7</f>
        <v>77111</v>
      </c>
      <c r="H19" s="154"/>
      <c r="I19" s="99">
        <f t="shared" ref="I19" si="1">C19+E19-G19</f>
        <v>64384</v>
      </c>
      <c r="J19" s="101"/>
      <c r="K19" s="105">
        <f>'16'!K19+'17'!E19</f>
        <v>1168070</v>
      </c>
      <c r="L19" s="105"/>
      <c r="M19" s="105">
        <f>'16'!M19+G19</f>
        <v>1213686</v>
      </c>
      <c r="N19" s="105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'16'!I20</f>
        <v>-</v>
      </c>
      <c r="D20" s="174"/>
      <c r="E20" s="102"/>
      <c r="F20" s="103"/>
      <c r="G20" s="104"/>
      <c r="H20" s="104"/>
      <c r="I20" s="102" t="s">
        <v>60</v>
      </c>
      <c r="J20" s="103"/>
      <c r="K20" s="105">
        <f>'18'!K20+'17'!E20</f>
        <v>0</v>
      </c>
      <c r="L20" s="105"/>
      <c r="M20" s="139">
        <f>'18'!M20+G20</f>
        <v>0</v>
      </c>
      <c r="N20" s="139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'16'!G24</f>
        <v>4039538</v>
      </c>
      <c r="E24" s="187"/>
      <c r="F24" s="187"/>
      <c r="G24" s="164">
        <v>4062078</v>
      </c>
      <c r="H24" s="164"/>
      <c r="I24" s="164"/>
      <c r="J24" s="164">
        <f>G24-D24</f>
        <v>22540</v>
      </c>
      <c r="K24" s="164"/>
      <c r="L24" s="164"/>
      <c r="M24" s="164">
        <f>'16'!M24+J24</f>
        <v>390510</v>
      </c>
      <c r="N24" s="164"/>
      <c r="P24" s="105" t="s">
        <v>36</v>
      </c>
      <c r="Q24" s="105"/>
      <c r="R24" s="105"/>
      <c r="S24" s="105">
        <f>'16'!V24</f>
        <v>561.4</v>
      </c>
      <c r="T24" s="105"/>
      <c r="U24" s="105"/>
      <c r="V24" s="140">
        <v>565.1</v>
      </c>
      <c r="W24" s="140"/>
      <c r="X24" s="140"/>
      <c r="Y24" s="140">
        <f>'16'!Y24+'17'!V24</f>
        <v>8366.2000000000007</v>
      </c>
      <c r="Z24" s="140"/>
    </row>
    <row r="25" spans="1:31" ht="21.9" customHeight="1">
      <c r="A25" s="104" t="s">
        <v>30</v>
      </c>
      <c r="B25" s="104"/>
      <c r="C25" s="104"/>
      <c r="D25" s="104">
        <f>'16'!G25</f>
        <v>33307.800000000003</v>
      </c>
      <c r="E25" s="104"/>
      <c r="F25" s="104"/>
      <c r="G25" s="104">
        <v>33342.6</v>
      </c>
      <c r="H25" s="104"/>
      <c r="I25" s="104"/>
      <c r="J25" s="104">
        <f>G25-D25</f>
        <v>34.799999999995634</v>
      </c>
      <c r="K25" s="104"/>
      <c r="L25" s="104"/>
      <c r="M25" s="102">
        <f>'16'!M25+J25</f>
        <v>578.5</v>
      </c>
      <c r="N25" s="103"/>
      <c r="P25" s="104" t="s">
        <v>37</v>
      </c>
      <c r="Q25" s="104"/>
      <c r="R25" s="104"/>
      <c r="S25" s="105">
        <f>'16'!V25</f>
        <v>66.8</v>
      </c>
      <c r="T25" s="105"/>
      <c r="U25" s="105"/>
      <c r="V25" s="137">
        <v>52.8</v>
      </c>
      <c r="W25" s="137"/>
      <c r="X25" s="137"/>
      <c r="Y25" s="140">
        <f>'16'!Y25+'17'!V25</f>
        <v>986.29999999999984</v>
      </c>
      <c r="Z25" s="140"/>
    </row>
    <row r="26" spans="1:31" ht="21.9" customHeight="1">
      <c r="A26" s="104" t="s">
        <v>31</v>
      </c>
      <c r="B26" s="104"/>
      <c r="C26" s="104"/>
      <c r="D26" s="104">
        <f>'16'!G26</f>
        <v>24630</v>
      </c>
      <c r="E26" s="104"/>
      <c r="F26" s="104"/>
      <c r="G26" s="104">
        <v>24650</v>
      </c>
      <c r="H26" s="104"/>
      <c r="I26" s="104"/>
      <c r="J26" s="104">
        <f t="shared" ref="J26:J33" si="2">G26-D26</f>
        <v>20</v>
      </c>
      <c r="K26" s="104"/>
      <c r="L26" s="104"/>
      <c r="M26" s="102">
        <f>'16'!M26+J26</f>
        <v>350</v>
      </c>
      <c r="N26" s="103"/>
      <c r="P26" s="104" t="s">
        <v>38</v>
      </c>
      <c r="Q26" s="104"/>
      <c r="R26" s="104"/>
      <c r="S26" s="105">
        <f>'16'!V26</f>
        <v>485.3</v>
      </c>
      <c r="T26" s="105"/>
      <c r="U26" s="105"/>
      <c r="V26" s="137">
        <v>504.6</v>
      </c>
      <c r="W26" s="137"/>
      <c r="X26" s="137"/>
      <c r="Y26" s="140">
        <f>'16'!Y26+'17'!V26</f>
        <v>8402.1</v>
      </c>
      <c r="Z26" s="140"/>
    </row>
    <row r="27" spans="1:31" ht="21.9" customHeight="1">
      <c r="A27" s="104" t="s">
        <v>32</v>
      </c>
      <c r="B27" s="104"/>
      <c r="C27" s="104"/>
      <c r="D27" s="104">
        <f>'16'!G27</f>
        <v>1393000</v>
      </c>
      <c r="E27" s="104"/>
      <c r="F27" s="104"/>
      <c r="G27" s="104">
        <v>1396000</v>
      </c>
      <c r="H27" s="104"/>
      <c r="I27" s="104"/>
      <c r="J27" s="104">
        <f t="shared" si="2"/>
        <v>3000</v>
      </c>
      <c r="K27" s="104"/>
      <c r="L27" s="104"/>
      <c r="M27" s="102">
        <f>'16'!M27+J27</f>
        <v>57000</v>
      </c>
      <c r="N27" s="103"/>
      <c r="P27" s="104" t="s">
        <v>39</v>
      </c>
      <c r="Q27" s="104"/>
      <c r="R27" s="104"/>
      <c r="S27" s="105">
        <f>'16'!V27</f>
        <v>508.4</v>
      </c>
      <c r="T27" s="105"/>
      <c r="U27" s="105"/>
      <c r="V27" s="137">
        <v>519.1</v>
      </c>
      <c r="W27" s="137"/>
      <c r="X27" s="137"/>
      <c r="Y27" s="140">
        <f>'16'!Y27+'17'!V27</f>
        <v>8650.1999999999989</v>
      </c>
      <c r="Z27" s="140"/>
    </row>
    <row r="28" spans="1:31" ht="21.9" customHeight="1">
      <c r="A28" s="104" t="s">
        <v>33</v>
      </c>
      <c r="B28" s="104"/>
      <c r="C28" s="104"/>
      <c r="D28" s="104">
        <f>'16'!G28</f>
        <v>5823</v>
      </c>
      <c r="E28" s="104"/>
      <c r="F28" s="104"/>
      <c r="G28" s="104">
        <v>5875</v>
      </c>
      <c r="H28" s="104"/>
      <c r="I28" s="104"/>
      <c r="J28" s="104">
        <f t="shared" si="2"/>
        <v>52</v>
      </c>
      <c r="K28" s="104"/>
      <c r="L28" s="104"/>
      <c r="M28" s="102">
        <f>'16'!M28+J28</f>
        <v>937</v>
      </c>
      <c r="N28" s="103"/>
      <c r="P28" s="104" t="s">
        <v>41</v>
      </c>
      <c r="Q28" s="104"/>
      <c r="R28" s="104"/>
      <c r="S28" s="105">
        <f>'16'!V28</f>
        <v>0</v>
      </c>
      <c r="T28" s="105"/>
      <c r="U28" s="105"/>
      <c r="V28" s="137">
        <v>0</v>
      </c>
      <c r="W28" s="137"/>
      <c r="X28" s="137"/>
      <c r="Y28" s="140">
        <f>'16'!Y28+'17'!V28</f>
        <v>0</v>
      </c>
      <c r="Z28" s="140"/>
    </row>
    <row r="29" spans="1:31" ht="21.9" customHeight="1">
      <c r="A29" s="104" t="s">
        <v>34</v>
      </c>
      <c r="B29" s="104"/>
      <c r="C29" s="104"/>
      <c r="D29" s="104">
        <f>'16'!G29</f>
        <v>66230</v>
      </c>
      <c r="E29" s="104"/>
      <c r="F29" s="104"/>
      <c r="G29" s="104">
        <v>66230</v>
      </c>
      <c r="H29" s="104"/>
      <c r="I29" s="104"/>
      <c r="J29" s="104">
        <f t="shared" si="2"/>
        <v>0</v>
      </c>
      <c r="K29" s="104"/>
      <c r="L29" s="104"/>
      <c r="M29" s="102">
        <f>'16'!M29+J29</f>
        <v>50</v>
      </c>
      <c r="N29" s="103"/>
      <c r="P29" s="104" t="s">
        <v>40</v>
      </c>
      <c r="Q29" s="104"/>
      <c r="R29" s="104"/>
      <c r="S29" s="105">
        <f>'16'!V29</f>
        <v>75.2</v>
      </c>
      <c r="T29" s="105"/>
      <c r="U29" s="105"/>
      <c r="V29" s="137">
        <v>67.2</v>
      </c>
      <c r="W29" s="137"/>
      <c r="X29" s="137"/>
      <c r="Y29" s="140">
        <f>'16'!Y29+'17'!V29</f>
        <v>1119.1999999999998</v>
      </c>
      <c r="Z29" s="140"/>
    </row>
    <row r="30" spans="1:31" ht="21.9" customHeight="1">
      <c r="A30" s="104" t="s">
        <v>35</v>
      </c>
      <c r="B30" s="104"/>
      <c r="C30" s="104"/>
      <c r="D30" s="104">
        <f>'16'!G30</f>
        <v>53430</v>
      </c>
      <c r="E30" s="104"/>
      <c r="F30" s="104"/>
      <c r="G30" s="104">
        <v>53440</v>
      </c>
      <c r="H30" s="104"/>
      <c r="I30" s="104"/>
      <c r="J30" s="104">
        <f t="shared" si="2"/>
        <v>10</v>
      </c>
      <c r="K30" s="104"/>
      <c r="L30" s="104"/>
      <c r="M30" s="102">
        <f>'16'!M30+J30</f>
        <v>220</v>
      </c>
      <c r="N30" s="103"/>
      <c r="P30" s="104" t="s">
        <v>28</v>
      </c>
      <c r="Q30" s="104"/>
      <c r="R30" s="104"/>
      <c r="S30" s="104">
        <f>SUM(S24:U29)</f>
        <v>1697.1000000000001</v>
      </c>
      <c r="T30" s="104"/>
      <c r="U30" s="104"/>
      <c r="V30" s="137"/>
      <c r="W30" s="137"/>
      <c r="X30" s="137"/>
      <c r="Y30" s="140">
        <f>'16'!Y30+'17'!V30</f>
        <v>1528.3</v>
      </c>
      <c r="Z30" s="140"/>
    </row>
    <row r="31" spans="1:31" ht="21.9" customHeight="1">
      <c r="A31" s="104" t="s">
        <v>120</v>
      </c>
      <c r="B31" s="104"/>
      <c r="C31" s="104"/>
      <c r="D31" s="104">
        <f>'16'!G31</f>
        <v>6328164</v>
      </c>
      <c r="E31" s="104"/>
      <c r="F31" s="104"/>
      <c r="G31" s="102">
        <v>6336003</v>
      </c>
      <c r="H31" s="106"/>
      <c r="I31" s="103"/>
      <c r="J31" s="104">
        <f t="shared" si="2"/>
        <v>7839</v>
      </c>
      <c r="K31" s="104"/>
      <c r="L31" s="104"/>
      <c r="M31" s="102">
        <f>'16'!M31+J31</f>
        <v>133908</v>
      </c>
      <c r="N31" s="103"/>
      <c r="P31" s="57"/>
      <c r="Q31" s="57"/>
      <c r="R31" s="57"/>
      <c r="S31" s="57"/>
      <c r="T31" s="57"/>
      <c r="U31" s="57"/>
      <c r="V31" s="58"/>
      <c r="W31" s="58"/>
      <c r="X31" s="58"/>
      <c r="Y31" s="58"/>
      <c r="Z31" s="58"/>
    </row>
    <row r="32" spans="1:31" ht="21.9" customHeight="1">
      <c r="A32" s="104" t="s">
        <v>121</v>
      </c>
      <c r="B32" s="104"/>
      <c r="C32" s="104"/>
      <c r="D32" s="104">
        <f>'16'!G32</f>
        <v>1.7</v>
      </c>
      <c r="E32" s="104"/>
      <c r="F32" s="104"/>
      <c r="G32" s="102">
        <v>1.7</v>
      </c>
      <c r="H32" s="106"/>
      <c r="I32" s="103"/>
      <c r="J32" s="102">
        <f t="shared" si="2"/>
        <v>0</v>
      </c>
      <c r="K32" s="106">
        <v>12.255000000000001</v>
      </c>
      <c r="L32" s="103">
        <v>12.255000000000001</v>
      </c>
      <c r="M32" s="102">
        <f>'16'!M32+J32</f>
        <v>9.9999999999999867E-2</v>
      </c>
      <c r="N32" s="103"/>
      <c r="P32" s="57"/>
      <c r="Q32" s="57"/>
      <c r="R32" s="57"/>
      <c r="S32" s="57"/>
      <c r="T32" s="57"/>
      <c r="U32" s="57"/>
      <c r="V32" s="58"/>
      <c r="W32" s="58"/>
      <c r="X32" s="58"/>
      <c r="Y32" s="58"/>
      <c r="Z32" s="58"/>
    </row>
    <row r="33" spans="1:26" ht="21.9" customHeight="1">
      <c r="A33" s="104" t="s">
        <v>122</v>
      </c>
      <c r="B33" s="104"/>
      <c r="C33" s="104"/>
      <c r="D33" s="104">
        <f>'16'!G33</f>
        <v>0</v>
      </c>
      <c r="E33" s="104"/>
      <c r="F33" s="104"/>
      <c r="G33" s="102">
        <v>0</v>
      </c>
      <c r="H33" s="106"/>
      <c r="I33" s="103"/>
      <c r="J33" s="102">
        <f t="shared" si="2"/>
        <v>0</v>
      </c>
      <c r="K33" s="106">
        <v>12.255000000000001</v>
      </c>
      <c r="L33" s="103">
        <v>12.255000000000001</v>
      </c>
      <c r="M33" s="102">
        <f>'16'!M33+J33</f>
        <v>0</v>
      </c>
      <c r="N33" s="103"/>
      <c r="P33" s="57"/>
      <c r="Q33" s="57"/>
      <c r="R33" s="57"/>
      <c r="S33" s="57"/>
      <c r="T33" s="57"/>
      <c r="U33" s="57"/>
      <c r="V33" s="58"/>
      <c r="W33" s="58"/>
      <c r="X33" s="58"/>
      <c r="Y33" s="58"/>
      <c r="Z33" s="58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H3" name="범위2"/>
    <protectedRange sqref="D7:I7 U2:Z3 R7:Z7 E12:H20 S12:V15 S18:V20 G24:I30 V24:X33" name="범위1"/>
    <protectedRange sqref="G31:I31 G32:L33" name="범위3_1_1"/>
    <protectedRange sqref="B2:G3" name="범위1_1"/>
  </protectedRanges>
  <mergeCells count="223">
    <mergeCell ref="A63:B76"/>
    <mergeCell ref="C63:Z76"/>
    <mergeCell ref="A36:B48"/>
    <mergeCell ref="C36:Z48"/>
    <mergeCell ref="A49:B62"/>
    <mergeCell ref="C49:Z62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A29:C29"/>
    <mergeCell ref="D29:F29"/>
    <mergeCell ref="G29:I29"/>
    <mergeCell ref="J29:L29"/>
    <mergeCell ref="M29:N29"/>
    <mergeCell ref="P29:R29"/>
    <mergeCell ref="S29:U29"/>
    <mergeCell ref="M33:N33"/>
    <mergeCell ref="S30:U30"/>
    <mergeCell ref="V29:X29"/>
    <mergeCell ref="Y29:Z29"/>
    <mergeCell ref="A28:C28"/>
    <mergeCell ref="D28:F28"/>
    <mergeCell ref="G28:I28"/>
    <mergeCell ref="J28:L28"/>
    <mergeCell ref="M28:N28"/>
    <mergeCell ref="P28:R28"/>
    <mergeCell ref="S28:U28"/>
    <mergeCell ref="V28:X28"/>
    <mergeCell ref="Y28:Z28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A23:C23"/>
    <mergeCell ref="D23:F23"/>
    <mergeCell ref="G23:I23"/>
    <mergeCell ref="J23:L23"/>
    <mergeCell ref="M23:N23"/>
    <mergeCell ref="P23:R23"/>
    <mergeCell ref="S23:U23"/>
    <mergeCell ref="P18:R20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18:B18"/>
    <mergeCell ref="C18:D18"/>
    <mergeCell ref="E18:F18"/>
    <mergeCell ref="G18:H18"/>
    <mergeCell ref="I18:J18"/>
    <mergeCell ref="K18:L18"/>
    <mergeCell ref="M18:N18"/>
    <mergeCell ref="I17:J17"/>
    <mergeCell ref="K17:L17"/>
    <mergeCell ref="A17:B17"/>
    <mergeCell ref="C17:D17"/>
    <mergeCell ref="E17:F17"/>
    <mergeCell ref="G17:H17"/>
    <mergeCell ref="A16:B16"/>
    <mergeCell ref="C16:D16"/>
    <mergeCell ref="E16:F16"/>
    <mergeCell ref="G16:H16"/>
    <mergeCell ref="I16:J16"/>
    <mergeCell ref="K16:L16"/>
    <mergeCell ref="M16:N16"/>
    <mergeCell ref="A14:B14"/>
    <mergeCell ref="C14:D14"/>
    <mergeCell ref="E14:F14"/>
    <mergeCell ref="G14:H14"/>
    <mergeCell ref="I14:J14"/>
    <mergeCell ref="K14:L14"/>
    <mergeCell ref="M14:N14"/>
    <mergeCell ref="A15:B15"/>
    <mergeCell ref="C15:D15"/>
    <mergeCell ref="E15:F15"/>
    <mergeCell ref="G15:H15"/>
    <mergeCell ref="I15:J15"/>
    <mergeCell ref="K15:L15"/>
    <mergeCell ref="R8:T8"/>
    <mergeCell ref="S11:V11"/>
    <mergeCell ref="U8:W8"/>
    <mergeCell ref="A13:B13"/>
    <mergeCell ref="C13:D13"/>
    <mergeCell ref="E13:F13"/>
    <mergeCell ref="G13:H13"/>
    <mergeCell ref="I13:J13"/>
    <mergeCell ref="K13:L13"/>
    <mergeCell ref="M13:N13"/>
    <mergeCell ref="P12:R13"/>
    <mergeCell ref="M12:N12"/>
    <mergeCell ref="A12:B12"/>
    <mergeCell ref="C12:D12"/>
    <mergeCell ref="E12:F12"/>
    <mergeCell ref="G12:H12"/>
    <mergeCell ref="I12:J12"/>
    <mergeCell ref="K12:L12"/>
    <mergeCell ref="G8:I8"/>
    <mergeCell ref="J8:L8"/>
    <mergeCell ref="P8:Q8"/>
    <mergeCell ref="M11:N11"/>
    <mergeCell ref="P11:R11"/>
    <mergeCell ref="A8:C8"/>
    <mergeCell ref="A1:A3"/>
    <mergeCell ref="W1:X1"/>
    <mergeCell ref="H1:S2"/>
    <mergeCell ref="T1:T3"/>
    <mergeCell ref="U1:V1"/>
    <mergeCell ref="U2:V3"/>
    <mergeCell ref="H3:S3"/>
    <mergeCell ref="Y1:Z1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G6:I6"/>
    <mergeCell ref="J6:L6"/>
    <mergeCell ref="P6:Q6"/>
    <mergeCell ref="R6:T6"/>
    <mergeCell ref="U6:W6"/>
    <mergeCell ref="X6:Z6"/>
    <mergeCell ref="K11:L11"/>
    <mergeCell ref="P22:U22"/>
    <mergeCell ref="V23:X23"/>
    <mergeCell ref="Y23:Z23"/>
    <mergeCell ref="S26:U26"/>
    <mergeCell ref="V26:X26"/>
    <mergeCell ref="M17:N17"/>
    <mergeCell ref="Y26:Z26"/>
    <mergeCell ref="V27:X27"/>
    <mergeCell ref="Y27:Z27"/>
    <mergeCell ref="S14:V15"/>
    <mergeCell ref="W14:Z15"/>
    <mergeCell ref="S16:T17"/>
    <mergeCell ref="U16:V17"/>
    <mergeCell ref="W16:X17"/>
    <mergeCell ref="S18:T20"/>
    <mergeCell ref="U18:V20"/>
    <mergeCell ref="W18:X20"/>
    <mergeCell ref="P16:R17"/>
    <mergeCell ref="D8:F8"/>
    <mergeCell ref="V30:X30"/>
    <mergeCell ref="Y30:Z30"/>
    <mergeCell ref="P14:R15"/>
    <mergeCell ref="M15:N15"/>
    <mergeCell ref="B1:C1"/>
    <mergeCell ref="D1:E1"/>
    <mergeCell ref="F1:G1"/>
    <mergeCell ref="B2:C3"/>
    <mergeCell ref="D2:E3"/>
    <mergeCell ref="F2:G3"/>
    <mergeCell ref="X8:Z8"/>
    <mergeCell ref="W11:Z11"/>
    <mergeCell ref="Y18:Z20"/>
    <mergeCell ref="S12:V13"/>
    <mergeCell ref="W12:Z13"/>
    <mergeCell ref="Y16:Z17"/>
    <mergeCell ref="W2:X3"/>
    <mergeCell ref="Y2:Z3"/>
    <mergeCell ref="A11:B11"/>
    <mergeCell ref="C11:D11"/>
    <mergeCell ref="E11:F11"/>
    <mergeCell ref="G11:H11"/>
    <mergeCell ref="I11:J1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zoomScaleNormal="100" zoomScaleSheetLayoutView="100" workbookViewId="0">
      <selection activeCell="M19" sqref="M19:N19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149</v>
      </c>
      <c r="C2" s="135"/>
      <c r="D2" s="135" t="s">
        <v>148</v>
      </c>
      <c r="E2" s="135"/>
      <c r="F2" s="135" t="s">
        <v>154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05"/>
      <c r="E3" s="105"/>
      <c r="F3" s="105"/>
      <c r="G3" s="105"/>
      <c r="H3" s="132">
        <v>46221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68297</v>
      </c>
      <c r="E7" s="139"/>
      <c r="F7" s="139"/>
      <c r="G7" s="139">
        <v>150300</v>
      </c>
      <c r="H7" s="139"/>
      <c r="I7" s="139"/>
      <c r="J7" s="154">
        <f>D7+G7</f>
        <v>218597</v>
      </c>
      <c r="K7" s="154"/>
      <c r="L7" s="154"/>
      <c r="M7" s="1"/>
      <c r="N7" s="1"/>
      <c r="O7" s="1"/>
      <c r="P7" s="105" t="s">
        <v>48</v>
      </c>
      <c r="Q7" s="105"/>
      <c r="R7" s="140">
        <v>491.5</v>
      </c>
      <c r="S7" s="140"/>
      <c r="T7" s="140"/>
      <c r="U7" s="177">
        <v>295</v>
      </c>
      <c r="V7" s="178"/>
      <c r="W7" s="179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'17'!D8+'18'!D7</f>
        <v>1281983</v>
      </c>
      <c r="E8" s="154"/>
      <c r="F8" s="154"/>
      <c r="G8" s="154">
        <f>'17'!G8+G7</f>
        <v>2661900</v>
      </c>
      <c r="H8" s="154"/>
      <c r="I8" s="154"/>
      <c r="J8" s="154">
        <f>D8+G8</f>
        <v>3943883</v>
      </c>
      <c r="K8" s="154"/>
      <c r="L8" s="154"/>
      <c r="M8" s="1"/>
      <c r="N8" s="1"/>
      <c r="O8" s="1"/>
      <c r="P8" s="104" t="s">
        <v>2</v>
      </c>
      <c r="Q8" s="104"/>
      <c r="R8" s="137">
        <f>'17'!R8+'18'!R7</f>
        <v>8761.6</v>
      </c>
      <c r="S8" s="137"/>
      <c r="T8" s="137"/>
      <c r="U8" s="137">
        <f>'17'!U8+U7</f>
        <v>5694.0999999999995</v>
      </c>
      <c r="V8" s="137"/>
      <c r="W8" s="137"/>
      <c r="X8" s="138">
        <f>'17'!X8+X7</f>
        <v>432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'17'!I12</f>
        <v>13996</v>
      </c>
      <c r="D12" s="174"/>
      <c r="E12" s="105">
        <v>0</v>
      </c>
      <c r="F12" s="105"/>
      <c r="G12" s="105">
        <v>4036</v>
      </c>
      <c r="H12" s="105"/>
      <c r="I12" s="107">
        <f t="shared" ref="I12:I19" si="0">C12+E12-G12</f>
        <v>9960</v>
      </c>
      <c r="J12" s="109"/>
      <c r="K12" s="105">
        <f>'17'!K12+'18'!E12</f>
        <v>66410</v>
      </c>
      <c r="L12" s="105"/>
      <c r="M12" s="105">
        <f>'17'!M12+G12</f>
        <v>71364</v>
      </c>
      <c r="N12" s="105"/>
      <c r="O12" s="1"/>
      <c r="P12" s="149" t="s">
        <v>101</v>
      </c>
      <c r="Q12" s="105"/>
      <c r="R12" s="105"/>
      <c r="S12" s="143">
        <v>0</v>
      </c>
      <c r="T12" s="144"/>
      <c r="U12" s="144"/>
      <c r="V12" s="144"/>
      <c r="W12" s="194">
        <f>'17'!W12+'18'!S12</f>
        <v>672.10000000000014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'17'!I13</f>
        <v>620</v>
      </c>
      <c r="D13" s="174"/>
      <c r="E13" s="104">
        <v>0</v>
      </c>
      <c r="F13" s="104"/>
      <c r="G13" s="104">
        <v>90</v>
      </c>
      <c r="H13" s="104"/>
      <c r="I13" s="102">
        <f t="shared" si="0"/>
        <v>530</v>
      </c>
      <c r="J13" s="103"/>
      <c r="K13" s="105">
        <f>'17'!K13+'18'!E13</f>
        <v>1620</v>
      </c>
      <c r="L13" s="105"/>
      <c r="M13" s="105">
        <f>'17'!M13+G13</f>
        <v>1680</v>
      </c>
      <c r="N13" s="105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'17'!I14</f>
        <v>560</v>
      </c>
      <c r="D14" s="174"/>
      <c r="E14" s="104">
        <v>0</v>
      </c>
      <c r="F14" s="104"/>
      <c r="G14" s="104">
        <v>120</v>
      </c>
      <c r="H14" s="104"/>
      <c r="I14" s="102">
        <f t="shared" si="0"/>
        <v>440</v>
      </c>
      <c r="J14" s="103"/>
      <c r="K14" s="105">
        <f>'17'!K14+'18'!E14</f>
        <v>2000</v>
      </c>
      <c r="L14" s="105"/>
      <c r="M14" s="105">
        <f>'17'!M14+G14</f>
        <v>2160</v>
      </c>
      <c r="N14" s="105"/>
      <c r="O14" s="1"/>
      <c r="P14" s="104" t="s">
        <v>26</v>
      </c>
      <c r="Q14" s="104"/>
      <c r="R14" s="104"/>
      <c r="S14" s="155">
        <v>20.82</v>
      </c>
      <c r="T14" s="156"/>
      <c r="U14" s="156"/>
      <c r="V14" s="156"/>
      <c r="W14" s="186">
        <f>'17'!W14+'18'!S14</f>
        <v>139.25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'17'!I15</f>
        <v>801</v>
      </c>
      <c r="D15" s="174"/>
      <c r="E15" s="104">
        <v>0</v>
      </c>
      <c r="F15" s="104"/>
      <c r="G15" s="104">
        <v>40</v>
      </c>
      <c r="H15" s="104"/>
      <c r="I15" s="102">
        <f t="shared" si="0"/>
        <v>761</v>
      </c>
      <c r="J15" s="103"/>
      <c r="K15" s="105">
        <f>'17'!K15+'18'!E15</f>
        <v>0</v>
      </c>
      <c r="L15" s="105"/>
      <c r="M15" s="105">
        <f>'17'!M15+G15</f>
        <v>538</v>
      </c>
      <c r="N15" s="105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'17'!I16</f>
        <v>2010</v>
      </c>
      <c r="D16" s="174"/>
      <c r="E16" s="104">
        <v>0</v>
      </c>
      <c r="F16" s="104"/>
      <c r="G16" s="104">
        <v>20</v>
      </c>
      <c r="H16" s="104"/>
      <c r="I16" s="102">
        <f t="shared" si="0"/>
        <v>1990</v>
      </c>
      <c r="J16" s="103"/>
      <c r="K16" s="105">
        <f>'17'!K16+'18'!E16</f>
        <v>0</v>
      </c>
      <c r="L16" s="105"/>
      <c r="M16" s="105">
        <f>'17'!M16+G16</f>
        <v>360</v>
      </c>
      <c r="N16" s="105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'17'!I17</f>
        <v>1330</v>
      </c>
      <c r="D17" s="174"/>
      <c r="E17" s="104">
        <v>0</v>
      </c>
      <c r="F17" s="104"/>
      <c r="G17" s="104">
        <v>200</v>
      </c>
      <c r="H17" s="104"/>
      <c r="I17" s="102">
        <f t="shared" si="0"/>
        <v>1130</v>
      </c>
      <c r="J17" s="103"/>
      <c r="K17" s="105">
        <f>'17'!K17+'18'!E17</f>
        <v>2880</v>
      </c>
      <c r="L17" s="105"/>
      <c r="M17" s="105">
        <f>'17'!M17+G17</f>
        <v>3600</v>
      </c>
      <c r="N17" s="105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'17'!I18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0"/>
        <v>5340</v>
      </c>
      <c r="J18" s="103"/>
      <c r="K18" s="105">
        <f>'17'!K18+'18'!E18</f>
        <v>0</v>
      </c>
      <c r="L18" s="105"/>
      <c r="M18" s="105">
        <f>'17'!M18+G18</f>
        <v>0</v>
      </c>
      <c r="N18" s="105"/>
      <c r="O18" s="1"/>
      <c r="P18" s="164" t="s">
        <v>27</v>
      </c>
      <c r="Q18" s="164"/>
      <c r="R18" s="164"/>
      <c r="S18" s="114">
        <v>1</v>
      </c>
      <c r="T18" s="115"/>
      <c r="U18" s="114">
        <v>2</v>
      </c>
      <c r="V18" s="115"/>
      <c r="W18" s="114">
        <f>S18+U18</f>
        <v>3</v>
      </c>
      <c r="X18" s="115"/>
      <c r="Y18" s="151">
        <f>'17'!Y18+'18'!W18</f>
        <v>61</v>
      </c>
      <c r="Z18" s="151"/>
    </row>
    <row r="19" spans="1:31" ht="21.9" customHeight="1">
      <c r="A19" s="153" t="s">
        <v>62</v>
      </c>
      <c r="B19" s="153"/>
      <c r="C19" s="174">
        <f>'17'!I19</f>
        <v>64384</v>
      </c>
      <c r="D19" s="174"/>
      <c r="E19" s="154">
        <v>89060</v>
      </c>
      <c r="F19" s="154"/>
      <c r="G19" s="154">
        <f>D7</f>
        <v>68297</v>
      </c>
      <c r="H19" s="154"/>
      <c r="I19" s="99">
        <f t="shared" si="0"/>
        <v>85147</v>
      </c>
      <c r="J19" s="101"/>
      <c r="K19" s="105">
        <f>'17'!K19+'18'!E19</f>
        <v>1257130</v>
      </c>
      <c r="L19" s="105"/>
      <c r="M19" s="105">
        <f>'17'!M19+G19</f>
        <v>1281983</v>
      </c>
      <c r="N19" s="105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'17'!I20</f>
        <v>-</v>
      </c>
      <c r="D20" s="174"/>
      <c r="E20" s="102"/>
      <c r="F20" s="103"/>
      <c r="G20" s="104"/>
      <c r="H20" s="104"/>
      <c r="I20" s="102"/>
      <c r="J20" s="103"/>
      <c r="K20" s="105">
        <v>0</v>
      </c>
      <c r="L20" s="105"/>
      <c r="M20" s="105">
        <v>0</v>
      </c>
      <c r="N20" s="105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'17'!G24</f>
        <v>4062078</v>
      </c>
      <c r="E24" s="187"/>
      <c r="F24" s="187"/>
      <c r="G24" s="164">
        <v>4084502</v>
      </c>
      <c r="H24" s="164"/>
      <c r="I24" s="164"/>
      <c r="J24" s="164">
        <f>G24-D24</f>
        <v>22424</v>
      </c>
      <c r="K24" s="164"/>
      <c r="L24" s="164"/>
      <c r="M24" s="164">
        <f>'17'!M24+'18'!J24</f>
        <v>412934</v>
      </c>
      <c r="N24" s="164"/>
      <c r="P24" s="105" t="s">
        <v>36</v>
      </c>
      <c r="Q24" s="105"/>
      <c r="R24" s="105"/>
      <c r="S24" s="105">
        <f>'17'!V24</f>
        <v>565.1</v>
      </c>
      <c r="T24" s="105"/>
      <c r="U24" s="105"/>
      <c r="V24" s="140">
        <v>554.1</v>
      </c>
      <c r="W24" s="140"/>
      <c r="X24" s="140"/>
      <c r="Y24" s="140">
        <f>'17'!Y24+V24</f>
        <v>8920.3000000000011</v>
      </c>
      <c r="Z24" s="140"/>
    </row>
    <row r="25" spans="1:31" ht="21.9" customHeight="1">
      <c r="A25" s="104" t="s">
        <v>30</v>
      </c>
      <c r="B25" s="104"/>
      <c r="C25" s="104"/>
      <c r="D25" s="104">
        <f>'17'!G25</f>
        <v>33342.6</v>
      </c>
      <c r="E25" s="104"/>
      <c r="F25" s="104"/>
      <c r="G25" s="104">
        <v>33377.199999999997</v>
      </c>
      <c r="H25" s="104"/>
      <c r="I25" s="104"/>
      <c r="J25" s="104">
        <f>G25-D25</f>
        <v>34.599999999998545</v>
      </c>
      <c r="K25" s="104"/>
      <c r="L25" s="104"/>
      <c r="M25" s="102">
        <f>'17'!M25+'18'!J25</f>
        <v>613.09999999999854</v>
      </c>
      <c r="N25" s="103"/>
      <c r="P25" s="104" t="s">
        <v>37</v>
      </c>
      <c r="Q25" s="104"/>
      <c r="R25" s="104"/>
      <c r="S25" s="102">
        <f>'17'!V25</f>
        <v>52.8</v>
      </c>
      <c r="T25" s="106"/>
      <c r="U25" s="103"/>
      <c r="V25" s="137">
        <v>60.8</v>
      </c>
      <c r="W25" s="137"/>
      <c r="X25" s="137"/>
      <c r="Y25" s="188">
        <f>'17'!Y25+V25</f>
        <v>1047.0999999999999</v>
      </c>
      <c r="Z25" s="190"/>
    </row>
    <row r="26" spans="1:31" ht="21.9" customHeight="1">
      <c r="A26" s="104" t="s">
        <v>31</v>
      </c>
      <c r="B26" s="104"/>
      <c r="C26" s="104"/>
      <c r="D26" s="104">
        <f>'17'!G26</f>
        <v>24650</v>
      </c>
      <c r="E26" s="104"/>
      <c r="F26" s="104"/>
      <c r="G26" s="104">
        <v>24670</v>
      </c>
      <c r="H26" s="104"/>
      <c r="I26" s="104"/>
      <c r="J26" s="104">
        <f t="shared" ref="J26:J33" si="1">G26-D26</f>
        <v>20</v>
      </c>
      <c r="K26" s="104"/>
      <c r="L26" s="104"/>
      <c r="M26" s="102">
        <f>'17'!M26+'18'!J26</f>
        <v>370</v>
      </c>
      <c r="N26" s="103"/>
      <c r="P26" s="104" t="s">
        <v>38</v>
      </c>
      <c r="Q26" s="104"/>
      <c r="R26" s="104"/>
      <c r="S26" s="102">
        <f>'17'!V26</f>
        <v>504.6</v>
      </c>
      <c r="T26" s="106"/>
      <c r="U26" s="103"/>
      <c r="V26" s="137">
        <v>453.8</v>
      </c>
      <c r="W26" s="137"/>
      <c r="X26" s="137"/>
      <c r="Y26" s="188">
        <f>'17'!Y26+V26</f>
        <v>8855.9</v>
      </c>
      <c r="Z26" s="190"/>
    </row>
    <row r="27" spans="1:31" ht="21.9" customHeight="1">
      <c r="A27" s="104" t="s">
        <v>32</v>
      </c>
      <c r="B27" s="104"/>
      <c r="C27" s="104"/>
      <c r="D27" s="104">
        <f>'17'!G27</f>
        <v>1396000</v>
      </c>
      <c r="E27" s="104"/>
      <c r="F27" s="104"/>
      <c r="G27" s="104">
        <v>1399000</v>
      </c>
      <c r="H27" s="104"/>
      <c r="I27" s="104"/>
      <c r="J27" s="104">
        <f t="shared" si="1"/>
        <v>3000</v>
      </c>
      <c r="K27" s="104"/>
      <c r="L27" s="104"/>
      <c r="M27" s="102">
        <f>'17'!M27+'18'!J27</f>
        <v>60000</v>
      </c>
      <c r="N27" s="103"/>
      <c r="P27" s="104" t="s">
        <v>39</v>
      </c>
      <c r="Q27" s="104"/>
      <c r="R27" s="104"/>
      <c r="S27" s="102">
        <f>'17'!V27</f>
        <v>519.1</v>
      </c>
      <c r="T27" s="106"/>
      <c r="U27" s="103"/>
      <c r="V27" s="137">
        <v>490.4</v>
      </c>
      <c r="W27" s="137"/>
      <c r="X27" s="137"/>
      <c r="Y27" s="188">
        <f>'17'!Y27+V27</f>
        <v>9140.5999999999985</v>
      </c>
      <c r="Z27" s="190"/>
    </row>
    <row r="28" spans="1:31" ht="21.9" customHeight="1">
      <c r="A28" s="104" t="s">
        <v>33</v>
      </c>
      <c r="B28" s="104"/>
      <c r="C28" s="104"/>
      <c r="D28" s="104">
        <f>'17'!G28</f>
        <v>5875</v>
      </c>
      <c r="E28" s="104"/>
      <c r="F28" s="104"/>
      <c r="G28" s="104">
        <v>5927</v>
      </c>
      <c r="H28" s="104"/>
      <c r="I28" s="104"/>
      <c r="J28" s="104">
        <f t="shared" si="1"/>
        <v>52</v>
      </c>
      <c r="K28" s="104"/>
      <c r="L28" s="104"/>
      <c r="M28" s="102">
        <f>'17'!M28+'18'!J28</f>
        <v>989</v>
      </c>
      <c r="N28" s="103"/>
      <c r="P28" s="104" t="s">
        <v>41</v>
      </c>
      <c r="Q28" s="104"/>
      <c r="R28" s="104"/>
      <c r="S28" s="102">
        <f>'17'!V28</f>
        <v>0</v>
      </c>
      <c r="T28" s="106"/>
      <c r="U28" s="103"/>
      <c r="V28" s="137">
        <v>0</v>
      </c>
      <c r="W28" s="137"/>
      <c r="X28" s="137"/>
      <c r="Y28" s="188">
        <f>'17'!Y28+V28</f>
        <v>0</v>
      </c>
      <c r="Z28" s="190"/>
    </row>
    <row r="29" spans="1:31" ht="21.9" customHeight="1">
      <c r="A29" s="104" t="s">
        <v>34</v>
      </c>
      <c r="B29" s="104"/>
      <c r="C29" s="104"/>
      <c r="D29" s="104">
        <f>'17'!G29</f>
        <v>66230</v>
      </c>
      <c r="E29" s="104"/>
      <c r="F29" s="104"/>
      <c r="G29" s="104">
        <v>66240</v>
      </c>
      <c r="H29" s="104"/>
      <c r="I29" s="104"/>
      <c r="J29" s="104">
        <f t="shared" si="1"/>
        <v>10</v>
      </c>
      <c r="K29" s="104"/>
      <c r="L29" s="104"/>
      <c r="M29" s="102">
        <f>'17'!M29+'18'!J29</f>
        <v>60</v>
      </c>
      <c r="N29" s="103"/>
      <c r="P29" s="104" t="s">
        <v>40</v>
      </c>
      <c r="Q29" s="104"/>
      <c r="R29" s="104"/>
      <c r="S29" s="102">
        <f>'17'!V29</f>
        <v>67.2</v>
      </c>
      <c r="T29" s="106"/>
      <c r="U29" s="103"/>
      <c r="V29" s="137">
        <v>70.099999999999994</v>
      </c>
      <c r="W29" s="137"/>
      <c r="X29" s="137"/>
      <c r="Y29" s="188">
        <f>'17'!Y29+V29</f>
        <v>1189.2999999999997</v>
      </c>
      <c r="Z29" s="190"/>
    </row>
    <row r="30" spans="1:31" ht="21.9" customHeight="1">
      <c r="A30" s="104" t="s">
        <v>35</v>
      </c>
      <c r="B30" s="104"/>
      <c r="C30" s="104"/>
      <c r="D30" s="104">
        <f>'17'!G30</f>
        <v>53440</v>
      </c>
      <c r="E30" s="104"/>
      <c r="F30" s="104"/>
      <c r="G30" s="104">
        <v>53450</v>
      </c>
      <c r="H30" s="104"/>
      <c r="I30" s="104"/>
      <c r="J30" s="104">
        <f t="shared" si="1"/>
        <v>10</v>
      </c>
      <c r="K30" s="104"/>
      <c r="L30" s="104"/>
      <c r="M30" s="102">
        <f>'17'!M30+'18'!J30</f>
        <v>230</v>
      </c>
      <c r="N30" s="103"/>
      <c r="P30" s="104" t="s">
        <v>28</v>
      </c>
      <c r="Q30" s="104"/>
      <c r="R30" s="104"/>
      <c r="S30" s="102">
        <f>'17'!V30</f>
        <v>0</v>
      </c>
      <c r="T30" s="106"/>
      <c r="U30" s="103"/>
      <c r="V30" s="137"/>
      <c r="W30" s="137"/>
      <c r="X30" s="137"/>
      <c r="Y30" s="188">
        <f>'17'!Y30+V30</f>
        <v>1528.3</v>
      </c>
      <c r="Z30" s="190"/>
    </row>
    <row r="31" spans="1:31" ht="21.9" customHeight="1">
      <c r="A31" s="104" t="s">
        <v>120</v>
      </c>
      <c r="B31" s="104"/>
      <c r="C31" s="104"/>
      <c r="D31" s="104">
        <f>'17'!G31</f>
        <v>6336003</v>
      </c>
      <c r="E31" s="104"/>
      <c r="F31" s="104"/>
      <c r="G31" s="102">
        <v>6343653</v>
      </c>
      <c r="H31" s="106"/>
      <c r="I31" s="103"/>
      <c r="J31" s="104">
        <f t="shared" si="1"/>
        <v>7650</v>
      </c>
      <c r="K31" s="104"/>
      <c r="L31" s="104"/>
      <c r="M31" s="102">
        <f>'17'!M31+'18'!J31</f>
        <v>141558</v>
      </c>
      <c r="N31" s="103"/>
      <c r="P31" s="57"/>
      <c r="Q31" s="57"/>
      <c r="R31" s="57"/>
      <c r="S31" s="57"/>
      <c r="T31" s="57"/>
      <c r="U31" s="57"/>
      <c r="V31" s="58"/>
      <c r="W31" s="58"/>
      <c r="X31" s="58"/>
      <c r="Y31" s="58"/>
      <c r="Z31" s="58"/>
    </row>
    <row r="32" spans="1:31" ht="21.9" customHeight="1">
      <c r="A32" s="104" t="s">
        <v>121</v>
      </c>
      <c r="B32" s="104"/>
      <c r="C32" s="104"/>
      <c r="D32" s="104">
        <f>'17'!G32</f>
        <v>1.7</v>
      </c>
      <c r="E32" s="104"/>
      <c r="F32" s="104"/>
      <c r="G32" s="102">
        <v>1.7</v>
      </c>
      <c r="H32" s="106"/>
      <c r="I32" s="103"/>
      <c r="J32" s="102">
        <f t="shared" si="1"/>
        <v>0</v>
      </c>
      <c r="K32" s="106">
        <v>12.255000000000001</v>
      </c>
      <c r="L32" s="103">
        <v>12.255000000000001</v>
      </c>
      <c r="M32" s="102">
        <f>'17'!M32+'18'!J32</f>
        <v>9.9999999999999867E-2</v>
      </c>
      <c r="N32" s="103"/>
      <c r="P32" s="57"/>
      <c r="Q32" s="57"/>
      <c r="R32" s="57"/>
      <c r="S32" s="57"/>
      <c r="T32" s="57"/>
      <c r="U32" s="57"/>
      <c r="V32" s="58"/>
      <c r="W32" s="58"/>
      <c r="X32" s="58"/>
      <c r="Y32" s="58"/>
      <c r="Z32" s="58"/>
    </row>
    <row r="33" spans="1:26" ht="21.9" customHeight="1">
      <c r="A33" s="104" t="s">
        <v>122</v>
      </c>
      <c r="B33" s="104"/>
      <c r="C33" s="104"/>
      <c r="D33" s="104">
        <f>'17'!G33</f>
        <v>0</v>
      </c>
      <c r="E33" s="104"/>
      <c r="F33" s="104"/>
      <c r="G33" s="102">
        <v>0</v>
      </c>
      <c r="H33" s="106"/>
      <c r="I33" s="103"/>
      <c r="J33" s="102">
        <f t="shared" si="1"/>
        <v>0</v>
      </c>
      <c r="K33" s="106">
        <v>12.255000000000001</v>
      </c>
      <c r="L33" s="103">
        <v>12.255000000000001</v>
      </c>
      <c r="M33" s="102">
        <f>'17'!M33+'18'!J33</f>
        <v>0</v>
      </c>
      <c r="N33" s="103"/>
      <c r="P33" s="57"/>
      <c r="Q33" s="57"/>
      <c r="R33" s="57"/>
      <c r="S33" s="57"/>
      <c r="T33" s="57"/>
      <c r="U33" s="57"/>
      <c r="V33" s="58"/>
      <c r="W33" s="58"/>
      <c r="X33" s="58"/>
      <c r="Y33" s="58"/>
      <c r="Z33" s="58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H3" name="범위2"/>
    <protectedRange sqref="U2:Z3 R7:Z7 D7:I7 E12:H20 S12:V15 S18:V20 G24:I30 V24:X33" name="범위1"/>
    <protectedRange sqref="G31:I31 G32:L33" name="범위3_1_1"/>
    <protectedRange sqref="B2:C3 F2:G3" name="범위1_1_1"/>
    <protectedRange sqref="D2:E3" name="범위1_2"/>
  </protectedRanges>
  <mergeCells count="223">
    <mergeCell ref="A63:B76"/>
    <mergeCell ref="C63:Z76"/>
    <mergeCell ref="A36:B48"/>
    <mergeCell ref="C36:Z48"/>
    <mergeCell ref="A49:B62"/>
    <mergeCell ref="C49:Z62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A29:C29"/>
    <mergeCell ref="D29:F29"/>
    <mergeCell ref="G29:I29"/>
    <mergeCell ref="J29:L29"/>
    <mergeCell ref="M29:N29"/>
    <mergeCell ref="P29:R29"/>
    <mergeCell ref="S29:U29"/>
    <mergeCell ref="M33:N33"/>
    <mergeCell ref="S30:U30"/>
    <mergeCell ref="V29:X29"/>
    <mergeCell ref="Y29:Z29"/>
    <mergeCell ref="A28:C28"/>
    <mergeCell ref="D28:F28"/>
    <mergeCell ref="G28:I28"/>
    <mergeCell ref="J28:L28"/>
    <mergeCell ref="M28:N28"/>
    <mergeCell ref="P28:R28"/>
    <mergeCell ref="S28:U28"/>
    <mergeCell ref="V28:X28"/>
    <mergeCell ref="Y28:Z28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A23:C23"/>
    <mergeCell ref="D23:F23"/>
    <mergeCell ref="G23:I23"/>
    <mergeCell ref="J23:L23"/>
    <mergeCell ref="M23:N23"/>
    <mergeCell ref="P23:R23"/>
    <mergeCell ref="S23:U23"/>
    <mergeCell ref="P18:R20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18:B18"/>
    <mergeCell ref="C18:D18"/>
    <mergeCell ref="E18:F18"/>
    <mergeCell ref="G18:H18"/>
    <mergeCell ref="I18:J18"/>
    <mergeCell ref="K18:L18"/>
    <mergeCell ref="M18:N18"/>
    <mergeCell ref="I17:J17"/>
    <mergeCell ref="K17:L17"/>
    <mergeCell ref="A17:B17"/>
    <mergeCell ref="C17:D17"/>
    <mergeCell ref="E17:F17"/>
    <mergeCell ref="G17:H17"/>
    <mergeCell ref="A16:B16"/>
    <mergeCell ref="C16:D16"/>
    <mergeCell ref="E16:F16"/>
    <mergeCell ref="G16:H16"/>
    <mergeCell ref="I16:J16"/>
    <mergeCell ref="K16:L16"/>
    <mergeCell ref="M16:N16"/>
    <mergeCell ref="A14:B14"/>
    <mergeCell ref="C14:D14"/>
    <mergeCell ref="E14:F14"/>
    <mergeCell ref="G14:H14"/>
    <mergeCell ref="I14:J14"/>
    <mergeCell ref="K14:L14"/>
    <mergeCell ref="M14:N14"/>
    <mergeCell ref="A15:B15"/>
    <mergeCell ref="C15:D15"/>
    <mergeCell ref="E15:F15"/>
    <mergeCell ref="G15:H15"/>
    <mergeCell ref="I15:J15"/>
    <mergeCell ref="K15:L15"/>
    <mergeCell ref="R8:T8"/>
    <mergeCell ref="S11:V11"/>
    <mergeCell ref="U8:W8"/>
    <mergeCell ref="A13:B13"/>
    <mergeCell ref="C13:D13"/>
    <mergeCell ref="E13:F13"/>
    <mergeCell ref="G13:H13"/>
    <mergeCell ref="I13:J13"/>
    <mergeCell ref="K13:L13"/>
    <mergeCell ref="M13:N13"/>
    <mergeCell ref="P12:R13"/>
    <mergeCell ref="M12:N12"/>
    <mergeCell ref="A12:B12"/>
    <mergeCell ref="C12:D12"/>
    <mergeCell ref="E12:F12"/>
    <mergeCell ref="G12:H12"/>
    <mergeCell ref="I12:J12"/>
    <mergeCell ref="K12:L12"/>
    <mergeCell ref="G8:I8"/>
    <mergeCell ref="J8:L8"/>
    <mergeCell ref="P8:Q8"/>
    <mergeCell ref="M11:N11"/>
    <mergeCell ref="P11:R11"/>
    <mergeCell ref="A8:C8"/>
    <mergeCell ref="A1:A3"/>
    <mergeCell ref="W1:X1"/>
    <mergeCell ref="H1:S2"/>
    <mergeCell ref="T1:T3"/>
    <mergeCell ref="U1:V1"/>
    <mergeCell ref="U2:V3"/>
    <mergeCell ref="H3:S3"/>
    <mergeCell ref="Y1:Z1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G6:I6"/>
    <mergeCell ref="J6:L6"/>
    <mergeCell ref="P6:Q6"/>
    <mergeCell ref="R6:T6"/>
    <mergeCell ref="U6:W6"/>
    <mergeCell ref="X6:Z6"/>
    <mergeCell ref="K11:L11"/>
    <mergeCell ref="P22:U22"/>
    <mergeCell ref="V23:X23"/>
    <mergeCell ref="Y23:Z23"/>
    <mergeCell ref="S26:U26"/>
    <mergeCell ref="V26:X26"/>
    <mergeCell ref="M17:N17"/>
    <mergeCell ref="Y26:Z26"/>
    <mergeCell ref="V27:X27"/>
    <mergeCell ref="Y27:Z27"/>
    <mergeCell ref="S14:V15"/>
    <mergeCell ref="W14:Z15"/>
    <mergeCell ref="S16:T17"/>
    <mergeCell ref="U16:V17"/>
    <mergeCell ref="W16:X17"/>
    <mergeCell ref="S18:T20"/>
    <mergeCell ref="U18:V20"/>
    <mergeCell ref="W18:X20"/>
    <mergeCell ref="P16:R17"/>
    <mergeCell ref="D8:F8"/>
    <mergeCell ref="V30:X30"/>
    <mergeCell ref="Y30:Z30"/>
    <mergeCell ref="P14:R15"/>
    <mergeCell ref="M15:N15"/>
    <mergeCell ref="B1:C1"/>
    <mergeCell ref="D1:E1"/>
    <mergeCell ref="F1:G1"/>
    <mergeCell ref="B2:C3"/>
    <mergeCell ref="D2:E3"/>
    <mergeCell ref="F2:G3"/>
    <mergeCell ref="X8:Z8"/>
    <mergeCell ref="W11:Z11"/>
    <mergeCell ref="Y18:Z20"/>
    <mergeCell ref="S12:V13"/>
    <mergeCell ref="W12:Z13"/>
    <mergeCell ref="Y16:Z17"/>
    <mergeCell ref="W2:X3"/>
    <mergeCell ref="Y2:Z3"/>
    <mergeCell ref="A11:B11"/>
    <mergeCell ref="C11:D11"/>
    <mergeCell ref="E11:F11"/>
    <mergeCell ref="G11:H11"/>
    <mergeCell ref="I11:J1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zoomScaleNormal="100" zoomScaleSheetLayoutView="100" workbookViewId="0">
      <selection activeCell="B2" sqref="B2:C3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185</v>
      </c>
      <c r="C2" s="135"/>
      <c r="D2" s="216" t="s">
        <v>186</v>
      </c>
      <c r="E2" s="216"/>
      <c r="F2" s="135" t="s">
        <v>187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217"/>
      <c r="E3" s="217"/>
      <c r="F3" s="105"/>
      <c r="G3" s="105"/>
      <c r="H3" s="132">
        <v>46222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84977</v>
      </c>
      <c r="E7" s="139"/>
      <c r="F7" s="139"/>
      <c r="G7" s="139">
        <v>151500</v>
      </c>
      <c r="H7" s="139"/>
      <c r="I7" s="139"/>
      <c r="J7" s="154">
        <f>D7+G7</f>
        <v>236477</v>
      </c>
      <c r="K7" s="154"/>
      <c r="L7" s="154"/>
      <c r="M7" s="1"/>
      <c r="N7" s="1"/>
      <c r="O7" s="1"/>
      <c r="P7" s="105" t="s">
        <v>48</v>
      </c>
      <c r="Q7" s="105"/>
      <c r="R7" s="140">
        <v>506.5</v>
      </c>
      <c r="S7" s="140"/>
      <c r="T7" s="140"/>
      <c r="U7" s="140">
        <v>232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'18'!D8+'19'!D7</f>
        <v>1366960</v>
      </c>
      <c r="E8" s="154"/>
      <c r="F8" s="154"/>
      <c r="G8" s="154">
        <f>'18'!G8+'19'!G7</f>
        <v>2813400</v>
      </c>
      <c r="H8" s="154"/>
      <c r="I8" s="154"/>
      <c r="J8" s="154">
        <f>D8+G8</f>
        <v>4180360</v>
      </c>
      <c r="K8" s="154"/>
      <c r="L8" s="154"/>
      <c r="M8" s="1"/>
      <c r="N8" s="1"/>
      <c r="O8" s="1"/>
      <c r="P8" s="104" t="s">
        <v>2</v>
      </c>
      <c r="Q8" s="104"/>
      <c r="R8" s="137">
        <f>'18'!R8+R7</f>
        <v>9268.1</v>
      </c>
      <c r="S8" s="137"/>
      <c r="T8" s="137"/>
      <c r="U8" s="137">
        <f>'18'!U8+U7</f>
        <v>5926.0999999999995</v>
      </c>
      <c r="V8" s="137"/>
      <c r="W8" s="137"/>
      <c r="X8" s="138">
        <f>'18'!X8+'19'!X7</f>
        <v>456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'18'!I12</f>
        <v>9960</v>
      </c>
      <c r="D12" s="174"/>
      <c r="E12" s="105">
        <v>0</v>
      </c>
      <c r="F12" s="105"/>
      <c r="G12" s="105">
        <v>4036</v>
      </c>
      <c r="H12" s="105"/>
      <c r="I12" s="107">
        <f t="shared" ref="I12:I18" si="0">C12+E12-G12</f>
        <v>5924</v>
      </c>
      <c r="J12" s="109"/>
      <c r="K12" s="105">
        <f>'18'!K12+'19'!E12</f>
        <v>66410</v>
      </c>
      <c r="L12" s="105"/>
      <c r="M12" s="105">
        <f>'18'!M12+G12</f>
        <v>75400</v>
      </c>
      <c r="N12" s="105"/>
      <c r="O12" s="1"/>
      <c r="P12" s="149" t="s">
        <v>101</v>
      </c>
      <c r="Q12" s="105"/>
      <c r="R12" s="105"/>
      <c r="S12" s="143">
        <v>0</v>
      </c>
      <c r="T12" s="144"/>
      <c r="U12" s="144"/>
      <c r="V12" s="144"/>
      <c r="W12" s="194">
        <f>'18'!W12+'19'!S12</f>
        <v>672.10000000000014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'18'!I13</f>
        <v>530</v>
      </c>
      <c r="D13" s="174"/>
      <c r="E13" s="104">
        <v>0</v>
      </c>
      <c r="F13" s="104"/>
      <c r="G13" s="104">
        <v>90</v>
      </c>
      <c r="H13" s="104"/>
      <c r="I13" s="102">
        <f t="shared" ref="I13" si="1">C13+E13-G13</f>
        <v>440</v>
      </c>
      <c r="J13" s="103"/>
      <c r="K13" s="105">
        <f>'18'!K13+'19'!E13</f>
        <v>1620</v>
      </c>
      <c r="L13" s="105"/>
      <c r="M13" s="105">
        <f>'18'!M13+G13</f>
        <v>1770</v>
      </c>
      <c r="N13" s="105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'18'!I14</f>
        <v>440</v>
      </c>
      <c r="D14" s="174"/>
      <c r="E14" s="104">
        <v>0</v>
      </c>
      <c r="F14" s="104"/>
      <c r="G14" s="104">
        <v>120</v>
      </c>
      <c r="H14" s="104"/>
      <c r="I14" s="102">
        <f t="shared" si="0"/>
        <v>320</v>
      </c>
      <c r="J14" s="103"/>
      <c r="K14" s="105">
        <f>'18'!K14+'19'!E14</f>
        <v>2000</v>
      </c>
      <c r="L14" s="105"/>
      <c r="M14" s="105">
        <f>'18'!M14+G14</f>
        <v>2280</v>
      </c>
      <c r="N14" s="105"/>
      <c r="O14" s="1"/>
      <c r="P14" s="104" t="s">
        <v>26</v>
      </c>
      <c r="Q14" s="104"/>
      <c r="R14" s="104"/>
      <c r="S14" s="155">
        <v>0</v>
      </c>
      <c r="T14" s="156"/>
      <c r="U14" s="156"/>
      <c r="V14" s="156"/>
      <c r="W14" s="186">
        <f>'18'!W14+'19'!S14</f>
        <v>139.25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'18'!I15</f>
        <v>761</v>
      </c>
      <c r="D15" s="174"/>
      <c r="E15" s="104">
        <v>0</v>
      </c>
      <c r="F15" s="104"/>
      <c r="G15" s="104">
        <v>24</v>
      </c>
      <c r="H15" s="104"/>
      <c r="I15" s="102">
        <f t="shared" si="0"/>
        <v>737</v>
      </c>
      <c r="J15" s="103"/>
      <c r="K15" s="105">
        <f>'18'!K15+'19'!E15</f>
        <v>0</v>
      </c>
      <c r="L15" s="105"/>
      <c r="M15" s="105">
        <f>'18'!M15+G15</f>
        <v>562</v>
      </c>
      <c r="N15" s="105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'18'!I16</f>
        <v>1990</v>
      </c>
      <c r="D16" s="174"/>
      <c r="E16" s="104">
        <v>0</v>
      </c>
      <c r="F16" s="104"/>
      <c r="G16" s="104">
        <v>20</v>
      </c>
      <c r="H16" s="104"/>
      <c r="I16" s="102">
        <f t="shared" si="0"/>
        <v>1970</v>
      </c>
      <c r="J16" s="103"/>
      <c r="K16" s="105">
        <f>'18'!K16+'19'!E16</f>
        <v>0</v>
      </c>
      <c r="L16" s="105"/>
      <c r="M16" s="105">
        <f>'18'!M16+G16</f>
        <v>380</v>
      </c>
      <c r="N16" s="105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'18'!I17</f>
        <v>1130</v>
      </c>
      <c r="D17" s="174"/>
      <c r="E17" s="104">
        <v>0</v>
      </c>
      <c r="F17" s="104"/>
      <c r="G17" s="104">
        <v>200</v>
      </c>
      <c r="H17" s="104"/>
      <c r="I17" s="102">
        <f t="shared" si="0"/>
        <v>930</v>
      </c>
      <c r="J17" s="103"/>
      <c r="K17" s="105">
        <f>'18'!K17+'19'!E17</f>
        <v>2880</v>
      </c>
      <c r="L17" s="105"/>
      <c r="M17" s="105">
        <f>'18'!M17+G17</f>
        <v>3800</v>
      </c>
      <c r="N17" s="105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'18'!I18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0"/>
        <v>5340</v>
      </c>
      <c r="J18" s="103"/>
      <c r="K18" s="105">
        <f>'18'!K18+'19'!E18</f>
        <v>0</v>
      </c>
      <c r="L18" s="105"/>
      <c r="M18" s="105">
        <f>'18'!M18+G18</f>
        <v>0</v>
      </c>
      <c r="N18" s="105"/>
      <c r="O18" s="1"/>
      <c r="P18" s="164" t="s">
        <v>27</v>
      </c>
      <c r="Q18" s="164"/>
      <c r="R18" s="164"/>
      <c r="S18" s="114">
        <v>1</v>
      </c>
      <c r="T18" s="115"/>
      <c r="U18" s="114">
        <v>1</v>
      </c>
      <c r="V18" s="115"/>
      <c r="W18" s="114">
        <f>S18+U18</f>
        <v>2</v>
      </c>
      <c r="X18" s="115"/>
      <c r="Y18" s="151">
        <f>'18'!Y18+W18</f>
        <v>63</v>
      </c>
      <c r="Z18" s="151"/>
    </row>
    <row r="19" spans="1:31" ht="21.9" customHeight="1">
      <c r="A19" s="153" t="s">
        <v>62</v>
      </c>
      <c r="B19" s="153"/>
      <c r="C19" s="174">
        <f>'18'!I19</f>
        <v>85147</v>
      </c>
      <c r="D19" s="174"/>
      <c r="E19" s="154">
        <v>65600</v>
      </c>
      <c r="F19" s="154"/>
      <c r="G19" s="154">
        <f>D7</f>
        <v>84977</v>
      </c>
      <c r="H19" s="154"/>
      <c r="I19" s="99">
        <f t="shared" ref="I19" si="2">C19+E19-G19</f>
        <v>65770</v>
      </c>
      <c r="J19" s="101"/>
      <c r="K19" s="105">
        <f>'18'!K19+'19'!E19</f>
        <v>1322730</v>
      </c>
      <c r="L19" s="105"/>
      <c r="M19" s="105">
        <f>'18'!M19+G19</f>
        <v>1366960</v>
      </c>
      <c r="N19" s="105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>
        <f>'18'!I20</f>
        <v>0</v>
      </c>
      <c r="D20" s="174"/>
      <c r="E20" s="102"/>
      <c r="F20" s="103"/>
      <c r="G20" s="104"/>
      <c r="H20" s="104"/>
      <c r="I20" s="102" t="s">
        <v>60</v>
      </c>
      <c r="J20" s="103"/>
      <c r="K20" s="105">
        <f>'18'!K20+'19'!E20</f>
        <v>0</v>
      </c>
      <c r="L20" s="105"/>
      <c r="M20" s="105">
        <f>'18'!M20+G20</f>
        <v>0</v>
      </c>
      <c r="N20" s="105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'18'!G24</f>
        <v>4084502</v>
      </c>
      <c r="E24" s="187"/>
      <c r="F24" s="187"/>
      <c r="G24" s="164">
        <v>4106818</v>
      </c>
      <c r="H24" s="164"/>
      <c r="I24" s="164"/>
      <c r="J24" s="164">
        <f>G24-D24</f>
        <v>22316</v>
      </c>
      <c r="K24" s="164"/>
      <c r="L24" s="164"/>
      <c r="M24" s="164">
        <f>'18'!M24+J24</f>
        <v>435250</v>
      </c>
      <c r="N24" s="164"/>
      <c r="P24" s="105" t="s">
        <v>36</v>
      </c>
      <c r="Q24" s="105"/>
      <c r="R24" s="105"/>
      <c r="S24" s="105">
        <f>'18'!V24</f>
        <v>554.1</v>
      </c>
      <c r="T24" s="105"/>
      <c r="U24" s="105"/>
      <c r="V24" s="140">
        <v>556.5</v>
      </c>
      <c r="W24" s="140"/>
      <c r="X24" s="140"/>
      <c r="Y24" s="140">
        <f>'18'!Y24+'19'!V24</f>
        <v>9476.8000000000011</v>
      </c>
      <c r="Z24" s="140"/>
    </row>
    <row r="25" spans="1:31" ht="21.9" customHeight="1">
      <c r="A25" s="104" t="s">
        <v>30</v>
      </c>
      <c r="B25" s="104"/>
      <c r="C25" s="104"/>
      <c r="D25" s="104">
        <f>'18'!G25</f>
        <v>33377.199999999997</v>
      </c>
      <c r="E25" s="104"/>
      <c r="F25" s="104"/>
      <c r="G25" s="104">
        <v>33410.800000000003</v>
      </c>
      <c r="H25" s="104"/>
      <c r="I25" s="104"/>
      <c r="J25" s="104">
        <f>G25-D25</f>
        <v>33.600000000005821</v>
      </c>
      <c r="K25" s="104"/>
      <c r="L25" s="104"/>
      <c r="M25" s="102">
        <f>'18'!M25+J25</f>
        <v>646.70000000000437</v>
      </c>
      <c r="N25" s="103"/>
      <c r="P25" s="104" t="s">
        <v>37</v>
      </c>
      <c r="Q25" s="104"/>
      <c r="R25" s="104"/>
      <c r="S25" s="102">
        <f>'18'!V25</f>
        <v>60.8</v>
      </c>
      <c r="T25" s="106"/>
      <c r="U25" s="103"/>
      <c r="V25" s="137">
        <v>61.3</v>
      </c>
      <c r="W25" s="137"/>
      <c r="X25" s="137"/>
      <c r="Y25" s="140">
        <f>'18'!Y25+'19'!V25</f>
        <v>1108.3999999999999</v>
      </c>
      <c r="Z25" s="140"/>
    </row>
    <row r="26" spans="1:31" ht="21.9" customHeight="1">
      <c r="A26" s="104" t="s">
        <v>31</v>
      </c>
      <c r="B26" s="104"/>
      <c r="C26" s="104"/>
      <c r="D26" s="104">
        <f>'18'!G26</f>
        <v>24670</v>
      </c>
      <c r="E26" s="104"/>
      <c r="F26" s="104"/>
      <c r="G26" s="104">
        <v>24690</v>
      </c>
      <c r="H26" s="104"/>
      <c r="I26" s="104"/>
      <c r="J26" s="104">
        <f t="shared" ref="J26:J33" si="3">G26-D26</f>
        <v>20</v>
      </c>
      <c r="K26" s="104"/>
      <c r="L26" s="104"/>
      <c r="M26" s="102">
        <f>'18'!M26+J26</f>
        <v>390</v>
      </c>
      <c r="N26" s="103"/>
      <c r="P26" s="104" t="s">
        <v>38</v>
      </c>
      <c r="Q26" s="104"/>
      <c r="R26" s="104"/>
      <c r="S26" s="102">
        <f>'18'!V26</f>
        <v>453.8</v>
      </c>
      <c r="T26" s="106"/>
      <c r="U26" s="103"/>
      <c r="V26" s="137">
        <v>540.79999999999995</v>
      </c>
      <c r="W26" s="137"/>
      <c r="X26" s="137"/>
      <c r="Y26" s="140">
        <f>'18'!Y26+'19'!V26</f>
        <v>9396.6999999999989</v>
      </c>
      <c r="Z26" s="140"/>
    </row>
    <row r="27" spans="1:31" ht="21.9" customHeight="1">
      <c r="A27" s="104" t="s">
        <v>32</v>
      </c>
      <c r="B27" s="104"/>
      <c r="C27" s="104"/>
      <c r="D27" s="104">
        <f>'18'!G27</f>
        <v>1399000</v>
      </c>
      <c r="E27" s="104"/>
      <c r="F27" s="104"/>
      <c r="G27" s="104">
        <v>1402000</v>
      </c>
      <c r="H27" s="104"/>
      <c r="I27" s="104"/>
      <c r="J27" s="104">
        <f t="shared" si="3"/>
        <v>3000</v>
      </c>
      <c r="K27" s="104"/>
      <c r="L27" s="104"/>
      <c r="M27" s="102">
        <f>'18'!M27+J27</f>
        <v>63000</v>
      </c>
      <c r="N27" s="103"/>
      <c r="P27" s="104" t="s">
        <v>39</v>
      </c>
      <c r="Q27" s="104"/>
      <c r="R27" s="104"/>
      <c r="S27" s="102">
        <f>'18'!V27</f>
        <v>490.4</v>
      </c>
      <c r="T27" s="106"/>
      <c r="U27" s="103"/>
      <c r="V27" s="137">
        <v>530.6</v>
      </c>
      <c r="W27" s="137"/>
      <c r="X27" s="137"/>
      <c r="Y27" s="140">
        <f>'18'!Y27+'19'!V27</f>
        <v>9671.1999999999989</v>
      </c>
      <c r="Z27" s="140"/>
    </row>
    <row r="28" spans="1:31" ht="21.9" customHeight="1">
      <c r="A28" s="104" t="s">
        <v>33</v>
      </c>
      <c r="B28" s="104"/>
      <c r="C28" s="104"/>
      <c r="D28" s="104">
        <f>'18'!G28</f>
        <v>5927</v>
      </c>
      <c r="E28" s="104"/>
      <c r="F28" s="104"/>
      <c r="G28" s="104">
        <v>5979</v>
      </c>
      <c r="H28" s="104"/>
      <c r="I28" s="104"/>
      <c r="J28" s="104">
        <f t="shared" si="3"/>
        <v>52</v>
      </c>
      <c r="K28" s="104"/>
      <c r="L28" s="104"/>
      <c r="M28" s="102">
        <f>'18'!M28+J28</f>
        <v>1041</v>
      </c>
      <c r="N28" s="103"/>
      <c r="P28" s="104" t="s">
        <v>41</v>
      </c>
      <c r="Q28" s="104"/>
      <c r="R28" s="104"/>
      <c r="S28" s="102">
        <f>'18'!V28</f>
        <v>0</v>
      </c>
      <c r="T28" s="106"/>
      <c r="U28" s="103"/>
      <c r="V28" s="137">
        <v>0</v>
      </c>
      <c r="W28" s="137"/>
      <c r="X28" s="137"/>
      <c r="Y28" s="140">
        <f>'18'!Y28+'19'!V28</f>
        <v>0</v>
      </c>
      <c r="Z28" s="140"/>
    </row>
    <row r="29" spans="1:31" ht="21.9" customHeight="1">
      <c r="A29" s="104" t="s">
        <v>34</v>
      </c>
      <c r="B29" s="104"/>
      <c r="C29" s="104"/>
      <c r="D29" s="104">
        <f>'18'!G29</f>
        <v>66240</v>
      </c>
      <c r="E29" s="104"/>
      <c r="F29" s="104"/>
      <c r="G29" s="104">
        <v>66240</v>
      </c>
      <c r="H29" s="104"/>
      <c r="I29" s="104"/>
      <c r="J29" s="104">
        <f t="shared" si="3"/>
        <v>0</v>
      </c>
      <c r="K29" s="104"/>
      <c r="L29" s="104"/>
      <c r="M29" s="102">
        <f>'18'!M29+J29</f>
        <v>60</v>
      </c>
      <c r="N29" s="103"/>
      <c r="P29" s="104" t="s">
        <v>40</v>
      </c>
      <c r="Q29" s="104"/>
      <c r="R29" s="104"/>
      <c r="S29" s="102">
        <f>'18'!V29</f>
        <v>70.099999999999994</v>
      </c>
      <c r="T29" s="106"/>
      <c r="U29" s="103"/>
      <c r="V29" s="137">
        <v>76.099999999999994</v>
      </c>
      <c r="W29" s="137"/>
      <c r="X29" s="137"/>
      <c r="Y29" s="140">
        <f>'18'!Y29+'19'!V29</f>
        <v>1265.3999999999996</v>
      </c>
      <c r="Z29" s="140"/>
    </row>
    <row r="30" spans="1:31" ht="21.9" customHeight="1">
      <c r="A30" s="104" t="s">
        <v>35</v>
      </c>
      <c r="B30" s="104"/>
      <c r="C30" s="104"/>
      <c r="D30" s="104">
        <f>'18'!G30</f>
        <v>53450</v>
      </c>
      <c r="E30" s="104"/>
      <c r="F30" s="104"/>
      <c r="G30" s="104">
        <v>53460</v>
      </c>
      <c r="H30" s="104"/>
      <c r="I30" s="104"/>
      <c r="J30" s="104">
        <f t="shared" si="3"/>
        <v>10</v>
      </c>
      <c r="K30" s="104"/>
      <c r="L30" s="104"/>
      <c r="M30" s="102">
        <f>'18'!M30+J30</f>
        <v>240</v>
      </c>
      <c r="N30" s="103"/>
      <c r="P30" s="104" t="s">
        <v>28</v>
      </c>
      <c r="Q30" s="104"/>
      <c r="R30" s="104"/>
      <c r="S30" s="102">
        <f>'18'!V30</f>
        <v>0</v>
      </c>
      <c r="T30" s="106"/>
      <c r="U30" s="103"/>
      <c r="V30" s="137"/>
      <c r="W30" s="137"/>
      <c r="X30" s="137"/>
      <c r="Y30" s="140">
        <f>'18'!Y30+'19'!V30</f>
        <v>1528.3</v>
      </c>
      <c r="Z30" s="140"/>
    </row>
    <row r="31" spans="1:31" ht="21.9" customHeight="1">
      <c r="A31" s="104" t="s">
        <v>120</v>
      </c>
      <c r="B31" s="104"/>
      <c r="C31" s="104"/>
      <c r="D31" s="104">
        <f>'18'!G31</f>
        <v>6343653</v>
      </c>
      <c r="E31" s="104"/>
      <c r="F31" s="104"/>
      <c r="G31" s="102">
        <v>6351339</v>
      </c>
      <c r="H31" s="106"/>
      <c r="I31" s="103"/>
      <c r="J31" s="104">
        <f t="shared" si="3"/>
        <v>7686</v>
      </c>
      <c r="K31" s="104"/>
      <c r="L31" s="104"/>
      <c r="M31" s="102">
        <f>'18'!M31+J31</f>
        <v>149244</v>
      </c>
      <c r="N31" s="103"/>
      <c r="P31" s="57"/>
      <c r="Q31" s="57"/>
      <c r="R31" s="57"/>
      <c r="S31" s="57"/>
      <c r="T31" s="57"/>
      <c r="U31" s="57"/>
      <c r="V31" s="58"/>
      <c r="W31" s="58"/>
      <c r="X31" s="58"/>
      <c r="Y31" s="58"/>
      <c r="Z31" s="58"/>
    </row>
    <row r="32" spans="1:31" ht="21.9" customHeight="1">
      <c r="A32" s="104" t="s">
        <v>121</v>
      </c>
      <c r="B32" s="104"/>
      <c r="C32" s="104"/>
      <c r="D32" s="104">
        <f>'18'!G32</f>
        <v>1.7</v>
      </c>
      <c r="E32" s="104"/>
      <c r="F32" s="104"/>
      <c r="G32" s="102">
        <v>1.7</v>
      </c>
      <c r="H32" s="106"/>
      <c r="I32" s="103"/>
      <c r="J32" s="102">
        <f t="shared" si="3"/>
        <v>0</v>
      </c>
      <c r="K32" s="106">
        <v>12.255000000000001</v>
      </c>
      <c r="L32" s="103">
        <v>12.255000000000001</v>
      </c>
      <c r="M32" s="102">
        <f>'18'!M32+J32</f>
        <v>9.9999999999999867E-2</v>
      </c>
      <c r="N32" s="103"/>
      <c r="P32" s="57"/>
      <c r="Q32" s="57"/>
      <c r="R32" s="57"/>
      <c r="S32" s="57"/>
      <c r="T32" s="57"/>
      <c r="U32" s="57"/>
      <c r="V32" s="58"/>
      <c r="W32" s="58"/>
      <c r="X32" s="58"/>
      <c r="Y32" s="58"/>
      <c r="Z32" s="58"/>
    </row>
    <row r="33" spans="1:26" ht="21.9" customHeight="1">
      <c r="A33" s="104" t="s">
        <v>122</v>
      </c>
      <c r="B33" s="104"/>
      <c r="C33" s="104"/>
      <c r="D33" s="104">
        <f>'18'!G33</f>
        <v>0</v>
      </c>
      <c r="E33" s="104"/>
      <c r="F33" s="104"/>
      <c r="G33" s="102">
        <v>0</v>
      </c>
      <c r="H33" s="106"/>
      <c r="I33" s="103"/>
      <c r="J33" s="102">
        <f t="shared" si="3"/>
        <v>0</v>
      </c>
      <c r="K33" s="106">
        <v>12.255000000000001</v>
      </c>
      <c r="L33" s="103">
        <v>12.255000000000001</v>
      </c>
      <c r="M33" s="102">
        <f>'18'!M33+J33</f>
        <v>0</v>
      </c>
      <c r="N33" s="103"/>
      <c r="P33" s="57"/>
      <c r="Q33" s="57"/>
      <c r="R33" s="57"/>
      <c r="S33" s="57"/>
      <c r="T33" s="57"/>
      <c r="U33" s="57"/>
      <c r="V33" s="58"/>
      <c r="W33" s="58"/>
      <c r="X33" s="58"/>
      <c r="Y33" s="58"/>
      <c r="Z33" s="58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H3" name="범위2"/>
    <protectedRange sqref="U2:Z3 D7:I7 R7:Z7 E12:H20 S12:V15 S18:V20 G24:I30 V24:X33" name="범위1"/>
    <protectedRange sqref="G31:I31 G32:L33" name="범위3_1_1"/>
    <protectedRange sqref="B2:G3" name="범위1_1"/>
  </protectedRanges>
  <mergeCells count="223">
    <mergeCell ref="A63:B76"/>
    <mergeCell ref="C63:Z76"/>
    <mergeCell ref="A36:B48"/>
    <mergeCell ref="C36:Z48"/>
    <mergeCell ref="A49:B62"/>
    <mergeCell ref="C49:Z62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A29:C29"/>
    <mergeCell ref="D29:F29"/>
    <mergeCell ref="G29:I29"/>
    <mergeCell ref="J29:L29"/>
    <mergeCell ref="M29:N29"/>
    <mergeCell ref="P29:R29"/>
    <mergeCell ref="S29:U29"/>
    <mergeCell ref="M33:N33"/>
    <mergeCell ref="S30:U30"/>
    <mergeCell ref="V29:X29"/>
    <mergeCell ref="Y29:Z29"/>
    <mergeCell ref="A28:C28"/>
    <mergeCell ref="D28:F28"/>
    <mergeCell ref="G28:I28"/>
    <mergeCell ref="J28:L28"/>
    <mergeCell ref="M28:N28"/>
    <mergeCell ref="P28:R28"/>
    <mergeCell ref="S28:U28"/>
    <mergeCell ref="V28:X28"/>
    <mergeCell ref="Y28:Z28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A23:C23"/>
    <mergeCell ref="D23:F23"/>
    <mergeCell ref="G23:I23"/>
    <mergeCell ref="J23:L23"/>
    <mergeCell ref="M23:N23"/>
    <mergeCell ref="P23:R23"/>
    <mergeCell ref="S23:U23"/>
    <mergeCell ref="P18:R20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18:B18"/>
    <mergeCell ref="C18:D18"/>
    <mergeCell ref="E18:F18"/>
    <mergeCell ref="G18:H18"/>
    <mergeCell ref="I18:J18"/>
    <mergeCell ref="K18:L18"/>
    <mergeCell ref="M18:N18"/>
    <mergeCell ref="I17:J17"/>
    <mergeCell ref="K17:L17"/>
    <mergeCell ref="A17:B17"/>
    <mergeCell ref="C17:D17"/>
    <mergeCell ref="E17:F17"/>
    <mergeCell ref="G17:H17"/>
    <mergeCell ref="A16:B16"/>
    <mergeCell ref="C16:D16"/>
    <mergeCell ref="E16:F16"/>
    <mergeCell ref="G16:H16"/>
    <mergeCell ref="I16:J16"/>
    <mergeCell ref="K16:L16"/>
    <mergeCell ref="M16:N16"/>
    <mergeCell ref="A14:B14"/>
    <mergeCell ref="C14:D14"/>
    <mergeCell ref="E14:F14"/>
    <mergeCell ref="G14:H14"/>
    <mergeCell ref="I14:J14"/>
    <mergeCell ref="K14:L14"/>
    <mergeCell ref="M14:N14"/>
    <mergeCell ref="A15:B15"/>
    <mergeCell ref="C15:D15"/>
    <mergeCell ref="E15:F15"/>
    <mergeCell ref="G15:H15"/>
    <mergeCell ref="I15:J15"/>
    <mergeCell ref="K15:L15"/>
    <mergeCell ref="R8:T8"/>
    <mergeCell ref="S11:V11"/>
    <mergeCell ref="U8:W8"/>
    <mergeCell ref="A13:B13"/>
    <mergeCell ref="C13:D13"/>
    <mergeCell ref="E13:F13"/>
    <mergeCell ref="G13:H13"/>
    <mergeCell ref="I13:J13"/>
    <mergeCell ref="K13:L13"/>
    <mergeCell ref="M13:N13"/>
    <mergeCell ref="P12:R13"/>
    <mergeCell ref="M12:N12"/>
    <mergeCell ref="A12:B12"/>
    <mergeCell ref="C12:D12"/>
    <mergeCell ref="E12:F12"/>
    <mergeCell ref="G12:H12"/>
    <mergeCell ref="I12:J12"/>
    <mergeCell ref="K12:L12"/>
    <mergeCell ref="G8:I8"/>
    <mergeCell ref="J8:L8"/>
    <mergeCell ref="P8:Q8"/>
    <mergeCell ref="M11:N11"/>
    <mergeCell ref="P11:R11"/>
    <mergeCell ref="A8:C8"/>
    <mergeCell ref="A1:A3"/>
    <mergeCell ref="W1:X1"/>
    <mergeCell ref="H1:S2"/>
    <mergeCell ref="T1:T3"/>
    <mergeCell ref="U1:V1"/>
    <mergeCell ref="U2:V3"/>
    <mergeCell ref="H3:S3"/>
    <mergeCell ref="Y1:Z1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G6:I6"/>
    <mergeCell ref="J6:L6"/>
    <mergeCell ref="P6:Q6"/>
    <mergeCell ref="R6:T6"/>
    <mergeCell ref="U6:W6"/>
    <mergeCell ref="X6:Z6"/>
    <mergeCell ref="K11:L11"/>
    <mergeCell ref="P22:U22"/>
    <mergeCell ref="V23:X23"/>
    <mergeCell ref="Y23:Z23"/>
    <mergeCell ref="S26:U26"/>
    <mergeCell ref="V26:X26"/>
    <mergeCell ref="M17:N17"/>
    <mergeCell ref="Y26:Z26"/>
    <mergeCell ref="V27:X27"/>
    <mergeCell ref="Y27:Z27"/>
    <mergeCell ref="S14:V15"/>
    <mergeCell ref="W14:Z15"/>
    <mergeCell ref="S16:T17"/>
    <mergeCell ref="U16:V17"/>
    <mergeCell ref="W16:X17"/>
    <mergeCell ref="S18:T20"/>
    <mergeCell ref="U18:V20"/>
    <mergeCell ref="W18:X20"/>
    <mergeCell ref="P16:R17"/>
    <mergeCell ref="D8:F8"/>
    <mergeCell ref="V30:X30"/>
    <mergeCell ref="Y30:Z30"/>
    <mergeCell ref="P14:R15"/>
    <mergeCell ref="M15:N15"/>
    <mergeCell ref="B1:C1"/>
    <mergeCell ref="D1:E1"/>
    <mergeCell ref="F1:G1"/>
    <mergeCell ref="B2:C3"/>
    <mergeCell ref="D2:E3"/>
    <mergeCell ref="F2:G3"/>
    <mergeCell ref="X8:Z8"/>
    <mergeCell ref="W11:Z11"/>
    <mergeCell ref="Y18:Z20"/>
    <mergeCell ref="S12:V13"/>
    <mergeCell ref="W12:Z13"/>
    <mergeCell ref="Y16:Z17"/>
    <mergeCell ref="W2:X3"/>
    <mergeCell ref="Y2:Z3"/>
    <mergeCell ref="A11:B11"/>
    <mergeCell ref="C11:D11"/>
    <mergeCell ref="E11:F11"/>
    <mergeCell ref="G11:H11"/>
    <mergeCell ref="I11:J1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zoomScaleNormal="100" zoomScaleSheetLayoutView="100" workbookViewId="0">
      <selection activeCell="E18" sqref="E18:F18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188</v>
      </c>
      <c r="C2" s="135"/>
      <c r="D2" s="135" t="s">
        <v>189</v>
      </c>
      <c r="E2" s="135"/>
      <c r="F2" s="135" t="s">
        <v>190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05"/>
      <c r="E3" s="105"/>
      <c r="F3" s="105"/>
      <c r="G3" s="105"/>
      <c r="H3" s="132">
        <v>46223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90268</v>
      </c>
      <c r="E7" s="139"/>
      <c r="F7" s="139"/>
      <c r="G7" s="139">
        <v>121700</v>
      </c>
      <c r="H7" s="139"/>
      <c r="I7" s="139"/>
      <c r="J7" s="154">
        <f>D7+G7</f>
        <v>211968</v>
      </c>
      <c r="K7" s="154"/>
      <c r="L7" s="154"/>
      <c r="M7" s="1"/>
      <c r="N7" s="1"/>
      <c r="O7" s="1"/>
      <c r="P7" s="105" t="s">
        <v>48</v>
      </c>
      <c r="Q7" s="105"/>
      <c r="R7" s="140">
        <v>506.3</v>
      </c>
      <c r="S7" s="140"/>
      <c r="T7" s="140"/>
      <c r="U7" s="140">
        <v>260.3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'19'!D8+'20'!D7</f>
        <v>1457228</v>
      </c>
      <c r="E8" s="154"/>
      <c r="F8" s="154"/>
      <c r="G8" s="154">
        <f>'19'!G8+'20'!G7</f>
        <v>2935100</v>
      </c>
      <c r="H8" s="154"/>
      <c r="I8" s="154"/>
      <c r="J8" s="154">
        <f>D8+G8</f>
        <v>4392328</v>
      </c>
      <c r="K8" s="154"/>
      <c r="L8" s="154"/>
      <c r="M8" s="1"/>
      <c r="N8" s="1"/>
      <c r="O8" s="1"/>
      <c r="P8" s="104" t="s">
        <v>2</v>
      </c>
      <c r="Q8" s="104"/>
      <c r="R8" s="137">
        <f>'19'!R8+R7</f>
        <v>9774.4</v>
      </c>
      <c r="S8" s="137"/>
      <c r="T8" s="137"/>
      <c r="U8" s="137">
        <f>'19'!U8+U7</f>
        <v>6186.4</v>
      </c>
      <c r="V8" s="137"/>
      <c r="W8" s="137"/>
      <c r="X8" s="138">
        <f>'19'!X8+'20'!X7</f>
        <v>480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'19'!I12</f>
        <v>5924</v>
      </c>
      <c r="D12" s="174"/>
      <c r="E12" s="105">
        <v>16950</v>
      </c>
      <c r="F12" s="105"/>
      <c r="G12" s="105">
        <v>3980</v>
      </c>
      <c r="H12" s="105"/>
      <c r="I12" s="107">
        <f t="shared" ref="I12:I18" si="0">C12+E12-G12</f>
        <v>18894</v>
      </c>
      <c r="J12" s="109"/>
      <c r="K12" s="105">
        <f>'19'!K12+'20'!E12</f>
        <v>83360</v>
      </c>
      <c r="L12" s="105"/>
      <c r="M12" s="105">
        <f>'19'!M12+G12</f>
        <v>79380</v>
      </c>
      <c r="N12" s="105"/>
      <c r="O12" s="1"/>
      <c r="P12" s="149" t="s">
        <v>101</v>
      </c>
      <c r="Q12" s="105"/>
      <c r="R12" s="105"/>
      <c r="S12" s="143">
        <v>57.42</v>
      </c>
      <c r="T12" s="144"/>
      <c r="U12" s="144"/>
      <c r="V12" s="144"/>
      <c r="W12" s="194">
        <f>'19'!W12+'20'!S12</f>
        <v>729.5200000000001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'19'!I13</f>
        <v>440</v>
      </c>
      <c r="D13" s="174"/>
      <c r="E13" s="104">
        <v>0</v>
      </c>
      <c r="F13" s="104"/>
      <c r="G13" s="104">
        <v>100</v>
      </c>
      <c r="H13" s="104"/>
      <c r="I13" s="102">
        <f>C13+E13-G13</f>
        <v>340</v>
      </c>
      <c r="J13" s="103"/>
      <c r="K13" s="102">
        <f>'19'!K13+'20'!E13</f>
        <v>1620</v>
      </c>
      <c r="L13" s="103"/>
      <c r="M13" s="102">
        <f>'19'!M13+G13</f>
        <v>1870</v>
      </c>
      <c r="N13" s="103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'19'!I14</f>
        <v>320</v>
      </c>
      <c r="D14" s="174"/>
      <c r="E14" s="104">
        <v>0</v>
      </c>
      <c r="F14" s="104"/>
      <c r="G14" s="104">
        <v>120</v>
      </c>
      <c r="H14" s="104"/>
      <c r="I14" s="102">
        <f t="shared" si="0"/>
        <v>200</v>
      </c>
      <c r="J14" s="103"/>
      <c r="K14" s="102">
        <f>'19'!K14+'20'!E14</f>
        <v>2000</v>
      </c>
      <c r="L14" s="103"/>
      <c r="M14" s="102">
        <f>'19'!M14+G14</f>
        <v>2400</v>
      </c>
      <c r="N14" s="103"/>
      <c r="O14" s="1"/>
      <c r="P14" s="104" t="s">
        <v>26</v>
      </c>
      <c r="Q14" s="104"/>
      <c r="R14" s="104"/>
      <c r="S14" s="155">
        <v>23.82</v>
      </c>
      <c r="T14" s="156"/>
      <c r="U14" s="156"/>
      <c r="V14" s="156"/>
      <c r="W14" s="186">
        <f>'19'!W14+'20'!S14</f>
        <v>163.07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'19'!I15</f>
        <v>737</v>
      </c>
      <c r="D15" s="174"/>
      <c r="E15" s="104">
        <v>0</v>
      </c>
      <c r="F15" s="104"/>
      <c r="G15" s="104">
        <v>33</v>
      </c>
      <c r="H15" s="104"/>
      <c r="I15" s="102">
        <f t="shared" si="0"/>
        <v>704</v>
      </c>
      <c r="J15" s="103"/>
      <c r="K15" s="102">
        <f>'19'!K15+'20'!E15</f>
        <v>0</v>
      </c>
      <c r="L15" s="103"/>
      <c r="M15" s="102">
        <f>'19'!M15+G15</f>
        <v>595</v>
      </c>
      <c r="N15" s="103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'19'!I16</f>
        <v>1970</v>
      </c>
      <c r="D16" s="174"/>
      <c r="E16" s="104">
        <v>0</v>
      </c>
      <c r="F16" s="104"/>
      <c r="G16" s="104">
        <v>20</v>
      </c>
      <c r="H16" s="104"/>
      <c r="I16" s="102">
        <f t="shared" si="0"/>
        <v>1950</v>
      </c>
      <c r="J16" s="103"/>
      <c r="K16" s="102">
        <f>'19'!K16+'20'!E16</f>
        <v>0</v>
      </c>
      <c r="L16" s="103"/>
      <c r="M16" s="102">
        <f>'19'!M16+G16</f>
        <v>400</v>
      </c>
      <c r="N16" s="103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'19'!I17</f>
        <v>930</v>
      </c>
      <c r="D17" s="174"/>
      <c r="E17" s="104">
        <v>1440</v>
      </c>
      <c r="F17" s="104"/>
      <c r="G17" s="104">
        <v>200</v>
      </c>
      <c r="H17" s="104"/>
      <c r="I17" s="102">
        <f t="shared" si="0"/>
        <v>2170</v>
      </c>
      <c r="J17" s="103"/>
      <c r="K17" s="102">
        <f>'19'!K17+'20'!E17</f>
        <v>4320</v>
      </c>
      <c r="L17" s="103"/>
      <c r="M17" s="102">
        <f>'19'!M17+G17</f>
        <v>4000</v>
      </c>
      <c r="N17" s="103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'19'!I18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0"/>
        <v>5340</v>
      </c>
      <c r="J18" s="103"/>
      <c r="K18" s="102">
        <f>'19'!K18+'20'!E18</f>
        <v>0</v>
      </c>
      <c r="L18" s="103"/>
      <c r="M18" s="102">
        <f>'19'!M18+G18</f>
        <v>0</v>
      </c>
      <c r="N18" s="103"/>
      <c r="O18" s="1"/>
      <c r="P18" s="164" t="s">
        <v>27</v>
      </c>
      <c r="Q18" s="164"/>
      <c r="R18" s="164"/>
      <c r="S18" s="114">
        <v>1</v>
      </c>
      <c r="T18" s="115"/>
      <c r="U18" s="114">
        <v>2</v>
      </c>
      <c r="V18" s="115"/>
      <c r="W18" s="114">
        <f>S18+U18</f>
        <v>3</v>
      </c>
      <c r="X18" s="115"/>
      <c r="Y18" s="151">
        <f>'19'!Y18+'20'!W18</f>
        <v>66</v>
      </c>
      <c r="Z18" s="151"/>
    </row>
    <row r="19" spans="1:31" ht="21.9" customHeight="1">
      <c r="A19" s="153" t="s">
        <v>62</v>
      </c>
      <c r="B19" s="153"/>
      <c r="C19" s="174">
        <f>'19'!I19</f>
        <v>65770</v>
      </c>
      <c r="D19" s="174"/>
      <c r="E19" s="154">
        <v>97000</v>
      </c>
      <c r="F19" s="154"/>
      <c r="G19" s="154">
        <f>D7</f>
        <v>90268</v>
      </c>
      <c r="H19" s="154"/>
      <c r="I19" s="99">
        <f t="shared" ref="I19" si="1">C19+E19-G19</f>
        <v>72502</v>
      </c>
      <c r="J19" s="101"/>
      <c r="K19" s="99">
        <f>'19'!K19+'20'!E19</f>
        <v>1419730</v>
      </c>
      <c r="L19" s="101"/>
      <c r="M19" s="99">
        <f>'19'!M19+G19</f>
        <v>1457228</v>
      </c>
      <c r="N19" s="101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'19'!I20</f>
        <v>-</v>
      </c>
      <c r="D20" s="174"/>
      <c r="E20" s="102"/>
      <c r="F20" s="103"/>
      <c r="G20" s="104"/>
      <c r="H20" s="104"/>
      <c r="I20" s="102" t="s">
        <v>60</v>
      </c>
      <c r="J20" s="103"/>
      <c r="K20" s="105">
        <f>'19'!K20+'20'!E20</f>
        <v>0</v>
      </c>
      <c r="L20" s="105"/>
      <c r="M20" s="99">
        <f>'19'!M20+G20</f>
        <v>0</v>
      </c>
      <c r="N20" s="101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'19'!G24</f>
        <v>4106818</v>
      </c>
      <c r="E24" s="187"/>
      <c r="F24" s="187"/>
      <c r="G24" s="107">
        <v>4128530</v>
      </c>
      <c r="H24" s="108"/>
      <c r="I24" s="109"/>
      <c r="J24" s="164">
        <f>G24-D24</f>
        <v>21712</v>
      </c>
      <c r="K24" s="164"/>
      <c r="L24" s="164"/>
      <c r="M24" s="164">
        <f>'19'!M24+J24</f>
        <v>456962</v>
      </c>
      <c r="N24" s="164"/>
      <c r="P24" s="105" t="s">
        <v>36</v>
      </c>
      <c r="Q24" s="105"/>
      <c r="R24" s="105"/>
      <c r="S24" s="105">
        <f>'19'!V24</f>
        <v>556.5</v>
      </c>
      <c r="T24" s="105"/>
      <c r="U24" s="105"/>
      <c r="V24" s="140">
        <v>556.6</v>
      </c>
      <c r="W24" s="140"/>
      <c r="X24" s="140"/>
      <c r="Y24" s="140">
        <f>'19'!Y24+'20'!V24</f>
        <v>10033.400000000001</v>
      </c>
      <c r="Z24" s="140"/>
    </row>
    <row r="25" spans="1:31" ht="21.9" customHeight="1">
      <c r="A25" s="104" t="s">
        <v>30</v>
      </c>
      <c r="B25" s="104"/>
      <c r="C25" s="104"/>
      <c r="D25" s="104">
        <f>'19'!G25</f>
        <v>33410.800000000003</v>
      </c>
      <c r="E25" s="104"/>
      <c r="F25" s="104"/>
      <c r="G25" s="104">
        <v>33445.599999999999</v>
      </c>
      <c r="H25" s="104"/>
      <c r="I25" s="104"/>
      <c r="J25" s="104">
        <f>G25-D25</f>
        <v>34.799999999995634</v>
      </c>
      <c r="K25" s="104"/>
      <c r="L25" s="104"/>
      <c r="M25" s="102">
        <f>'19'!M25+J25</f>
        <v>681.5</v>
      </c>
      <c r="N25" s="103"/>
      <c r="P25" s="104" t="s">
        <v>37</v>
      </c>
      <c r="Q25" s="104"/>
      <c r="R25" s="104"/>
      <c r="S25" s="102">
        <f>'19'!V25</f>
        <v>61.3</v>
      </c>
      <c r="T25" s="106"/>
      <c r="U25" s="103"/>
      <c r="V25" s="137">
        <v>63</v>
      </c>
      <c r="W25" s="137"/>
      <c r="X25" s="137"/>
      <c r="Y25" s="188">
        <f>'19'!Y25+'20'!V25</f>
        <v>1171.3999999999999</v>
      </c>
      <c r="Z25" s="190"/>
    </row>
    <row r="26" spans="1:31" ht="21.9" customHeight="1">
      <c r="A26" s="104" t="s">
        <v>31</v>
      </c>
      <c r="B26" s="104"/>
      <c r="C26" s="104"/>
      <c r="D26" s="104">
        <f>'19'!G26</f>
        <v>24690</v>
      </c>
      <c r="E26" s="104"/>
      <c r="F26" s="104"/>
      <c r="G26" s="104">
        <v>24720</v>
      </c>
      <c r="H26" s="104"/>
      <c r="I26" s="104"/>
      <c r="J26" s="104">
        <f t="shared" ref="J26:J33" si="2">G26-D26</f>
        <v>30</v>
      </c>
      <c r="K26" s="104"/>
      <c r="L26" s="104"/>
      <c r="M26" s="102">
        <f>'19'!M26+J26</f>
        <v>420</v>
      </c>
      <c r="N26" s="103"/>
      <c r="P26" s="104" t="s">
        <v>38</v>
      </c>
      <c r="Q26" s="104"/>
      <c r="R26" s="104"/>
      <c r="S26" s="102">
        <f>'19'!V26</f>
        <v>540.79999999999995</v>
      </c>
      <c r="T26" s="106"/>
      <c r="U26" s="103"/>
      <c r="V26" s="137">
        <v>527</v>
      </c>
      <c r="W26" s="137"/>
      <c r="X26" s="137"/>
      <c r="Y26" s="188">
        <f>'19'!Y26+'20'!V26</f>
        <v>9923.6999999999989</v>
      </c>
      <c r="Z26" s="190"/>
    </row>
    <row r="27" spans="1:31" ht="21.9" customHeight="1">
      <c r="A27" s="104" t="s">
        <v>32</v>
      </c>
      <c r="B27" s="104"/>
      <c r="C27" s="104"/>
      <c r="D27" s="104">
        <f>'19'!G27</f>
        <v>1402000</v>
      </c>
      <c r="E27" s="104"/>
      <c r="F27" s="104"/>
      <c r="G27" s="104">
        <v>1405000</v>
      </c>
      <c r="H27" s="104"/>
      <c r="I27" s="104"/>
      <c r="J27" s="104">
        <f t="shared" si="2"/>
        <v>3000</v>
      </c>
      <c r="K27" s="104"/>
      <c r="L27" s="104"/>
      <c r="M27" s="102">
        <f>'19'!M27+J27</f>
        <v>66000</v>
      </c>
      <c r="N27" s="103"/>
      <c r="P27" s="104" t="s">
        <v>39</v>
      </c>
      <c r="Q27" s="104"/>
      <c r="R27" s="104"/>
      <c r="S27" s="102">
        <f>'19'!V27</f>
        <v>530.6</v>
      </c>
      <c r="T27" s="106"/>
      <c r="U27" s="103"/>
      <c r="V27" s="137">
        <v>525.70000000000005</v>
      </c>
      <c r="W27" s="137"/>
      <c r="X27" s="137"/>
      <c r="Y27" s="188">
        <f>'19'!Y27+'20'!V27</f>
        <v>10196.9</v>
      </c>
      <c r="Z27" s="190"/>
    </row>
    <row r="28" spans="1:31" ht="21.9" customHeight="1">
      <c r="A28" s="104" t="s">
        <v>33</v>
      </c>
      <c r="B28" s="104"/>
      <c r="C28" s="104"/>
      <c r="D28" s="104">
        <f>'19'!G28</f>
        <v>5979</v>
      </c>
      <c r="E28" s="104"/>
      <c r="F28" s="104"/>
      <c r="G28" s="104">
        <v>6031</v>
      </c>
      <c r="H28" s="104"/>
      <c r="I28" s="104"/>
      <c r="J28" s="104">
        <f t="shared" si="2"/>
        <v>52</v>
      </c>
      <c r="K28" s="104"/>
      <c r="L28" s="104"/>
      <c r="M28" s="102">
        <f>'19'!M28+J28</f>
        <v>1093</v>
      </c>
      <c r="N28" s="103"/>
      <c r="P28" s="104" t="s">
        <v>41</v>
      </c>
      <c r="Q28" s="104"/>
      <c r="R28" s="104"/>
      <c r="S28" s="102">
        <f>'19'!V28</f>
        <v>0</v>
      </c>
      <c r="T28" s="106"/>
      <c r="U28" s="103"/>
      <c r="V28" s="137">
        <v>0</v>
      </c>
      <c r="W28" s="137"/>
      <c r="X28" s="137"/>
      <c r="Y28" s="188">
        <f>'19'!Y28+'20'!V28</f>
        <v>0</v>
      </c>
      <c r="Z28" s="190"/>
    </row>
    <row r="29" spans="1:31" ht="21.9" customHeight="1">
      <c r="A29" s="104" t="s">
        <v>34</v>
      </c>
      <c r="B29" s="104"/>
      <c r="C29" s="104"/>
      <c r="D29" s="104">
        <f>'19'!G29</f>
        <v>66240</v>
      </c>
      <c r="E29" s="104"/>
      <c r="F29" s="104"/>
      <c r="G29" s="104">
        <v>66240</v>
      </c>
      <c r="H29" s="104"/>
      <c r="I29" s="104"/>
      <c r="J29" s="104">
        <f t="shared" si="2"/>
        <v>0</v>
      </c>
      <c r="K29" s="104"/>
      <c r="L29" s="104"/>
      <c r="M29" s="102">
        <f>'19'!M29+J29</f>
        <v>60</v>
      </c>
      <c r="N29" s="103"/>
      <c r="P29" s="104" t="s">
        <v>40</v>
      </c>
      <c r="Q29" s="104"/>
      <c r="R29" s="104"/>
      <c r="S29" s="102">
        <f>'19'!V29</f>
        <v>76.099999999999994</v>
      </c>
      <c r="T29" s="106"/>
      <c r="U29" s="103"/>
      <c r="V29" s="137">
        <v>70.8</v>
      </c>
      <c r="W29" s="137"/>
      <c r="X29" s="137"/>
      <c r="Y29" s="188">
        <f>'19'!Y29+'20'!V29</f>
        <v>1336.1999999999996</v>
      </c>
      <c r="Z29" s="190"/>
    </row>
    <row r="30" spans="1:31" ht="21.9" customHeight="1">
      <c r="A30" s="104" t="s">
        <v>35</v>
      </c>
      <c r="B30" s="104"/>
      <c r="C30" s="104"/>
      <c r="D30" s="104">
        <f>'19'!G30</f>
        <v>53460</v>
      </c>
      <c r="E30" s="104"/>
      <c r="F30" s="104"/>
      <c r="G30" s="104">
        <v>53470</v>
      </c>
      <c r="H30" s="104"/>
      <c r="I30" s="104"/>
      <c r="J30" s="104">
        <f t="shared" si="2"/>
        <v>10</v>
      </c>
      <c r="K30" s="104"/>
      <c r="L30" s="104"/>
      <c r="M30" s="102">
        <f>'19'!M30+J30</f>
        <v>250</v>
      </c>
      <c r="N30" s="103"/>
      <c r="P30" s="104" t="s">
        <v>28</v>
      </c>
      <c r="Q30" s="104"/>
      <c r="R30" s="104"/>
      <c r="S30" s="102">
        <f>'19'!V30</f>
        <v>0</v>
      </c>
      <c r="T30" s="106"/>
      <c r="U30" s="103"/>
      <c r="V30" s="137"/>
      <c r="W30" s="137"/>
      <c r="X30" s="137"/>
      <c r="Y30" s="188">
        <f>'19'!Y30+'20'!V30</f>
        <v>1528.3</v>
      </c>
      <c r="Z30" s="190"/>
    </row>
    <row r="31" spans="1:31" ht="21.9" customHeight="1">
      <c r="A31" s="104" t="s">
        <v>120</v>
      </c>
      <c r="B31" s="104"/>
      <c r="C31" s="104"/>
      <c r="D31" s="104">
        <f>'19'!G31</f>
        <v>6351339</v>
      </c>
      <c r="E31" s="104"/>
      <c r="F31" s="104"/>
      <c r="G31" s="102">
        <v>6359003</v>
      </c>
      <c r="H31" s="106"/>
      <c r="I31" s="103"/>
      <c r="J31" s="104">
        <f t="shared" si="2"/>
        <v>7664</v>
      </c>
      <c r="K31" s="104"/>
      <c r="L31" s="104"/>
      <c r="M31" s="102">
        <f>'19'!M31+J31</f>
        <v>156908</v>
      </c>
      <c r="N31" s="103"/>
      <c r="P31" s="57"/>
      <c r="Q31" s="57"/>
      <c r="R31" s="57"/>
      <c r="S31" s="57"/>
      <c r="T31" s="57"/>
      <c r="U31" s="57"/>
      <c r="V31" s="58"/>
      <c r="W31" s="58"/>
      <c r="X31" s="58"/>
      <c r="Y31" s="58"/>
      <c r="Z31" s="58"/>
    </row>
    <row r="32" spans="1:31" ht="21.9" customHeight="1">
      <c r="A32" s="104" t="s">
        <v>121</v>
      </c>
      <c r="B32" s="104"/>
      <c r="C32" s="104"/>
      <c r="D32" s="104">
        <f>'19'!G32</f>
        <v>1.7</v>
      </c>
      <c r="E32" s="104"/>
      <c r="F32" s="104"/>
      <c r="G32" s="102">
        <v>1.7</v>
      </c>
      <c r="H32" s="106"/>
      <c r="I32" s="103"/>
      <c r="J32" s="102">
        <f t="shared" si="2"/>
        <v>0</v>
      </c>
      <c r="K32" s="106">
        <v>12.255000000000001</v>
      </c>
      <c r="L32" s="103">
        <v>12.255000000000001</v>
      </c>
      <c r="M32" s="102">
        <f>'19'!M32+J32</f>
        <v>9.9999999999999867E-2</v>
      </c>
      <c r="N32" s="103"/>
      <c r="P32" s="57"/>
      <c r="Q32" s="57"/>
      <c r="R32" s="57"/>
      <c r="S32" s="57"/>
      <c r="T32" s="57"/>
      <c r="U32" s="57"/>
      <c r="V32" s="58"/>
      <c r="W32" s="58"/>
      <c r="X32" s="58"/>
      <c r="Y32" s="58"/>
      <c r="Z32" s="58"/>
    </row>
    <row r="33" spans="1:26" ht="21.9" customHeight="1">
      <c r="A33" s="104" t="s">
        <v>122</v>
      </c>
      <c r="B33" s="104"/>
      <c r="C33" s="104"/>
      <c r="D33" s="104">
        <f>'19'!G33</f>
        <v>0</v>
      </c>
      <c r="E33" s="104"/>
      <c r="F33" s="104"/>
      <c r="G33" s="102">
        <v>0</v>
      </c>
      <c r="H33" s="106"/>
      <c r="I33" s="103"/>
      <c r="J33" s="102">
        <f t="shared" si="2"/>
        <v>0</v>
      </c>
      <c r="K33" s="106">
        <v>12.255000000000001</v>
      </c>
      <c r="L33" s="103">
        <v>12.255000000000001</v>
      </c>
      <c r="M33" s="102">
        <f>'19'!M33+J33</f>
        <v>0</v>
      </c>
      <c r="N33" s="103"/>
      <c r="P33" s="57"/>
      <c r="Q33" s="57"/>
      <c r="R33" s="57"/>
      <c r="S33" s="57"/>
      <c r="T33" s="57"/>
      <c r="U33" s="57"/>
      <c r="V33" s="58"/>
      <c r="W33" s="58"/>
      <c r="X33" s="58"/>
      <c r="Y33" s="58"/>
      <c r="Z33" s="58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H3" name="범위2"/>
    <protectedRange sqref="V31:X33" name="범위1_3"/>
    <protectedRange sqref="G31:I31 G32:L33" name="범위3_1_1_2"/>
    <protectedRange sqref="B2:G3" name="범위1"/>
    <protectedRange sqref="S12:V15" name="범위1_1"/>
  </protectedRanges>
  <mergeCells count="223">
    <mergeCell ref="A63:B76"/>
    <mergeCell ref="C63:Z76"/>
    <mergeCell ref="A36:B48"/>
    <mergeCell ref="C36:Z48"/>
    <mergeCell ref="A49:B62"/>
    <mergeCell ref="C49:Z62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A29:C29"/>
    <mergeCell ref="D29:F29"/>
    <mergeCell ref="G29:I29"/>
    <mergeCell ref="J29:L29"/>
    <mergeCell ref="M29:N29"/>
    <mergeCell ref="P29:R29"/>
    <mergeCell ref="S29:U29"/>
    <mergeCell ref="M33:N33"/>
    <mergeCell ref="S30:U30"/>
    <mergeCell ref="V29:X29"/>
    <mergeCell ref="Y29:Z29"/>
    <mergeCell ref="A28:C28"/>
    <mergeCell ref="D28:F28"/>
    <mergeCell ref="G28:I28"/>
    <mergeCell ref="J28:L28"/>
    <mergeCell ref="M28:N28"/>
    <mergeCell ref="P28:R28"/>
    <mergeCell ref="S28:U28"/>
    <mergeCell ref="V28:X28"/>
    <mergeCell ref="Y28:Z28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A23:C23"/>
    <mergeCell ref="D23:F23"/>
    <mergeCell ref="G23:I23"/>
    <mergeCell ref="J23:L23"/>
    <mergeCell ref="M23:N23"/>
    <mergeCell ref="P23:R23"/>
    <mergeCell ref="S23:U23"/>
    <mergeCell ref="P18:R20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18:B18"/>
    <mergeCell ref="C18:D18"/>
    <mergeCell ref="E18:F18"/>
    <mergeCell ref="G18:H18"/>
    <mergeCell ref="I18:J18"/>
    <mergeCell ref="K18:L18"/>
    <mergeCell ref="M18:N18"/>
    <mergeCell ref="I17:J17"/>
    <mergeCell ref="K17:L17"/>
    <mergeCell ref="A17:B17"/>
    <mergeCell ref="C17:D17"/>
    <mergeCell ref="E17:F17"/>
    <mergeCell ref="G17:H17"/>
    <mergeCell ref="A16:B16"/>
    <mergeCell ref="C16:D16"/>
    <mergeCell ref="E16:F16"/>
    <mergeCell ref="G16:H16"/>
    <mergeCell ref="I16:J16"/>
    <mergeCell ref="K16:L16"/>
    <mergeCell ref="M16:N16"/>
    <mergeCell ref="A14:B14"/>
    <mergeCell ref="C14:D14"/>
    <mergeCell ref="E14:F14"/>
    <mergeCell ref="G14:H14"/>
    <mergeCell ref="I14:J14"/>
    <mergeCell ref="K14:L14"/>
    <mergeCell ref="M14:N14"/>
    <mergeCell ref="A15:B15"/>
    <mergeCell ref="C15:D15"/>
    <mergeCell ref="E15:F15"/>
    <mergeCell ref="G15:H15"/>
    <mergeCell ref="I15:J15"/>
    <mergeCell ref="K15:L15"/>
    <mergeCell ref="R8:T8"/>
    <mergeCell ref="S11:V11"/>
    <mergeCell ref="U8:W8"/>
    <mergeCell ref="A13:B13"/>
    <mergeCell ref="C13:D13"/>
    <mergeCell ref="E13:F13"/>
    <mergeCell ref="G13:H13"/>
    <mergeCell ref="I13:J13"/>
    <mergeCell ref="K13:L13"/>
    <mergeCell ref="M13:N13"/>
    <mergeCell ref="P12:R13"/>
    <mergeCell ref="M12:N12"/>
    <mergeCell ref="A12:B12"/>
    <mergeCell ref="C12:D12"/>
    <mergeCell ref="E12:F12"/>
    <mergeCell ref="G12:H12"/>
    <mergeCell ref="I12:J12"/>
    <mergeCell ref="K12:L12"/>
    <mergeCell ref="G8:I8"/>
    <mergeCell ref="J8:L8"/>
    <mergeCell ref="P8:Q8"/>
    <mergeCell ref="M11:N11"/>
    <mergeCell ref="P11:R11"/>
    <mergeCell ref="A8:C8"/>
    <mergeCell ref="A1:A3"/>
    <mergeCell ref="W1:X1"/>
    <mergeCell ref="H1:S2"/>
    <mergeCell ref="T1:T3"/>
    <mergeCell ref="U1:V1"/>
    <mergeCell ref="U2:V3"/>
    <mergeCell ref="H3:S3"/>
    <mergeCell ref="Y1:Z1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G6:I6"/>
    <mergeCell ref="J6:L6"/>
    <mergeCell ref="P6:Q6"/>
    <mergeCell ref="R6:T6"/>
    <mergeCell ref="U6:W6"/>
    <mergeCell ref="X6:Z6"/>
    <mergeCell ref="K11:L11"/>
    <mergeCell ref="P22:U22"/>
    <mergeCell ref="V23:X23"/>
    <mergeCell ref="Y23:Z23"/>
    <mergeCell ref="S26:U26"/>
    <mergeCell ref="V26:X26"/>
    <mergeCell ref="M17:N17"/>
    <mergeCell ref="Y26:Z26"/>
    <mergeCell ref="V27:X27"/>
    <mergeCell ref="Y27:Z27"/>
    <mergeCell ref="S14:V15"/>
    <mergeCell ref="W14:Z15"/>
    <mergeCell ref="S16:T17"/>
    <mergeCell ref="U16:V17"/>
    <mergeCell ref="W16:X17"/>
    <mergeCell ref="S18:T20"/>
    <mergeCell ref="U18:V20"/>
    <mergeCell ref="W18:X20"/>
    <mergeCell ref="P16:R17"/>
    <mergeCell ref="D8:F8"/>
    <mergeCell ref="V30:X30"/>
    <mergeCell ref="Y30:Z30"/>
    <mergeCell ref="P14:R15"/>
    <mergeCell ref="M15:N15"/>
    <mergeCell ref="B1:C1"/>
    <mergeCell ref="D1:E1"/>
    <mergeCell ref="F1:G1"/>
    <mergeCell ref="B2:C3"/>
    <mergeCell ref="D2:E3"/>
    <mergeCell ref="F2:G3"/>
    <mergeCell ref="X8:Z8"/>
    <mergeCell ref="W11:Z11"/>
    <mergeCell ref="Y18:Z20"/>
    <mergeCell ref="S12:V13"/>
    <mergeCell ref="W12:Z13"/>
    <mergeCell ref="Y16:Z17"/>
    <mergeCell ref="W2:X3"/>
    <mergeCell ref="Y2:Z3"/>
    <mergeCell ref="A11:B11"/>
    <mergeCell ref="C11:D11"/>
    <mergeCell ref="E11:F11"/>
    <mergeCell ref="G11:H11"/>
    <mergeCell ref="I11:J1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zoomScaleNormal="100" zoomScaleSheetLayoutView="100" workbookViewId="0">
      <selection activeCell="E19" sqref="E19:F19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188</v>
      </c>
      <c r="C2" s="135"/>
      <c r="D2" s="135" t="s">
        <v>189</v>
      </c>
      <c r="E2" s="135"/>
      <c r="F2" s="135" t="s">
        <v>191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05"/>
      <c r="E3" s="105"/>
      <c r="F3" s="105"/>
      <c r="G3" s="105"/>
      <c r="H3" s="132">
        <v>46224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81962</v>
      </c>
      <c r="E7" s="139"/>
      <c r="F7" s="139"/>
      <c r="G7" s="139">
        <v>103500</v>
      </c>
      <c r="H7" s="139"/>
      <c r="I7" s="139"/>
      <c r="J7" s="154">
        <f>D7+G7</f>
        <v>185462</v>
      </c>
      <c r="K7" s="154"/>
      <c r="L7" s="154"/>
      <c r="M7" s="1"/>
      <c r="N7" s="1"/>
      <c r="O7" s="1"/>
      <c r="P7" s="105" t="s">
        <v>48</v>
      </c>
      <c r="Q7" s="105"/>
      <c r="R7" s="140">
        <v>483.3</v>
      </c>
      <c r="S7" s="140"/>
      <c r="T7" s="140"/>
      <c r="U7" s="140">
        <v>29.7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'20'!D8+'21'!D7</f>
        <v>1539190</v>
      </c>
      <c r="E8" s="154"/>
      <c r="F8" s="154"/>
      <c r="G8" s="154">
        <f>'20'!G8+'21'!G7</f>
        <v>3038600</v>
      </c>
      <c r="H8" s="154"/>
      <c r="I8" s="154"/>
      <c r="J8" s="154">
        <f>D8+G8</f>
        <v>4577790</v>
      </c>
      <c r="K8" s="154"/>
      <c r="L8" s="154"/>
      <c r="M8" s="1"/>
      <c r="N8" s="1"/>
      <c r="O8" s="1"/>
      <c r="P8" s="104" t="s">
        <v>2</v>
      </c>
      <c r="Q8" s="104"/>
      <c r="R8" s="137">
        <f>'20'!R8+R7</f>
        <v>10257.699999999999</v>
      </c>
      <c r="S8" s="137"/>
      <c r="T8" s="137"/>
      <c r="U8" s="137">
        <f>'20'!U8+U7</f>
        <v>6216.0999999999995</v>
      </c>
      <c r="V8" s="137"/>
      <c r="W8" s="137"/>
      <c r="X8" s="138">
        <f>'20'!X8+'21'!X7</f>
        <v>504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'20'!I12</f>
        <v>18894</v>
      </c>
      <c r="D12" s="174"/>
      <c r="E12" s="105">
        <v>0</v>
      </c>
      <c r="F12" s="105"/>
      <c r="G12" s="105">
        <v>4245</v>
      </c>
      <c r="H12" s="105"/>
      <c r="I12" s="107">
        <f t="shared" ref="I12:I18" si="0">C12+E12-G12</f>
        <v>14649</v>
      </c>
      <c r="J12" s="109"/>
      <c r="K12" s="105">
        <f>'20'!K12+'21'!E12</f>
        <v>83360</v>
      </c>
      <c r="L12" s="105"/>
      <c r="M12" s="105">
        <f>'20'!M12+G12</f>
        <v>83625</v>
      </c>
      <c r="N12" s="105"/>
      <c r="O12" s="1"/>
      <c r="P12" s="149" t="s">
        <v>101</v>
      </c>
      <c r="Q12" s="105"/>
      <c r="R12" s="105"/>
      <c r="S12" s="143">
        <v>57.48</v>
      </c>
      <c r="T12" s="144"/>
      <c r="U12" s="144"/>
      <c r="V12" s="144"/>
      <c r="W12" s="194">
        <f>'20'!W12+'21'!S12</f>
        <v>787.00000000000011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'20'!I13</f>
        <v>340</v>
      </c>
      <c r="D13" s="174"/>
      <c r="E13" s="104">
        <v>0</v>
      </c>
      <c r="F13" s="104"/>
      <c r="G13" s="104">
        <v>100</v>
      </c>
      <c r="H13" s="104"/>
      <c r="I13" s="102">
        <f t="shared" si="0"/>
        <v>240</v>
      </c>
      <c r="J13" s="103"/>
      <c r="K13" s="102">
        <f>'20'!K13+'21'!E13</f>
        <v>1620</v>
      </c>
      <c r="L13" s="103"/>
      <c r="M13" s="102">
        <f>'20'!M13+G13</f>
        <v>1970</v>
      </c>
      <c r="N13" s="103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'20'!I14</f>
        <v>200</v>
      </c>
      <c r="D14" s="174"/>
      <c r="E14" s="104">
        <v>0</v>
      </c>
      <c r="F14" s="104"/>
      <c r="G14" s="104">
        <v>120</v>
      </c>
      <c r="H14" s="104"/>
      <c r="I14" s="102">
        <f t="shared" si="0"/>
        <v>80</v>
      </c>
      <c r="J14" s="103"/>
      <c r="K14" s="102">
        <f>'20'!K14+'21'!E14</f>
        <v>2000</v>
      </c>
      <c r="L14" s="103"/>
      <c r="M14" s="102">
        <f>'20'!M14+G14</f>
        <v>2520</v>
      </c>
      <c r="N14" s="103"/>
      <c r="O14" s="1"/>
      <c r="P14" s="104" t="s">
        <v>26</v>
      </c>
      <c r="Q14" s="104"/>
      <c r="R14" s="104"/>
      <c r="S14" s="155">
        <v>0</v>
      </c>
      <c r="T14" s="156"/>
      <c r="U14" s="156"/>
      <c r="V14" s="156"/>
      <c r="W14" s="186">
        <f>'20'!W14+'21'!S14</f>
        <v>163.07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'20'!I15</f>
        <v>704</v>
      </c>
      <c r="D15" s="174"/>
      <c r="E15" s="104">
        <v>0</v>
      </c>
      <c r="F15" s="104"/>
      <c r="G15" s="104">
        <v>0</v>
      </c>
      <c r="H15" s="104"/>
      <c r="I15" s="102">
        <f t="shared" si="0"/>
        <v>704</v>
      </c>
      <c r="J15" s="103"/>
      <c r="K15" s="102">
        <f>'20'!K15+'21'!E15</f>
        <v>0</v>
      </c>
      <c r="L15" s="103"/>
      <c r="M15" s="102">
        <f>'20'!M15+G15</f>
        <v>595</v>
      </c>
      <c r="N15" s="103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'20'!I16</f>
        <v>1950</v>
      </c>
      <c r="D16" s="174"/>
      <c r="E16" s="104">
        <v>0</v>
      </c>
      <c r="F16" s="104"/>
      <c r="G16" s="104">
        <v>20</v>
      </c>
      <c r="H16" s="104"/>
      <c r="I16" s="102">
        <f t="shared" si="0"/>
        <v>1930</v>
      </c>
      <c r="J16" s="103"/>
      <c r="K16" s="102">
        <f>'20'!K16+'21'!E16</f>
        <v>0</v>
      </c>
      <c r="L16" s="103"/>
      <c r="M16" s="102">
        <f>'20'!M16+G16</f>
        <v>420</v>
      </c>
      <c r="N16" s="103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'20'!I17</f>
        <v>2170</v>
      </c>
      <c r="D17" s="174"/>
      <c r="E17" s="104">
        <v>0</v>
      </c>
      <c r="F17" s="104"/>
      <c r="G17" s="104">
        <v>200</v>
      </c>
      <c r="H17" s="104"/>
      <c r="I17" s="102">
        <f t="shared" si="0"/>
        <v>1970</v>
      </c>
      <c r="J17" s="103"/>
      <c r="K17" s="102">
        <f>'20'!K17+'21'!E17</f>
        <v>4320</v>
      </c>
      <c r="L17" s="103"/>
      <c r="M17" s="102">
        <f>'20'!M17+G17</f>
        <v>4200</v>
      </c>
      <c r="N17" s="103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'20'!I18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0"/>
        <v>5340</v>
      </c>
      <c r="J18" s="103"/>
      <c r="K18" s="102">
        <f>'20'!K18+'21'!E18</f>
        <v>0</v>
      </c>
      <c r="L18" s="103"/>
      <c r="M18" s="102">
        <f>'20'!M18+G18</f>
        <v>0</v>
      </c>
      <c r="N18" s="103"/>
      <c r="O18" s="1"/>
      <c r="P18" s="164" t="s">
        <v>27</v>
      </c>
      <c r="Q18" s="164"/>
      <c r="R18" s="164"/>
      <c r="S18" s="114">
        <v>2</v>
      </c>
      <c r="T18" s="115"/>
      <c r="U18" s="114">
        <v>0</v>
      </c>
      <c r="V18" s="115"/>
      <c r="W18" s="114">
        <f>S18+U18</f>
        <v>2</v>
      </c>
      <c r="X18" s="115"/>
      <c r="Y18" s="151">
        <f>'20'!Y18+'21'!W18</f>
        <v>68</v>
      </c>
      <c r="Z18" s="151"/>
    </row>
    <row r="19" spans="1:31" ht="21.9" customHeight="1">
      <c r="A19" s="153" t="s">
        <v>62</v>
      </c>
      <c r="B19" s="153"/>
      <c r="C19" s="174">
        <f>'20'!I19</f>
        <v>72502</v>
      </c>
      <c r="D19" s="174"/>
      <c r="E19" s="154">
        <v>84770</v>
      </c>
      <c r="F19" s="154"/>
      <c r="G19" s="154">
        <f>D7</f>
        <v>81962</v>
      </c>
      <c r="H19" s="154"/>
      <c r="I19" s="99">
        <f t="shared" ref="I19" si="1">C19+E19-G19</f>
        <v>75310</v>
      </c>
      <c r="J19" s="101"/>
      <c r="K19" s="99">
        <f>'20'!K19+'21'!E19</f>
        <v>1504500</v>
      </c>
      <c r="L19" s="101"/>
      <c r="M19" s="99">
        <f>'20'!M19+G19</f>
        <v>1539190</v>
      </c>
      <c r="N19" s="101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'20'!I20</f>
        <v>-</v>
      </c>
      <c r="D20" s="174"/>
      <c r="E20" s="102"/>
      <c r="F20" s="103"/>
      <c r="G20" s="104"/>
      <c r="H20" s="104"/>
      <c r="I20" s="102" t="s">
        <v>60</v>
      </c>
      <c r="J20" s="103"/>
      <c r="K20" s="105">
        <f>'20'!K20+'21'!E20</f>
        <v>0</v>
      </c>
      <c r="L20" s="105"/>
      <c r="M20" s="99">
        <f>'20'!M20+G20</f>
        <v>0</v>
      </c>
      <c r="N20" s="101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'20'!G24</f>
        <v>4128530</v>
      </c>
      <c r="E24" s="187"/>
      <c r="F24" s="187"/>
      <c r="G24" s="164">
        <v>4150113</v>
      </c>
      <c r="H24" s="164"/>
      <c r="I24" s="164"/>
      <c r="J24" s="164">
        <f>G24-D24</f>
        <v>21583</v>
      </c>
      <c r="K24" s="164"/>
      <c r="L24" s="164"/>
      <c r="M24" s="164">
        <f>'20'!M24+J24</f>
        <v>478545</v>
      </c>
      <c r="N24" s="164"/>
      <c r="P24" s="105" t="s">
        <v>36</v>
      </c>
      <c r="Q24" s="105"/>
      <c r="R24" s="105"/>
      <c r="S24" s="105">
        <f>'20'!V24</f>
        <v>556.6</v>
      </c>
      <c r="T24" s="105"/>
      <c r="U24" s="105"/>
      <c r="V24" s="140">
        <v>536.9</v>
      </c>
      <c r="W24" s="140"/>
      <c r="X24" s="140"/>
      <c r="Y24" s="140">
        <f>'20'!Y24+'21'!V24</f>
        <v>10570.300000000001</v>
      </c>
      <c r="Z24" s="140"/>
    </row>
    <row r="25" spans="1:31" ht="21.9" customHeight="1">
      <c r="A25" s="104" t="s">
        <v>30</v>
      </c>
      <c r="B25" s="104"/>
      <c r="C25" s="104"/>
      <c r="D25" s="104">
        <f>'20'!G25</f>
        <v>33445.599999999999</v>
      </c>
      <c r="E25" s="104"/>
      <c r="F25" s="104"/>
      <c r="G25" s="104">
        <v>33479.199999999997</v>
      </c>
      <c r="H25" s="104"/>
      <c r="I25" s="104"/>
      <c r="J25" s="104">
        <f>G25-D25</f>
        <v>33.599999999998545</v>
      </c>
      <c r="K25" s="104"/>
      <c r="L25" s="104"/>
      <c r="M25" s="102">
        <f>'20'!M25+J25</f>
        <v>715.09999999999854</v>
      </c>
      <c r="N25" s="103"/>
      <c r="P25" s="104" t="s">
        <v>37</v>
      </c>
      <c r="Q25" s="104"/>
      <c r="R25" s="104"/>
      <c r="S25" s="105">
        <f>'20'!V25</f>
        <v>63</v>
      </c>
      <c r="T25" s="105"/>
      <c r="U25" s="105"/>
      <c r="V25" s="137">
        <v>60.4</v>
      </c>
      <c r="W25" s="137"/>
      <c r="X25" s="137"/>
      <c r="Y25" s="188">
        <f>'20'!Y25+'21'!V25</f>
        <v>1231.8</v>
      </c>
      <c r="Z25" s="190"/>
    </row>
    <row r="26" spans="1:31" ht="21.9" customHeight="1">
      <c r="A26" s="104" t="s">
        <v>31</v>
      </c>
      <c r="B26" s="104"/>
      <c r="C26" s="104"/>
      <c r="D26" s="104">
        <f>'20'!G26</f>
        <v>24720</v>
      </c>
      <c r="E26" s="104"/>
      <c r="F26" s="104"/>
      <c r="G26" s="104">
        <v>24740</v>
      </c>
      <c r="H26" s="104"/>
      <c r="I26" s="104"/>
      <c r="J26" s="104">
        <f t="shared" ref="J26:J33" si="2">G26-D26</f>
        <v>20</v>
      </c>
      <c r="K26" s="104"/>
      <c r="L26" s="104"/>
      <c r="M26" s="102">
        <f>'20'!M26+J26</f>
        <v>440</v>
      </c>
      <c r="N26" s="103"/>
      <c r="P26" s="104" t="s">
        <v>38</v>
      </c>
      <c r="Q26" s="104"/>
      <c r="R26" s="104"/>
      <c r="S26" s="105">
        <f>'20'!V26</f>
        <v>527</v>
      </c>
      <c r="T26" s="105"/>
      <c r="U26" s="105"/>
      <c r="V26" s="137">
        <v>529.70000000000005</v>
      </c>
      <c r="W26" s="137"/>
      <c r="X26" s="137"/>
      <c r="Y26" s="188">
        <f>'20'!Y26+'21'!V26</f>
        <v>10453.4</v>
      </c>
      <c r="Z26" s="190"/>
    </row>
    <row r="27" spans="1:31" ht="21.9" customHeight="1">
      <c r="A27" s="104" t="s">
        <v>32</v>
      </c>
      <c r="B27" s="104"/>
      <c r="C27" s="104"/>
      <c r="D27" s="104">
        <f>'20'!G27</f>
        <v>1405000</v>
      </c>
      <c r="E27" s="104"/>
      <c r="F27" s="104"/>
      <c r="G27" s="104">
        <v>1408000</v>
      </c>
      <c r="H27" s="104"/>
      <c r="I27" s="104"/>
      <c r="J27" s="104">
        <f t="shared" si="2"/>
        <v>3000</v>
      </c>
      <c r="K27" s="104"/>
      <c r="L27" s="104"/>
      <c r="M27" s="102">
        <f>'20'!M27+J27</f>
        <v>69000</v>
      </c>
      <c r="N27" s="103"/>
      <c r="P27" s="104" t="s">
        <v>39</v>
      </c>
      <c r="Q27" s="104"/>
      <c r="R27" s="104"/>
      <c r="S27" s="105">
        <f>'20'!V27</f>
        <v>525.70000000000005</v>
      </c>
      <c r="T27" s="105"/>
      <c r="U27" s="105"/>
      <c r="V27" s="137">
        <v>498.1</v>
      </c>
      <c r="W27" s="137"/>
      <c r="X27" s="137"/>
      <c r="Y27" s="188">
        <f>'20'!Y27+'21'!V27</f>
        <v>10695</v>
      </c>
      <c r="Z27" s="190"/>
    </row>
    <row r="28" spans="1:31" ht="21.9" customHeight="1">
      <c r="A28" s="104" t="s">
        <v>33</v>
      </c>
      <c r="B28" s="104"/>
      <c r="C28" s="104"/>
      <c r="D28" s="104">
        <f>'20'!G28</f>
        <v>6031</v>
      </c>
      <c r="E28" s="104"/>
      <c r="F28" s="104"/>
      <c r="G28" s="104">
        <v>6083</v>
      </c>
      <c r="H28" s="104"/>
      <c r="I28" s="104"/>
      <c r="J28" s="104">
        <f t="shared" si="2"/>
        <v>52</v>
      </c>
      <c r="K28" s="104"/>
      <c r="L28" s="104"/>
      <c r="M28" s="102">
        <f>'20'!M28+J28</f>
        <v>1145</v>
      </c>
      <c r="N28" s="103"/>
      <c r="P28" s="104" t="s">
        <v>41</v>
      </c>
      <c r="Q28" s="104"/>
      <c r="R28" s="104"/>
      <c r="S28" s="105">
        <f>'20'!V28</f>
        <v>0</v>
      </c>
      <c r="T28" s="105"/>
      <c r="U28" s="105"/>
      <c r="V28" s="137">
        <v>0</v>
      </c>
      <c r="W28" s="137"/>
      <c r="X28" s="137"/>
      <c r="Y28" s="188">
        <f>'20'!Y28+'21'!V28</f>
        <v>0</v>
      </c>
      <c r="Z28" s="190"/>
    </row>
    <row r="29" spans="1:31" ht="21.9" customHeight="1">
      <c r="A29" s="104" t="s">
        <v>34</v>
      </c>
      <c r="B29" s="104"/>
      <c r="C29" s="104"/>
      <c r="D29" s="104">
        <f>'20'!G29</f>
        <v>66240</v>
      </c>
      <c r="E29" s="104"/>
      <c r="F29" s="104"/>
      <c r="G29" s="104">
        <v>66250</v>
      </c>
      <c r="H29" s="104"/>
      <c r="I29" s="104"/>
      <c r="J29" s="104">
        <f t="shared" si="2"/>
        <v>10</v>
      </c>
      <c r="K29" s="104"/>
      <c r="L29" s="104"/>
      <c r="M29" s="102">
        <f>'20'!M29+J29</f>
        <v>70</v>
      </c>
      <c r="N29" s="103"/>
      <c r="P29" s="104" t="s">
        <v>40</v>
      </c>
      <c r="Q29" s="104"/>
      <c r="R29" s="104"/>
      <c r="S29" s="105">
        <f>'20'!V29</f>
        <v>70.8</v>
      </c>
      <c r="T29" s="105"/>
      <c r="U29" s="105"/>
      <c r="V29" s="137">
        <v>71.5</v>
      </c>
      <c r="W29" s="137"/>
      <c r="X29" s="137"/>
      <c r="Y29" s="188">
        <f>'20'!Y29+'21'!V29</f>
        <v>1407.6999999999996</v>
      </c>
      <c r="Z29" s="190"/>
    </row>
    <row r="30" spans="1:31" ht="21.9" customHeight="1">
      <c r="A30" s="104" t="s">
        <v>35</v>
      </c>
      <c r="B30" s="104"/>
      <c r="C30" s="104"/>
      <c r="D30" s="104">
        <f>'20'!G30</f>
        <v>53470</v>
      </c>
      <c r="E30" s="104"/>
      <c r="F30" s="104"/>
      <c r="G30" s="104">
        <v>53490</v>
      </c>
      <c r="H30" s="104"/>
      <c r="I30" s="104"/>
      <c r="J30" s="104">
        <f t="shared" si="2"/>
        <v>20</v>
      </c>
      <c r="K30" s="104"/>
      <c r="L30" s="104"/>
      <c r="M30" s="102">
        <f>'20'!M30+J30</f>
        <v>270</v>
      </c>
      <c r="N30" s="103"/>
      <c r="P30" s="104" t="s">
        <v>28</v>
      </c>
      <c r="Q30" s="104"/>
      <c r="R30" s="104"/>
      <c r="S30" s="105">
        <f>'20'!V30</f>
        <v>0</v>
      </c>
      <c r="T30" s="105"/>
      <c r="U30" s="105"/>
      <c r="V30" s="137"/>
      <c r="W30" s="137"/>
      <c r="X30" s="137"/>
      <c r="Y30" s="188">
        <f>'20'!Y30+'21'!V30</f>
        <v>1528.3</v>
      </c>
      <c r="Z30" s="190"/>
    </row>
    <row r="31" spans="1:31" ht="21.9" customHeight="1">
      <c r="A31" s="104" t="s">
        <v>120</v>
      </c>
      <c r="B31" s="104"/>
      <c r="C31" s="104"/>
      <c r="D31" s="104">
        <f>'20'!G31</f>
        <v>6359003</v>
      </c>
      <c r="E31" s="104"/>
      <c r="F31" s="104"/>
      <c r="G31" s="102">
        <v>6366620</v>
      </c>
      <c r="H31" s="106"/>
      <c r="I31" s="103"/>
      <c r="J31" s="104">
        <f t="shared" si="2"/>
        <v>7617</v>
      </c>
      <c r="K31" s="104"/>
      <c r="L31" s="104"/>
      <c r="M31" s="102">
        <f>'20'!M31+J31</f>
        <v>164525</v>
      </c>
      <c r="N31" s="103"/>
      <c r="P31" s="57"/>
      <c r="Q31" s="57"/>
      <c r="R31" s="57"/>
      <c r="S31" s="57"/>
      <c r="T31" s="57"/>
      <c r="U31" s="57"/>
      <c r="V31" s="58"/>
      <c r="W31" s="58"/>
      <c r="X31" s="58"/>
      <c r="Y31" s="58"/>
      <c r="Z31" s="58"/>
    </row>
    <row r="32" spans="1:31" ht="21.9" customHeight="1">
      <c r="A32" s="104" t="s">
        <v>121</v>
      </c>
      <c r="B32" s="104"/>
      <c r="C32" s="104"/>
      <c r="D32" s="104">
        <f>'20'!G32</f>
        <v>1.7</v>
      </c>
      <c r="E32" s="104"/>
      <c r="F32" s="104"/>
      <c r="G32" s="102">
        <v>1.7</v>
      </c>
      <c r="H32" s="106"/>
      <c r="I32" s="103"/>
      <c r="J32" s="102">
        <f t="shared" si="2"/>
        <v>0</v>
      </c>
      <c r="K32" s="106">
        <v>12.255000000000001</v>
      </c>
      <c r="L32" s="103">
        <v>12.255000000000001</v>
      </c>
      <c r="M32" s="102">
        <f>'20'!M32+J32</f>
        <v>9.9999999999999867E-2</v>
      </c>
      <c r="N32" s="103"/>
      <c r="P32" s="57"/>
      <c r="Q32" s="57"/>
      <c r="R32" s="57"/>
      <c r="S32" s="57"/>
      <c r="T32" s="57"/>
      <c r="U32" s="57"/>
      <c r="V32" s="58"/>
      <c r="W32" s="58"/>
      <c r="X32" s="58"/>
      <c r="Y32" s="58"/>
      <c r="Z32" s="58"/>
    </row>
    <row r="33" spans="1:26" ht="21.9" customHeight="1">
      <c r="A33" s="104" t="s">
        <v>122</v>
      </c>
      <c r="B33" s="104"/>
      <c r="C33" s="104"/>
      <c r="D33" s="104">
        <f>'20'!G33</f>
        <v>0</v>
      </c>
      <c r="E33" s="104"/>
      <c r="F33" s="104"/>
      <c r="G33" s="102">
        <v>0</v>
      </c>
      <c r="H33" s="106"/>
      <c r="I33" s="103"/>
      <c r="J33" s="102">
        <f t="shared" si="2"/>
        <v>0</v>
      </c>
      <c r="K33" s="106">
        <v>12.255000000000001</v>
      </c>
      <c r="L33" s="103">
        <v>12.255000000000001</v>
      </c>
      <c r="M33" s="102">
        <f>'20'!M33+J33</f>
        <v>0</v>
      </c>
      <c r="N33" s="103"/>
      <c r="P33" s="57"/>
      <c r="Q33" s="57"/>
      <c r="R33" s="57"/>
      <c r="S33" s="57"/>
      <c r="T33" s="57"/>
      <c r="U33" s="57"/>
      <c r="V33" s="58"/>
      <c r="W33" s="58"/>
      <c r="X33" s="58"/>
      <c r="Y33" s="58"/>
      <c r="Z33" s="58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H3" name="범위2"/>
    <protectedRange sqref="U2:Z3 D7:I7 R7:Z7 E12:H20 S12:V15 S18:V20 G24:I30 V24:X30" name="범위1"/>
    <protectedRange sqref="V31:X33" name="범위1_3"/>
    <protectedRange sqref="G31:I31 G32:L33" name="범위3_1_1_2"/>
    <protectedRange sqref="B2:G3" name="범위1_1"/>
  </protectedRanges>
  <mergeCells count="223">
    <mergeCell ref="A63:B76"/>
    <mergeCell ref="C63:Z76"/>
    <mergeCell ref="A36:B48"/>
    <mergeCell ref="C36:Z48"/>
    <mergeCell ref="A49:B62"/>
    <mergeCell ref="C49:Z62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A29:C29"/>
    <mergeCell ref="D29:F29"/>
    <mergeCell ref="G29:I29"/>
    <mergeCell ref="J29:L29"/>
    <mergeCell ref="M29:N29"/>
    <mergeCell ref="P29:R29"/>
    <mergeCell ref="S29:U29"/>
    <mergeCell ref="M33:N33"/>
    <mergeCell ref="S30:U30"/>
    <mergeCell ref="V29:X29"/>
    <mergeCell ref="Y29:Z29"/>
    <mergeCell ref="A28:C28"/>
    <mergeCell ref="D28:F28"/>
    <mergeCell ref="G28:I28"/>
    <mergeCell ref="J28:L28"/>
    <mergeCell ref="M28:N28"/>
    <mergeCell ref="P28:R28"/>
    <mergeCell ref="S28:U28"/>
    <mergeCell ref="V28:X28"/>
    <mergeCell ref="Y28:Z28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A23:C23"/>
    <mergeCell ref="D23:F23"/>
    <mergeCell ref="G23:I23"/>
    <mergeCell ref="J23:L23"/>
    <mergeCell ref="M23:N23"/>
    <mergeCell ref="P23:R23"/>
    <mergeCell ref="S23:U23"/>
    <mergeCell ref="P18:R20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18:B18"/>
    <mergeCell ref="C18:D18"/>
    <mergeCell ref="E18:F18"/>
    <mergeCell ref="G18:H18"/>
    <mergeCell ref="I18:J18"/>
    <mergeCell ref="K18:L18"/>
    <mergeCell ref="M18:N18"/>
    <mergeCell ref="I17:J17"/>
    <mergeCell ref="K17:L17"/>
    <mergeCell ref="A17:B17"/>
    <mergeCell ref="C17:D17"/>
    <mergeCell ref="E17:F17"/>
    <mergeCell ref="G17:H17"/>
    <mergeCell ref="A16:B16"/>
    <mergeCell ref="C16:D16"/>
    <mergeCell ref="E16:F16"/>
    <mergeCell ref="G16:H16"/>
    <mergeCell ref="I16:J16"/>
    <mergeCell ref="K16:L16"/>
    <mergeCell ref="M16:N16"/>
    <mergeCell ref="A14:B14"/>
    <mergeCell ref="C14:D14"/>
    <mergeCell ref="E14:F14"/>
    <mergeCell ref="G14:H14"/>
    <mergeCell ref="I14:J14"/>
    <mergeCell ref="K14:L14"/>
    <mergeCell ref="M14:N14"/>
    <mergeCell ref="A15:B15"/>
    <mergeCell ref="C15:D15"/>
    <mergeCell ref="E15:F15"/>
    <mergeCell ref="G15:H15"/>
    <mergeCell ref="I15:J15"/>
    <mergeCell ref="K15:L15"/>
    <mergeCell ref="R8:T8"/>
    <mergeCell ref="S11:V11"/>
    <mergeCell ref="U8:W8"/>
    <mergeCell ref="A13:B13"/>
    <mergeCell ref="C13:D13"/>
    <mergeCell ref="E13:F13"/>
    <mergeCell ref="G13:H13"/>
    <mergeCell ref="I13:J13"/>
    <mergeCell ref="K13:L13"/>
    <mergeCell ref="M13:N13"/>
    <mergeCell ref="P12:R13"/>
    <mergeCell ref="M12:N12"/>
    <mergeCell ref="A12:B12"/>
    <mergeCell ref="C12:D12"/>
    <mergeCell ref="E12:F12"/>
    <mergeCell ref="G12:H12"/>
    <mergeCell ref="I12:J12"/>
    <mergeCell ref="K12:L12"/>
    <mergeCell ref="G8:I8"/>
    <mergeCell ref="J8:L8"/>
    <mergeCell ref="P8:Q8"/>
    <mergeCell ref="M11:N11"/>
    <mergeCell ref="P11:R11"/>
    <mergeCell ref="A8:C8"/>
    <mergeCell ref="A1:A3"/>
    <mergeCell ref="W1:X1"/>
    <mergeCell ref="H1:S2"/>
    <mergeCell ref="T1:T3"/>
    <mergeCell ref="U1:V1"/>
    <mergeCell ref="U2:V3"/>
    <mergeCell ref="H3:S3"/>
    <mergeCell ref="Y1:Z1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G6:I6"/>
    <mergeCell ref="J6:L6"/>
    <mergeCell ref="P6:Q6"/>
    <mergeCell ref="R6:T6"/>
    <mergeCell ref="U6:W6"/>
    <mergeCell ref="X6:Z6"/>
    <mergeCell ref="K11:L11"/>
    <mergeCell ref="P22:U22"/>
    <mergeCell ref="V23:X23"/>
    <mergeCell ref="Y23:Z23"/>
    <mergeCell ref="S26:U26"/>
    <mergeCell ref="V26:X26"/>
    <mergeCell ref="M17:N17"/>
    <mergeCell ref="Y26:Z26"/>
    <mergeCell ref="V27:X27"/>
    <mergeCell ref="Y27:Z27"/>
    <mergeCell ref="S14:V15"/>
    <mergeCell ref="W14:Z15"/>
    <mergeCell ref="S16:T17"/>
    <mergeCell ref="U16:V17"/>
    <mergeCell ref="W16:X17"/>
    <mergeCell ref="S18:T20"/>
    <mergeCell ref="U18:V20"/>
    <mergeCell ref="W18:X20"/>
    <mergeCell ref="P16:R17"/>
    <mergeCell ref="D8:F8"/>
    <mergeCell ref="V30:X30"/>
    <mergeCell ref="Y30:Z30"/>
    <mergeCell ref="P14:R15"/>
    <mergeCell ref="M15:N15"/>
    <mergeCell ref="B1:C1"/>
    <mergeCell ref="D1:E1"/>
    <mergeCell ref="F1:G1"/>
    <mergeCell ref="B2:C3"/>
    <mergeCell ref="D2:E3"/>
    <mergeCell ref="F2:G3"/>
    <mergeCell ref="X8:Z8"/>
    <mergeCell ref="W11:Z11"/>
    <mergeCell ref="Y18:Z20"/>
    <mergeCell ref="S12:V13"/>
    <mergeCell ref="W12:Z13"/>
    <mergeCell ref="Y16:Z17"/>
    <mergeCell ref="W2:X3"/>
    <mergeCell ref="Y2:Z3"/>
    <mergeCell ref="A11:B11"/>
    <mergeCell ref="C11:D11"/>
    <mergeCell ref="E11:F11"/>
    <mergeCell ref="G11:H11"/>
    <mergeCell ref="I11:J1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zoomScaleNormal="100" zoomScaleSheetLayoutView="100" workbookViewId="0">
      <selection activeCell="U7" sqref="U7:W7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192</v>
      </c>
      <c r="C2" s="135"/>
      <c r="D2" s="135" t="s">
        <v>193</v>
      </c>
      <c r="E2" s="135"/>
      <c r="F2" s="135" t="s">
        <v>194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05"/>
      <c r="E3" s="105"/>
      <c r="F3" s="105"/>
      <c r="G3" s="105"/>
      <c r="H3" s="132">
        <v>46225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90783</v>
      </c>
      <c r="E7" s="139"/>
      <c r="F7" s="139"/>
      <c r="G7" s="139">
        <v>100400</v>
      </c>
      <c r="H7" s="139"/>
      <c r="I7" s="139"/>
      <c r="J7" s="154">
        <f>D7+G7</f>
        <v>191183</v>
      </c>
      <c r="K7" s="154"/>
      <c r="L7" s="154"/>
      <c r="M7" s="1"/>
      <c r="N7" s="1"/>
      <c r="O7" s="1"/>
      <c r="P7" s="105" t="s">
        <v>48</v>
      </c>
      <c r="Q7" s="105"/>
      <c r="R7" s="140">
        <v>469.2</v>
      </c>
      <c r="S7" s="140"/>
      <c r="T7" s="140"/>
      <c r="U7" s="140">
        <v>55.3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'21'!D8+'22'!D7</f>
        <v>1629973</v>
      </c>
      <c r="E8" s="154"/>
      <c r="F8" s="154"/>
      <c r="G8" s="154">
        <f>'21'!G8+'22'!G7</f>
        <v>3139000</v>
      </c>
      <c r="H8" s="154"/>
      <c r="I8" s="154"/>
      <c r="J8" s="154">
        <f>D8+G8</f>
        <v>4768973</v>
      </c>
      <c r="K8" s="154"/>
      <c r="L8" s="154"/>
      <c r="M8" s="1"/>
      <c r="N8" s="1"/>
      <c r="O8" s="1"/>
      <c r="P8" s="104" t="s">
        <v>2</v>
      </c>
      <c r="Q8" s="104"/>
      <c r="R8" s="137">
        <f>'21'!R8+R7</f>
        <v>10726.9</v>
      </c>
      <c r="S8" s="137"/>
      <c r="T8" s="137"/>
      <c r="U8" s="137">
        <f>'21'!U8+U7</f>
        <v>6271.4</v>
      </c>
      <c r="V8" s="137"/>
      <c r="W8" s="137"/>
      <c r="X8" s="138">
        <f>'21'!X8+'22'!X7</f>
        <v>528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'21'!I12</f>
        <v>14649</v>
      </c>
      <c r="D12" s="174"/>
      <c r="E12" s="105">
        <v>0</v>
      </c>
      <c r="F12" s="105"/>
      <c r="G12" s="105">
        <v>4418</v>
      </c>
      <c r="H12" s="105"/>
      <c r="I12" s="107">
        <f t="shared" ref="I12:I18" si="0">C12+E12-G12</f>
        <v>10231</v>
      </c>
      <c r="J12" s="109"/>
      <c r="K12" s="105">
        <f>'21'!K12+'22'!E12</f>
        <v>83360</v>
      </c>
      <c r="L12" s="105"/>
      <c r="M12" s="105">
        <f>'21'!M12+G12</f>
        <v>88043</v>
      </c>
      <c r="N12" s="105"/>
      <c r="O12" s="1"/>
      <c r="P12" s="149" t="s">
        <v>101</v>
      </c>
      <c r="Q12" s="105"/>
      <c r="R12" s="105"/>
      <c r="S12" s="143">
        <v>0</v>
      </c>
      <c r="T12" s="144"/>
      <c r="U12" s="144"/>
      <c r="V12" s="144"/>
      <c r="W12" s="194">
        <f>'21'!W12+'22'!S12</f>
        <v>787.00000000000011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'21'!I13</f>
        <v>240</v>
      </c>
      <c r="D13" s="174"/>
      <c r="E13" s="104">
        <v>800</v>
      </c>
      <c r="F13" s="104"/>
      <c r="G13" s="104">
        <v>100</v>
      </c>
      <c r="H13" s="104"/>
      <c r="I13" s="102">
        <f t="shared" si="0"/>
        <v>940</v>
      </c>
      <c r="J13" s="103"/>
      <c r="K13" s="102">
        <f>'21'!K13+'22'!E13</f>
        <v>2420</v>
      </c>
      <c r="L13" s="103"/>
      <c r="M13" s="102">
        <f>'21'!M13+G13</f>
        <v>2070</v>
      </c>
      <c r="N13" s="103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'21'!I14</f>
        <v>80</v>
      </c>
      <c r="D14" s="174"/>
      <c r="E14" s="104">
        <v>2000</v>
      </c>
      <c r="F14" s="104"/>
      <c r="G14" s="104">
        <v>120</v>
      </c>
      <c r="H14" s="104"/>
      <c r="I14" s="102">
        <f t="shared" si="0"/>
        <v>1960</v>
      </c>
      <c r="J14" s="103"/>
      <c r="K14" s="102">
        <f>'21'!K14+'22'!E14</f>
        <v>4000</v>
      </c>
      <c r="L14" s="103"/>
      <c r="M14" s="102">
        <f>'21'!M14+G14</f>
        <v>2640</v>
      </c>
      <c r="N14" s="103"/>
      <c r="O14" s="1"/>
      <c r="P14" s="104" t="s">
        <v>26</v>
      </c>
      <c r="Q14" s="104"/>
      <c r="R14" s="104"/>
      <c r="S14" s="155">
        <v>0</v>
      </c>
      <c r="T14" s="156"/>
      <c r="U14" s="156"/>
      <c r="V14" s="156"/>
      <c r="W14" s="186">
        <f>'21'!W14+'22'!S14</f>
        <v>163.07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'21'!I15</f>
        <v>704</v>
      </c>
      <c r="D15" s="174"/>
      <c r="E15" s="104">
        <v>0</v>
      </c>
      <c r="F15" s="104"/>
      <c r="G15" s="104">
        <v>0</v>
      </c>
      <c r="H15" s="104"/>
      <c r="I15" s="102">
        <f t="shared" si="0"/>
        <v>704</v>
      </c>
      <c r="J15" s="103"/>
      <c r="K15" s="102">
        <f>'21'!K15+'22'!E15</f>
        <v>0</v>
      </c>
      <c r="L15" s="103"/>
      <c r="M15" s="102">
        <f>'21'!M15+G15</f>
        <v>595</v>
      </c>
      <c r="N15" s="103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'21'!I16</f>
        <v>1930</v>
      </c>
      <c r="D16" s="174"/>
      <c r="E16" s="104">
        <v>0</v>
      </c>
      <c r="F16" s="104"/>
      <c r="G16" s="104">
        <v>20</v>
      </c>
      <c r="H16" s="104"/>
      <c r="I16" s="102">
        <f t="shared" si="0"/>
        <v>1910</v>
      </c>
      <c r="J16" s="103"/>
      <c r="K16" s="102">
        <f>'21'!K16+'22'!E16</f>
        <v>0</v>
      </c>
      <c r="L16" s="103"/>
      <c r="M16" s="102">
        <f>'21'!M16+G16</f>
        <v>440</v>
      </c>
      <c r="N16" s="103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'21'!I17</f>
        <v>1970</v>
      </c>
      <c r="D17" s="174"/>
      <c r="E17" s="104">
        <v>0</v>
      </c>
      <c r="F17" s="104"/>
      <c r="G17" s="104">
        <v>200</v>
      </c>
      <c r="H17" s="104"/>
      <c r="I17" s="102">
        <f t="shared" si="0"/>
        <v>1770</v>
      </c>
      <c r="J17" s="103"/>
      <c r="K17" s="102">
        <f>'21'!K17+'22'!E17</f>
        <v>4320</v>
      </c>
      <c r="L17" s="103"/>
      <c r="M17" s="102">
        <f>'21'!M17+G17</f>
        <v>4400</v>
      </c>
      <c r="N17" s="103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'21'!I18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0"/>
        <v>5340</v>
      </c>
      <c r="J18" s="103"/>
      <c r="K18" s="102">
        <f>'21'!K18+'22'!E18</f>
        <v>0</v>
      </c>
      <c r="L18" s="103"/>
      <c r="M18" s="102">
        <f>'21'!M18+G18</f>
        <v>0</v>
      </c>
      <c r="N18" s="103"/>
      <c r="O18" s="1"/>
      <c r="P18" s="164" t="s">
        <v>27</v>
      </c>
      <c r="Q18" s="164"/>
      <c r="R18" s="164"/>
      <c r="S18" s="114">
        <v>2</v>
      </c>
      <c r="T18" s="115"/>
      <c r="U18" s="114">
        <v>1</v>
      </c>
      <c r="V18" s="115"/>
      <c r="W18" s="114">
        <f>S18+U18</f>
        <v>3</v>
      </c>
      <c r="X18" s="115"/>
      <c r="Y18" s="151">
        <f>'21'!Y18+'22'!W18</f>
        <v>71</v>
      </c>
      <c r="Z18" s="151"/>
    </row>
    <row r="19" spans="1:31" ht="21.9" customHeight="1">
      <c r="A19" s="153" t="s">
        <v>62</v>
      </c>
      <c r="B19" s="153"/>
      <c r="C19" s="174">
        <f>'21'!I19</f>
        <v>75310</v>
      </c>
      <c r="D19" s="174"/>
      <c r="E19" s="154">
        <v>91250</v>
      </c>
      <c r="F19" s="154"/>
      <c r="G19" s="154">
        <f>D7</f>
        <v>90783</v>
      </c>
      <c r="H19" s="154"/>
      <c r="I19" s="99">
        <f t="shared" ref="I19" si="1">C19+E19-G19</f>
        <v>75777</v>
      </c>
      <c r="J19" s="101"/>
      <c r="K19" s="99">
        <f>'21'!K19+'22'!E19</f>
        <v>1595750</v>
      </c>
      <c r="L19" s="101"/>
      <c r="M19" s="99">
        <f>'21'!M19+G19</f>
        <v>1629973</v>
      </c>
      <c r="N19" s="101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'21'!I20</f>
        <v>-</v>
      </c>
      <c r="D20" s="174"/>
      <c r="E20" s="102"/>
      <c r="F20" s="103"/>
      <c r="G20" s="104"/>
      <c r="H20" s="104"/>
      <c r="I20" s="102" t="s">
        <v>60</v>
      </c>
      <c r="J20" s="103"/>
      <c r="K20" s="105">
        <f>'21'!K20+'22'!E20</f>
        <v>0</v>
      </c>
      <c r="L20" s="105"/>
      <c r="M20" s="99">
        <f>'21'!M20+G20</f>
        <v>0</v>
      </c>
      <c r="N20" s="101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'21'!G24</f>
        <v>4150113</v>
      </c>
      <c r="E24" s="187"/>
      <c r="F24" s="187"/>
      <c r="G24" s="164">
        <v>4171446</v>
      </c>
      <c r="H24" s="164"/>
      <c r="I24" s="164"/>
      <c r="J24" s="164">
        <f>G24-D24</f>
        <v>21333</v>
      </c>
      <c r="K24" s="164"/>
      <c r="L24" s="164"/>
      <c r="M24" s="164">
        <f>'21'!M24+J24</f>
        <v>499878</v>
      </c>
      <c r="N24" s="164"/>
      <c r="P24" s="105" t="s">
        <v>36</v>
      </c>
      <c r="Q24" s="105"/>
      <c r="R24" s="105"/>
      <c r="S24" s="105">
        <f>'21'!V24</f>
        <v>536.9</v>
      </c>
      <c r="T24" s="105"/>
      <c r="U24" s="105"/>
      <c r="V24" s="140">
        <v>519.1</v>
      </c>
      <c r="W24" s="140"/>
      <c r="X24" s="140"/>
      <c r="Y24" s="140">
        <f>'21'!Y24+'22'!V24</f>
        <v>11089.400000000001</v>
      </c>
      <c r="Z24" s="140"/>
    </row>
    <row r="25" spans="1:31" ht="21.9" customHeight="1">
      <c r="A25" s="104" t="s">
        <v>30</v>
      </c>
      <c r="B25" s="104"/>
      <c r="C25" s="104"/>
      <c r="D25" s="104">
        <f>'21'!G25</f>
        <v>33479.199999999997</v>
      </c>
      <c r="E25" s="104"/>
      <c r="F25" s="104"/>
      <c r="G25" s="104">
        <v>33513.699999999997</v>
      </c>
      <c r="H25" s="104"/>
      <c r="I25" s="104"/>
      <c r="J25" s="104">
        <f>G25-D25</f>
        <v>34.5</v>
      </c>
      <c r="K25" s="104"/>
      <c r="L25" s="104"/>
      <c r="M25" s="102">
        <f>'21'!M25+J25</f>
        <v>749.59999999999854</v>
      </c>
      <c r="N25" s="103"/>
      <c r="P25" s="104" t="s">
        <v>37</v>
      </c>
      <c r="Q25" s="104"/>
      <c r="R25" s="104"/>
      <c r="S25" s="102">
        <f>'21'!V25</f>
        <v>60.4</v>
      </c>
      <c r="T25" s="106"/>
      <c r="U25" s="103"/>
      <c r="V25" s="137">
        <v>67.599999999999994</v>
      </c>
      <c r="W25" s="137"/>
      <c r="X25" s="137"/>
      <c r="Y25" s="188">
        <f>'21'!Y25+'22'!V25</f>
        <v>1299.3999999999999</v>
      </c>
      <c r="Z25" s="190"/>
    </row>
    <row r="26" spans="1:31" ht="21.9" customHeight="1">
      <c r="A26" s="104" t="s">
        <v>31</v>
      </c>
      <c r="B26" s="104"/>
      <c r="C26" s="104"/>
      <c r="D26" s="104">
        <f>'21'!G26</f>
        <v>24740</v>
      </c>
      <c r="E26" s="104"/>
      <c r="F26" s="104"/>
      <c r="G26" s="104">
        <v>24760</v>
      </c>
      <c r="H26" s="104"/>
      <c r="I26" s="104"/>
      <c r="J26" s="104">
        <f t="shared" ref="J26:J33" si="2">G26-D26</f>
        <v>20</v>
      </c>
      <c r="K26" s="104"/>
      <c r="L26" s="104"/>
      <c r="M26" s="102">
        <f>'21'!M26+J26</f>
        <v>460</v>
      </c>
      <c r="N26" s="103"/>
      <c r="P26" s="104" t="s">
        <v>38</v>
      </c>
      <c r="Q26" s="104"/>
      <c r="R26" s="104"/>
      <c r="S26" s="102">
        <f>'21'!V26</f>
        <v>529.70000000000005</v>
      </c>
      <c r="T26" s="106"/>
      <c r="U26" s="103"/>
      <c r="V26" s="137">
        <v>528.4</v>
      </c>
      <c r="W26" s="137"/>
      <c r="X26" s="137"/>
      <c r="Y26" s="188">
        <f>'21'!Y26+'22'!V26</f>
        <v>10981.8</v>
      </c>
      <c r="Z26" s="190"/>
    </row>
    <row r="27" spans="1:31" ht="21.9" customHeight="1">
      <c r="A27" s="104" t="s">
        <v>32</v>
      </c>
      <c r="B27" s="104"/>
      <c r="C27" s="104"/>
      <c r="D27" s="104">
        <f>'21'!G27</f>
        <v>1408000</v>
      </c>
      <c r="E27" s="104"/>
      <c r="F27" s="104"/>
      <c r="G27" s="104">
        <v>1411000</v>
      </c>
      <c r="H27" s="104"/>
      <c r="I27" s="104"/>
      <c r="J27" s="104">
        <f t="shared" si="2"/>
        <v>3000</v>
      </c>
      <c r="K27" s="104"/>
      <c r="L27" s="104"/>
      <c r="M27" s="102">
        <f>'21'!M27+J27</f>
        <v>72000</v>
      </c>
      <c r="N27" s="103"/>
      <c r="P27" s="104" t="s">
        <v>39</v>
      </c>
      <c r="Q27" s="104"/>
      <c r="R27" s="104"/>
      <c r="S27" s="102">
        <f>'21'!V27</f>
        <v>498.1</v>
      </c>
      <c r="T27" s="106"/>
      <c r="U27" s="103"/>
      <c r="V27" s="137">
        <v>490.5</v>
      </c>
      <c r="W27" s="137"/>
      <c r="X27" s="137"/>
      <c r="Y27" s="188">
        <f>'21'!Y27+'22'!V27</f>
        <v>11185.5</v>
      </c>
      <c r="Z27" s="190"/>
    </row>
    <row r="28" spans="1:31" ht="21.9" customHeight="1">
      <c r="A28" s="104" t="s">
        <v>33</v>
      </c>
      <c r="B28" s="104"/>
      <c r="C28" s="104"/>
      <c r="D28" s="104">
        <f>'21'!G28</f>
        <v>6083</v>
      </c>
      <c r="E28" s="104"/>
      <c r="F28" s="104"/>
      <c r="G28" s="104">
        <v>6135</v>
      </c>
      <c r="H28" s="104"/>
      <c r="I28" s="104"/>
      <c r="J28" s="104">
        <f t="shared" si="2"/>
        <v>52</v>
      </c>
      <c r="K28" s="104"/>
      <c r="L28" s="104"/>
      <c r="M28" s="102">
        <f>'21'!M28+J28</f>
        <v>1197</v>
      </c>
      <c r="N28" s="103"/>
      <c r="P28" s="104" t="s">
        <v>41</v>
      </c>
      <c r="Q28" s="104"/>
      <c r="R28" s="104"/>
      <c r="S28" s="102">
        <f>'21'!V28</f>
        <v>0</v>
      </c>
      <c r="T28" s="106"/>
      <c r="U28" s="103"/>
      <c r="V28" s="137">
        <v>0</v>
      </c>
      <c r="W28" s="137"/>
      <c r="X28" s="137"/>
      <c r="Y28" s="188">
        <f>'21'!Y28+'22'!V28</f>
        <v>0</v>
      </c>
      <c r="Z28" s="190"/>
    </row>
    <row r="29" spans="1:31" ht="21.9" customHeight="1">
      <c r="A29" s="104" t="s">
        <v>34</v>
      </c>
      <c r="B29" s="104"/>
      <c r="C29" s="104"/>
      <c r="D29" s="104">
        <f>'21'!G29</f>
        <v>66250</v>
      </c>
      <c r="E29" s="104"/>
      <c r="F29" s="104"/>
      <c r="G29" s="104">
        <v>66250</v>
      </c>
      <c r="H29" s="104"/>
      <c r="I29" s="104"/>
      <c r="J29" s="104">
        <f t="shared" si="2"/>
        <v>0</v>
      </c>
      <c r="K29" s="104"/>
      <c r="L29" s="104"/>
      <c r="M29" s="102">
        <f>'21'!M29+J29</f>
        <v>70</v>
      </c>
      <c r="N29" s="103"/>
      <c r="P29" s="104" t="s">
        <v>40</v>
      </c>
      <c r="Q29" s="104"/>
      <c r="R29" s="104"/>
      <c r="S29" s="102">
        <f>'21'!V29</f>
        <v>71.5</v>
      </c>
      <c r="T29" s="106"/>
      <c r="U29" s="103"/>
      <c r="V29" s="137">
        <v>75.7</v>
      </c>
      <c r="W29" s="137"/>
      <c r="X29" s="137"/>
      <c r="Y29" s="188">
        <f>'21'!Y29+'22'!V29</f>
        <v>1483.3999999999996</v>
      </c>
      <c r="Z29" s="190"/>
    </row>
    <row r="30" spans="1:31" ht="21.9" customHeight="1">
      <c r="A30" s="104" t="s">
        <v>35</v>
      </c>
      <c r="B30" s="104"/>
      <c r="C30" s="104"/>
      <c r="D30" s="104">
        <f>'21'!G30</f>
        <v>53490</v>
      </c>
      <c r="E30" s="104"/>
      <c r="F30" s="104"/>
      <c r="G30" s="104">
        <v>53500</v>
      </c>
      <c r="H30" s="104"/>
      <c r="I30" s="104"/>
      <c r="J30" s="104">
        <f t="shared" si="2"/>
        <v>10</v>
      </c>
      <c r="K30" s="104"/>
      <c r="L30" s="104"/>
      <c r="M30" s="102">
        <f>'21'!M30+J30</f>
        <v>280</v>
      </c>
      <c r="N30" s="103"/>
      <c r="P30" s="104" t="s">
        <v>28</v>
      </c>
      <c r="Q30" s="104"/>
      <c r="R30" s="104"/>
      <c r="S30" s="102">
        <f>'21'!V30</f>
        <v>0</v>
      </c>
      <c r="T30" s="106"/>
      <c r="U30" s="103"/>
      <c r="V30" s="137"/>
      <c r="W30" s="137"/>
      <c r="X30" s="137"/>
      <c r="Y30" s="188">
        <f>'21'!Y30+'22'!V30</f>
        <v>1528.3</v>
      </c>
      <c r="Z30" s="190"/>
    </row>
    <row r="31" spans="1:31" ht="21.9" customHeight="1">
      <c r="A31" s="104" t="s">
        <v>120</v>
      </c>
      <c r="B31" s="104"/>
      <c r="C31" s="104"/>
      <c r="D31" s="104">
        <f>'21'!G31</f>
        <v>6366620</v>
      </c>
      <c r="E31" s="104"/>
      <c r="F31" s="104"/>
      <c r="G31" s="102">
        <v>6374188</v>
      </c>
      <c r="H31" s="106"/>
      <c r="I31" s="103"/>
      <c r="J31" s="104">
        <f t="shared" si="2"/>
        <v>7568</v>
      </c>
      <c r="K31" s="104"/>
      <c r="L31" s="104"/>
      <c r="M31" s="102">
        <f>'21'!M31+J31</f>
        <v>172093</v>
      </c>
      <c r="N31" s="103"/>
      <c r="P31" s="57"/>
      <c r="Q31" s="57"/>
      <c r="R31" s="57"/>
      <c r="S31" s="57"/>
      <c r="T31" s="57"/>
      <c r="U31" s="57"/>
      <c r="V31" s="58"/>
      <c r="W31" s="58"/>
      <c r="X31" s="58"/>
      <c r="Y31" s="58"/>
      <c r="Z31" s="58"/>
    </row>
    <row r="32" spans="1:31" ht="21.9" customHeight="1">
      <c r="A32" s="104" t="s">
        <v>121</v>
      </c>
      <c r="B32" s="104"/>
      <c r="C32" s="104"/>
      <c r="D32" s="104">
        <f>'21'!G32</f>
        <v>1.7</v>
      </c>
      <c r="E32" s="104"/>
      <c r="F32" s="104"/>
      <c r="G32" s="102">
        <v>1.7</v>
      </c>
      <c r="H32" s="106"/>
      <c r="I32" s="103"/>
      <c r="J32" s="102">
        <f t="shared" si="2"/>
        <v>0</v>
      </c>
      <c r="K32" s="106">
        <v>12.255000000000001</v>
      </c>
      <c r="L32" s="103">
        <v>12.255000000000001</v>
      </c>
      <c r="M32" s="102">
        <f>'21'!M32+J32</f>
        <v>9.9999999999999867E-2</v>
      </c>
      <c r="N32" s="103"/>
      <c r="P32" s="57"/>
      <c r="Q32" s="57"/>
      <c r="R32" s="57"/>
      <c r="S32" s="57"/>
      <c r="T32" s="57"/>
      <c r="U32" s="57"/>
      <c r="V32" s="58"/>
      <c r="W32" s="58"/>
      <c r="X32" s="58"/>
      <c r="Y32" s="58"/>
      <c r="Z32" s="58"/>
    </row>
    <row r="33" spans="1:26" ht="21.9" customHeight="1">
      <c r="A33" s="104" t="s">
        <v>122</v>
      </c>
      <c r="B33" s="104"/>
      <c r="C33" s="104"/>
      <c r="D33" s="104">
        <f>'21'!G33</f>
        <v>0</v>
      </c>
      <c r="E33" s="104"/>
      <c r="F33" s="104"/>
      <c r="G33" s="102">
        <v>0</v>
      </c>
      <c r="H33" s="106"/>
      <c r="I33" s="103"/>
      <c r="J33" s="102">
        <f t="shared" si="2"/>
        <v>0</v>
      </c>
      <c r="K33" s="106">
        <v>12.255000000000001</v>
      </c>
      <c r="L33" s="103">
        <v>12.255000000000001</v>
      </c>
      <c r="M33" s="102">
        <f>'21'!M33+J33</f>
        <v>0</v>
      </c>
      <c r="N33" s="103"/>
      <c r="P33" s="57"/>
      <c r="Q33" s="57"/>
      <c r="R33" s="57"/>
      <c r="S33" s="57"/>
      <c r="T33" s="57"/>
      <c r="U33" s="57"/>
      <c r="V33" s="58"/>
      <c r="W33" s="58"/>
      <c r="X33" s="58"/>
      <c r="Y33" s="58"/>
      <c r="Z33" s="58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H3" name="범위2"/>
    <protectedRange sqref="U2:Z3 R7:Z7 D7:I7 E12:H20 S12:V15 S18:V20 G24:I30 V24:X30" name="범위1"/>
    <protectedRange sqref="V31:X33" name="범위1_3_1"/>
    <protectedRange sqref="G31:I31 G32:L33" name="범위3_1_1_2_1"/>
    <protectedRange sqref="B2:G3" name="범위1_1"/>
  </protectedRanges>
  <mergeCells count="223">
    <mergeCell ref="A63:B76"/>
    <mergeCell ref="C63:Z76"/>
    <mergeCell ref="M33:N33"/>
    <mergeCell ref="Y1:Z1"/>
    <mergeCell ref="W2:X3"/>
    <mergeCell ref="Y2:Z3"/>
    <mergeCell ref="A1:A3"/>
    <mergeCell ref="W1:X1"/>
    <mergeCell ref="H1:S2"/>
    <mergeCell ref="T1:T3"/>
    <mergeCell ref="U1:V1"/>
    <mergeCell ref="U2:V3"/>
    <mergeCell ref="H3:S3"/>
    <mergeCell ref="U6:W6"/>
    <mergeCell ref="X6:Z6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G6:I6"/>
    <mergeCell ref="J6:L6"/>
    <mergeCell ref="P6:Q6"/>
    <mergeCell ref="R6:T6"/>
    <mergeCell ref="S12:V13"/>
    <mergeCell ref="W12:Z13"/>
    <mergeCell ref="U8:W8"/>
    <mergeCell ref="X8:Z8"/>
    <mergeCell ref="W11:Z11"/>
    <mergeCell ref="P12:R13"/>
    <mergeCell ref="A11:B11"/>
    <mergeCell ref="C11:D11"/>
    <mergeCell ref="E11:F11"/>
    <mergeCell ref="G11:H11"/>
    <mergeCell ref="I11:J11"/>
    <mergeCell ref="K11:L11"/>
    <mergeCell ref="M11:N11"/>
    <mergeCell ref="P11:R11"/>
    <mergeCell ref="A8:C8"/>
    <mergeCell ref="D8:F8"/>
    <mergeCell ref="G8:I8"/>
    <mergeCell ref="J8:L8"/>
    <mergeCell ref="P8:Q8"/>
    <mergeCell ref="R8:T8"/>
    <mergeCell ref="S11:V11"/>
    <mergeCell ref="P14:R15"/>
    <mergeCell ref="A15:B15"/>
    <mergeCell ref="C15:D15"/>
    <mergeCell ref="E15:F15"/>
    <mergeCell ref="G15:H15"/>
    <mergeCell ref="A12:B12"/>
    <mergeCell ref="C12:D12"/>
    <mergeCell ref="E12:F12"/>
    <mergeCell ref="G12:H12"/>
    <mergeCell ref="I12:J12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A14:B14"/>
    <mergeCell ref="M17:N17"/>
    <mergeCell ref="C18:D18"/>
    <mergeCell ref="E18:F18"/>
    <mergeCell ref="G18:H18"/>
    <mergeCell ref="I18:J18"/>
    <mergeCell ref="K18:L18"/>
    <mergeCell ref="M18:N18"/>
    <mergeCell ref="C14:D14"/>
    <mergeCell ref="E14:F14"/>
    <mergeCell ref="G14:H14"/>
    <mergeCell ref="I14:J14"/>
    <mergeCell ref="K14:L14"/>
    <mergeCell ref="M14:N14"/>
    <mergeCell ref="I15:J15"/>
    <mergeCell ref="K15:L15"/>
    <mergeCell ref="I17:J17"/>
    <mergeCell ref="K17:L17"/>
    <mergeCell ref="M15:N15"/>
    <mergeCell ref="M20:N20"/>
    <mergeCell ref="P22:U22"/>
    <mergeCell ref="A23:C23"/>
    <mergeCell ref="D23:F23"/>
    <mergeCell ref="G23:I23"/>
    <mergeCell ref="J23:L23"/>
    <mergeCell ref="M23:N23"/>
    <mergeCell ref="P23:R23"/>
    <mergeCell ref="S23:U23"/>
    <mergeCell ref="P18:R20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A18:B18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A28:C28"/>
    <mergeCell ref="D28:F28"/>
    <mergeCell ref="G28:I28"/>
    <mergeCell ref="J28:L28"/>
    <mergeCell ref="M28:N28"/>
    <mergeCell ref="P28:R28"/>
    <mergeCell ref="S28:U28"/>
    <mergeCell ref="V28:X28"/>
    <mergeCell ref="Y28:Z28"/>
    <mergeCell ref="A29:C29"/>
    <mergeCell ref="D29:F29"/>
    <mergeCell ref="G29:I29"/>
    <mergeCell ref="J29:L29"/>
    <mergeCell ref="M29:N29"/>
    <mergeCell ref="P29:R29"/>
    <mergeCell ref="S29:U29"/>
    <mergeCell ref="V29:X29"/>
    <mergeCell ref="Y29:Z29"/>
    <mergeCell ref="A36:B48"/>
    <mergeCell ref="C36:Z48"/>
    <mergeCell ref="A49:B62"/>
    <mergeCell ref="C49:Z62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S18:T20"/>
    <mergeCell ref="U18:V20"/>
    <mergeCell ref="W18:X20"/>
    <mergeCell ref="S30:U30"/>
    <mergeCell ref="V30:X30"/>
    <mergeCell ref="Y30:Z30"/>
    <mergeCell ref="S26:U26"/>
    <mergeCell ref="V26:X26"/>
    <mergeCell ref="Y26:Z26"/>
    <mergeCell ref="V27:X27"/>
    <mergeCell ref="Y27:Z27"/>
    <mergeCell ref="V23:X23"/>
    <mergeCell ref="Y23:Z23"/>
    <mergeCell ref="Y18:Z20"/>
    <mergeCell ref="B1:C1"/>
    <mergeCell ref="D1:E1"/>
    <mergeCell ref="F1:G1"/>
    <mergeCell ref="B2:C3"/>
    <mergeCell ref="D2:E3"/>
    <mergeCell ref="F2:G3"/>
    <mergeCell ref="S14:V15"/>
    <mergeCell ref="W14:Z15"/>
    <mergeCell ref="S16:T17"/>
    <mergeCell ref="U16:V17"/>
    <mergeCell ref="W16:X17"/>
    <mergeCell ref="Y16:Z17"/>
    <mergeCell ref="P16:R17"/>
    <mergeCell ref="A17:B17"/>
    <mergeCell ref="C17:D17"/>
    <mergeCell ref="E17:F17"/>
    <mergeCell ref="G17:H17"/>
    <mergeCell ref="A16:B16"/>
    <mergeCell ref="C16:D16"/>
    <mergeCell ref="E16:F16"/>
    <mergeCell ref="G16:H16"/>
    <mergeCell ref="I16:J16"/>
    <mergeCell ref="K16:L16"/>
    <mergeCell ref="M16:N1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zoomScaleNormal="100" zoomScaleSheetLayoutView="100" workbookViewId="0">
      <selection activeCell="AA24" sqref="AA24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195</v>
      </c>
      <c r="C2" s="135"/>
      <c r="D2" s="135" t="s">
        <v>196</v>
      </c>
      <c r="E2" s="135"/>
      <c r="F2" s="135" t="s">
        <v>197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05"/>
      <c r="E3" s="105"/>
      <c r="F3" s="105"/>
      <c r="G3" s="105"/>
      <c r="H3" s="132">
        <v>46226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72610</v>
      </c>
      <c r="E7" s="139"/>
      <c r="F7" s="139"/>
      <c r="G7" s="139">
        <v>188100</v>
      </c>
      <c r="H7" s="139"/>
      <c r="I7" s="139"/>
      <c r="J7" s="154">
        <f>D7+G7</f>
        <v>260710</v>
      </c>
      <c r="K7" s="154"/>
      <c r="L7" s="154"/>
      <c r="M7" s="1"/>
      <c r="N7" s="1"/>
      <c r="O7" s="1"/>
      <c r="P7" s="105" t="s">
        <v>48</v>
      </c>
      <c r="Q7" s="105"/>
      <c r="R7" s="140">
        <v>514.6</v>
      </c>
      <c r="S7" s="140"/>
      <c r="T7" s="140"/>
      <c r="U7" s="140">
        <v>418.2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'22'!D8+'23'!D7</f>
        <v>1702583</v>
      </c>
      <c r="E8" s="154"/>
      <c r="F8" s="154"/>
      <c r="G8" s="154">
        <f>'22'!G8+'23'!G7</f>
        <v>3327100</v>
      </c>
      <c r="H8" s="154"/>
      <c r="I8" s="154"/>
      <c r="J8" s="154">
        <f>D8+G8</f>
        <v>5029683</v>
      </c>
      <c r="K8" s="154"/>
      <c r="L8" s="154"/>
      <c r="M8" s="1"/>
      <c r="N8" s="1"/>
      <c r="O8" s="1"/>
      <c r="P8" s="104" t="s">
        <v>2</v>
      </c>
      <c r="Q8" s="104"/>
      <c r="R8" s="137">
        <f>'22'!R8+R7</f>
        <v>11241.5</v>
      </c>
      <c r="S8" s="137"/>
      <c r="T8" s="137"/>
      <c r="U8" s="137">
        <f>'22'!U8+U7</f>
        <v>6689.5999999999995</v>
      </c>
      <c r="V8" s="137"/>
      <c r="W8" s="137"/>
      <c r="X8" s="138">
        <f>'22'!X8+'23'!X7</f>
        <v>552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'22'!I12</f>
        <v>10231</v>
      </c>
      <c r="D12" s="174"/>
      <c r="E12" s="105">
        <v>0</v>
      </c>
      <c r="F12" s="105"/>
      <c r="G12" s="105">
        <v>4306</v>
      </c>
      <c r="H12" s="105"/>
      <c r="I12" s="107">
        <f t="shared" ref="I12:I18" si="0">C12+E12-G12</f>
        <v>5925</v>
      </c>
      <c r="J12" s="109"/>
      <c r="K12" s="105">
        <f>'22'!K12+'23'!E12</f>
        <v>83360</v>
      </c>
      <c r="L12" s="105"/>
      <c r="M12" s="105">
        <f>'22'!M12+G12</f>
        <v>92349</v>
      </c>
      <c r="N12" s="105"/>
      <c r="O12" s="1"/>
      <c r="P12" s="149" t="s">
        <v>101</v>
      </c>
      <c r="Q12" s="105"/>
      <c r="R12" s="105"/>
      <c r="S12" s="143">
        <v>58.12</v>
      </c>
      <c r="T12" s="144"/>
      <c r="U12" s="144"/>
      <c r="V12" s="144"/>
      <c r="W12" s="194">
        <f>'22'!W12+'23'!S12</f>
        <v>845.12000000000012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'22'!I13</f>
        <v>940</v>
      </c>
      <c r="D13" s="174"/>
      <c r="E13" s="104">
        <v>0</v>
      </c>
      <c r="F13" s="104"/>
      <c r="G13" s="104">
        <v>70</v>
      </c>
      <c r="H13" s="104"/>
      <c r="I13" s="102">
        <f t="shared" si="0"/>
        <v>870</v>
      </c>
      <c r="J13" s="103"/>
      <c r="K13" s="102">
        <f>'22'!K13+'23'!E13</f>
        <v>2420</v>
      </c>
      <c r="L13" s="103"/>
      <c r="M13" s="102">
        <f>'22'!M13+G13</f>
        <v>2140</v>
      </c>
      <c r="N13" s="103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'22'!I14</f>
        <v>1960</v>
      </c>
      <c r="D14" s="174"/>
      <c r="E14" s="104">
        <v>0</v>
      </c>
      <c r="F14" s="104"/>
      <c r="G14" s="104">
        <v>120</v>
      </c>
      <c r="H14" s="104"/>
      <c r="I14" s="102">
        <f t="shared" si="0"/>
        <v>1840</v>
      </c>
      <c r="J14" s="103"/>
      <c r="K14" s="102">
        <f>'22'!K14+'23'!E14</f>
        <v>4000</v>
      </c>
      <c r="L14" s="103"/>
      <c r="M14" s="102">
        <f>'22'!M14+G14</f>
        <v>2760</v>
      </c>
      <c r="N14" s="103"/>
      <c r="O14" s="1"/>
      <c r="P14" s="104" t="s">
        <v>26</v>
      </c>
      <c r="Q14" s="104"/>
      <c r="R14" s="104"/>
      <c r="S14" s="155">
        <v>0</v>
      </c>
      <c r="T14" s="156"/>
      <c r="U14" s="156"/>
      <c r="V14" s="156"/>
      <c r="W14" s="186">
        <f>'22'!W14+'23'!S14</f>
        <v>163.07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'22'!I15</f>
        <v>704</v>
      </c>
      <c r="D15" s="174"/>
      <c r="E15" s="104">
        <v>0</v>
      </c>
      <c r="F15" s="104"/>
      <c r="G15" s="104">
        <v>20</v>
      </c>
      <c r="H15" s="104"/>
      <c r="I15" s="102">
        <f t="shared" si="0"/>
        <v>684</v>
      </c>
      <c r="J15" s="103"/>
      <c r="K15" s="102">
        <f>'22'!K15+'23'!E15</f>
        <v>0</v>
      </c>
      <c r="L15" s="103"/>
      <c r="M15" s="102">
        <f>'22'!M15+G15</f>
        <v>615</v>
      </c>
      <c r="N15" s="103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'22'!I16</f>
        <v>1910</v>
      </c>
      <c r="D16" s="174"/>
      <c r="E16" s="104">
        <v>0</v>
      </c>
      <c r="F16" s="104"/>
      <c r="G16" s="104">
        <v>20</v>
      </c>
      <c r="H16" s="104"/>
      <c r="I16" s="102">
        <f t="shared" si="0"/>
        <v>1890</v>
      </c>
      <c r="J16" s="103"/>
      <c r="K16" s="102">
        <f>'22'!K16+'23'!E16</f>
        <v>0</v>
      </c>
      <c r="L16" s="103"/>
      <c r="M16" s="102">
        <f>'22'!M16+G16</f>
        <v>460</v>
      </c>
      <c r="N16" s="103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'22'!I17</f>
        <v>1770</v>
      </c>
      <c r="D17" s="174"/>
      <c r="E17" s="104">
        <v>0</v>
      </c>
      <c r="F17" s="104"/>
      <c r="G17" s="104">
        <v>200</v>
      </c>
      <c r="H17" s="104"/>
      <c r="I17" s="102">
        <f t="shared" si="0"/>
        <v>1570</v>
      </c>
      <c r="J17" s="103"/>
      <c r="K17" s="102">
        <f>'22'!K17+'23'!E17</f>
        <v>4320</v>
      </c>
      <c r="L17" s="103"/>
      <c r="M17" s="102">
        <f>'22'!M17+G17</f>
        <v>4600</v>
      </c>
      <c r="N17" s="103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'22'!I18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0"/>
        <v>5340</v>
      </c>
      <c r="J18" s="103"/>
      <c r="K18" s="102">
        <f>'22'!K18+'23'!E18</f>
        <v>0</v>
      </c>
      <c r="L18" s="103"/>
      <c r="M18" s="102">
        <f>'22'!M18+G18</f>
        <v>0</v>
      </c>
      <c r="N18" s="103"/>
      <c r="O18" s="1"/>
      <c r="P18" s="164" t="s">
        <v>27</v>
      </c>
      <c r="Q18" s="164"/>
      <c r="R18" s="164"/>
      <c r="S18" s="114">
        <v>1</v>
      </c>
      <c r="T18" s="115"/>
      <c r="U18" s="114">
        <v>2</v>
      </c>
      <c r="V18" s="115"/>
      <c r="W18" s="114">
        <f>S18+U18</f>
        <v>3</v>
      </c>
      <c r="X18" s="115"/>
      <c r="Y18" s="151">
        <f>'22'!Y18+'23'!W18</f>
        <v>74</v>
      </c>
      <c r="Z18" s="151"/>
    </row>
    <row r="19" spans="1:31" ht="21.9" customHeight="1">
      <c r="A19" s="153" t="s">
        <v>62</v>
      </c>
      <c r="B19" s="153"/>
      <c r="C19" s="174">
        <f>'22'!I19</f>
        <v>75777</v>
      </c>
      <c r="D19" s="174"/>
      <c r="E19" s="154">
        <v>96960</v>
      </c>
      <c r="F19" s="154"/>
      <c r="G19" s="154">
        <f>D7</f>
        <v>72610</v>
      </c>
      <c r="H19" s="154"/>
      <c r="I19" s="99">
        <f t="shared" ref="I19" si="1">C19+E19-G19</f>
        <v>100127</v>
      </c>
      <c r="J19" s="101"/>
      <c r="K19" s="99">
        <f>'22'!K19+'23'!E19</f>
        <v>1692710</v>
      </c>
      <c r="L19" s="101"/>
      <c r="M19" s="99">
        <f>'22'!M19+G19</f>
        <v>1702583</v>
      </c>
      <c r="N19" s="101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'22'!I20</f>
        <v>-</v>
      </c>
      <c r="D20" s="174"/>
      <c r="E20" s="102"/>
      <c r="F20" s="103"/>
      <c r="G20" s="104"/>
      <c r="H20" s="104"/>
      <c r="I20" s="102" t="s">
        <v>60</v>
      </c>
      <c r="J20" s="103"/>
      <c r="K20" s="105">
        <f>'22'!K20+'23'!E20</f>
        <v>0</v>
      </c>
      <c r="L20" s="105"/>
      <c r="M20" s="99">
        <f>'22'!M20+G20</f>
        <v>0</v>
      </c>
      <c r="N20" s="101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'22'!G24</f>
        <v>4171446</v>
      </c>
      <c r="E24" s="187"/>
      <c r="F24" s="187"/>
      <c r="G24" s="164">
        <v>4193153</v>
      </c>
      <c r="H24" s="164"/>
      <c r="I24" s="164"/>
      <c r="J24" s="164">
        <f>G24-D24</f>
        <v>21707</v>
      </c>
      <c r="K24" s="164"/>
      <c r="L24" s="164"/>
      <c r="M24" s="164">
        <f>'22'!M24+J24</f>
        <v>521585</v>
      </c>
      <c r="N24" s="164"/>
      <c r="P24" s="105" t="s">
        <v>36</v>
      </c>
      <c r="Q24" s="105"/>
      <c r="R24" s="105"/>
      <c r="S24" s="105">
        <f>'22'!V24</f>
        <v>519.1</v>
      </c>
      <c r="T24" s="105"/>
      <c r="U24" s="105"/>
      <c r="V24" s="140">
        <v>536.5</v>
      </c>
      <c r="W24" s="140"/>
      <c r="X24" s="140"/>
      <c r="Y24" s="140">
        <f>'22'!Y24+'23'!V24</f>
        <v>11625.900000000001</v>
      </c>
      <c r="Z24" s="140"/>
    </row>
    <row r="25" spans="1:31" ht="21.9" customHeight="1">
      <c r="A25" s="104" t="s">
        <v>30</v>
      </c>
      <c r="B25" s="104"/>
      <c r="C25" s="104"/>
      <c r="D25" s="104">
        <f>'22'!G25</f>
        <v>33513.699999999997</v>
      </c>
      <c r="E25" s="104"/>
      <c r="F25" s="104"/>
      <c r="G25" s="104">
        <v>33545.199999999997</v>
      </c>
      <c r="H25" s="104"/>
      <c r="I25" s="104"/>
      <c r="J25" s="104">
        <f>G25-D25</f>
        <v>31.5</v>
      </c>
      <c r="K25" s="104"/>
      <c r="L25" s="104"/>
      <c r="M25" s="102">
        <f>'22'!M25+J25</f>
        <v>781.09999999999854</v>
      </c>
      <c r="N25" s="103"/>
      <c r="P25" s="104" t="s">
        <v>37</v>
      </c>
      <c r="Q25" s="104"/>
      <c r="R25" s="104"/>
      <c r="S25" s="102">
        <f>'22'!V25</f>
        <v>67.599999999999994</v>
      </c>
      <c r="T25" s="106"/>
      <c r="U25" s="103"/>
      <c r="V25" s="137">
        <v>67.8</v>
      </c>
      <c r="W25" s="137"/>
      <c r="X25" s="137"/>
      <c r="Y25" s="188">
        <f>'22'!Y25+'23'!V25</f>
        <v>1367.1999999999998</v>
      </c>
      <c r="Z25" s="190"/>
    </row>
    <row r="26" spans="1:31" ht="21.9" customHeight="1">
      <c r="A26" s="104" t="s">
        <v>31</v>
      </c>
      <c r="B26" s="104"/>
      <c r="C26" s="104"/>
      <c r="D26" s="104">
        <f>'22'!G26</f>
        <v>24760</v>
      </c>
      <c r="E26" s="104"/>
      <c r="F26" s="104"/>
      <c r="G26" s="104">
        <v>24780</v>
      </c>
      <c r="H26" s="104"/>
      <c r="I26" s="104"/>
      <c r="J26" s="104">
        <f t="shared" ref="J26:J33" si="2">G26-D26</f>
        <v>20</v>
      </c>
      <c r="K26" s="104"/>
      <c r="L26" s="104"/>
      <c r="M26" s="102">
        <f>'22'!M26+J26</f>
        <v>480</v>
      </c>
      <c r="N26" s="103"/>
      <c r="P26" s="104" t="s">
        <v>38</v>
      </c>
      <c r="Q26" s="104"/>
      <c r="R26" s="104"/>
      <c r="S26" s="102">
        <f>'22'!V26</f>
        <v>528.4</v>
      </c>
      <c r="T26" s="106"/>
      <c r="U26" s="103"/>
      <c r="V26" s="137">
        <v>556.5</v>
      </c>
      <c r="W26" s="137"/>
      <c r="X26" s="137"/>
      <c r="Y26" s="188">
        <f>'22'!Y26+'23'!V26</f>
        <v>11538.3</v>
      </c>
      <c r="Z26" s="190"/>
    </row>
    <row r="27" spans="1:31" ht="21.9" customHeight="1">
      <c r="A27" s="104" t="s">
        <v>32</v>
      </c>
      <c r="B27" s="104"/>
      <c r="C27" s="104"/>
      <c r="D27" s="104">
        <f>'22'!G27</f>
        <v>1411000</v>
      </c>
      <c r="E27" s="104"/>
      <c r="F27" s="104"/>
      <c r="G27" s="104">
        <v>1415000</v>
      </c>
      <c r="H27" s="104"/>
      <c r="I27" s="104"/>
      <c r="J27" s="104">
        <f t="shared" si="2"/>
        <v>4000</v>
      </c>
      <c r="K27" s="104"/>
      <c r="L27" s="104"/>
      <c r="M27" s="102">
        <f>'22'!M27+J27</f>
        <v>76000</v>
      </c>
      <c r="N27" s="103"/>
      <c r="P27" s="104" t="s">
        <v>39</v>
      </c>
      <c r="Q27" s="104"/>
      <c r="R27" s="104"/>
      <c r="S27" s="102">
        <f>'22'!V27</f>
        <v>490.5</v>
      </c>
      <c r="T27" s="106"/>
      <c r="U27" s="103"/>
      <c r="V27" s="137">
        <v>527.79999999999995</v>
      </c>
      <c r="W27" s="137"/>
      <c r="X27" s="137"/>
      <c r="Y27" s="188">
        <f>'22'!Y27+'23'!V27</f>
        <v>11713.3</v>
      </c>
      <c r="Z27" s="190"/>
    </row>
    <row r="28" spans="1:31" ht="21.9" customHeight="1">
      <c r="A28" s="104" t="s">
        <v>33</v>
      </c>
      <c r="B28" s="104"/>
      <c r="C28" s="104"/>
      <c r="D28" s="104">
        <f>'22'!G28</f>
        <v>6135</v>
      </c>
      <c r="E28" s="104"/>
      <c r="F28" s="104"/>
      <c r="G28" s="104">
        <v>6187</v>
      </c>
      <c r="H28" s="104"/>
      <c r="I28" s="104"/>
      <c r="J28" s="104">
        <f>G28-D28</f>
        <v>52</v>
      </c>
      <c r="K28" s="104"/>
      <c r="L28" s="104"/>
      <c r="M28" s="102">
        <f>'22'!M28+J28</f>
        <v>1249</v>
      </c>
      <c r="N28" s="103"/>
      <c r="P28" s="104" t="s">
        <v>41</v>
      </c>
      <c r="Q28" s="104"/>
      <c r="R28" s="104"/>
      <c r="S28" s="102">
        <f>'22'!V28</f>
        <v>0</v>
      </c>
      <c r="T28" s="106"/>
      <c r="U28" s="103"/>
      <c r="V28" s="137">
        <v>0</v>
      </c>
      <c r="W28" s="137"/>
      <c r="X28" s="137"/>
      <c r="Y28" s="188">
        <f>'22'!Y28+'23'!V28</f>
        <v>0</v>
      </c>
      <c r="Z28" s="190"/>
    </row>
    <row r="29" spans="1:31" ht="21.9" customHeight="1">
      <c r="A29" s="104" t="s">
        <v>34</v>
      </c>
      <c r="B29" s="104"/>
      <c r="C29" s="104"/>
      <c r="D29" s="104">
        <f>'22'!G29</f>
        <v>66250</v>
      </c>
      <c r="E29" s="104"/>
      <c r="F29" s="104"/>
      <c r="G29" s="104">
        <v>66250</v>
      </c>
      <c r="H29" s="104"/>
      <c r="I29" s="104"/>
      <c r="J29" s="104">
        <f t="shared" si="2"/>
        <v>0</v>
      </c>
      <c r="K29" s="104"/>
      <c r="L29" s="104"/>
      <c r="M29" s="102">
        <f>'22'!M29+J29</f>
        <v>70</v>
      </c>
      <c r="N29" s="103"/>
      <c r="P29" s="104" t="s">
        <v>40</v>
      </c>
      <c r="Q29" s="104"/>
      <c r="R29" s="104"/>
      <c r="S29" s="102">
        <f>'22'!V29</f>
        <v>75.7</v>
      </c>
      <c r="T29" s="106"/>
      <c r="U29" s="103"/>
      <c r="V29" s="137">
        <v>79.900000000000006</v>
      </c>
      <c r="W29" s="137"/>
      <c r="X29" s="137"/>
      <c r="Y29" s="188">
        <f>'22'!Y29+'23'!V29</f>
        <v>1563.2999999999997</v>
      </c>
      <c r="Z29" s="190"/>
    </row>
    <row r="30" spans="1:31" ht="21.9" customHeight="1">
      <c r="A30" s="104" t="s">
        <v>35</v>
      </c>
      <c r="B30" s="104"/>
      <c r="C30" s="104"/>
      <c r="D30" s="104">
        <f>'22'!G30</f>
        <v>53500</v>
      </c>
      <c r="E30" s="104"/>
      <c r="F30" s="104"/>
      <c r="G30" s="104">
        <v>53510</v>
      </c>
      <c r="H30" s="104"/>
      <c r="I30" s="104"/>
      <c r="J30" s="104">
        <f t="shared" si="2"/>
        <v>10</v>
      </c>
      <c r="K30" s="104"/>
      <c r="L30" s="104"/>
      <c r="M30" s="102">
        <f>'22'!M30+J30</f>
        <v>290</v>
      </c>
      <c r="N30" s="103"/>
      <c r="P30" s="104" t="s">
        <v>28</v>
      </c>
      <c r="Q30" s="104"/>
      <c r="R30" s="104"/>
      <c r="S30" s="102">
        <f>'22'!V30</f>
        <v>0</v>
      </c>
      <c r="T30" s="106"/>
      <c r="U30" s="103"/>
      <c r="V30" s="137"/>
      <c r="W30" s="137"/>
      <c r="X30" s="137"/>
      <c r="Y30" s="188">
        <f>'22'!Y30+'23'!V30</f>
        <v>1528.3</v>
      </c>
      <c r="Z30" s="190"/>
    </row>
    <row r="31" spans="1:31" ht="21.9" customHeight="1">
      <c r="A31" s="104" t="s">
        <v>120</v>
      </c>
      <c r="B31" s="104"/>
      <c r="C31" s="104"/>
      <c r="D31" s="104">
        <f>'22'!G31</f>
        <v>6374188</v>
      </c>
      <c r="E31" s="104"/>
      <c r="F31" s="104"/>
      <c r="G31" s="102">
        <v>6381626</v>
      </c>
      <c r="H31" s="106"/>
      <c r="I31" s="103"/>
      <c r="J31" s="104">
        <f t="shared" si="2"/>
        <v>7438</v>
      </c>
      <c r="K31" s="104"/>
      <c r="L31" s="104"/>
      <c r="M31" s="102">
        <f>'22'!M31+J31</f>
        <v>179531</v>
      </c>
      <c r="N31" s="103"/>
      <c r="P31" s="57"/>
      <c r="Q31" s="57"/>
      <c r="R31" s="57"/>
      <c r="S31" s="57"/>
      <c r="T31" s="57"/>
      <c r="U31" s="57"/>
      <c r="V31" s="58"/>
      <c r="W31" s="58"/>
      <c r="X31" s="58"/>
      <c r="Y31" s="58"/>
      <c r="Z31" s="58"/>
    </row>
    <row r="32" spans="1:31" ht="21.9" customHeight="1">
      <c r="A32" s="104" t="s">
        <v>121</v>
      </c>
      <c r="B32" s="104"/>
      <c r="C32" s="104"/>
      <c r="D32" s="104">
        <f>'22'!G32</f>
        <v>1.7</v>
      </c>
      <c r="E32" s="104"/>
      <c r="F32" s="104"/>
      <c r="G32" s="102">
        <v>1.7</v>
      </c>
      <c r="H32" s="106"/>
      <c r="I32" s="103"/>
      <c r="J32" s="102">
        <f t="shared" si="2"/>
        <v>0</v>
      </c>
      <c r="K32" s="106">
        <v>12.255000000000001</v>
      </c>
      <c r="L32" s="103">
        <v>12.255000000000001</v>
      </c>
      <c r="M32" s="102">
        <f>'22'!M32+J32</f>
        <v>9.9999999999999867E-2</v>
      </c>
      <c r="N32" s="103"/>
      <c r="P32" s="57"/>
      <c r="Q32" s="57"/>
      <c r="R32" s="57"/>
      <c r="S32" s="57"/>
      <c r="T32" s="57"/>
      <c r="U32" s="57"/>
      <c r="V32" s="58"/>
      <c r="W32" s="58"/>
      <c r="X32" s="58"/>
      <c r="Y32" s="58"/>
      <c r="Z32" s="58"/>
    </row>
    <row r="33" spans="1:26" ht="21.9" customHeight="1">
      <c r="A33" s="104" t="s">
        <v>122</v>
      </c>
      <c r="B33" s="104"/>
      <c r="C33" s="104"/>
      <c r="D33" s="104">
        <f>'22'!G33</f>
        <v>0</v>
      </c>
      <c r="E33" s="104"/>
      <c r="F33" s="104"/>
      <c r="G33" s="102">
        <v>0</v>
      </c>
      <c r="H33" s="106"/>
      <c r="I33" s="103"/>
      <c r="J33" s="102">
        <f t="shared" si="2"/>
        <v>0</v>
      </c>
      <c r="K33" s="106">
        <v>12.255000000000001</v>
      </c>
      <c r="L33" s="103">
        <v>12.255000000000001</v>
      </c>
      <c r="M33" s="102">
        <f>'22'!M33+J33</f>
        <v>0</v>
      </c>
      <c r="N33" s="103"/>
      <c r="P33" s="57"/>
      <c r="Q33" s="57"/>
      <c r="R33" s="57"/>
      <c r="S33" s="57"/>
      <c r="T33" s="57"/>
      <c r="U33" s="57"/>
      <c r="V33" s="58"/>
      <c r="W33" s="58"/>
      <c r="X33" s="58"/>
      <c r="Y33" s="58"/>
      <c r="Z33" s="58"/>
    </row>
    <row r="34" spans="1:26" ht="21.9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P34" s="57"/>
      <c r="Q34" s="57"/>
      <c r="R34" s="57"/>
      <c r="S34" s="57"/>
      <c r="T34" s="57"/>
      <c r="U34" s="57"/>
      <c r="V34" s="58"/>
      <c r="W34" s="58"/>
      <c r="X34" s="58"/>
      <c r="Y34" s="58"/>
      <c r="Z34" s="58"/>
    </row>
    <row r="35" spans="1:26" ht="14.25" customHeight="1"/>
    <row r="36" spans="1:26">
      <c r="A36" s="1" t="s">
        <v>59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65" t="s">
        <v>15</v>
      </c>
      <c r="B37" s="166"/>
      <c r="C37" s="165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66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7"/>
      <c r="B48" s="168"/>
      <c r="C48" s="167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68"/>
    </row>
    <row r="49" spans="1:26">
      <c r="A49" s="169"/>
      <c r="B49" s="170"/>
      <c r="C49" s="169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0"/>
    </row>
    <row r="50" spans="1:26">
      <c r="A50" s="165" t="s">
        <v>138</v>
      </c>
      <c r="B50" s="166"/>
      <c r="C50" s="165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66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7"/>
      <c r="B62" s="168"/>
      <c r="C62" s="167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68"/>
    </row>
    <row r="63" spans="1:26">
      <c r="A63" s="169"/>
      <c r="B63" s="170"/>
      <c r="C63" s="169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0"/>
    </row>
    <row r="64" spans="1:26">
      <c r="A64" s="165" t="s">
        <v>16</v>
      </c>
      <c r="B64" s="166"/>
      <c r="C64" s="165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66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7"/>
      <c r="B76" s="168"/>
      <c r="C76" s="167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68"/>
    </row>
    <row r="77" spans="1:26">
      <c r="A77" s="169"/>
      <c r="B77" s="170"/>
      <c r="C77" s="169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0"/>
    </row>
  </sheetData>
  <protectedRanges>
    <protectedRange sqref="H3" name="범위2"/>
    <protectedRange sqref="U2:Z3 D7:I7 R7:Z7 E12:H20 S12:V15 S18:V20 G24:I30 V24:X30 G34:I34 V34:X34" name="범위1"/>
    <protectedRange sqref="V31:X33" name="범위1_3_1"/>
    <protectedRange sqref="G32:L33 G31:I31" name="범위3_1_1_2_1"/>
    <protectedRange sqref="B2:G3" name="범위1_1"/>
  </protectedRanges>
  <mergeCells count="223">
    <mergeCell ref="A64:B77"/>
    <mergeCell ref="C64:Z77"/>
    <mergeCell ref="Y1:Z1"/>
    <mergeCell ref="W2:X3"/>
    <mergeCell ref="Y2:Z3"/>
    <mergeCell ref="A1:A3"/>
    <mergeCell ref="W1:X1"/>
    <mergeCell ref="H1:S2"/>
    <mergeCell ref="T1:T3"/>
    <mergeCell ref="U1:V1"/>
    <mergeCell ref="U2:V3"/>
    <mergeCell ref="H3:S3"/>
    <mergeCell ref="B1:C1"/>
    <mergeCell ref="D1:E1"/>
    <mergeCell ref="F1:G1"/>
    <mergeCell ref="B2:C3"/>
    <mergeCell ref="D2:E3"/>
    <mergeCell ref="F2:G3"/>
    <mergeCell ref="U6:W6"/>
    <mergeCell ref="X6:Z6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G6:I6"/>
    <mergeCell ref="J6:L6"/>
    <mergeCell ref="P6:Q6"/>
    <mergeCell ref="R6:T6"/>
    <mergeCell ref="S12:V13"/>
    <mergeCell ref="W12:Z13"/>
    <mergeCell ref="U8:W8"/>
    <mergeCell ref="X8:Z8"/>
    <mergeCell ref="A11:B11"/>
    <mergeCell ref="C11:D11"/>
    <mergeCell ref="E11:F11"/>
    <mergeCell ref="G11:H11"/>
    <mergeCell ref="I11:J11"/>
    <mergeCell ref="K11:L11"/>
    <mergeCell ref="M11:N11"/>
    <mergeCell ref="P11:R11"/>
    <mergeCell ref="A8:C8"/>
    <mergeCell ref="D8:F8"/>
    <mergeCell ref="G8:I8"/>
    <mergeCell ref="J8:L8"/>
    <mergeCell ref="P8:Q8"/>
    <mergeCell ref="R8:T8"/>
    <mergeCell ref="S11:V11"/>
    <mergeCell ref="W11:Z11"/>
    <mergeCell ref="P12:R13"/>
    <mergeCell ref="A12:B12"/>
    <mergeCell ref="C12:D12"/>
    <mergeCell ref="E12:F12"/>
    <mergeCell ref="G12:H12"/>
    <mergeCell ref="I12:J12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K14:L14"/>
    <mergeCell ref="M14:N14"/>
    <mergeCell ref="I15:J15"/>
    <mergeCell ref="K15:L15"/>
    <mergeCell ref="I17:J17"/>
    <mergeCell ref="K17:L17"/>
    <mergeCell ref="M15:N15"/>
    <mergeCell ref="A16:B16"/>
    <mergeCell ref="C16:D16"/>
    <mergeCell ref="E16:F16"/>
    <mergeCell ref="G16:H16"/>
    <mergeCell ref="I16:J16"/>
    <mergeCell ref="K16:L16"/>
    <mergeCell ref="M16:N16"/>
    <mergeCell ref="M17:N17"/>
    <mergeCell ref="A15:B15"/>
    <mergeCell ref="C15:D15"/>
    <mergeCell ref="E15:F15"/>
    <mergeCell ref="G15:H15"/>
    <mergeCell ref="A14:B14"/>
    <mergeCell ref="C14:D14"/>
    <mergeCell ref="E14:F14"/>
    <mergeCell ref="G14:H14"/>
    <mergeCell ref="I14:J14"/>
    <mergeCell ref="G18:H18"/>
    <mergeCell ref="I18:J18"/>
    <mergeCell ref="K18:L18"/>
    <mergeCell ref="M18:N18"/>
    <mergeCell ref="P16:R17"/>
    <mergeCell ref="A17:B17"/>
    <mergeCell ref="C17:D17"/>
    <mergeCell ref="E17:F17"/>
    <mergeCell ref="G17:H17"/>
    <mergeCell ref="A23:C23"/>
    <mergeCell ref="D23:F23"/>
    <mergeCell ref="G23:I23"/>
    <mergeCell ref="J23:L23"/>
    <mergeCell ref="M23:N23"/>
    <mergeCell ref="P23:R23"/>
    <mergeCell ref="S23:U23"/>
    <mergeCell ref="P18:R20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A18:B18"/>
    <mergeCell ref="C18:D18"/>
    <mergeCell ref="E18:F18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A28:C28"/>
    <mergeCell ref="D28:F28"/>
    <mergeCell ref="G28:I28"/>
    <mergeCell ref="J28:L28"/>
    <mergeCell ref="M28:N28"/>
    <mergeCell ref="P28:R28"/>
    <mergeCell ref="S28:U28"/>
    <mergeCell ref="V28:X28"/>
    <mergeCell ref="Y28:Z28"/>
    <mergeCell ref="A29:C29"/>
    <mergeCell ref="D29:F29"/>
    <mergeCell ref="G29:I29"/>
    <mergeCell ref="J29:L29"/>
    <mergeCell ref="M29:N29"/>
    <mergeCell ref="P29:R29"/>
    <mergeCell ref="S29:U29"/>
    <mergeCell ref="V29:X29"/>
    <mergeCell ref="Y29:Z29"/>
    <mergeCell ref="A37:B49"/>
    <mergeCell ref="C37:Z49"/>
    <mergeCell ref="A50:B63"/>
    <mergeCell ref="C50:Z63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M33:N33"/>
    <mergeCell ref="S14:V15"/>
    <mergeCell ref="W14:Z15"/>
    <mergeCell ref="S16:T17"/>
    <mergeCell ref="U16:V17"/>
    <mergeCell ref="W16:X17"/>
    <mergeCell ref="S18:T20"/>
    <mergeCell ref="U18:V20"/>
    <mergeCell ref="W18:X20"/>
    <mergeCell ref="S30:U30"/>
    <mergeCell ref="V30:X30"/>
    <mergeCell ref="Y30:Z30"/>
    <mergeCell ref="S26:U26"/>
    <mergeCell ref="V26:X26"/>
    <mergeCell ref="Y26:Z26"/>
    <mergeCell ref="V27:X27"/>
    <mergeCell ref="Y27:Z27"/>
    <mergeCell ref="V23:X23"/>
    <mergeCell ref="Y23:Z23"/>
    <mergeCell ref="Y18:Z20"/>
    <mergeCell ref="Y16:Z17"/>
    <mergeCell ref="M20:N20"/>
    <mergeCell ref="P22:U22"/>
    <mergeCell ref="P14:R1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8"/>
  <sheetViews>
    <sheetView zoomScaleNormal="100" zoomScaleSheetLayoutView="100" workbookViewId="0">
      <selection activeCell="E20" sqref="E20:F20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198</v>
      </c>
      <c r="C2" s="135"/>
      <c r="D2" s="135" t="s">
        <v>199</v>
      </c>
      <c r="E2" s="135"/>
      <c r="F2" s="135" t="s">
        <v>200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05"/>
      <c r="E3" s="105"/>
      <c r="F3" s="105"/>
      <c r="G3" s="105"/>
      <c r="H3" s="132">
        <v>46227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74316</v>
      </c>
      <c r="E7" s="139"/>
      <c r="F7" s="139"/>
      <c r="G7" s="139">
        <v>143600</v>
      </c>
      <c r="H7" s="139"/>
      <c r="I7" s="139"/>
      <c r="J7" s="154">
        <f>D7+G7</f>
        <v>217916</v>
      </c>
      <c r="K7" s="154"/>
      <c r="L7" s="154"/>
      <c r="M7" s="1"/>
      <c r="N7" s="1"/>
      <c r="O7" s="1"/>
      <c r="P7" s="105" t="s">
        <v>48</v>
      </c>
      <c r="Q7" s="105"/>
      <c r="R7" s="140">
        <v>490.1</v>
      </c>
      <c r="S7" s="140"/>
      <c r="T7" s="140"/>
      <c r="U7" s="140">
        <v>422.8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'23'!D8+'24'!D7</f>
        <v>1776899</v>
      </c>
      <c r="E8" s="154"/>
      <c r="F8" s="154"/>
      <c r="G8" s="154">
        <f>'23'!G8+'24'!G7</f>
        <v>3470700</v>
      </c>
      <c r="H8" s="154"/>
      <c r="I8" s="154"/>
      <c r="J8" s="154">
        <f>D8+G8</f>
        <v>5247599</v>
      </c>
      <c r="K8" s="154"/>
      <c r="L8" s="154"/>
      <c r="M8" s="1"/>
      <c r="N8" s="1"/>
      <c r="O8" s="1"/>
      <c r="P8" s="104" t="s">
        <v>2</v>
      </c>
      <c r="Q8" s="104"/>
      <c r="R8" s="137">
        <f>'23'!R8+R7</f>
        <v>11731.6</v>
      </c>
      <c r="S8" s="137"/>
      <c r="T8" s="137"/>
      <c r="U8" s="137">
        <f>'23'!U8+U7</f>
        <v>7112.4</v>
      </c>
      <c r="V8" s="137"/>
      <c r="W8" s="137"/>
      <c r="X8" s="138">
        <f>'23'!X8+'24'!X7</f>
        <v>576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'23'!I12</f>
        <v>5925</v>
      </c>
      <c r="D12" s="174"/>
      <c r="E12" s="105">
        <v>14830</v>
      </c>
      <c r="F12" s="105"/>
      <c r="G12" s="105">
        <v>4291</v>
      </c>
      <c r="H12" s="105"/>
      <c r="I12" s="107">
        <f t="shared" ref="I12:I18" si="0">C12+E12-G12</f>
        <v>16464</v>
      </c>
      <c r="J12" s="109"/>
      <c r="K12" s="105">
        <f>'23'!K12+'24'!E12</f>
        <v>98190</v>
      </c>
      <c r="L12" s="105"/>
      <c r="M12" s="105">
        <f>'23'!M12+G12</f>
        <v>96640</v>
      </c>
      <c r="N12" s="105"/>
      <c r="O12" s="1"/>
      <c r="P12" s="149" t="s">
        <v>101</v>
      </c>
      <c r="Q12" s="105"/>
      <c r="R12" s="105"/>
      <c r="S12" s="143">
        <v>25.22</v>
      </c>
      <c r="T12" s="144"/>
      <c r="U12" s="144"/>
      <c r="V12" s="144"/>
      <c r="W12" s="194">
        <f>'23'!W12+'24'!S12</f>
        <v>870.34000000000015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'23'!I13</f>
        <v>870</v>
      </c>
      <c r="D13" s="174"/>
      <c r="E13" s="104">
        <v>0</v>
      </c>
      <c r="F13" s="104"/>
      <c r="G13" s="104">
        <v>60</v>
      </c>
      <c r="H13" s="104"/>
      <c r="I13" s="102">
        <f t="shared" si="0"/>
        <v>810</v>
      </c>
      <c r="J13" s="103"/>
      <c r="K13" s="102">
        <f>'23'!K13+'24'!E13</f>
        <v>2420</v>
      </c>
      <c r="L13" s="103"/>
      <c r="M13" s="102">
        <f>'23'!M13+G13</f>
        <v>2200</v>
      </c>
      <c r="N13" s="103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'23'!I14</f>
        <v>1840</v>
      </c>
      <c r="D14" s="174"/>
      <c r="E14" s="104">
        <v>0</v>
      </c>
      <c r="F14" s="104"/>
      <c r="G14" s="104">
        <v>120</v>
      </c>
      <c r="H14" s="104"/>
      <c r="I14" s="102">
        <f t="shared" si="0"/>
        <v>1720</v>
      </c>
      <c r="J14" s="103"/>
      <c r="K14" s="102">
        <f>'23'!K14+'24'!E14</f>
        <v>4000</v>
      </c>
      <c r="L14" s="103"/>
      <c r="M14" s="102">
        <f>'23'!M14+G14</f>
        <v>2880</v>
      </c>
      <c r="N14" s="103"/>
      <c r="O14" s="1"/>
      <c r="P14" s="104" t="s">
        <v>26</v>
      </c>
      <c r="Q14" s="104"/>
      <c r="R14" s="104"/>
      <c r="S14" s="155">
        <v>21.08</v>
      </c>
      <c r="T14" s="156"/>
      <c r="U14" s="156"/>
      <c r="V14" s="156"/>
      <c r="W14" s="186">
        <f>'23'!W14+'24'!S14</f>
        <v>184.14999999999998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'23'!I15</f>
        <v>684</v>
      </c>
      <c r="D15" s="174"/>
      <c r="E15" s="104">
        <v>0</v>
      </c>
      <c r="F15" s="104"/>
      <c r="G15" s="104">
        <v>0</v>
      </c>
      <c r="H15" s="104"/>
      <c r="I15" s="102">
        <f t="shared" si="0"/>
        <v>684</v>
      </c>
      <c r="J15" s="103"/>
      <c r="K15" s="102">
        <f>'23'!K15+'24'!E15</f>
        <v>0</v>
      </c>
      <c r="L15" s="103"/>
      <c r="M15" s="102">
        <f>'23'!M15+G15</f>
        <v>615</v>
      </c>
      <c r="N15" s="103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'23'!I16</f>
        <v>1890</v>
      </c>
      <c r="D16" s="174"/>
      <c r="E16" s="104">
        <v>0</v>
      </c>
      <c r="F16" s="104"/>
      <c r="G16" s="104">
        <v>20</v>
      </c>
      <c r="H16" s="104"/>
      <c r="I16" s="102">
        <f t="shared" si="0"/>
        <v>1870</v>
      </c>
      <c r="J16" s="103"/>
      <c r="K16" s="102">
        <f>'23'!K16+'24'!E16</f>
        <v>0</v>
      </c>
      <c r="L16" s="103"/>
      <c r="M16" s="102">
        <f>'23'!M16+G16</f>
        <v>480</v>
      </c>
      <c r="N16" s="103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'23'!I17</f>
        <v>1570</v>
      </c>
      <c r="D17" s="174"/>
      <c r="E17" s="104">
        <v>0</v>
      </c>
      <c r="F17" s="104"/>
      <c r="G17" s="104">
        <v>200</v>
      </c>
      <c r="H17" s="104"/>
      <c r="I17" s="102">
        <f t="shared" si="0"/>
        <v>1370</v>
      </c>
      <c r="J17" s="103"/>
      <c r="K17" s="102">
        <f>'23'!K17+'24'!E17</f>
        <v>4320</v>
      </c>
      <c r="L17" s="103"/>
      <c r="M17" s="102">
        <f>'23'!M17+G17</f>
        <v>4800</v>
      </c>
      <c r="N17" s="103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'23'!I18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0"/>
        <v>5340</v>
      </c>
      <c r="J18" s="103"/>
      <c r="K18" s="102">
        <f>'23'!K18+'24'!E18</f>
        <v>0</v>
      </c>
      <c r="L18" s="103"/>
      <c r="M18" s="102">
        <f>'23'!M18+G18</f>
        <v>0</v>
      </c>
      <c r="N18" s="103"/>
      <c r="O18" s="1"/>
      <c r="P18" s="164" t="s">
        <v>27</v>
      </c>
      <c r="Q18" s="164"/>
      <c r="R18" s="164"/>
      <c r="S18" s="114">
        <v>1</v>
      </c>
      <c r="T18" s="115"/>
      <c r="U18" s="114">
        <v>1</v>
      </c>
      <c r="V18" s="115"/>
      <c r="W18" s="114">
        <f>S18+U18</f>
        <v>2</v>
      </c>
      <c r="X18" s="115"/>
      <c r="Y18" s="151">
        <f>'23'!Y18+'24'!W18</f>
        <v>76</v>
      </c>
      <c r="Z18" s="151"/>
    </row>
    <row r="19" spans="1:31" ht="21.9" customHeight="1">
      <c r="A19" s="153" t="s">
        <v>62</v>
      </c>
      <c r="B19" s="153"/>
      <c r="C19" s="174">
        <f>'23'!I19</f>
        <v>100127</v>
      </c>
      <c r="D19" s="174"/>
      <c r="E19" s="154">
        <v>65600</v>
      </c>
      <c r="F19" s="154"/>
      <c r="G19" s="154">
        <f>D7</f>
        <v>74316</v>
      </c>
      <c r="H19" s="154"/>
      <c r="I19" s="99">
        <f t="shared" ref="I19" si="1">C19+E19-G19</f>
        <v>91411</v>
      </c>
      <c r="J19" s="101"/>
      <c r="K19" s="99">
        <f>'23'!K19+'24'!E19</f>
        <v>1758310</v>
      </c>
      <c r="L19" s="101"/>
      <c r="M19" s="99">
        <f>'23'!M19+G19</f>
        <v>1776899</v>
      </c>
      <c r="N19" s="101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'23'!I20</f>
        <v>-</v>
      </c>
      <c r="D20" s="174"/>
      <c r="E20" s="102"/>
      <c r="F20" s="103"/>
      <c r="G20" s="104"/>
      <c r="H20" s="104"/>
      <c r="I20" s="102" t="s">
        <v>60</v>
      </c>
      <c r="J20" s="103"/>
      <c r="K20" s="105">
        <f>'23'!K20+'24'!E20</f>
        <v>0</v>
      </c>
      <c r="L20" s="105"/>
      <c r="M20" s="99">
        <f>'23'!M20+G20</f>
        <v>0</v>
      </c>
      <c r="N20" s="101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'23'!G24</f>
        <v>4193153</v>
      </c>
      <c r="E24" s="187"/>
      <c r="F24" s="187"/>
      <c r="G24" s="164">
        <v>4214895</v>
      </c>
      <c r="H24" s="164"/>
      <c r="I24" s="164"/>
      <c r="J24" s="164">
        <f>G24-D24</f>
        <v>21742</v>
      </c>
      <c r="K24" s="164"/>
      <c r="L24" s="164"/>
      <c r="M24" s="164">
        <f>'23'!M24+J24</f>
        <v>543327</v>
      </c>
      <c r="N24" s="164"/>
      <c r="P24" s="105" t="s">
        <v>36</v>
      </c>
      <c r="Q24" s="105"/>
      <c r="R24" s="105"/>
      <c r="S24" s="105">
        <f>'23'!V24</f>
        <v>536.5</v>
      </c>
      <c r="T24" s="105"/>
      <c r="U24" s="105"/>
      <c r="V24" s="140">
        <v>548.79999999999995</v>
      </c>
      <c r="W24" s="140"/>
      <c r="X24" s="140"/>
      <c r="Y24" s="140">
        <f>'23'!Y24+'24'!V24</f>
        <v>12174.7</v>
      </c>
      <c r="Z24" s="140"/>
    </row>
    <row r="25" spans="1:31" ht="21.9" customHeight="1">
      <c r="A25" s="104" t="s">
        <v>30</v>
      </c>
      <c r="B25" s="104"/>
      <c r="C25" s="104"/>
      <c r="D25" s="104">
        <f>'23'!G25</f>
        <v>33545.199999999997</v>
      </c>
      <c r="E25" s="104"/>
      <c r="F25" s="104"/>
      <c r="G25" s="104">
        <v>33576</v>
      </c>
      <c r="H25" s="104"/>
      <c r="I25" s="104"/>
      <c r="J25" s="104">
        <f>G25-D25</f>
        <v>30.80000000000291</v>
      </c>
      <c r="K25" s="104"/>
      <c r="L25" s="104"/>
      <c r="M25" s="102">
        <f>'23'!M25+'24'!J25</f>
        <v>811.90000000000146</v>
      </c>
      <c r="N25" s="103"/>
      <c r="P25" s="104" t="s">
        <v>37</v>
      </c>
      <c r="Q25" s="104"/>
      <c r="R25" s="104"/>
      <c r="S25" s="102">
        <f>'23'!V25</f>
        <v>67.8</v>
      </c>
      <c r="T25" s="106"/>
      <c r="U25" s="103"/>
      <c r="V25" s="137">
        <v>70.400000000000006</v>
      </c>
      <c r="W25" s="137"/>
      <c r="X25" s="137"/>
      <c r="Y25" s="188">
        <f>'23'!Y25+'24'!V25</f>
        <v>1437.6</v>
      </c>
      <c r="Z25" s="190"/>
    </row>
    <row r="26" spans="1:31" ht="21.9" customHeight="1">
      <c r="A26" s="104" t="s">
        <v>31</v>
      </c>
      <c r="B26" s="104"/>
      <c r="C26" s="104"/>
      <c r="D26" s="104">
        <f>'23'!G26</f>
        <v>24780</v>
      </c>
      <c r="E26" s="104"/>
      <c r="F26" s="104"/>
      <c r="G26" s="104">
        <v>24800</v>
      </c>
      <c r="H26" s="104"/>
      <c r="I26" s="104"/>
      <c r="J26" s="104">
        <f>G26-D26</f>
        <v>20</v>
      </c>
      <c r="K26" s="104"/>
      <c r="L26" s="104"/>
      <c r="M26" s="102">
        <f>'23'!M26+'24'!J26</f>
        <v>500</v>
      </c>
      <c r="N26" s="103"/>
      <c r="P26" s="104" t="s">
        <v>38</v>
      </c>
      <c r="Q26" s="104"/>
      <c r="R26" s="104"/>
      <c r="S26" s="102">
        <f>'23'!V26</f>
        <v>556.5</v>
      </c>
      <c r="T26" s="106"/>
      <c r="U26" s="103"/>
      <c r="V26" s="137">
        <v>573.5</v>
      </c>
      <c r="W26" s="137"/>
      <c r="X26" s="137"/>
      <c r="Y26" s="188">
        <f>'23'!Y26+'24'!V26</f>
        <v>12111.8</v>
      </c>
      <c r="Z26" s="190"/>
    </row>
    <row r="27" spans="1:31" ht="21.9" customHeight="1">
      <c r="A27" s="104" t="s">
        <v>32</v>
      </c>
      <c r="B27" s="104"/>
      <c r="C27" s="104"/>
      <c r="D27" s="104">
        <f>'23'!G27</f>
        <v>1415000</v>
      </c>
      <c r="E27" s="104"/>
      <c r="F27" s="104"/>
      <c r="G27" s="104">
        <v>1418000</v>
      </c>
      <c r="H27" s="104"/>
      <c r="I27" s="104"/>
      <c r="J27" s="104">
        <f t="shared" ref="J27" si="2">G27-D27</f>
        <v>3000</v>
      </c>
      <c r="K27" s="104"/>
      <c r="L27" s="104"/>
      <c r="M27" s="102">
        <f>'23'!M27+J27</f>
        <v>79000</v>
      </c>
      <c r="N27" s="103"/>
      <c r="P27" s="104" t="s">
        <v>39</v>
      </c>
      <c r="Q27" s="104"/>
      <c r="R27" s="104"/>
      <c r="S27" s="102">
        <f>'23'!V27</f>
        <v>527.79999999999995</v>
      </c>
      <c r="T27" s="106"/>
      <c r="U27" s="103"/>
      <c r="V27" s="137">
        <v>539.9</v>
      </c>
      <c r="W27" s="137"/>
      <c r="X27" s="137"/>
      <c r="Y27" s="188">
        <f>'23'!Y27+'24'!V27</f>
        <v>12253.199999999999</v>
      </c>
      <c r="Z27" s="190"/>
    </row>
    <row r="28" spans="1:31" ht="21.9" customHeight="1">
      <c r="A28" s="104" t="s">
        <v>33</v>
      </c>
      <c r="B28" s="104"/>
      <c r="C28" s="104"/>
      <c r="D28" s="104">
        <f>'23'!G28</f>
        <v>6187</v>
      </c>
      <c r="E28" s="104"/>
      <c r="F28" s="104"/>
      <c r="G28" s="104">
        <v>6239</v>
      </c>
      <c r="H28" s="104"/>
      <c r="I28" s="104"/>
      <c r="J28" s="104">
        <f>G28-D28</f>
        <v>52</v>
      </c>
      <c r="K28" s="104"/>
      <c r="L28" s="104"/>
      <c r="M28" s="102">
        <f>'23'!M28+'24'!J28</f>
        <v>1301</v>
      </c>
      <c r="N28" s="103"/>
      <c r="P28" s="104" t="s">
        <v>41</v>
      </c>
      <c r="Q28" s="104"/>
      <c r="R28" s="104"/>
      <c r="S28" s="102">
        <f>'23'!V28</f>
        <v>0</v>
      </c>
      <c r="T28" s="106"/>
      <c r="U28" s="103"/>
      <c r="V28" s="137">
        <v>0</v>
      </c>
      <c r="W28" s="137"/>
      <c r="X28" s="137"/>
      <c r="Y28" s="188">
        <f>'23'!Y28+'24'!V28</f>
        <v>0</v>
      </c>
      <c r="Z28" s="190"/>
    </row>
    <row r="29" spans="1:31" ht="21.9" customHeight="1">
      <c r="A29" s="104" t="s">
        <v>34</v>
      </c>
      <c r="B29" s="104"/>
      <c r="C29" s="104"/>
      <c r="D29" s="104">
        <f>'23'!G29</f>
        <v>66250</v>
      </c>
      <c r="E29" s="104"/>
      <c r="F29" s="104"/>
      <c r="G29" s="104">
        <v>66250</v>
      </c>
      <c r="H29" s="104"/>
      <c r="I29" s="104"/>
      <c r="J29" s="104">
        <f>G29-D29</f>
        <v>0</v>
      </c>
      <c r="K29" s="104"/>
      <c r="L29" s="104"/>
      <c r="M29" s="102">
        <f>'23'!M29+'24'!J29</f>
        <v>70</v>
      </c>
      <c r="N29" s="103"/>
      <c r="P29" s="104" t="s">
        <v>40</v>
      </c>
      <c r="Q29" s="104"/>
      <c r="R29" s="104"/>
      <c r="S29" s="102">
        <f>'23'!V29</f>
        <v>79.900000000000006</v>
      </c>
      <c r="T29" s="106"/>
      <c r="U29" s="103"/>
      <c r="V29" s="137">
        <v>79.900000000000006</v>
      </c>
      <c r="W29" s="137"/>
      <c r="X29" s="137"/>
      <c r="Y29" s="188">
        <f>'23'!Y29+'24'!V29</f>
        <v>1643.1999999999998</v>
      </c>
      <c r="Z29" s="190"/>
    </row>
    <row r="30" spans="1:31" ht="21.9" customHeight="1">
      <c r="A30" s="104" t="s">
        <v>35</v>
      </c>
      <c r="B30" s="104"/>
      <c r="C30" s="104"/>
      <c r="D30" s="104">
        <f>'23'!G30</f>
        <v>53510</v>
      </c>
      <c r="E30" s="104"/>
      <c r="F30" s="104"/>
      <c r="G30" s="104">
        <v>53520</v>
      </c>
      <c r="H30" s="104"/>
      <c r="I30" s="104"/>
      <c r="J30" s="104">
        <f>G30-D30</f>
        <v>10</v>
      </c>
      <c r="K30" s="104"/>
      <c r="L30" s="104"/>
      <c r="M30" s="102">
        <f>'23'!M30+'24'!J30</f>
        <v>300</v>
      </c>
      <c r="N30" s="103"/>
      <c r="P30" s="104" t="s">
        <v>28</v>
      </c>
      <c r="Q30" s="104"/>
      <c r="R30" s="104"/>
      <c r="S30" s="102">
        <f>'23'!V30</f>
        <v>0</v>
      </c>
      <c r="T30" s="106"/>
      <c r="U30" s="103"/>
      <c r="V30" s="137"/>
      <c r="W30" s="137"/>
      <c r="X30" s="137"/>
      <c r="Y30" s="188">
        <f>'23'!Y30+'24'!V30</f>
        <v>1528.3</v>
      </c>
      <c r="Z30" s="190"/>
    </row>
    <row r="31" spans="1:31" ht="21.9" customHeight="1">
      <c r="A31" s="104" t="s">
        <v>120</v>
      </c>
      <c r="B31" s="104"/>
      <c r="C31" s="104"/>
      <c r="D31" s="104">
        <f>'23'!G31</f>
        <v>6381626</v>
      </c>
      <c r="E31" s="104"/>
      <c r="F31" s="104"/>
      <c r="G31" s="102">
        <v>6389098</v>
      </c>
      <c r="H31" s="106"/>
      <c r="I31" s="103"/>
      <c r="J31" s="104">
        <f t="shared" ref="J31:J33" si="3">G31-D31</f>
        <v>7472</v>
      </c>
      <c r="K31" s="104"/>
      <c r="L31" s="104"/>
      <c r="M31" s="102">
        <f>'23'!M31+'24'!J31</f>
        <v>187003</v>
      </c>
      <c r="N31" s="103"/>
      <c r="P31" s="57"/>
      <c r="Q31" s="57"/>
      <c r="R31" s="57"/>
      <c r="S31" s="57"/>
      <c r="T31" s="57"/>
      <c r="U31" s="57"/>
      <c r="V31" s="58"/>
      <c r="W31" s="58"/>
      <c r="X31" s="58"/>
      <c r="Y31" s="58"/>
      <c r="Z31" s="58"/>
    </row>
    <row r="32" spans="1:31" ht="21.9" customHeight="1">
      <c r="A32" s="104" t="s">
        <v>121</v>
      </c>
      <c r="B32" s="104"/>
      <c r="C32" s="104"/>
      <c r="D32" s="104">
        <f>'23'!G32</f>
        <v>1.7</v>
      </c>
      <c r="E32" s="104"/>
      <c r="F32" s="104"/>
      <c r="G32" s="102">
        <v>1.7</v>
      </c>
      <c r="H32" s="106"/>
      <c r="I32" s="103"/>
      <c r="J32" s="102">
        <f t="shared" si="3"/>
        <v>0</v>
      </c>
      <c r="K32" s="106">
        <v>12.255000000000001</v>
      </c>
      <c r="L32" s="103">
        <v>12.255000000000001</v>
      </c>
      <c r="M32" s="102">
        <f>'23'!M32+'24'!J32</f>
        <v>9.9999999999999867E-2</v>
      </c>
      <c r="N32" s="103"/>
      <c r="P32" s="57"/>
      <c r="Q32" s="57"/>
      <c r="R32" s="57"/>
      <c r="S32" s="57"/>
      <c r="T32" s="57"/>
      <c r="U32" s="57"/>
      <c r="V32" s="58"/>
      <c r="W32" s="58"/>
      <c r="X32" s="58"/>
      <c r="Y32" s="58"/>
      <c r="Z32" s="58"/>
    </row>
    <row r="33" spans="1:26" ht="21.9" customHeight="1">
      <c r="A33" s="104" t="s">
        <v>122</v>
      </c>
      <c r="B33" s="104"/>
      <c r="C33" s="104"/>
      <c r="D33" s="104">
        <f>'23'!G33</f>
        <v>0</v>
      </c>
      <c r="E33" s="104"/>
      <c r="F33" s="104"/>
      <c r="G33" s="102">
        <v>0</v>
      </c>
      <c r="H33" s="106"/>
      <c r="I33" s="103"/>
      <c r="J33" s="102">
        <f t="shared" si="3"/>
        <v>0</v>
      </c>
      <c r="K33" s="106">
        <v>12.255000000000001</v>
      </c>
      <c r="L33" s="103">
        <v>12.255000000000001</v>
      </c>
      <c r="M33" s="102">
        <f>'23'!M33+'24'!J33</f>
        <v>0</v>
      </c>
      <c r="N33" s="103"/>
      <c r="P33" s="57"/>
      <c r="Q33" s="57"/>
      <c r="R33" s="57"/>
      <c r="S33" s="57"/>
      <c r="T33" s="57"/>
      <c r="U33" s="57"/>
      <c r="V33" s="58"/>
      <c r="W33" s="58"/>
      <c r="X33" s="58"/>
      <c r="Y33" s="58"/>
      <c r="Z33" s="58"/>
    </row>
    <row r="34" spans="1:26" ht="21.9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P34" s="57"/>
      <c r="Q34" s="57"/>
      <c r="R34" s="57"/>
      <c r="S34" s="57"/>
      <c r="T34" s="57"/>
      <c r="U34" s="57"/>
      <c r="V34" s="58"/>
      <c r="W34" s="58"/>
      <c r="X34" s="58"/>
      <c r="Y34" s="58"/>
      <c r="Z34" s="58"/>
    </row>
    <row r="35" spans="1:26" ht="21.9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P35" s="57"/>
      <c r="Q35" s="57"/>
      <c r="R35" s="57"/>
      <c r="S35" s="57"/>
      <c r="T35" s="57"/>
      <c r="U35" s="57"/>
      <c r="V35" s="58"/>
      <c r="W35" s="58"/>
      <c r="X35" s="58"/>
      <c r="Y35" s="58"/>
      <c r="Z35" s="58"/>
    </row>
    <row r="36" spans="1:26" ht="14.25" customHeight="1"/>
    <row r="37" spans="1:26">
      <c r="A37" s="1" t="s">
        <v>59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65" t="s">
        <v>15</v>
      </c>
      <c r="B38" s="166"/>
      <c r="C38" s="165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66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7"/>
      <c r="B48" s="168"/>
      <c r="C48" s="167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68"/>
    </row>
    <row r="49" spans="1:26">
      <c r="A49" s="167"/>
      <c r="B49" s="168"/>
      <c r="C49" s="167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68"/>
    </row>
    <row r="50" spans="1:26">
      <c r="A50" s="169"/>
      <c r="B50" s="170"/>
      <c r="C50" s="169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0"/>
    </row>
    <row r="51" spans="1:26">
      <c r="A51" s="165" t="s">
        <v>16</v>
      </c>
      <c r="B51" s="166"/>
      <c r="C51" s="165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66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7"/>
      <c r="B62" s="168"/>
      <c r="C62" s="167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68"/>
    </row>
    <row r="63" spans="1:26">
      <c r="A63" s="167"/>
      <c r="B63" s="168"/>
      <c r="C63" s="167"/>
      <c r="D63" s="172"/>
      <c r="E63" s="172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68"/>
    </row>
    <row r="64" spans="1:26">
      <c r="A64" s="169"/>
      <c r="B64" s="170"/>
      <c r="C64" s="169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0"/>
    </row>
    <row r="65" spans="1:26">
      <c r="A65" s="165" t="s">
        <v>16</v>
      </c>
      <c r="B65" s="166"/>
      <c r="C65" s="165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66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7"/>
      <c r="B76" s="168"/>
      <c r="C76" s="167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68"/>
    </row>
    <row r="77" spans="1:26">
      <c r="A77" s="167"/>
      <c r="B77" s="168"/>
      <c r="C77" s="167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68"/>
    </row>
    <row r="78" spans="1:26">
      <c r="A78" s="169"/>
      <c r="B78" s="170"/>
      <c r="C78" s="169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0"/>
    </row>
  </sheetData>
  <protectedRanges>
    <protectedRange sqref="H3" name="범위2"/>
    <protectedRange sqref="U2:Z3 D7:I7 R7:Z7 E12:H20 S12:V15 S18:V20 G24:I30 V24:X30 G34:I35 V34:X35" name="범위1"/>
    <protectedRange sqref="V31:X33" name="범위1_3_1"/>
    <protectedRange sqref="G32:L33 G31:I31" name="범위3_1_1_2_1"/>
    <protectedRange sqref="B2:C3 F2:G3" name="범위1_1_2"/>
    <protectedRange sqref="D2:E3" name="범위1_2"/>
  </protectedRanges>
  <mergeCells count="223">
    <mergeCell ref="A65:B78"/>
    <mergeCell ref="C65:Z78"/>
    <mergeCell ref="Y1:Z1"/>
    <mergeCell ref="W2:X3"/>
    <mergeCell ref="Y2:Z3"/>
    <mergeCell ref="A1:A3"/>
    <mergeCell ref="W1:X1"/>
    <mergeCell ref="H1:S2"/>
    <mergeCell ref="T1:T3"/>
    <mergeCell ref="U1:V1"/>
    <mergeCell ref="U2:V3"/>
    <mergeCell ref="H3:S3"/>
    <mergeCell ref="B1:C1"/>
    <mergeCell ref="D1:E1"/>
    <mergeCell ref="F1:G1"/>
    <mergeCell ref="B2:C3"/>
    <mergeCell ref="D2:E3"/>
    <mergeCell ref="F2:G3"/>
    <mergeCell ref="U6:W6"/>
    <mergeCell ref="X6:Z6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G6:I6"/>
    <mergeCell ref="J6:L6"/>
    <mergeCell ref="P6:Q6"/>
    <mergeCell ref="R6:T6"/>
    <mergeCell ref="S12:V13"/>
    <mergeCell ref="W12:Z13"/>
    <mergeCell ref="U8:W8"/>
    <mergeCell ref="X8:Z8"/>
    <mergeCell ref="A11:B11"/>
    <mergeCell ref="C11:D11"/>
    <mergeCell ref="E11:F11"/>
    <mergeCell ref="G11:H11"/>
    <mergeCell ref="I11:J11"/>
    <mergeCell ref="K11:L11"/>
    <mergeCell ref="M11:N11"/>
    <mergeCell ref="P11:R11"/>
    <mergeCell ref="A8:C8"/>
    <mergeCell ref="D8:F8"/>
    <mergeCell ref="G8:I8"/>
    <mergeCell ref="J8:L8"/>
    <mergeCell ref="P8:Q8"/>
    <mergeCell ref="R8:T8"/>
    <mergeCell ref="S11:V11"/>
    <mergeCell ref="W11:Z11"/>
    <mergeCell ref="P12:R13"/>
    <mergeCell ref="A12:B12"/>
    <mergeCell ref="C12:D12"/>
    <mergeCell ref="E12:F12"/>
    <mergeCell ref="G12:H12"/>
    <mergeCell ref="I12:J12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K14:L14"/>
    <mergeCell ref="M14:N14"/>
    <mergeCell ref="I15:J15"/>
    <mergeCell ref="K15:L15"/>
    <mergeCell ref="I17:J17"/>
    <mergeCell ref="K17:L17"/>
    <mergeCell ref="M15:N15"/>
    <mergeCell ref="A16:B16"/>
    <mergeCell ref="C16:D16"/>
    <mergeCell ref="E16:F16"/>
    <mergeCell ref="G16:H16"/>
    <mergeCell ref="I16:J16"/>
    <mergeCell ref="K16:L16"/>
    <mergeCell ref="M16:N16"/>
    <mergeCell ref="M17:N17"/>
    <mergeCell ref="A15:B15"/>
    <mergeCell ref="C15:D15"/>
    <mergeCell ref="E15:F15"/>
    <mergeCell ref="G15:H15"/>
    <mergeCell ref="A14:B14"/>
    <mergeCell ref="C14:D14"/>
    <mergeCell ref="E14:F14"/>
    <mergeCell ref="G14:H14"/>
    <mergeCell ref="I14:J14"/>
    <mergeCell ref="G18:H18"/>
    <mergeCell ref="I18:J18"/>
    <mergeCell ref="K18:L18"/>
    <mergeCell ref="M18:N18"/>
    <mergeCell ref="P16:R17"/>
    <mergeCell ref="A17:B17"/>
    <mergeCell ref="C17:D17"/>
    <mergeCell ref="E17:F17"/>
    <mergeCell ref="G17:H17"/>
    <mergeCell ref="A23:C23"/>
    <mergeCell ref="D23:F23"/>
    <mergeCell ref="G23:I23"/>
    <mergeCell ref="J23:L23"/>
    <mergeCell ref="M23:N23"/>
    <mergeCell ref="P23:R23"/>
    <mergeCell ref="S23:U23"/>
    <mergeCell ref="P18:R20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A18:B18"/>
    <mergeCell ref="C18:D18"/>
    <mergeCell ref="E18:F18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A28:C28"/>
    <mergeCell ref="D28:F28"/>
    <mergeCell ref="G28:I28"/>
    <mergeCell ref="J28:L28"/>
    <mergeCell ref="M28:N28"/>
    <mergeCell ref="P28:R28"/>
    <mergeCell ref="S28:U28"/>
    <mergeCell ref="V28:X28"/>
    <mergeCell ref="Y28:Z28"/>
    <mergeCell ref="A29:C29"/>
    <mergeCell ref="D29:F29"/>
    <mergeCell ref="G29:I29"/>
    <mergeCell ref="J29:L29"/>
    <mergeCell ref="M29:N29"/>
    <mergeCell ref="P29:R29"/>
    <mergeCell ref="S29:U29"/>
    <mergeCell ref="V29:X29"/>
    <mergeCell ref="Y29:Z29"/>
    <mergeCell ref="A38:B50"/>
    <mergeCell ref="C38:Z50"/>
    <mergeCell ref="A51:B64"/>
    <mergeCell ref="C51:Z64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M33:N33"/>
    <mergeCell ref="S14:V15"/>
    <mergeCell ref="W14:Z15"/>
    <mergeCell ref="S16:T17"/>
    <mergeCell ref="U16:V17"/>
    <mergeCell ref="W16:X17"/>
    <mergeCell ref="S18:T20"/>
    <mergeCell ref="U18:V20"/>
    <mergeCell ref="W18:X20"/>
    <mergeCell ref="S30:U30"/>
    <mergeCell ref="V30:X30"/>
    <mergeCell ref="Y30:Z30"/>
    <mergeCell ref="S26:U26"/>
    <mergeCell ref="V26:X26"/>
    <mergeCell ref="Y26:Z26"/>
    <mergeCell ref="V27:X27"/>
    <mergeCell ref="Y27:Z27"/>
    <mergeCell ref="V23:X23"/>
    <mergeCell ref="Y23:Z23"/>
    <mergeCell ref="Y18:Z20"/>
    <mergeCell ref="Y16:Z17"/>
    <mergeCell ref="M20:N20"/>
    <mergeCell ref="P22:U22"/>
    <mergeCell ref="P14:R1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zoomScaleNormal="100" zoomScaleSheetLayoutView="100" workbookViewId="0">
      <selection activeCell="G18" sqref="G18:H18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201</v>
      </c>
      <c r="C2" s="135"/>
      <c r="D2" s="135" t="s">
        <v>202</v>
      </c>
      <c r="E2" s="135"/>
      <c r="F2" s="135" t="s">
        <v>203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05"/>
      <c r="E3" s="105"/>
      <c r="F3" s="105"/>
      <c r="G3" s="105"/>
      <c r="H3" s="132">
        <v>46228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64897</v>
      </c>
      <c r="E7" s="139"/>
      <c r="F7" s="139"/>
      <c r="G7" s="139">
        <v>155000</v>
      </c>
      <c r="H7" s="139"/>
      <c r="I7" s="139"/>
      <c r="J7" s="154">
        <f>D7+G7</f>
        <v>219897</v>
      </c>
      <c r="K7" s="154"/>
      <c r="L7" s="154"/>
      <c r="M7" s="1"/>
      <c r="N7" s="1"/>
      <c r="O7" s="1"/>
      <c r="P7" s="105" t="s">
        <v>48</v>
      </c>
      <c r="Q7" s="105"/>
      <c r="R7" s="140">
        <v>494.9</v>
      </c>
      <c r="S7" s="140"/>
      <c r="T7" s="140"/>
      <c r="U7" s="140">
        <v>422.2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'24'!D8+'25'!D7</f>
        <v>1841796</v>
      </c>
      <c r="E8" s="154"/>
      <c r="F8" s="154"/>
      <c r="G8" s="154">
        <f>'24'!G8+'25'!G7</f>
        <v>3625700</v>
      </c>
      <c r="H8" s="154"/>
      <c r="I8" s="154"/>
      <c r="J8" s="154">
        <f>D8+G8</f>
        <v>5467496</v>
      </c>
      <c r="K8" s="154"/>
      <c r="L8" s="154"/>
      <c r="M8" s="1"/>
      <c r="N8" s="1"/>
      <c r="O8" s="1"/>
      <c r="P8" s="104" t="s">
        <v>2</v>
      </c>
      <c r="Q8" s="104"/>
      <c r="R8" s="137">
        <f>'24'!R8+R7</f>
        <v>12226.5</v>
      </c>
      <c r="S8" s="137"/>
      <c r="T8" s="137"/>
      <c r="U8" s="137">
        <f>'24'!U8+U7</f>
        <v>7534.5999999999995</v>
      </c>
      <c r="V8" s="137"/>
      <c r="W8" s="137"/>
      <c r="X8" s="138">
        <f>'24'!X8+'25'!X7</f>
        <v>600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'24'!I12</f>
        <v>16464</v>
      </c>
      <c r="D12" s="174"/>
      <c r="E12" s="105">
        <v>0</v>
      </c>
      <c r="F12" s="105"/>
      <c r="G12" s="105">
        <v>4933</v>
      </c>
      <c r="H12" s="105"/>
      <c r="I12" s="107">
        <f t="shared" ref="I12:I18" si="0">C12+E12-G12</f>
        <v>11531</v>
      </c>
      <c r="J12" s="109"/>
      <c r="K12" s="105">
        <f>'24'!K12+'25'!E12</f>
        <v>98190</v>
      </c>
      <c r="L12" s="105"/>
      <c r="M12" s="105">
        <f>'24'!M12+G12</f>
        <v>101573</v>
      </c>
      <c r="N12" s="105"/>
      <c r="O12" s="1"/>
      <c r="P12" s="149" t="s">
        <v>101</v>
      </c>
      <c r="Q12" s="105"/>
      <c r="R12" s="105"/>
      <c r="S12" s="143">
        <v>29.28</v>
      </c>
      <c r="T12" s="144"/>
      <c r="U12" s="144"/>
      <c r="V12" s="144"/>
      <c r="W12" s="194">
        <f>'24'!W12+'25'!S12</f>
        <v>899.62000000000012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'24'!I13</f>
        <v>810</v>
      </c>
      <c r="D13" s="174"/>
      <c r="E13" s="104">
        <v>0</v>
      </c>
      <c r="F13" s="104"/>
      <c r="G13" s="104">
        <v>60</v>
      </c>
      <c r="H13" s="104"/>
      <c r="I13" s="102">
        <f t="shared" si="0"/>
        <v>750</v>
      </c>
      <c r="J13" s="103"/>
      <c r="K13" s="105">
        <f>'24'!K13+'25'!E13</f>
        <v>2420</v>
      </c>
      <c r="L13" s="105"/>
      <c r="M13" s="102">
        <f>'24'!M13+G13</f>
        <v>2260</v>
      </c>
      <c r="N13" s="103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'24'!I14</f>
        <v>1720</v>
      </c>
      <c r="D14" s="174"/>
      <c r="E14" s="104">
        <v>0</v>
      </c>
      <c r="F14" s="104"/>
      <c r="G14" s="104">
        <v>120</v>
      </c>
      <c r="H14" s="104"/>
      <c r="I14" s="102">
        <f t="shared" si="0"/>
        <v>1600</v>
      </c>
      <c r="J14" s="103"/>
      <c r="K14" s="105">
        <f>'24'!K14+'25'!E14</f>
        <v>4000</v>
      </c>
      <c r="L14" s="105"/>
      <c r="M14" s="102">
        <f>'24'!M14+G14</f>
        <v>3000</v>
      </c>
      <c r="N14" s="103"/>
      <c r="O14" s="1"/>
      <c r="P14" s="104" t="s">
        <v>26</v>
      </c>
      <c r="Q14" s="104"/>
      <c r="R14" s="104"/>
      <c r="S14" s="155">
        <v>0</v>
      </c>
      <c r="T14" s="156"/>
      <c r="U14" s="156"/>
      <c r="V14" s="156"/>
      <c r="W14" s="186">
        <f>'24'!W14+'25'!S14</f>
        <v>184.14999999999998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'24'!I15</f>
        <v>684</v>
      </c>
      <c r="D15" s="174"/>
      <c r="E15" s="104">
        <v>0</v>
      </c>
      <c r="F15" s="104"/>
      <c r="G15" s="104">
        <v>0</v>
      </c>
      <c r="H15" s="104"/>
      <c r="I15" s="102">
        <f t="shared" si="0"/>
        <v>684</v>
      </c>
      <c r="J15" s="103"/>
      <c r="K15" s="105">
        <f>'24'!K15+'25'!E15</f>
        <v>0</v>
      </c>
      <c r="L15" s="105"/>
      <c r="M15" s="102">
        <f>'24'!M15+G15</f>
        <v>615</v>
      </c>
      <c r="N15" s="103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'24'!I16</f>
        <v>1870</v>
      </c>
      <c r="D16" s="174"/>
      <c r="E16" s="104">
        <v>0</v>
      </c>
      <c r="F16" s="104"/>
      <c r="G16" s="104">
        <v>20</v>
      </c>
      <c r="H16" s="104"/>
      <c r="I16" s="102">
        <f t="shared" si="0"/>
        <v>1850</v>
      </c>
      <c r="J16" s="103"/>
      <c r="K16" s="105">
        <f>'24'!K16+'25'!E16</f>
        <v>0</v>
      </c>
      <c r="L16" s="105"/>
      <c r="M16" s="102">
        <f>'24'!M16+G16</f>
        <v>500</v>
      </c>
      <c r="N16" s="103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'24'!I17</f>
        <v>1370</v>
      </c>
      <c r="D17" s="174"/>
      <c r="E17" s="104">
        <v>0</v>
      </c>
      <c r="F17" s="104"/>
      <c r="G17" s="104">
        <v>200</v>
      </c>
      <c r="H17" s="104"/>
      <c r="I17" s="102">
        <f t="shared" si="0"/>
        <v>1170</v>
      </c>
      <c r="J17" s="103"/>
      <c r="K17" s="105">
        <f>'24'!K17+'25'!E17</f>
        <v>4320</v>
      </c>
      <c r="L17" s="105"/>
      <c r="M17" s="102">
        <f>'24'!M17+G17</f>
        <v>5000</v>
      </c>
      <c r="N17" s="103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'24'!I18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0"/>
        <v>5340</v>
      </c>
      <c r="J18" s="103"/>
      <c r="K18" s="105">
        <f>'24'!K18+'25'!E18</f>
        <v>0</v>
      </c>
      <c r="L18" s="105"/>
      <c r="M18" s="102">
        <f>'24'!M18+G18</f>
        <v>0</v>
      </c>
      <c r="N18" s="103"/>
      <c r="O18" s="1"/>
      <c r="P18" s="164" t="s">
        <v>27</v>
      </c>
      <c r="Q18" s="164"/>
      <c r="R18" s="164"/>
      <c r="S18" s="114">
        <v>1</v>
      </c>
      <c r="T18" s="115"/>
      <c r="U18" s="114">
        <v>2</v>
      </c>
      <c r="V18" s="115"/>
      <c r="W18" s="114">
        <f>S18+U18</f>
        <v>3</v>
      </c>
      <c r="X18" s="115"/>
      <c r="Y18" s="151">
        <f>'24'!Y18+'25'!W18</f>
        <v>79</v>
      </c>
      <c r="Z18" s="151"/>
    </row>
    <row r="19" spans="1:31" ht="21.9" customHeight="1">
      <c r="A19" s="153" t="s">
        <v>62</v>
      </c>
      <c r="B19" s="153"/>
      <c r="C19" s="174">
        <f>'24'!I19</f>
        <v>91411</v>
      </c>
      <c r="D19" s="174"/>
      <c r="E19" s="154">
        <v>88810</v>
      </c>
      <c r="F19" s="154"/>
      <c r="G19" s="154">
        <f>D7</f>
        <v>64897</v>
      </c>
      <c r="H19" s="154"/>
      <c r="I19" s="99">
        <f t="shared" ref="I19" si="1">C19+E19-G19</f>
        <v>115324</v>
      </c>
      <c r="J19" s="101"/>
      <c r="K19" s="139">
        <f>'24'!K19+'25'!E19</f>
        <v>1847120</v>
      </c>
      <c r="L19" s="139"/>
      <c r="M19" s="99">
        <f>'24'!M19+G19</f>
        <v>1841796</v>
      </c>
      <c r="N19" s="101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'24'!I20</f>
        <v>-</v>
      </c>
      <c r="D20" s="174"/>
      <c r="E20" s="102"/>
      <c r="F20" s="103"/>
      <c r="G20" s="104"/>
      <c r="H20" s="104"/>
      <c r="I20" s="102" t="s">
        <v>60</v>
      </c>
      <c r="J20" s="103"/>
      <c r="K20" s="105">
        <f>'24'!K20+'25'!E20</f>
        <v>0</v>
      </c>
      <c r="L20" s="105"/>
      <c r="M20" s="99">
        <f>'24'!M20+G20</f>
        <v>0</v>
      </c>
      <c r="N20" s="101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'24'!G24</f>
        <v>4214895</v>
      </c>
      <c r="E24" s="187"/>
      <c r="F24" s="187"/>
      <c r="G24" s="164">
        <v>4236944</v>
      </c>
      <c r="H24" s="164"/>
      <c r="I24" s="164"/>
      <c r="J24" s="164">
        <f>IF(G24-D24&lt;0,,G24-D24)</f>
        <v>22049</v>
      </c>
      <c r="K24" s="164"/>
      <c r="L24" s="164"/>
      <c r="M24" s="164">
        <f>'24'!M24+J24</f>
        <v>565376</v>
      </c>
      <c r="N24" s="164"/>
      <c r="P24" s="105" t="s">
        <v>36</v>
      </c>
      <c r="Q24" s="105"/>
      <c r="R24" s="105"/>
      <c r="S24" s="105">
        <f>'24'!V24</f>
        <v>548.79999999999995</v>
      </c>
      <c r="T24" s="105"/>
      <c r="U24" s="105"/>
      <c r="V24" s="140">
        <v>556.6</v>
      </c>
      <c r="W24" s="140"/>
      <c r="X24" s="140"/>
      <c r="Y24" s="140">
        <f>'24'!Y24+'25'!V24</f>
        <v>12731.300000000001</v>
      </c>
      <c r="Z24" s="140"/>
    </row>
    <row r="25" spans="1:31" ht="21.9" customHeight="1">
      <c r="A25" s="104" t="s">
        <v>30</v>
      </c>
      <c r="B25" s="104"/>
      <c r="C25" s="104"/>
      <c r="D25" s="104">
        <f>'24'!G25</f>
        <v>33576</v>
      </c>
      <c r="E25" s="104"/>
      <c r="F25" s="104"/>
      <c r="G25" s="104">
        <v>33607.300000000003</v>
      </c>
      <c r="H25" s="104"/>
      <c r="I25" s="104"/>
      <c r="J25" s="102">
        <f t="shared" ref="J25:J30" si="2">IF(G25-D25&lt;0,,G25-D25)</f>
        <v>31.30000000000291</v>
      </c>
      <c r="K25" s="106"/>
      <c r="L25" s="103"/>
      <c r="M25" s="102">
        <f>'24'!M25+J25</f>
        <v>843.20000000000437</v>
      </c>
      <c r="N25" s="103"/>
      <c r="P25" s="104" t="s">
        <v>37</v>
      </c>
      <c r="Q25" s="104"/>
      <c r="R25" s="104"/>
      <c r="S25" s="102">
        <f>'24'!V25</f>
        <v>70.400000000000006</v>
      </c>
      <c r="T25" s="106"/>
      <c r="U25" s="103"/>
      <c r="V25" s="137">
        <v>66</v>
      </c>
      <c r="W25" s="137"/>
      <c r="X25" s="137"/>
      <c r="Y25" s="188">
        <f>'24'!Y25+'25'!V25</f>
        <v>1503.6</v>
      </c>
      <c r="Z25" s="190"/>
    </row>
    <row r="26" spans="1:31" ht="21.9" customHeight="1">
      <c r="A26" s="104" t="s">
        <v>31</v>
      </c>
      <c r="B26" s="104"/>
      <c r="C26" s="104"/>
      <c r="D26" s="104">
        <f>'24'!G26</f>
        <v>24800</v>
      </c>
      <c r="E26" s="104"/>
      <c r="F26" s="104"/>
      <c r="G26" s="104">
        <v>24820</v>
      </c>
      <c r="H26" s="104"/>
      <c r="I26" s="104"/>
      <c r="J26" s="102">
        <f t="shared" si="2"/>
        <v>20</v>
      </c>
      <c r="K26" s="106"/>
      <c r="L26" s="103"/>
      <c r="M26" s="102">
        <f>'24'!M26+J26</f>
        <v>520</v>
      </c>
      <c r="N26" s="103"/>
      <c r="P26" s="104" t="s">
        <v>38</v>
      </c>
      <c r="Q26" s="104"/>
      <c r="R26" s="104"/>
      <c r="S26" s="102">
        <f>'24'!V26</f>
        <v>573.5</v>
      </c>
      <c r="T26" s="106"/>
      <c r="U26" s="103"/>
      <c r="V26" s="137">
        <v>613.79999999999995</v>
      </c>
      <c r="W26" s="137"/>
      <c r="X26" s="137"/>
      <c r="Y26" s="188">
        <f>'24'!Y26+'25'!V26</f>
        <v>12725.599999999999</v>
      </c>
      <c r="Z26" s="190"/>
    </row>
    <row r="27" spans="1:31" ht="21.9" customHeight="1">
      <c r="A27" s="104" t="s">
        <v>32</v>
      </c>
      <c r="B27" s="104"/>
      <c r="C27" s="104"/>
      <c r="D27" s="104">
        <f>'24'!G27</f>
        <v>1418000</v>
      </c>
      <c r="E27" s="104"/>
      <c r="F27" s="104"/>
      <c r="G27" s="104">
        <v>1422000</v>
      </c>
      <c r="H27" s="104"/>
      <c r="I27" s="104"/>
      <c r="J27" s="102">
        <f t="shared" si="2"/>
        <v>4000</v>
      </c>
      <c r="K27" s="106"/>
      <c r="L27" s="103"/>
      <c r="M27" s="102">
        <f>'24'!M27+J27</f>
        <v>83000</v>
      </c>
      <c r="N27" s="103"/>
      <c r="P27" s="104" t="s">
        <v>39</v>
      </c>
      <c r="Q27" s="104"/>
      <c r="R27" s="104"/>
      <c r="S27" s="102">
        <f>'24'!V27</f>
        <v>539.9</v>
      </c>
      <c r="T27" s="106"/>
      <c r="U27" s="103"/>
      <c r="V27" s="137">
        <v>523.20000000000005</v>
      </c>
      <c r="W27" s="137"/>
      <c r="X27" s="137"/>
      <c r="Y27" s="188">
        <f>'24'!Y27+'25'!V27</f>
        <v>12776.4</v>
      </c>
      <c r="Z27" s="190"/>
    </row>
    <row r="28" spans="1:31" ht="21.9" customHeight="1">
      <c r="A28" s="104" t="s">
        <v>33</v>
      </c>
      <c r="B28" s="104"/>
      <c r="C28" s="104"/>
      <c r="D28" s="104">
        <f>'24'!G28</f>
        <v>6239</v>
      </c>
      <c r="E28" s="104"/>
      <c r="F28" s="104"/>
      <c r="G28" s="104">
        <v>6289</v>
      </c>
      <c r="H28" s="104"/>
      <c r="I28" s="104"/>
      <c r="J28" s="102">
        <f t="shared" si="2"/>
        <v>50</v>
      </c>
      <c r="K28" s="106"/>
      <c r="L28" s="103"/>
      <c r="M28" s="102">
        <f>'24'!M28+J28</f>
        <v>1351</v>
      </c>
      <c r="N28" s="103"/>
      <c r="P28" s="104" t="s">
        <v>41</v>
      </c>
      <c r="Q28" s="104"/>
      <c r="R28" s="104"/>
      <c r="S28" s="102">
        <f>'24'!V28</f>
        <v>0</v>
      </c>
      <c r="T28" s="106"/>
      <c r="U28" s="103"/>
      <c r="V28" s="137">
        <v>0</v>
      </c>
      <c r="W28" s="137"/>
      <c r="X28" s="137"/>
      <c r="Y28" s="188">
        <f>'24'!Y28+'25'!V28</f>
        <v>0</v>
      </c>
      <c r="Z28" s="190"/>
    </row>
    <row r="29" spans="1:31" ht="21.9" customHeight="1">
      <c r="A29" s="104" t="s">
        <v>34</v>
      </c>
      <c r="B29" s="104"/>
      <c r="C29" s="104"/>
      <c r="D29" s="104">
        <f>'24'!G29</f>
        <v>66250</v>
      </c>
      <c r="E29" s="104"/>
      <c r="F29" s="104"/>
      <c r="G29" s="104">
        <v>66260</v>
      </c>
      <c r="H29" s="104"/>
      <c r="I29" s="104"/>
      <c r="J29" s="102">
        <f t="shared" si="2"/>
        <v>10</v>
      </c>
      <c r="K29" s="106"/>
      <c r="L29" s="103"/>
      <c r="M29" s="102">
        <f>'24'!M29+J29</f>
        <v>80</v>
      </c>
      <c r="N29" s="103"/>
      <c r="P29" s="104" t="s">
        <v>40</v>
      </c>
      <c r="Q29" s="104"/>
      <c r="R29" s="104"/>
      <c r="S29" s="102">
        <f>'24'!V29</f>
        <v>79.900000000000006</v>
      </c>
      <c r="T29" s="106"/>
      <c r="U29" s="103"/>
      <c r="V29" s="137">
        <v>76.400000000000006</v>
      </c>
      <c r="W29" s="137"/>
      <c r="X29" s="137"/>
      <c r="Y29" s="188">
        <f>'24'!Y29+'25'!V29</f>
        <v>1719.6</v>
      </c>
      <c r="Z29" s="190"/>
    </row>
    <row r="30" spans="1:31" ht="21.9" customHeight="1">
      <c r="A30" s="104" t="s">
        <v>35</v>
      </c>
      <c r="B30" s="104"/>
      <c r="C30" s="104"/>
      <c r="D30" s="104">
        <f>'24'!G30</f>
        <v>53520</v>
      </c>
      <c r="E30" s="104"/>
      <c r="F30" s="104"/>
      <c r="G30" s="104">
        <v>53540</v>
      </c>
      <c r="H30" s="104"/>
      <c r="I30" s="104"/>
      <c r="J30" s="102">
        <f t="shared" si="2"/>
        <v>20</v>
      </c>
      <c r="K30" s="106"/>
      <c r="L30" s="103"/>
      <c r="M30" s="102">
        <f>'24'!M30+J30</f>
        <v>320</v>
      </c>
      <c r="N30" s="103"/>
      <c r="P30" s="104" t="s">
        <v>28</v>
      </c>
      <c r="Q30" s="104"/>
      <c r="R30" s="104"/>
      <c r="S30" s="102">
        <f>'24'!V30</f>
        <v>0</v>
      </c>
      <c r="T30" s="106"/>
      <c r="U30" s="103"/>
      <c r="V30" s="137"/>
      <c r="W30" s="137"/>
      <c r="X30" s="137"/>
      <c r="Y30" s="188">
        <f>'24'!Y30+'25'!V30</f>
        <v>1528.3</v>
      </c>
      <c r="Z30" s="190"/>
    </row>
    <row r="31" spans="1:31" ht="21.9" customHeight="1">
      <c r="A31" s="104" t="s">
        <v>120</v>
      </c>
      <c r="B31" s="104"/>
      <c r="C31" s="104"/>
      <c r="D31" s="104">
        <f>'24'!G31</f>
        <v>6389098</v>
      </c>
      <c r="E31" s="104"/>
      <c r="F31" s="104"/>
      <c r="G31" s="102">
        <v>6396564</v>
      </c>
      <c r="H31" s="106"/>
      <c r="I31" s="103"/>
      <c r="J31" s="104">
        <f t="shared" ref="J31:J33" si="3">G31-D31</f>
        <v>7466</v>
      </c>
      <c r="K31" s="104"/>
      <c r="L31" s="104"/>
      <c r="M31" s="102">
        <f>'24'!M31+J31</f>
        <v>194469</v>
      </c>
      <c r="N31" s="103"/>
      <c r="P31" s="57"/>
      <c r="Q31" s="57"/>
      <c r="R31" s="57"/>
      <c r="S31" s="57"/>
      <c r="T31" s="57"/>
      <c r="U31" s="57"/>
      <c r="V31" s="58"/>
      <c r="W31" s="58"/>
      <c r="X31" s="58"/>
      <c r="Y31" s="58"/>
      <c r="Z31" s="58"/>
    </row>
    <row r="32" spans="1:31" ht="21.9" customHeight="1">
      <c r="A32" s="104" t="s">
        <v>121</v>
      </c>
      <c r="B32" s="104"/>
      <c r="C32" s="104"/>
      <c r="D32" s="104">
        <f>'24'!G32</f>
        <v>1.7</v>
      </c>
      <c r="E32" s="104"/>
      <c r="F32" s="104"/>
      <c r="G32" s="102">
        <v>1.8</v>
      </c>
      <c r="H32" s="106"/>
      <c r="I32" s="103"/>
      <c r="J32" s="102">
        <f t="shared" si="3"/>
        <v>0.10000000000000009</v>
      </c>
      <c r="K32" s="106">
        <v>12.255000000000001</v>
      </c>
      <c r="L32" s="103">
        <v>12.255000000000001</v>
      </c>
      <c r="M32" s="102">
        <f>'24'!M32+J32</f>
        <v>0.19999999999999996</v>
      </c>
      <c r="N32" s="103"/>
      <c r="P32" s="57"/>
      <c r="Q32" s="57"/>
      <c r="R32" s="57"/>
      <c r="S32" s="57"/>
      <c r="T32" s="57"/>
      <c r="U32" s="57"/>
      <c r="V32" s="58"/>
      <c r="W32" s="58"/>
      <c r="X32" s="58"/>
      <c r="Y32" s="58"/>
      <c r="Z32" s="58"/>
    </row>
    <row r="33" spans="1:26" ht="21.9" customHeight="1">
      <c r="A33" s="104" t="s">
        <v>122</v>
      </c>
      <c r="B33" s="104"/>
      <c r="C33" s="104"/>
      <c r="D33" s="104">
        <f>'24'!G33</f>
        <v>0</v>
      </c>
      <c r="E33" s="104"/>
      <c r="F33" s="104"/>
      <c r="G33" s="102">
        <v>0</v>
      </c>
      <c r="H33" s="106"/>
      <c r="I33" s="103"/>
      <c r="J33" s="102">
        <f t="shared" si="3"/>
        <v>0</v>
      </c>
      <c r="K33" s="106">
        <v>12.255000000000001</v>
      </c>
      <c r="L33" s="103">
        <v>12.255000000000001</v>
      </c>
      <c r="M33" s="102">
        <f>'24'!M33+J33</f>
        <v>0</v>
      </c>
      <c r="N33" s="103"/>
      <c r="P33" s="57"/>
      <c r="Q33" s="57"/>
      <c r="R33" s="57"/>
      <c r="S33" s="57"/>
      <c r="T33" s="57"/>
      <c r="U33" s="57"/>
      <c r="V33" s="58"/>
      <c r="W33" s="58"/>
      <c r="X33" s="58"/>
      <c r="Y33" s="58"/>
      <c r="Z33" s="58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H3" name="범위2"/>
    <protectedRange sqref="U2:Z3 R7:Z7 D7:I7 E12:H20 S12:V15 S18:V20 G24:I30 V24:X30" name="범위1"/>
    <protectedRange sqref="V31:X33" name="범위1_3_1"/>
    <protectedRange sqref="G32:L33 G31:I31" name="범위3_1_1_2_1"/>
    <protectedRange sqref="B2:G3" name="범위1_1"/>
  </protectedRanges>
  <mergeCells count="223">
    <mergeCell ref="A63:B76"/>
    <mergeCell ref="C63:Z76"/>
    <mergeCell ref="A36:B48"/>
    <mergeCell ref="C36:Z48"/>
    <mergeCell ref="A49:B62"/>
    <mergeCell ref="C49:Z62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A29:C29"/>
    <mergeCell ref="D29:F29"/>
    <mergeCell ref="G29:I29"/>
    <mergeCell ref="J29:L29"/>
    <mergeCell ref="M29:N29"/>
    <mergeCell ref="P29:R29"/>
    <mergeCell ref="S29:U29"/>
    <mergeCell ref="M33:N33"/>
    <mergeCell ref="S30:U30"/>
    <mergeCell ref="V29:X29"/>
    <mergeCell ref="Y29:Z29"/>
    <mergeCell ref="A28:C28"/>
    <mergeCell ref="D28:F28"/>
    <mergeCell ref="G28:I28"/>
    <mergeCell ref="J28:L28"/>
    <mergeCell ref="M28:N28"/>
    <mergeCell ref="P28:R28"/>
    <mergeCell ref="S28:U28"/>
    <mergeCell ref="V28:X28"/>
    <mergeCell ref="Y28:Z28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A23:C23"/>
    <mergeCell ref="D23:F23"/>
    <mergeCell ref="G23:I23"/>
    <mergeCell ref="J23:L23"/>
    <mergeCell ref="M23:N23"/>
    <mergeCell ref="P23:R23"/>
    <mergeCell ref="S23:U23"/>
    <mergeCell ref="P18:R20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18:B18"/>
    <mergeCell ref="C18:D18"/>
    <mergeCell ref="E18:F18"/>
    <mergeCell ref="G18:H18"/>
    <mergeCell ref="I18:J18"/>
    <mergeCell ref="K18:L18"/>
    <mergeCell ref="M18:N18"/>
    <mergeCell ref="I17:J17"/>
    <mergeCell ref="K17:L17"/>
    <mergeCell ref="A17:B17"/>
    <mergeCell ref="C17:D17"/>
    <mergeCell ref="E17:F17"/>
    <mergeCell ref="G17:H17"/>
    <mergeCell ref="A16:B16"/>
    <mergeCell ref="C16:D16"/>
    <mergeCell ref="E16:F16"/>
    <mergeCell ref="G16:H16"/>
    <mergeCell ref="I16:J16"/>
    <mergeCell ref="K16:L16"/>
    <mergeCell ref="M16:N16"/>
    <mergeCell ref="A14:B14"/>
    <mergeCell ref="C14:D14"/>
    <mergeCell ref="E14:F14"/>
    <mergeCell ref="G14:H14"/>
    <mergeCell ref="I14:J14"/>
    <mergeCell ref="K14:L14"/>
    <mergeCell ref="M14:N14"/>
    <mergeCell ref="A15:B15"/>
    <mergeCell ref="C15:D15"/>
    <mergeCell ref="E15:F15"/>
    <mergeCell ref="G15:H15"/>
    <mergeCell ref="I15:J15"/>
    <mergeCell ref="K15:L15"/>
    <mergeCell ref="R8:T8"/>
    <mergeCell ref="S11:V11"/>
    <mergeCell ref="U8:W8"/>
    <mergeCell ref="A13:B13"/>
    <mergeCell ref="C13:D13"/>
    <mergeCell ref="E13:F13"/>
    <mergeCell ref="G13:H13"/>
    <mergeCell ref="I13:J13"/>
    <mergeCell ref="K13:L13"/>
    <mergeCell ref="M13:N13"/>
    <mergeCell ref="P12:R13"/>
    <mergeCell ref="M12:N12"/>
    <mergeCell ref="A12:B12"/>
    <mergeCell ref="C12:D12"/>
    <mergeCell ref="E12:F12"/>
    <mergeCell ref="G12:H12"/>
    <mergeCell ref="I12:J12"/>
    <mergeCell ref="K12:L12"/>
    <mergeCell ref="G8:I8"/>
    <mergeCell ref="J8:L8"/>
    <mergeCell ref="P8:Q8"/>
    <mergeCell ref="M11:N11"/>
    <mergeCell ref="P11:R11"/>
    <mergeCell ref="A8:C8"/>
    <mergeCell ref="A1:A3"/>
    <mergeCell ref="W1:X1"/>
    <mergeCell ref="H1:S2"/>
    <mergeCell ref="T1:T3"/>
    <mergeCell ref="U1:V1"/>
    <mergeCell ref="U2:V3"/>
    <mergeCell ref="H3:S3"/>
    <mergeCell ref="Y1:Z1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G6:I6"/>
    <mergeCell ref="J6:L6"/>
    <mergeCell ref="P6:Q6"/>
    <mergeCell ref="R6:T6"/>
    <mergeCell ref="U6:W6"/>
    <mergeCell ref="X6:Z6"/>
    <mergeCell ref="K11:L11"/>
    <mergeCell ref="P22:U22"/>
    <mergeCell ref="V23:X23"/>
    <mergeCell ref="Y23:Z23"/>
    <mergeCell ref="S26:U26"/>
    <mergeCell ref="V26:X26"/>
    <mergeCell ref="M17:N17"/>
    <mergeCell ref="Y26:Z26"/>
    <mergeCell ref="V27:X27"/>
    <mergeCell ref="Y27:Z27"/>
    <mergeCell ref="S14:V15"/>
    <mergeCell ref="W14:Z15"/>
    <mergeCell ref="S16:T17"/>
    <mergeCell ref="U16:V17"/>
    <mergeCell ref="W16:X17"/>
    <mergeCell ref="S18:T20"/>
    <mergeCell ref="U18:V20"/>
    <mergeCell ref="W18:X20"/>
    <mergeCell ref="P16:R17"/>
    <mergeCell ref="D8:F8"/>
    <mergeCell ref="V30:X30"/>
    <mergeCell ref="Y30:Z30"/>
    <mergeCell ref="P14:R15"/>
    <mergeCell ref="M15:N15"/>
    <mergeCell ref="B1:C1"/>
    <mergeCell ref="D1:E1"/>
    <mergeCell ref="F1:G1"/>
    <mergeCell ref="B2:C3"/>
    <mergeCell ref="D2:E3"/>
    <mergeCell ref="F2:G3"/>
    <mergeCell ref="X8:Z8"/>
    <mergeCell ref="W11:Z11"/>
    <mergeCell ref="Y18:Z20"/>
    <mergeCell ref="S12:V13"/>
    <mergeCell ref="W12:Z13"/>
    <mergeCell ref="Y16:Z17"/>
    <mergeCell ref="W2:X3"/>
    <mergeCell ref="Y2:Z3"/>
    <mergeCell ref="A11:B11"/>
    <mergeCell ref="C11:D11"/>
    <mergeCell ref="E11:F11"/>
    <mergeCell ref="G11:H11"/>
    <mergeCell ref="I11:J1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topLeftCell="A4" zoomScaleNormal="100" zoomScaleSheetLayoutView="100" workbookViewId="0">
      <selection activeCell="G18" sqref="G18:H18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204</v>
      </c>
      <c r="C2" s="135"/>
      <c r="D2" s="135" t="s">
        <v>205</v>
      </c>
      <c r="E2" s="135"/>
      <c r="F2" s="135" t="s">
        <v>206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05"/>
      <c r="E3" s="105"/>
      <c r="F3" s="105"/>
      <c r="G3" s="105"/>
      <c r="H3" s="132">
        <v>46229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71161</v>
      </c>
      <c r="E7" s="139"/>
      <c r="F7" s="139"/>
      <c r="G7" s="139">
        <v>146000</v>
      </c>
      <c r="H7" s="139"/>
      <c r="I7" s="139"/>
      <c r="J7" s="154">
        <f>D7+G7</f>
        <v>217161</v>
      </c>
      <c r="K7" s="154"/>
      <c r="L7" s="154"/>
      <c r="M7" s="1"/>
      <c r="N7" s="1"/>
      <c r="O7" s="1"/>
      <c r="P7" s="105" t="s">
        <v>48</v>
      </c>
      <c r="Q7" s="105"/>
      <c r="R7" s="140">
        <v>484.2</v>
      </c>
      <c r="S7" s="140"/>
      <c r="T7" s="140"/>
      <c r="U7" s="140">
        <v>409.2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'25'!D8+'26'!D7</f>
        <v>1912957</v>
      </c>
      <c r="E8" s="154"/>
      <c r="F8" s="154"/>
      <c r="G8" s="154">
        <f>'25'!G8+'26'!G7</f>
        <v>3771700</v>
      </c>
      <c r="H8" s="154"/>
      <c r="I8" s="154"/>
      <c r="J8" s="154">
        <f>D8+G8</f>
        <v>5684657</v>
      </c>
      <c r="K8" s="154"/>
      <c r="L8" s="154"/>
      <c r="M8" s="1"/>
      <c r="N8" s="1"/>
      <c r="O8" s="1"/>
      <c r="P8" s="104" t="s">
        <v>2</v>
      </c>
      <c r="Q8" s="104"/>
      <c r="R8" s="137">
        <f>'25'!R8+R7</f>
        <v>12710.7</v>
      </c>
      <c r="S8" s="137"/>
      <c r="T8" s="137"/>
      <c r="U8" s="137">
        <f>'25'!U8+U7</f>
        <v>7943.7999999999993</v>
      </c>
      <c r="V8" s="137"/>
      <c r="W8" s="137"/>
      <c r="X8" s="138">
        <f>'25'!X8+'26'!X7</f>
        <v>624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'25'!I12</f>
        <v>11531</v>
      </c>
      <c r="D12" s="174"/>
      <c r="E12" s="105">
        <v>0</v>
      </c>
      <c r="F12" s="105"/>
      <c r="G12" s="105">
        <v>4227</v>
      </c>
      <c r="H12" s="105"/>
      <c r="I12" s="107">
        <f t="shared" ref="I12:I18" si="0">C12+E12-G12</f>
        <v>7304</v>
      </c>
      <c r="J12" s="109"/>
      <c r="K12" s="105">
        <f>'25'!K12+'26'!E12</f>
        <v>98190</v>
      </c>
      <c r="L12" s="105"/>
      <c r="M12" s="105">
        <f>'25'!M12+G12</f>
        <v>105800</v>
      </c>
      <c r="N12" s="105"/>
      <c r="O12" s="1"/>
      <c r="P12" s="149" t="s">
        <v>101</v>
      </c>
      <c r="Q12" s="105"/>
      <c r="R12" s="105"/>
      <c r="S12" s="143">
        <v>0</v>
      </c>
      <c r="T12" s="144"/>
      <c r="U12" s="144"/>
      <c r="V12" s="144"/>
      <c r="W12" s="194">
        <f>'25'!W12+'26'!S12</f>
        <v>899.62000000000012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'25'!I13</f>
        <v>750</v>
      </c>
      <c r="D13" s="174"/>
      <c r="E13" s="104">
        <v>0</v>
      </c>
      <c r="F13" s="104"/>
      <c r="G13" s="104">
        <v>60</v>
      </c>
      <c r="H13" s="104"/>
      <c r="I13" s="102">
        <f t="shared" si="0"/>
        <v>690</v>
      </c>
      <c r="J13" s="103"/>
      <c r="K13" s="105">
        <f>'25'!K13+'26'!E13</f>
        <v>2420</v>
      </c>
      <c r="L13" s="105"/>
      <c r="M13" s="102">
        <f>'25'!M13+G13</f>
        <v>2320</v>
      </c>
      <c r="N13" s="103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'25'!I14</f>
        <v>1600</v>
      </c>
      <c r="D14" s="174"/>
      <c r="E14" s="104">
        <v>0</v>
      </c>
      <c r="F14" s="104"/>
      <c r="G14" s="104">
        <v>120</v>
      </c>
      <c r="H14" s="104"/>
      <c r="I14" s="102">
        <f t="shared" si="0"/>
        <v>1480</v>
      </c>
      <c r="J14" s="103"/>
      <c r="K14" s="105">
        <f>'25'!K14+'26'!E14</f>
        <v>4000</v>
      </c>
      <c r="L14" s="105"/>
      <c r="M14" s="102">
        <f>'25'!M14+G14</f>
        <v>3120</v>
      </c>
      <c r="N14" s="103"/>
      <c r="O14" s="1"/>
      <c r="P14" s="104" t="s">
        <v>26</v>
      </c>
      <c r="Q14" s="104"/>
      <c r="R14" s="104"/>
      <c r="S14" s="155">
        <v>0</v>
      </c>
      <c r="T14" s="156"/>
      <c r="U14" s="156"/>
      <c r="V14" s="156"/>
      <c r="W14" s="186">
        <f>'25'!W14+'26'!S14</f>
        <v>184.14999999999998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'25'!I15</f>
        <v>684</v>
      </c>
      <c r="D15" s="174"/>
      <c r="E15" s="104">
        <v>0</v>
      </c>
      <c r="F15" s="104"/>
      <c r="G15" s="104">
        <v>0</v>
      </c>
      <c r="H15" s="104"/>
      <c r="I15" s="102">
        <f t="shared" si="0"/>
        <v>684</v>
      </c>
      <c r="J15" s="103"/>
      <c r="K15" s="105">
        <f>'25'!K15+'26'!E15</f>
        <v>0</v>
      </c>
      <c r="L15" s="105"/>
      <c r="M15" s="102">
        <f>'25'!M15+G15</f>
        <v>615</v>
      </c>
      <c r="N15" s="103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'25'!I16</f>
        <v>1850</v>
      </c>
      <c r="D16" s="174"/>
      <c r="E16" s="104">
        <v>0</v>
      </c>
      <c r="F16" s="104"/>
      <c r="G16" s="104">
        <v>20</v>
      </c>
      <c r="H16" s="104"/>
      <c r="I16" s="102">
        <f t="shared" si="0"/>
        <v>1830</v>
      </c>
      <c r="J16" s="103"/>
      <c r="K16" s="105">
        <f>'25'!K16+'26'!E16</f>
        <v>0</v>
      </c>
      <c r="L16" s="105"/>
      <c r="M16" s="102">
        <f>'25'!M16+G16</f>
        <v>520</v>
      </c>
      <c r="N16" s="103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'25'!I17</f>
        <v>1170</v>
      </c>
      <c r="D17" s="174"/>
      <c r="E17" s="104">
        <v>1440</v>
      </c>
      <c r="F17" s="104"/>
      <c r="G17" s="104">
        <v>200</v>
      </c>
      <c r="H17" s="104"/>
      <c r="I17" s="102">
        <f t="shared" si="0"/>
        <v>2410</v>
      </c>
      <c r="J17" s="103"/>
      <c r="K17" s="105">
        <f>'25'!K17+'26'!E17</f>
        <v>5760</v>
      </c>
      <c r="L17" s="105"/>
      <c r="M17" s="102">
        <f>'25'!M17+G17</f>
        <v>5200</v>
      </c>
      <c r="N17" s="103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'25'!I18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0"/>
        <v>5340</v>
      </c>
      <c r="J18" s="103"/>
      <c r="K18" s="105">
        <f>'25'!K18+'26'!E18</f>
        <v>0</v>
      </c>
      <c r="L18" s="105"/>
      <c r="M18" s="102">
        <f>'25'!M18+G18</f>
        <v>0</v>
      </c>
      <c r="N18" s="103"/>
      <c r="O18" s="1"/>
      <c r="P18" s="164" t="s">
        <v>27</v>
      </c>
      <c r="Q18" s="164"/>
      <c r="R18" s="164"/>
      <c r="S18" s="114">
        <v>1</v>
      </c>
      <c r="T18" s="115"/>
      <c r="U18" s="114">
        <v>1</v>
      </c>
      <c r="V18" s="115"/>
      <c r="W18" s="114">
        <f>S18+U18</f>
        <v>2</v>
      </c>
      <c r="X18" s="115"/>
      <c r="Y18" s="151">
        <f>'25'!Y18+'26'!W18</f>
        <v>81</v>
      </c>
      <c r="Z18" s="151"/>
    </row>
    <row r="19" spans="1:31" ht="21.9" customHeight="1">
      <c r="A19" s="153" t="s">
        <v>62</v>
      </c>
      <c r="B19" s="153"/>
      <c r="C19" s="174">
        <f>'25'!I19</f>
        <v>115324</v>
      </c>
      <c r="D19" s="174"/>
      <c r="E19" s="154">
        <v>64810</v>
      </c>
      <c r="F19" s="154"/>
      <c r="G19" s="154">
        <f>D7</f>
        <v>71161</v>
      </c>
      <c r="H19" s="154"/>
      <c r="I19" s="99">
        <f t="shared" ref="I19" si="1">C19+E19-G19</f>
        <v>108973</v>
      </c>
      <c r="J19" s="101"/>
      <c r="K19" s="139">
        <f>'25'!K19+'26'!E19</f>
        <v>1911930</v>
      </c>
      <c r="L19" s="139"/>
      <c r="M19" s="99">
        <f>'25'!M19+G19</f>
        <v>1912957</v>
      </c>
      <c r="N19" s="101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'25'!I20</f>
        <v>-</v>
      </c>
      <c r="D20" s="174"/>
      <c r="E20" s="102"/>
      <c r="F20" s="103"/>
      <c r="G20" s="104"/>
      <c r="H20" s="104"/>
      <c r="I20" s="102" t="s">
        <v>60</v>
      </c>
      <c r="J20" s="103"/>
      <c r="K20" s="105">
        <f>'25'!K20+'26'!E20</f>
        <v>0</v>
      </c>
      <c r="L20" s="105"/>
      <c r="M20" s="99">
        <f>'25'!M20+G20</f>
        <v>0</v>
      </c>
      <c r="N20" s="101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'25'!G24</f>
        <v>4236944</v>
      </c>
      <c r="E24" s="187"/>
      <c r="F24" s="187"/>
      <c r="G24" s="164">
        <v>4259150</v>
      </c>
      <c r="H24" s="164"/>
      <c r="I24" s="164"/>
      <c r="J24" s="164">
        <f>IF(G24-D24&lt;0,,G24-D24)</f>
        <v>22206</v>
      </c>
      <c r="K24" s="164"/>
      <c r="L24" s="164"/>
      <c r="M24" s="164">
        <f>'25'!M24+J24</f>
        <v>587582</v>
      </c>
      <c r="N24" s="164"/>
      <c r="P24" s="105" t="s">
        <v>36</v>
      </c>
      <c r="Q24" s="105"/>
      <c r="R24" s="105"/>
      <c r="S24" s="105">
        <f>'25'!V24</f>
        <v>556.6</v>
      </c>
      <c r="T24" s="105"/>
      <c r="U24" s="105"/>
      <c r="V24" s="140">
        <v>560.79999999999995</v>
      </c>
      <c r="W24" s="140"/>
      <c r="X24" s="140"/>
      <c r="Y24" s="140">
        <f>'25'!Y24+'26'!V24</f>
        <v>13292.1</v>
      </c>
      <c r="Z24" s="140"/>
    </row>
    <row r="25" spans="1:31" ht="21.9" customHeight="1">
      <c r="A25" s="104" t="s">
        <v>30</v>
      </c>
      <c r="B25" s="104"/>
      <c r="C25" s="104"/>
      <c r="D25" s="104">
        <f>'25'!G25</f>
        <v>33607.300000000003</v>
      </c>
      <c r="E25" s="104"/>
      <c r="F25" s="104"/>
      <c r="G25" s="104">
        <v>33639.199999999997</v>
      </c>
      <c r="H25" s="104"/>
      <c r="I25" s="104"/>
      <c r="J25" s="102">
        <f t="shared" ref="J25:J30" si="2">IF(G25-D25&lt;0,,G25-D25)</f>
        <v>31.899999999994179</v>
      </c>
      <c r="K25" s="106"/>
      <c r="L25" s="103"/>
      <c r="M25" s="102">
        <f>'25'!M25+J25</f>
        <v>875.09999999999854</v>
      </c>
      <c r="N25" s="103"/>
      <c r="P25" s="104" t="s">
        <v>37</v>
      </c>
      <c r="Q25" s="104"/>
      <c r="R25" s="104"/>
      <c r="S25" s="102">
        <f>'25'!V25</f>
        <v>66</v>
      </c>
      <c r="T25" s="106"/>
      <c r="U25" s="103"/>
      <c r="V25" s="137">
        <v>61.6</v>
      </c>
      <c r="W25" s="137"/>
      <c r="X25" s="137"/>
      <c r="Y25" s="188">
        <f>'25'!Y25+'26'!V25</f>
        <v>1565.1999999999998</v>
      </c>
      <c r="Z25" s="190"/>
    </row>
    <row r="26" spans="1:31" ht="21.9" customHeight="1">
      <c r="A26" s="104" t="s">
        <v>31</v>
      </c>
      <c r="B26" s="104"/>
      <c r="C26" s="104"/>
      <c r="D26" s="104">
        <f>'25'!G26</f>
        <v>24820</v>
      </c>
      <c r="E26" s="104"/>
      <c r="F26" s="104"/>
      <c r="G26" s="104">
        <v>24840</v>
      </c>
      <c r="H26" s="104"/>
      <c r="I26" s="104"/>
      <c r="J26" s="102">
        <f t="shared" si="2"/>
        <v>20</v>
      </c>
      <c r="K26" s="106"/>
      <c r="L26" s="103"/>
      <c r="M26" s="102">
        <f>'25'!M26+J26</f>
        <v>540</v>
      </c>
      <c r="N26" s="103"/>
      <c r="P26" s="104" t="s">
        <v>38</v>
      </c>
      <c r="Q26" s="104"/>
      <c r="R26" s="104"/>
      <c r="S26" s="102">
        <f>'25'!V26</f>
        <v>613.79999999999995</v>
      </c>
      <c r="T26" s="106"/>
      <c r="U26" s="103"/>
      <c r="V26" s="137">
        <v>602.9</v>
      </c>
      <c r="W26" s="137"/>
      <c r="X26" s="137"/>
      <c r="Y26" s="188">
        <f>'25'!Y26+'26'!V26</f>
        <v>13328.499999999998</v>
      </c>
      <c r="Z26" s="190"/>
    </row>
    <row r="27" spans="1:31" ht="21.9" customHeight="1">
      <c r="A27" s="104" t="s">
        <v>32</v>
      </c>
      <c r="B27" s="104"/>
      <c r="C27" s="104"/>
      <c r="D27" s="104">
        <f>'25'!G27</f>
        <v>1422000</v>
      </c>
      <c r="E27" s="104"/>
      <c r="F27" s="104"/>
      <c r="G27" s="104">
        <v>1425000</v>
      </c>
      <c r="H27" s="104"/>
      <c r="I27" s="104"/>
      <c r="J27" s="102">
        <f t="shared" si="2"/>
        <v>3000</v>
      </c>
      <c r="K27" s="106"/>
      <c r="L27" s="103"/>
      <c r="M27" s="102">
        <f>'25'!M27+J27</f>
        <v>86000</v>
      </c>
      <c r="N27" s="103"/>
      <c r="P27" s="104" t="s">
        <v>39</v>
      </c>
      <c r="Q27" s="104"/>
      <c r="R27" s="104"/>
      <c r="S27" s="102">
        <f>'25'!V27</f>
        <v>523.20000000000005</v>
      </c>
      <c r="T27" s="106"/>
      <c r="U27" s="103"/>
      <c r="V27" s="137">
        <v>523.4</v>
      </c>
      <c r="W27" s="137"/>
      <c r="X27" s="137"/>
      <c r="Y27" s="188">
        <f>'25'!Y27+'26'!V27</f>
        <v>13299.8</v>
      </c>
      <c r="Z27" s="190"/>
    </row>
    <row r="28" spans="1:31" ht="21.9" customHeight="1">
      <c r="A28" s="104" t="s">
        <v>33</v>
      </c>
      <c r="B28" s="104"/>
      <c r="C28" s="104"/>
      <c r="D28" s="104">
        <f>'25'!G28</f>
        <v>6289</v>
      </c>
      <c r="E28" s="104"/>
      <c r="F28" s="104"/>
      <c r="G28" s="104">
        <v>6339</v>
      </c>
      <c r="H28" s="104"/>
      <c r="I28" s="104"/>
      <c r="J28" s="102">
        <f t="shared" si="2"/>
        <v>50</v>
      </c>
      <c r="K28" s="106"/>
      <c r="L28" s="103"/>
      <c r="M28" s="102">
        <f>'25'!M28+J28</f>
        <v>1401</v>
      </c>
      <c r="N28" s="103"/>
      <c r="P28" s="104" t="s">
        <v>41</v>
      </c>
      <c r="Q28" s="104"/>
      <c r="R28" s="104"/>
      <c r="S28" s="102">
        <f>'25'!V28</f>
        <v>0</v>
      </c>
      <c r="T28" s="106"/>
      <c r="U28" s="103"/>
      <c r="V28" s="137">
        <v>0</v>
      </c>
      <c r="W28" s="137"/>
      <c r="X28" s="137"/>
      <c r="Y28" s="188">
        <f>'25'!Y28+'26'!V28</f>
        <v>0</v>
      </c>
      <c r="Z28" s="190"/>
    </row>
    <row r="29" spans="1:31" ht="21.9" customHeight="1">
      <c r="A29" s="104" t="s">
        <v>34</v>
      </c>
      <c r="B29" s="104"/>
      <c r="C29" s="104"/>
      <c r="D29" s="104">
        <f>'25'!G29</f>
        <v>66260</v>
      </c>
      <c r="E29" s="104"/>
      <c r="F29" s="104"/>
      <c r="G29" s="104">
        <v>66260</v>
      </c>
      <c r="H29" s="104"/>
      <c r="I29" s="104"/>
      <c r="J29" s="102">
        <f t="shared" si="2"/>
        <v>0</v>
      </c>
      <c r="K29" s="106"/>
      <c r="L29" s="103"/>
      <c r="M29" s="102">
        <f>'25'!M29+J29</f>
        <v>80</v>
      </c>
      <c r="N29" s="103"/>
      <c r="P29" s="104" t="s">
        <v>40</v>
      </c>
      <c r="Q29" s="104"/>
      <c r="R29" s="104"/>
      <c r="S29" s="102">
        <f>'25'!V29</f>
        <v>76.400000000000006</v>
      </c>
      <c r="T29" s="106"/>
      <c r="U29" s="103"/>
      <c r="V29" s="137">
        <v>74.599999999999994</v>
      </c>
      <c r="W29" s="137"/>
      <c r="X29" s="137"/>
      <c r="Y29" s="188">
        <f>'25'!Y29+'26'!V29</f>
        <v>1794.1999999999998</v>
      </c>
      <c r="Z29" s="190"/>
    </row>
    <row r="30" spans="1:31" ht="21.9" customHeight="1">
      <c r="A30" s="104" t="s">
        <v>35</v>
      </c>
      <c r="B30" s="104"/>
      <c r="C30" s="104"/>
      <c r="D30" s="104">
        <f>'25'!G30</f>
        <v>53540</v>
      </c>
      <c r="E30" s="104"/>
      <c r="F30" s="104"/>
      <c r="G30" s="104">
        <v>53550</v>
      </c>
      <c r="H30" s="104"/>
      <c r="I30" s="104"/>
      <c r="J30" s="102">
        <f t="shared" si="2"/>
        <v>10</v>
      </c>
      <c r="K30" s="106"/>
      <c r="L30" s="103"/>
      <c r="M30" s="102">
        <f>'25'!M30+J30</f>
        <v>330</v>
      </c>
      <c r="N30" s="103"/>
      <c r="P30" s="104" t="s">
        <v>28</v>
      </c>
      <c r="Q30" s="104"/>
      <c r="R30" s="104"/>
      <c r="S30" s="102">
        <f>'25'!V30</f>
        <v>0</v>
      </c>
      <c r="T30" s="106"/>
      <c r="U30" s="103"/>
      <c r="V30" s="137"/>
      <c r="W30" s="137"/>
      <c r="X30" s="137"/>
      <c r="Y30" s="188">
        <f>'25'!Y30+'26'!V30</f>
        <v>1528.3</v>
      </c>
      <c r="Z30" s="190"/>
    </row>
    <row r="31" spans="1:31" ht="21.9" customHeight="1">
      <c r="A31" s="104" t="s">
        <v>120</v>
      </c>
      <c r="B31" s="104"/>
      <c r="C31" s="104"/>
      <c r="D31" s="104">
        <f>'25'!G31</f>
        <v>6396564</v>
      </c>
      <c r="E31" s="104"/>
      <c r="F31" s="104"/>
      <c r="G31" s="102">
        <v>6404199</v>
      </c>
      <c r="H31" s="106"/>
      <c r="I31" s="103"/>
      <c r="J31" s="104">
        <f t="shared" ref="J31:J33" si="3">G31-D31</f>
        <v>7635</v>
      </c>
      <c r="K31" s="104"/>
      <c r="L31" s="104"/>
      <c r="M31" s="102">
        <f>'25'!M31+J31</f>
        <v>202104</v>
      </c>
      <c r="N31" s="103"/>
      <c r="P31" s="57"/>
      <c r="Q31" s="57"/>
      <c r="R31" s="57"/>
      <c r="S31" s="57"/>
      <c r="T31" s="57"/>
      <c r="U31" s="57"/>
      <c r="V31" s="58"/>
      <c r="W31" s="58"/>
      <c r="X31" s="58"/>
      <c r="Y31" s="58"/>
      <c r="Z31" s="58"/>
    </row>
    <row r="32" spans="1:31" ht="21.9" customHeight="1">
      <c r="A32" s="104" t="s">
        <v>121</v>
      </c>
      <c r="B32" s="104"/>
      <c r="C32" s="104"/>
      <c r="D32" s="104">
        <f>'25'!G32</f>
        <v>1.8</v>
      </c>
      <c r="E32" s="104"/>
      <c r="F32" s="104"/>
      <c r="G32" s="102">
        <v>1.8</v>
      </c>
      <c r="H32" s="106"/>
      <c r="I32" s="103"/>
      <c r="J32" s="102">
        <f t="shared" si="3"/>
        <v>0</v>
      </c>
      <c r="K32" s="106">
        <v>12.255000000000001</v>
      </c>
      <c r="L32" s="103">
        <v>12.255000000000001</v>
      </c>
      <c r="M32" s="102">
        <f>'25'!M32+J32</f>
        <v>0.19999999999999996</v>
      </c>
      <c r="N32" s="103"/>
      <c r="P32" s="57"/>
      <c r="Q32" s="57"/>
      <c r="R32" s="57"/>
      <c r="S32" s="57"/>
      <c r="T32" s="57"/>
      <c r="U32" s="57"/>
      <c r="V32" s="58"/>
      <c r="W32" s="58"/>
      <c r="X32" s="58"/>
      <c r="Y32" s="58"/>
      <c r="Z32" s="58"/>
    </row>
    <row r="33" spans="1:26" ht="21.9" customHeight="1">
      <c r="A33" s="104" t="s">
        <v>122</v>
      </c>
      <c r="B33" s="104"/>
      <c r="C33" s="104"/>
      <c r="D33" s="104">
        <f>'25'!G33</f>
        <v>0</v>
      </c>
      <c r="E33" s="104"/>
      <c r="F33" s="104"/>
      <c r="G33" s="102">
        <v>0</v>
      </c>
      <c r="H33" s="106"/>
      <c r="I33" s="103"/>
      <c r="J33" s="102">
        <f t="shared" si="3"/>
        <v>0</v>
      </c>
      <c r="K33" s="106">
        <v>12.255000000000001</v>
      </c>
      <c r="L33" s="103">
        <v>12.255000000000001</v>
      </c>
      <c r="M33" s="102">
        <f>'25'!M33+J33</f>
        <v>0</v>
      </c>
      <c r="N33" s="103"/>
      <c r="P33" s="57"/>
      <c r="Q33" s="57"/>
      <c r="R33" s="57"/>
      <c r="S33" s="57"/>
      <c r="T33" s="57"/>
      <c r="U33" s="57"/>
      <c r="V33" s="58"/>
      <c r="W33" s="58"/>
      <c r="X33" s="58"/>
      <c r="Y33" s="58"/>
      <c r="Z33" s="58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H3" name="범위2"/>
    <protectedRange sqref="U2:Z3 D7:I7 R7:Z7 E12:H20 S12:V15 S18:V20 G24:I30 V24:X33" name="범위1"/>
    <protectedRange sqref="G32:L33 G31:I31" name="범위3_1_1_2_1"/>
    <protectedRange sqref="B2:G3" name="범위1_1"/>
  </protectedRanges>
  <mergeCells count="223">
    <mergeCell ref="A63:B76"/>
    <mergeCell ref="C63:Z76"/>
    <mergeCell ref="A36:B48"/>
    <mergeCell ref="C36:Z48"/>
    <mergeCell ref="A49:B62"/>
    <mergeCell ref="C49:Z62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A29:C29"/>
    <mergeCell ref="D29:F29"/>
    <mergeCell ref="G29:I29"/>
    <mergeCell ref="J29:L29"/>
    <mergeCell ref="M29:N29"/>
    <mergeCell ref="P29:R29"/>
    <mergeCell ref="S29:U29"/>
    <mergeCell ref="M33:N33"/>
    <mergeCell ref="S30:U30"/>
    <mergeCell ref="V29:X29"/>
    <mergeCell ref="Y29:Z29"/>
    <mergeCell ref="A28:C28"/>
    <mergeCell ref="D28:F28"/>
    <mergeCell ref="G28:I28"/>
    <mergeCell ref="J28:L28"/>
    <mergeCell ref="M28:N28"/>
    <mergeCell ref="P28:R28"/>
    <mergeCell ref="S28:U28"/>
    <mergeCell ref="V28:X28"/>
    <mergeCell ref="Y28:Z28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A23:C23"/>
    <mergeCell ref="D23:F23"/>
    <mergeCell ref="G23:I23"/>
    <mergeCell ref="J23:L23"/>
    <mergeCell ref="M23:N23"/>
    <mergeCell ref="P23:R23"/>
    <mergeCell ref="S23:U23"/>
    <mergeCell ref="P18:R20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18:B18"/>
    <mergeCell ref="C18:D18"/>
    <mergeCell ref="E18:F18"/>
    <mergeCell ref="G18:H18"/>
    <mergeCell ref="I18:J18"/>
    <mergeCell ref="K18:L18"/>
    <mergeCell ref="M18:N18"/>
    <mergeCell ref="I17:J17"/>
    <mergeCell ref="K17:L17"/>
    <mergeCell ref="A17:B17"/>
    <mergeCell ref="C17:D17"/>
    <mergeCell ref="E17:F17"/>
    <mergeCell ref="G17:H17"/>
    <mergeCell ref="A16:B16"/>
    <mergeCell ref="C16:D16"/>
    <mergeCell ref="E16:F16"/>
    <mergeCell ref="G16:H16"/>
    <mergeCell ref="I16:J16"/>
    <mergeCell ref="K16:L16"/>
    <mergeCell ref="M16:N16"/>
    <mergeCell ref="A14:B14"/>
    <mergeCell ref="C14:D14"/>
    <mergeCell ref="E14:F14"/>
    <mergeCell ref="G14:H14"/>
    <mergeCell ref="I14:J14"/>
    <mergeCell ref="K14:L14"/>
    <mergeCell ref="M14:N14"/>
    <mergeCell ref="A15:B15"/>
    <mergeCell ref="C15:D15"/>
    <mergeCell ref="E15:F15"/>
    <mergeCell ref="G15:H15"/>
    <mergeCell ref="I15:J15"/>
    <mergeCell ref="K15:L15"/>
    <mergeCell ref="R8:T8"/>
    <mergeCell ref="S11:V11"/>
    <mergeCell ref="U8:W8"/>
    <mergeCell ref="A13:B13"/>
    <mergeCell ref="C13:D13"/>
    <mergeCell ref="E13:F13"/>
    <mergeCell ref="G13:H13"/>
    <mergeCell ref="I13:J13"/>
    <mergeCell ref="K13:L13"/>
    <mergeCell ref="M13:N13"/>
    <mergeCell ref="P12:R13"/>
    <mergeCell ref="M12:N12"/>
    <mergeCell ref="A12:B12"/>
    <mergeCell ref="C12:D12"/>
    <mergeCell ref="E12:F12"/>
    <mergeCell ref="G12:H12"/>
    <mergeCell ref="I12:J12"/>
    <mergeCell ref="K12:L12"/>
    <mergeCell ref="G8:I8"/>
    <mergeCell ref="J8:L8"/>
    <mergeCell ref="P8:Q8"/>
    <mergeCell ref="M11:N11"/>
    <mergeCell ref="P11:R11"/>
    <mergeCell ref="A8:C8"/>
    <mergeCell ref="A1:A3"/>
    <mergeCell ref="W1:X1"/>
    <mergeCell ref="H1:S2"/>
    <mergeCell ref="T1:T3"/>
    <mergeCell ref="U1:V1"/>
    <mergeCell ref="U2:V3"/>
    <mergeCell ref="H3:S3"/>
    <mergeCell ref="Y1:Z1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G6:I6"/>
    <mergeCell ref="J6:L6"/>
    <mergeCell ref="P6:Q6"/>
    <mergeCell ref="R6:T6"/>
    <mergeCell ref="U6:W6"/>
    <mergeCell ref="X6:Z6"/>
    <mergeCell ref="K11:L11"/>
    <mergeCell ref="P22:U22"/>
    <mergeCell ref="V23:X23"/>
    <mergeCell ref="Y23:Z23"/>
    <mergeCell ref="S26:U26"/>
    <mergeCell ref="V26:X26"/>
    <mergeCell ref="M17:N17"/>
    <mergeCell ref="Y26:Z26"/>
    <mergeCell ref="V27:X27"/>
    <mergeCell ref="Y27:Z27"/>
    <mergeCell ref="S14:V15"/>
    <mergeCell ref="W14:Z15"/>
    <mergeCell ref="S16:T17"/>
    <mergeCell ref="U16:V17"/>
    <mergeCell ref="W16:X17"/>
    <mergeCell ref="S18:T20"/>
    <mergeCell ref="U18:V20"/>
    <mergeCell ref="W18:X20"/>
    <mergeCell ref="P16:R17"/>
    <mergeCell ref="D8:F8"/>
    <mergeCell ref="V30:X30"/>
    <mergeCell ref="Y30:Z30"/>
    <mergeCell ref="P14:R15"/>
    <mergeCell ref="M15:N15"/>
    <mergeCell ref="B1:C1"/>
    <mergeCell ref="D1:E1"/>
    <mergeCell ref="F1:G1"/>
    <mergeCell ref="B2:C3"/>
    <mergeCell ref="D2:E3"/>
    <mergeCell ref="F2:G3"/>
    <mergeCell ref="X8:Z8"/>
    <mergeCell ref="W11:Z11"/>
    <mergeCell ref="Y18:Z20"/>
    <mergeCell ref="S12:V13"/>
    <mergeCell ref="W12:Z13"/>
    <mergeCell ref="Y16:Z17"/>
    <mergeCell ref="W2:X3"/>
    <mergeCell ref="Y2:Z3"/>
    <mergeCell ref="A11:B11"/>
    <mergeCell ref="C11:D11"/>
    <mergeCell ref="E11:F11"/>
    <mergeCell ref="G11:H11"/>
    <mergeCell ref="I11:J1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zoomScaleNormal="100" zoomScaleSheetLayoutView="100" workbookViewId="0">
      <selection activeCell="G31" sqref="G31:I31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207</v>
      </c>
      <c r="C2" s="135"/>
      <c r="D2" s="216" t="s">
        <v>208</v>
      </c>
      <c r="E2" s="216"/>
      <c r="F2" s="135" t="s">
        <v>209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217"/>
      <c r="E3" s="217"/>
      <c r="F3" s="105"/>
      <c r="G3" s="105"/>
      <c r="H3" s="132">
        <v>46230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78087</v>
      </c>
      <c r="E7" s="139"/>
      <c r="F7" s="139"/>
      <c r="G7" s="139">
        <v>136100</v>
      </c>
      <c r="H7" s="139"/>
      <c r="I7" s="139"/>
      <c r="J7" s="154">
        <f>D7+G7</f>
        <v>214187</v>
      </c>
      <c r="K7" s="154"/>
      <c r="L7" s="154"/>
      <c r="M7" s="1"/>
      <c r="N7" s="1"/>
      <c r="O7" s="1"/>
      <c r="P7" s="105" t="s">
        <v>48</v>
      </c>
      <c r="Q7" s="105"/>
      <c r="R7" s="140">
        <v>490.6</v>
      </c>
      <c r="S7" s="140"/>
      <c r="T7" s="140"/>
      <c r="U7" s="140">
        <v>396.3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'26'!D8+'27'!D7</f>
        <v>1991044</v>
      </c>
      <c r="E8" s="154"/>
      <c r="F8" s="154"/>
      <c r="G8" s="154">
        <f>'26'!G8+'27'!G7</f>
        <v>3907800</v>
      </c>
      <c r="H8" s="154"/>
      <c r="I8" s="154"/>
      <c r="J8" s="154">
        <f>D8+G8</f>
        <v>5898844</v>
      </c>
      <c r="K8" s="154"/>
      <c r="L8" s="154"/>
      <c r="M8" s="1"/>
      <c r="N8" s="1"/>
      <c r="O8" s="1"/>
      <c r="P8" s="104" t="s">
        <v>2</v>
      </c>
      <c r="Q8" s="104"/>
      <c r="R8" s="137">
        <f>'26'!R8+R7</f>
        <v>13201.300000000001</v>
      </c>
      <c r="S8" s="137"/>
      <c r="T8" s="137"/>
      <c r="U8" s="137">
        <f>'26'!U8+U7</f>
        <v>8340.0999999999985</v>
      </c>
      <c r="V8" s="137"/>
      <c r="W8" s="137"/>
      <c r="X8" s="138">
        <f>'26'!X8+'27'!X7</f>
        <v>648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'26'!I12</f>
        <v>7304</v>
      </c>
      <c r="D12" s="174"/>
      <c r="E12" s="105">
        <v>14100</v>
      </c>
      <c r="F12" s="105"/>
      <c r="G12" s="105">
        <v>4433</v>
      </c>
      <c r="H12" s="105"/>
      <c r="I12" s="107">
        <f t="shared" ref="I12:I18" si="0">C12+E12-G12</f>
        <v>16971</v>
      </c>
      <c r="J12" s="109"/>
      <c r="K12" s="105">
        <f>'26'!K12+'27'!E12</f>
        <v>112290</v>
      </c>
      <c r="L12" s="105"/>
      <c r="M12" s="105">
        <f>'26'!M12+G12</f>
        <v>110233</v>
      </c>
      <c r="N12" s="105"/>
      <c r="O12" s="1"/>
      <c r="P12" s="149" t="s">
        <v>101</v>
      </c>
      <c r="Q12" s="105"/>
      <c r="R12" s="105"/>
      <c r="S12" s="143">
        <v>57.92</v>
      </c>
      <c r="T12" s="144"/>
      <c r="U12" s="144"/>
      <c r="V12" s="144"/>
      <c r="W12" s="194">
        <f>'26'!W12+'27'!S12</f>
        <v>957.54000000000008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'26'!I13</f>
        <v>690</v>
      </c>
      <c r="D13" s="174"/>
      <c r="E13" s="104">
        <v>0</v>
      </c>
      <c r="F13" s="104"/>
      <c r="G13" s="104">
        <v>60</v>
      </c>
      <c r="H13" s="104"/>
      <c r="I13" s="102">
        <f t="shared" si="0"/>
        <v>630</v>
      </c>
      <c r="J13" s="103"/>
      <c r="K13" s="105">
        <f>'26'!K13+'27'!E13</f>
        <v>2420</v>
      </c>
      <c r="L13" s="105"/>
      <c r="M13" s="102">
        <f>'26'!M13+G13</f>
        <v>2380</v>
      </c>
      <c r="N13" s="103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'26'!I14</f>
        <v>1480</v>
      </c>
      <c r="D14" s="174"/>
      <c r="E14" s="104">
        <v>0</v>
      </c>
      <c r="F14" s="104"/>
      <c r="G14" s="104">
        <v>120</v>
      </c>
      <c r="H14" s="104"/>
      <c r="I14" s="102">
        <f t="shared" si="0"/>
        <v>1360</v>
      </c>
      <c r="J14" s="103"/>
      <c r="K14" s="105">
        <f>'26'!K14+'27'!E14</f>
        <v>4000</v>
      </c>
      <c r="L14" s="105"/>
      <c r="M14" s="102">
        <f>'26'!M14+G14</f>
        <v>3240</v>
      </c>
      <c r="N14" s="103"/>
      <c r="O14" s="1"/>
      <c r="P14" s="104" t="s">
        <v>26</v>
      </c>
      <c r="Q14" s="104"/>
      <c r="R14" s="104"/>
      <c r="S14" s="155">
        <v>0</v>
      </c>
      <c r="T14" s="156"/>
      <c r="U14" s="156"/>
      <c r="V14" s="156"/>
      <c r="W14" s="186">
        <f>'26'!W14+'27'!S14</f>
        <v>184.14999999999998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'26'!I15</f>
        <v>684</v>
      </c>
      <c r="D15" s="174"/>
      <c r="E15" s="104">
        <v>0</v>
      </c>
      <c r="F15" s="104"/>
      <c r="G15" s="104">
        <v>0</v>
      </c>
      <c r="H15" s="104"/>
      <c r="I15" s="102">
        <f t="shared" si="0"/>
        <v>684</v>
      </c>
      <c r="J15" s="103"/>
      <c r="K15" s="105">
        <f>'26'!K15+'27'!E15</f>
        <v>0</v>
      </c>
      <c r="L15" s="105"/>
      <c r="M15" s="102">
        <f>'26'!M15+G15</f>
        <v>615</v>
      </c>
      <c r="N15" s="103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'26'!I16</f>
        <v>1830</v>
      </c>
      <c r="D16" s="174"/>
      <c r="E16" s="104">
        <v>0</v>
      </c>
      <c r="F16" s="104"/>
      <c r="G16" s="104">
        <v>20</v>
      </c>
      <c r="H16" s="104"/>
      <c r="I16" s="102">
        <f t="shared" si="0"/>
        <v>1810</v>
      </c>
      <c r="J16" s="103"/>
      <c r="K16" s="105">
        <f>'26'!K16+'27'!E16</f>
        <v>0</v>
      </c>
      <c r="L16" s="105"/>
      <c r="M16" s="102">
        <f>'26'!M16+G16</f>
        <v>540</v>
      </c>
      <c r="N16" s="103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'26'!I17</f>
        <v>2410</v>
      </c>
      <c r="D17" s="174"/>
      <c r="E17" s="104">
        <v>1440</v>
      </c>
      <c r="F17" s="104"/>
      <c r="G17" s="104">
        <v>200</v>
      </c>
      <c r="H17" s="104"/>
      <c r="I17" s="102">
        <f t="shared" si="0"/>
        <v>3650</v>
      </c>
      <c r="J17" s="103"/>
      <c r="K17" s="105">
        <f>'26'!K17+'27'!E17</f>
        <v>7200</v>
      </c>
      <c r="L17" s="105"/>
      <c r="M17" s="102">
        <f>'26'!M17+G17</f>
        <v>5400</v>
      </c>
      <c r="N17" s="103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'26'!I18</f>
        <v>5340</v>
      </c>
      <c r="D18" s="174"/>
      <c r="E18" s="104">
        <v>0</v>
      </c>
      <c r="F18" s="104"/>
      <c r="G18" s="104">
        <v>0</v>
      </c>
      <c r="H18" s="104"/>
      <c r="I18" s="102">
        <f t="shared" si="0"/>
        <v>5340</v>
      </c>
      <c r="J18" s="103"/>
      <c r="K18" s="105">
        <f>'26'!K18+'27'!E18</f>
        <v>0</v>
      </c>
      <c r="L18" s="105"/>
      <c r="M18" s="102">
        <f>'26'!M18+G18</f>
        <v>0</v>
      </c>
      <c r="N18" s="103"/>
      <c r="O18" s="1"/>
      <c r="P18" s="164" t="s">
        <v>27</v>
      </c>
      <c r="Q18" s="164"/>
      <c r="R18" s="164"/>
      <c r="S18" s="114">
        <v>2</v>
      </c>
      <c r="T18" s="115"/>
      <c r="U18" s="114">
        <v>1</v>
      </c>
      <c r="V18" s="115"/>
      <c r="W18" s="114">
        <f>S18+U18</f>
        <v>3</v>
      </c>
      <c r="X18" s="115"/>
      <c r="Y18" s="151">
        <f>'26'!Y18+'27'!W18</f>
        <v>84</v>
      </c>
      <c r="Z18" s="151"/>
    </row>
    <row r="19" spans="1:31" ht="21.9" customHeight="1">
      <c r="A19" s="153" t="s">
        <v>62</v>
      </c>
      <c r="B19" s="153"/>
      <c r="C19" s="174">
        <f>'26'!I19</f>
        <v>108973</v>
      </c>
      <c r="D19" s="174"/>
      <c r="E19" s="154">
        <v>72610</v>
      </c>
      <c r="F19" s="154"/>
      <c r="G19" s="154">
        <f>D7</f>
        <v>78087</v>
      </c>
      <c r="H19" s="154"/>
      <c r="I19" s="99">
        <f t="shared" ref="I19" si="1">C19+E19-G19</f>
        <v>103496</v>
      </c>
      <c r="J19" s="101"/>
      <c r="K19" s="139">
        <f>'26'!K19+'27'!E19</f>
        <v>1984540</v>
      </c>
      <c r="L19" s="139"/>
      <c r="M19" s="99">
        <f>'26'!M19+G19</f>
        <v>1991044</v>
      </c>
      <c r="N19" s="101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'26'!I20</f>
        <v>-</v>
      </c>
      <c r="D20" s="174"/>
      <c r="E20" s="102"/>
      <c r="F20" s="103"/>
      <c r="G20" s="104"/>
      <c r="H20" s="104"/>
      <c r="I20" s="102" t="s">
        <v>60</v>
      </c>
      <c r="J20" s="103"/>
      <c r="K20" s="105">
        <f>'26'!K20+'27'!E20</f>
        <v>0</v>
      </c>
      <c r="L20" s="105"/>
      <c r="M20" s="99">
        <f>'26'!M20+G20</f>
        <v>0</v>
      </c>
      <c r="N20" s="101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'26'!G24</f>
        <v>4259150</v>
      </c>
      <c r="E24" s="187"/>
      <c r="F24" s="187"/>
      <c r="G24" s="164">
        <v>4281867</v>
      </c>
      <c r="H24" s="164"/>
      <c r="I24" s="164"/>
      <c r="J24" s="164">
        <f>IF(G24-D24&lt;0,,G24-D24)</f>
        <v>22717</v>
      </c>
      <c r="K24" s="164"/>
      <c r="L24" s="164"/>
      <c r="M24" s="164">
        <f>'26'!M24+J24</f>
        <v>610299</v>
      </c>
      <c r="N24" s="164"/>
      <c r="P24" s="105" t="s">
        <v>36</v>
      </c>
      <c r="Q24" s="105"/>
      <c r="R24" s="105"/>
      <c r="S24" s="105">
        <f>'26'!V24</f>
        <v>560.79999999999995</v>
      </c>
      <c r="T24" s="105"/>
      <c r="U24" s="105"/>
      <c r="V24" s="140">
        <v>561.5</v>
      </c>
      <c r="W24" s="140"/>
      <c r="X24" s="140"/>
      <c r="Y24" s="140">
        <f>'26'!Y24+'27'!V24</f>
        <v>13853.6</v>
      </c>
      <c r="Z24" s="140"/>
    </row>
    <row r="25" spans="1:31" ht="21.9" customHeight="1">
      <c r="A25" s="104" t="s">
        <v>30</v>
      </c>
      <c r="B25" s="104"/>
      <c r="C25" s="104"/>
      <c r="D25" s="104">
        <f>'26'!G25</f>
        <v>33639.199999999997</v>
      </c>
      <c r="E25" s="104"/>
      <c r="F25" s="104"/>
      <c r="G25" s="104">
        <v>33672.5</v>
      </c>
      <c r="H25" s="104"/>
      <c r="I25" s="104"/>
      <c r="J25" s="102">
        <f t="shared" ref="J25:J30" si="2">IF(G25-D25&lt;0,,G25-D25)</f>
        <v>33.30000000000291</v>
      </c>
      <c r="K25" s="106"/>
      <c r="L25" s="103"/>
      <c r="M25" s="102">
        <f>'26'!M25+J25</f>
        <v>908.40000000000146</v>
      </c>
      <c r="N25" s="103"/>
      <c r="P25" s="104" t="s">
        <v>37</v>
      </c>
      <c r="Q25" s="104"/>
      <c r="R25" s="104"/>
      <c r="S25" s="102">
        <f>'26'!V25</f>
        <v>61.6</v>
      </c>
      <c r="T25" s="106"/>
      <c r="U25" s="103"/>
      <c r="V25" s="137">
        <v>66.7</v>
      </c>
      <c r="W25" s="137"/>
      <c r="X25" s="137"/>
      <c r="Y25" s="188">
        <f>'26'!Y25+'27'!V25</f>
        <v>1631.8999999999999</v>
      </c>
      <c r="Z25" s="190"/>
    </row>
    <row r="26" spans="1:31" ht="21.9" customHeight="1">
      <c r="A26" s="104" t="s">
        <v>31</v>
      </c>
      <c r="B26" s="104"/>
      <c r="C26" s="104"/>
      <c r="D26" s="104">
        <f>'26'!G26</f>
        <v>24840</v>
      </c>
      <c r="E26" s="104"/>
      <c r="F26" s="104"/>
      <c r="G26" s="104">
        <v>24860</v>
      </c>
      <c r="H26" s="104"/>
      <c r="I26" s="104"/>
      <c r="J26" s="102">
        <f t="shared" si="2"/>
        <v>20</v>
      </c>
      <c r="K26" s="106"/>
      <c r="L26" s="103"/>
      <c r="M26" s="102">
        <f>'26'!M26+J26</f>
        <v>560</v>
      </c>
      <c r="N26" s="103"/>
      <c r="P26" s="104" t="s">
        <v>38</v>
      </c>
      <c r="Q26" s="104"/>
      <c r="R26" s="104"/>
      <c r="S26" s="102">
        <f>'26'!V26</f>
        <v>602.9</v>
      </c>
      <c r="T26" s="106"/>
      <c r="U26" s="103"/>
      <c r="V26" s="137">
        <v>556.29999999999995</v>
      </c>
      <c r="W26" s="137"/>
      <c r="X26" s="137"/>
      <c r="Y26" s="188">
        <f>'26'!Y26+'27'!V26</f>
        <v>13884.799999999997</v>
      </c>
      <c r="Z26" s="190"/>
    </row>
    <row r="27" spans="1:31" ht="21.9" customHeight="1">
      <c r="A27" s="104" t="s">
        <v>32</v>
      </c>
      <c r="B27" s="104"/>
      <c r="C27" s="104"/>
      <c r="D27" s="104">
        <f>'26'!G27</f>
        <v>1425000</v>
      </c>
      <c r="E27" s="104"/>
      <c r="F27" s="104"/>
      <c r="G27" s="104">
        <v>1429000</v>
      </c>
      <c r="H27" s="104"/>
      <c r="I27" s="104"/>
      <c r="J27" s="102">
        <f t="shared" si="2"/>
        <v>4000</v>
      </c>
      <c r="K27" s="106"/>
      <c r="L27" s="103"/>
      <c r="M27" s="102">
        <f>'26'!M27+J27</f>
        <v>90000</v>
      </c>
      <c r="N27" s="103"/>
      <c r="P27" s="104" t="s">
        <v>39</v>
      </c>
      <c r="Q27" s="104"/>
      <c r="R27" s="104"/>
      <c r="S27" s="102">
        <f>'26'!V27</f>
        <v>523.4</v>
      </c>
      <c r="T27" s="106"/>
      <c r="U27" s="103"/>
      <c r="V27" s="137">
        <v>523.9</v>
      </c>
      <c r="W27" s="137"/>
      <c r="X27" s="137"/>
      <c r="Y27" s="188">
        <f>'26'!Y27+'27'!V27</f>
        <v>13823.699999999999</v>
      </c>
      <c r="Z27" s="190"/>
    </row>
    <row r="28" spans="1:31" ht="21.9" customHeight="1">
      <c r="A28" s="104" t="s">
        <v>33</v>
      </c>
      <c r="B28" s="104"/>
      <c r="C28" s="104"/>
      <c r="D28" s="104">
        <f>'26'!G28</f>
        <v>6339</v>
      </c>
      <c r="E28" s="104"/>
      <c r="F28" s="104"/>
      <c r="G28" s="104">
        <v>6391</v>
      </c>
      <c r="H28" s="104"/>
      <c r="I28" s="104"/>
      <c r="J28" s="102">
        <f t="shared" si="2"/>
        <v>52</v>
      </c>
      <c r="K28" s="106"/>
      <c r="L28" s="103"/>
      <c r="M28" s="102">
        <f>'26'!M28+J28</f>
        <v>1453</v>
      </c>
      <c r="N28" s="103"/>
      <c r="P28" s="104" t="s">
        <v>41</v>
      </c>
      <c r="Q28" s="104"/>
      <c r="R28" s="104"/>
      <c r="S28" s="102">
        <f>'26'!V28</f>
        <v>0</v>
      </c>
      <c r="T28" s="106"/>
      <c r="U28" s="103"/>
      <c r="V28" s="137">
        <v>0</v>
      </c>
      <c r="W28" s="137"/>
      <c r="X28" s="137"/>
      <c r="Y28" s="188">
        <f>'26'!Y28+'27'!V28</f>
        <v>0</v>
      </c>
      <c r="Z28" s="190"/>
    </row>
    <row r="29" spans="1:31" ht="21.9" customHeight="1">
      <c r="A29" s="104" t="s">
        <v>34</v>
      </c>
      <c r="B29" s="104"/>
      <c r="C29" s="104"/>
      <c r="D29" s="104">
        <f>'26'!G29</f>
        <v>66260</v>
      </c>
      <c r="E29" s="104"/>
      <c r="F29" s="104"/>
      <c r="G29" s="104">
        <v>66260</v>
      </c>
      <c r="H29" s="104"/>
      <c r="I29" s="104"/>
      <c r="J29" s="102">
        <f t="shared" si="2"/>
        <v>0</v>
      </c>
      <c r="K29" s="106"/>
      <c r="L29" s="103"/>
      <c r="M29" s="102">
        <f>'26'!M29+J29</f>
        <v>80</v>
      </c>
      <c r="N29" s="103"/>
      <c r="P29" s="104" t="s">
        <v>40</v>
      </c>
      <c r="Q29" s="104"/>
      <c r="R29" s="104"/>
      <c r="S29" s="102">
        <f>'26'!V29</f>
        <v>74.599999999999994</v>
      </c>
      <c r="T29" s="106"/>
      <c r="U29" s="103"/>
      <c r="V29" s="137">
        <v>74.3</v>
      </c>
      <c r="W29" s="137"/>
      <c r="X29" s="137"/>
      <c r="Y29" s="188">
        <f>'26'!Y29+'27'!V29</f>
        <v>1868.4999999999998</v>
      </c>
      <c r="Z29" s="190"/>
    </row>
    <row r="30" spans="1:31" ht="21.9" customHeight="1">
      <c r="A30" s="104" t="s">
        <v>35</v>
      </c>
      <c r="B30" s="104"/>
      <c r="C30" s="104"/>
      <c r="D30" s="104">
        <f>'26'!G30</f>
        <v>53550</v>
      </c>
      <c r="E30" s="104"/>
      <c r="F30" s="104"/>
      <c r="G30" s="104">
        <v>53560</v>
      </c>
      <c r="H30" s="104"/>
      <c r="I30" s="104"/>
      <c r="J30" s="102">
        <f t="shared" si="2"/>
        <v>10</v>
      </c>
      <c r="K30" s="106"/>
      <c r="L30" s="103"/>
      <c r="M30" s="102">
        <f>'26'!M30+J30</f>
        <v>340</v>
      </c>
      <c r="N30" s="103"/>
      <c r="P30" s="104" t="s">
        <v>28</v>
      </c>
      <c r="Q30" s="104"/>
      <c r="R30" s="104"/>
      <c r="S30" s="102">
        <f>'26'!V30</f>
        <v>0</v>
      </c>
      <c r="T30" s="106"/>
      <c r="U30" s="103"/>
      <c r="V30" s="137"/>
      <c r="W30" s="137"/>
      <c r="X30" s="137"/>
      <c r="Y30" s="188">
        <f>'26'!Y30+'27'!V30</f>
        <v>1528.3</v>
      </c>
      <c r="Z30" s="190"/>
    </row>
    <row r="31" spans="1:31" ht="21.9" customHeight="1">
      <c r="A31" s="104" t="s">
        <v>120</v>
      </c>
      <c r="B31" s="104"/>
      <c r="C31" s="104"/>
      <c r="D31" s="104">
        <f>'26'!G31</f>
        <v>6404199</v>
      </c>
      <c r="E31" s="104"/>
      <c r="F31" s="104"/>
      <c r="G31" s="102">
        <v>6411972</v>
      </c>
      <c r="H31" s="106"/>
      <c r="I31" s="103"/>
      <c r="J31" s="104">
        <f t="shared" ref="J31:J33" si="3">G31-D31</f>
        <v>7773</v>
      </c>
      <c r="K31" s="104"/>
      <c r="L31" s="104"/>
      <c r="M31" s="102">
        <f>'26'!M31+J31</f>
        <v>209877</v>
      </c>
      <c r="N31" s="103"/>
      <c r="P31" s="57"/>
      <c r="Q31" s="57"/>
      <c r="R31" s="57"/>
      <c r="S31" s="57"/>
      <c r="T31" s="57"/>
      <c r="U31" s="57"/>
      <c r="V31" s="58"/>
      <c r="W31" s="58"/>
      <c r="X31" s="58"/>
      <c r="Y31" s="58"/>
      <c r="Z31" s="58"/>
    </row>
    <row r="32" spans="1:31" ht="21.9" customHeight="1">
      <c r="A32" s="104" t="s">
        <v>121</v>
      </c>
      <c r="B32" s="104"/>
      <c r="C32" s="104"/>
      <c r="D32" s="104">
        <f>'26'!G32</f>
        <v>1.8</v>
      </c>
      <c r="E32" s="104"/>
      <c r="F32" s="104"/>
      <c r="G32" s="102">
        <v>1.8</v>
      </c>
      <c r="H32" s="106"/>
      <c r="I32" s="103"/>
      <c r="J32" s="102">
        <f t="shared" si="3"/>
        <v>0</v>
      </c>
      <c r="K32" s="106">
        <v>12.255000000000001</v>
      </c>
      <c r="L32" s="103">
        <v>12.255000000000001</v>
      </c>
      <c r="M32" s="102">
        <f>'26'!M32+J32</f>
        <v>0.19999999999999996</v>
      </c>
      <c r="N32" s="103"/>
      <c r="P32" s="57"/>
      <c r="Q32" s="57"/>
      <c r="R32" s="57"/>
      <c r="S32" s="57"/>
      <c r="T32" s="57"/>
      <c r="U32" s="57"/>
      <c r="V32" s="58"/>
      <c r="W32" s="58"/>
      <c r="X32" s="58"/>
      <c r="Y32" s="58"/>
      <c r="Z32" s="58"/>
    </row>
    <row r="33" spans="1:26" ht="21.9" customHeight="1">
      <c r="A33" s="104" t="s">
        <v>122</v>
      </c>
      <c r="B33" s="104"/>
      <c r="C33" s="104"/>
      <c r="D33" s="104">
        <f>'26'!G33</f>
        <v>0</v>
      </c>
      <c r="E33" s="104"/>
      <c r="F33" s="104"/>
      <c r="G33" s="102"/>
      <c r="H33" s="106"/>
      <c r="I33" s="103"/>
      <c r="J33" s="102">
        <f t="shared" si="3"/>
        <v>0</v>
      </c>
      <c r="K33" s="106">
        <v>12.255000000000001</v>
      </c>
      <c r="L33" s="103">
        <v>12.255000000000001</v>
      </c>
      <c r="M33" s="102">
        <f>'26'!M33+J33</f>
        <v>0</v>
      </c>
      <c r="N33" s="103"/>
      <c r="P33" s="57"/>
      <c r="Q33" s="57"/>
      <c r="R33" s="57"/>
      <c r="S33" s="57"/>
      <c r="T33" s="57"/>
      <c r="U33" s="57"/>
      <c r="V33" s="58"/>
      <c r="W33" s="58"/>
      <c r="X33" s="58"/>
      <c r="Y33" s="58"/>
      <c r="Z33" s="58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H3" name="범위2"/>
    <protectedRange sqref="U2:Z3 R7:Z7 D7:I7 E12:H20 S12:V15 S18:V20 G24:I30 V24:X33" name="범위1"/>
    <protectedRange sqref="G32:L33 G31:I31" name="범위3_1_1_2_1"/>
    <protectedRange sqref="B2:G3" name="범위1_1_1"/>
  </protectedRanges>
  <mergeCells count="223">
    <mergeCell ref="A63:B76"/>
    <mergeCell ref="C63:Z76"/>
    <mergeCell ref="A36:B48"/>
    <mergeCell ref="C36:Z48"/>
    <mergeCell ref="A49:B62"/>
    <mergeCell ref="C49:Z62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A29:C29"/>
    <mergeCell ref="D29:F29"/>
    <mergeCell ref="G29:I29"/>
    <mergeCell ref="J29:L29"/>
    <mergeCell ref="M29:N29"/>
    <mergeCell ref="P29:R29"/>
    <mergeCell ref="S29:U29"/>
    <mergeCell ref="M33:N33"/>
    <mergeCell ref="S30:U30"/>
    <mergeCell ref="V29:X29"/>
    <mergeCell ref="Y29:Z29"/>
    <mergeCell ref="A28:C28"/>
    <mergeCell ref="D28:F28"/>
    <mergeCell ref="G28:I28"/>
    <mergeCell ref="J28:L28"/>
    <mergeCell ref="M28:N28"/>
    <mergeCell ref="P28:R28"/>
    <mergeCell ref="S28:U28"/>
    <mergeCell ref="V28:X28"/>
    <mergeCell ref="Y28:Z28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A23:C23"/>
    <mergeCell ref="D23:F23"/>
    <mergeCell ref="G23:I23"/>
    <mergeCell ref="J23:L23"/>
    <mergeCell ref="M23:N23"/>
    <mergeCell ref="P23:R23"/>
    <mergeCell ref="S23:U23"/>
    <mergeCell ref="P18:R20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18:B18"/>
    <mergeCell ref="C18:D18"/>
    <mergeCell ref="E18:F18"/>
    <mergeCell ref="G18:H18"/>
    <mergeCell ref="I18:J18"/>
    <mergeCell ref="K18:L18"/>
    <mergeCell ref="M18:N18"/>
    <mergeCell ref="I17:J17"/>
    <mergeCell ref="K17:L17"/>
    <mergeCell ref="A17:B17"/>
    <mergeCell ref="C17:D17"/>
    <mergeCell ref="E17:F17"/>
    <mergeCell ref="G17:H17"/>
    <mergeCell ref="A16:B16"/>
    <mergeCell ref="C16:D16"/>
    <mergeCell ref="E16:F16"/>
    <mergeCell ref="G16:H16"/>
    <mergeCell ref="I16:J16"/>
    <mergeCell ref="K16:L16"/>
    <mergeCell ref="M16:N16"/>
    <mergeCell ref="A14:B14"/>
    <mergeCell ref="C14:D14"/>
    <mergeCell ref="E14:F14"/>
    <mergeCell ref="G14:H14"/>
    <mergeCell ref="I14:J14"/>
    <mergeCell ref="K14:L14"/>
    <mergeCell ref="M14:N14"/>
    <mergeCell ref="A15:B15"/>
    <mergeCell ref="C15:D15"/>
    <mergeCell ref="E15:F15"/>
    <mergeCell ref="G15:H15"/>
    <mergeCell ref="I15:J15"/>
    <mergeCell ref="K15:L15"/>
    <mergeCell ref="R8:T8"/>
    <mergeCell ref="S11:V11"/>
    <mergeCell ref="U8:W8"/>
    <mergeCell ref="A13:B13"/>
    <mergeCell ref="C13:D13"/>
    <mergeCell ref="E13:F13"/>
    <mergeCell ref="G13:H13"/>
    <mergeCell ref="I13:J13"/>
    <mergeCell ref="K13:L13"/>
    <mergeCell ref="M13:N13"/>
    <mergeCell ref="P12:R13"/>
    <mergeCell ref="M12:N12"/>
    <mergeCell ref="A12:B12"/>
    <mergeCell ref="C12:D12"/>
    <mergeCell ref="E12:F12"/>
    <mergeCell ref="G12:H12"/>
    <mergeCell ref="I12:J12"/>
    <mergeCell ref="K12:L12"/>
    <mergeCell ref="G8:I8"/>
    <mergeCell ref="J8:L8"/>
    <mergeCell ref="P8:Q8"/>
    <mergeCell ref="M11:N11"/>
    <mergeCell ref="P11:R11"/>
    <mergeCell ref="A8:C8"/>
    <mergeCell ref="A1:A3"/>
    <mergeCell ref="W1:X1"/>
    <mergeCell ref="H1:S2"/>
    <mergeCell ref="T1:T3"/>
    <mergeCell ref="U1:V1"/>
    <mergeCell ref="U2:V3"/>
    <mergeCell ref="H3:S3"/>
    <mergeCell ref="Y1:Z1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G6:I6"/>
    <mergeCell ref="J6:L6"/>
    <mergeCell ref="P6:Q6"/>
    <mergeCell ref="R6:T6"/>
    <mergeCell ref="U6:W6"/>
    <mergeCell ref="X6:Z6"/>
    <mergeCell ref="K11:L11"/>
    <mergeCell ref="P22:U22"/>
    <mergeCell ref="V23:X23"/>
    <mergeCell ref="Y23:Z23"/>
    <mergeCell ref="S26:U26"/>
    <mergeCell ref="V26:X26"/>
    <mergeCell ref="M17:N17"/>
    <mergeCell ref="Y26:Z26"/>
    <mergeCell ref="V27:X27"/>
    <mergeCell ref="Y27:Z27"/>
    <mergeCell ref="S14:V15"/>
    <mergeCell ref="W14:Z15"/>
    <mergeCell ref="S16:T17"/>
    <mergeCell ref="U16:V17"/>
    <mergeCell ref="W16:X17"/>
    <mergeCell ref="S18:T20"/>
    <mergeCell ref="U18:V20"/>
    <mergeCell ref="W18:X20"/>
    <mergeCell ref="P16:R17"/>
    <mergeCell ref="D8:F8"/>
    <mergeCell ref="V30:X30"/>
    <mergeCell ref="Y30:Z30"/>
    <mergeCell ref="P14:R15"/>
    <mergeCell ref="M15:N15"/>
    <mergeCell ref="B1:C1"/>
    <mergeCell ref="D1:E1"/>
    <mergeCell ref="F1:G1"/>
    <mergeCell ref="B2:C3"/>
    <mergeCell ref="D2:E3"/>
    <mergeCell ref="F2:G3"/>
    <mergeCell ref="X8:Z8"/>
    <mergeCell ref="W11:Z11"/>
    <mergeCell ref="Y18:Z20"/>
    <mergeCell ref="S12:V13"/>
    <mergeCell ref="W12:Z13"/>
    <mergeCell ref="Y16:Z17"/>
    <mergeCell ref="W2:X3"/>
    <mergeCell ref="Y2:Z3"/>
    <mergeCell ref="A11:B11"/>
    <mergeCell ref="C11:D11"/>
    <mergeCell ref="E11:F11"/>
    <mergeCell ref="G11:H11"/>
    <mergeCell ref="I11:J1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zoomScaleNormal="100" zoomScaleSheetLayoutView="100" workbookViewId="0">
      <selection activeCell="G17" sqref="G17:H17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210</v>
      </c>
      <c r="C2" s="135"/>
      <c r="D2" s="135" t="s">
        <v>211</v>
      </c>
      <c r="E2" s="135"/>
      <c r="F2" s="135" t="s">
        <v>212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05"/>
      <c r="E3" s="105"/>
      <c r="F3" s="105"/>
      <c r="G3" s="105"/>
      <c r="H3" s="132">
        <v>46231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73304</v>
      </c>
      <c r="E7" s="139"/>
      <c r="F7" s="139"/>
      <c r="G7" s="139">
        <v>133100</v>
      </c>
      <c r="H7" s="139"/>
      <c r="I7" s="139"/>
      <c r="J7" s="154">
        <f>D7+G7</f>
        <v>206404</v>
      </c>
      <c r="K7" s="154"/>
      <c r="L7" s="154"/>
      <c r="M7" s="1"/>
      <c r="N7" s="1"/>
      <c r="O7" s="1"/>
      <c r="P7" s="105" t="s">
        <v>48</v>
      </c>
      <c r="Q7" s="105"/>
      <c r="R7" s="140">
        <v>475.5</v>
      </c>
      <c r="S7" s="140"/>
      <c r="T7" s="140"/>
      <c r="U7" s="140">
        <v>32.799999999999997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'27'!D8+'28'!D7</f>
        <v>2064348</v>
      </c>
      <c r="E8" s="154"/>
      <c r="F8" s="154"/>
      <c r="G8" s="154">
        <f>'27'!G8+'28'!G7</f>
        <v>4040900</v>
      </c>
      <c r="H8" s="154"/>
      <c r="I8" s="154"/>
      <c r="J8" s="154">
        <f>D8+G8</f>
        <v>6105248</v>
      </c>
      <c r="K8" s="154"/>
      <c r="L8" s="154"/>
      <c r="M8" s="1"/>
      <c r="N8" s="1"/>
      <c r="O8" s="1"/>
      <c r="P8" s="104" t="s">
        <v>2</v>
      </c>
      <c r="Q8" s="104"/>
      <c r="R8" s="137">
        <f>'27'!R8+R7</f>
        <v>13676.800000000001</v>
      </c>
      <c r="S8" s="137"/>
      <c r="T8" s="137"/>
      <c r="U8" s="137">
        <f>'27'!U8+U7</f>
        <v>8372.8999999999978</v>
      </c>
      <c r="V8" s="137"/>
      <c r="W8" s="137"/>
      <c r="X8" s="138">
        <f>'27'!X8+'28'!X7</f>
        <v>672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'27'!I12</f>
        <v>16971</v>
      </c>
      <c r="D12" s="174"/>
      <c r="E12" s="105">
        <v>0</v>
      </c>
      <c r="F12" s="105"/>
      <c r="G12" s="105">
        <v>4206</v>
      </c>
      <c r="H12" s="105"/>
      <c r="I12" s="107">
        <f t="shared" ref="I12:I18" si="0">C12+E12-G12</f>
        <v>12765</v>
      </c>
      <c r="J12" s="109"/>
      <c r="K12" s="105">
        <f>'27'!K12+'28'!E12</f>
        <v>112290</v>
      </c>
      <c r="L12" s="105"/>
      <c r="M12" s="105">
        <f>'27'!M12+G12</f>
        <v>114439</v>
      </c>
      <c r="N12" s="105"/>
      <c r="O12" s="1"/>
      <c r="P12" s="149" t="s">
        <v>101</v>
      </c>
      <c r="Q12" s="105"/>
      <c r="R12" s="105"/>
      <c r="S12" s="143">
        <v>57.45</v>
      </c>
      <c r="T12" s="144"/>
      <c r="U12" s="144"/>
      <c r="V12" s="144"/>
      <c r="W12" s="194">
        <f>'27'!W12+'28'!S12</f>
        <v>1014.9900000000001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'27'!I13</f>
        <v>630</v>
      </c>
      <c r="D13" s="174"/>
      <c r="E13" s="104">
        <v>0</v>
      </c>
      <c r="F13" s="104"/>
      <c r="G13" s="104">
        <v>60</v>
      </c>
      <c r="H13" s="104"/>
      <c r="I13" s="102">
        <f t="shared" si="0"/>
        <v>570</v>
      </c>
      <c r="J13" s="103"/>
      <c r="K13" s="102">
        <f>'27'!K13+'28'!E13</f>
        <v>2420</v>
      </c>
      <c r="L13" s="103"/>
      <c r="M13" s="102">
        <f>'27'!M13+G13</f>
        <v>2440</v>
      </c>
      <c r="N13" s="103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'27'!I14</f>
        <v>1360</v>
      </c>
      <c r="D14" s="174"/>
      <c r="E14" s="104">
        <v>0</v>
      </c>
      <c r="F14" s="104"/>
      <c r="G14" s="104">
        <v>120</v>
      </c>
      <c r="H14" s="104"/>
      <c r="I14" s="102">
        <f t="shared" si="0"/>
        <v>1240</v>
      </c>
      <c r="J14" s="103"/>
      <c r="K14" s="102">
        <f>'27'!K14+'28'!E14</f>
        <v>4000</v>
      </c>
      <c r="L14" s="103"/>
      <c r="M14" s="102">
        <f>'27'!M14+G14</f>
        <v>3360</v>
      </c>
      <c r="N14" s="103"/>
      <c r="O14" s="1"/>
      <c r="P14" s="104" t="s">
        <v>26</v>
      </c>
      <c r="Q14" s="104"/>
      <c r="R14" s="104"/>
      <c r="S14" s="155">
        <v>0</v>
      </c>
      <c r="T14" s="156"/>
      <c r="U14" s="156"/>
      <c r="V14" s="156"/>
      <c r="W14" s="186">
        <f>'27'!W14+'28'!S14</f>
        <v>184.14999999999998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'27'!I15</f>
        <v>684</v>
      </c>
      <c r="D15" s="174"/>
      <c r="E15" s="104">
        <v>0</v>
      </c>
      <c r="F15" s="104"/>
      <c r="G15" s="104">
        <v>0</v>
      </c>
      <c r="H15" s="104"/>
      <c r="I15" s="102">
        <f t="shared" si="0"/>
        <v>684</v>
      </c>
      <c r="J15" s="103"/>
      <c r="K15" s="102">
        <f>'27'!K15+'28'!E15</f>
        <v>0</v>
      </c>
      <c r="L15" s="103"/>
      <c r="M15" s="102">
        <f>'27'!M15+G15</f>
        <v>615</v>
      </c>
      <c r="N15" s="103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'27'!I16</f>
        <v>1810</v>
      </c>
      <c r="D16" s="174"/>
      <c r="E16" s="104">
        <v>0</v>
      </c>
      <c r="F16" s="104"/>
      <c r="G16" s="104">
        <v>20</v>
      </c>
      <c r="H16" s="104"/>
      <c r="I16" s="102">
        <f t="shared" si="0"/>
        <v>1790</v>
      </c>
      <c r="J16" s="103"/>
      <c r="K16" s="102">
        <f>'27'!K16+'28'!E16</f>
        <v>0</v>
      </c>
      <c r="L16" s="103"/>
      <c r="M16" s="102">
        <f>'27'!M16+G16</f>
        <v>560</v>
      </c>
      <c r="N16" s="103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'27'!I17</f>
        <v>3650</v>
      </c>
      <c r="D17" s="174"/>
      <c r="E17" s="104">
        <v>0</v>
      </c>
      <c r="F17" s="104"/>
      <c r="G17" s="104">
        <v>200</v>
      </c>
      <c r="H17" s="104"/>
      <c r="I17" s="102">
        <f t="shared" si="0"/>
        <v>3450</v>
      </c>
      <c r="J17" s="103"/>
      <c r="K17" s="102">
        <f>'27'!K17+'28'!E17</f>
        <v>7200</v>
      </c>
      <c r="L17" s="103"/>
      <c r="M17" s="102">
        <f>'27'!M17+G17</f>
        <v>5600</v>
      </c>
      <c r="N17" s="103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'27'!I18</f>
        <v>5340</v>
      </c>
      <c r="D18" s="174"/>
      <c r="E18" s="104">
        <v>0</v>
      </c>
      <c r="F18" s="104"/>
      <c r="G18" s="104">
        <v>350</v>
      </c>
      <c r="H18" s="104"/>
      <c r="I18" s="102">
        <f t="shared" si="0"/>
        <v>4990</v>
      </c>
      <c r="J18" s="103"/>
      <c r="K18" s="102">
        <f>'27'!K18+'28'!E18</f>
        <v>0</v>
      </c>
      <c r="L18" s="103"/>
      <c r="M18" s="102">
        <f>'27'!M18+G18</f>
        <v>350</v>
      </c>
      <c r="N18" s="103"/>
      <c r="O18" s="1"/>
      <c r="P18" s="164" t="s">
        <v>27</v>
      </c>
      <c r="Q18" s="164"/>
      <c r="R18" s="164"/>
      <c r="S18" s="114">
        <v>1</v>
      </c>
      <c r="T18" s="115"/>
      <c r="U18" s="114">
        <v>1</v>
      </c>
      <c r="V18" s="115"/>
      <c r="W18" s="114">
        <f>S18+U18</f>
        <v>2</v>
      </c>
      <c r="X18" s="115"/>
      <c r="Y18" s="151">
        <f>'27'!Y18+'28'!W18</f>
        <v>86</v>
      </c>
      <c r="Z18" s="151"/>
    </row>
    <row r="19" spans="1:31" ht="21.9" customHeight="1">
      <c r="A19" s="153" t="s">
        <v>62</v>
      </c>
      <c r="B19" s="153"/>
      <c r="C19" s="174">
        <f>'27'!I19</f>
        <v>103496</v>
      </c>
      <c r="D19" s="174"/>
      <c r="E19" s="154">
        <v>86990</v>
      </c>
      <c r="F19" s="154"/>
      <c r="G19" s="154">
        <f>D7</f>
        <v>73304</v>
      </c>
      <c r="H19" s="154"/>
      <c r="I19" s="99">
        <f t="shared" ref="I19" si="1">C19+E19-G19</f>
        <v>117182</v>
      </c>
      <c r="J19" s="101"/>
      <c r="K19" s="99">
        <f>'27'!K19+'28'!E19</f>
        <v>2071530</v>
      </c>
      <c r="L19" s="101"/>
      <c r="M19" s="99">
        <f>'27'!M19+G19</f>
        <v>2064348</v>
      </c>
      <c r="N19" s="101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'27'!I20</f>
        <v>-</v>
      </c>
      <c r="D20" s="174"/>
      <c r="E20" s="102"/>
      <c r="F20" s="103"/>
      <c r="G20" s="104"/>
      <c r="H20" s="104"/>
      <c r="I20" s="102" t="s">
        <v>60</v>
      </c>
      <c r="J20" s="103"/>
      <c r="K20" s="105">
        <f>'27'!K20+'28'!E20</f>
        <v>0</v>
      </c>
      <c r="L20" s="105"/>
      <c r="M20" s="99">
        <f>'27'!M20+G20</f>
        <v>0</v>
      </c>
      <c r="N20" s="101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'27'!G24</f>
        <v>4281867</v>
      </c>
      <c r="E24" s="187"/>
      <c r="F24" s="187"/>
      <c r="G24" s="164">
        <v>4304153</v>
      </c>
      <c r="H24" s="164"/>
      <c r="I24" s="164"/>
      <c r="J24" s="164">
        <f>IF(G24-D24&lt;0,,G24-D24)</f>
        <v>22286</v>
      </c>
      <c r="K24" s="164"/>
      <c r="L24" s="164"/>
      <c r="M24" s="164">
        <f>'27'!M24+J24</f>
        <v>632585</v>
      </c>
      <c r="N24" s="164"/>
      <c r="P24" s="105" t="s">
        <v>36</v>
      </c>
      <c r="Q24" s="105"/>
      <c r="R24" s="105"/>
      <c r="S24" s="105">
        <f>'27'!V24</f>
        <v>561.5</v>
      </c>
      <c r="T24" s="105"/>
      <c r="U24" s="105"/>
      <c r="V24" s="140">
        <v>554.70000000000005</v>
      </c>
      <c r="W24" s="140"/>
      <c r="X24" s="140"/>
      <c r="Y24" s="140">
        <f>'27'!Y24+'28'!V24</f>
        <v>14408.300000000001</v>
      </c>
      <c r="Z24" s="140"/>
    </row>
    <row r="25" spans="1:31" ht="21.9" customHeight="1">
      <c r="A25" s="104" t="s">
        <v>30</v>
      </c>
      <c r="B25" s="104"/>
      <c r="C25" s="104"/>
      <c r="D25" s="104">
        <f>'27'!G25</f>
        <v>33672.5</v>
      </c>
      <c r="E25" s="104"/>
      <c r="F25" s="104"/>
      <c r="G25" s="104">
        <v>33704.300000000003</v>
      </c>
      <c r="H25" s="104"/>
      <c r="I25" s="104"/>
      <c r="J25" s="102">
        <f t="shared" ref="J25:J30" si="2">IF(G25-D25&lt;0,,G25-D25)</f>
        <v>31.80000000000291</v>
      </c>
      <c r="K25" s="106"/>
      <c r="L25" s="103"/>
      <c r="M25" s="102">
        <f>'27'!M25+J25</f>
        <v>940.20000000000437</v>
      </c>
      <c r="N25" s="103"/>
      <c r="P25" s="104" t="s">
        <v>37</v>
      </c>
      <c r="Q25" s="104"/>
      <c r="R25" s="104"/>
      <c r="S25" s="102">
        <f>'27'!V25</f>
        <v>66.7</v>
      </c>
      <c r="T25" s="106"/>
      <c r="U25" s="103"/>
      <c r="V25" s="137">
        <v>69.7</v>
      </c>
      <c r="W25" s="137"/>
      <c r="X25" s="137"/>
      <c r="Y25" s="188">
        <f>'27'!Y25+'28'!V25</f>
        <v>1701.6</v>
      </c>
      <c r="Z25" s="190"/>
    </row>
    <row r="26" spans="1:31" ht="21.9" customHeight="1">
      <c r="A26" s="104" t="s">
        <v>31</v>
      </c>
      <c r="B26" s="104"/>
      <c r="C26" s="104"/>
      <c r="D26" s="104">
        <f>'27'!G26</f>
        <v>24860</v>
      </c>
      <c r="E26" s="104"/>
      <c r="F26" s="104"/>
      <c r="G26" s="104">
        <v>24870</v>
      </c>
      <c r="H26" s="104"/>
      <c r="I26" s="104"/>
      <c r="J26" s="102">
        <f t="shared" si="2"/>
        <v>10</v>
      </c>
      <c r="K26" s="106"/>
      <c r="L26" s="103"/>
      <c r="M26" s="102">
        <f>'27'!M26+J26</f>
        <v>570</v>
      </c>
      <c r="N26" s="103"/>
      <c r="P26" s="104" t="s">
        <v>38</v>
      </c>
      <c r="Q26" s="104"/>
      <c r="R26" s="104"/>
      <c r="S26" s="102">
        <f>'27'!V26</f>
        <v>556.29999999999995</v>
      </c>
      <c r="T26" s="106"/>
      <c r="U26" s="103"/>
      <c r="V26" s="137">
        <v>617.1</v>
      </c>
      <c r="W26" s="137"/>
      <c r="X26" s="137"/>
      <c r="Y26" s="188">
        <f>'27'!Y26+'28'!V26</f>
        <v>14501.899999999998</v>
      </c>
      <c r="Z26" s="190"/>
    </row>
    <row r="27" spans="1:31" ht="21.9" customHeight="1">
      <c r="A27" s="104" t="s">
        <v>32</v>
      </c>
      <c r="B27" s="104"/>
      <c r="C27" s="104"/>
      <c r="D27" s="104">
        <f>'27'!G27</f>
        <v>1429000</v>
      </c>
      <c r="E27" s="104"/>
      <c r="F27" s="104"/>
      <c r="G27" s="104">
        <v>1433000</v>
      </c>
      <c r="H27" s="104"/>
      <c r="I27" s="104"/>
      <c r="J27" s="102">
        <f t="shared" si="2"/>
        <v>4000</v>
      </c>
      <c r="K27" s="106"/>
      <c r="L27" s="103"/>
      <c r="M27" s="102">
        <f>'27'!M27+J27</f>
        <v>94000</v>
      </c>
      <c r="N27" s="103"/>
      <c r="P27" s="104" t="s">
        <v>39</v>
      </c>
      <c r="Q27" s="104"/>
      <c r="R27" s="104"/>
      <c r="S27" s="102">
        <f>'27'!V27</f>
        <v>523.9</v>
      </c>
      <c r="T27" s="106"/>
      <c r="U27" s="103"/>
      <c r="V27" s="137">
        <v>511.7</v>
      </c>
      <c r="W27" s="137"/>
      <c r="X27" s="137"/>
      <c r="Y27" s="188">
        <f>'27'!Y27+'28'!V27</f>
        <v>14335.4</v>
      </c>
      <c r="Z27" s="190"/>
    </row>
    <row r="28" spans="1:31" ht="21.9" customHeight="1">
      <c r="A28" s="104" t="s">
        <v>33</v>
      </c>
      <c r="B28" s="104"/>
      <c r="C28" s="104"/>
      <c r="D28" s="104">
        <f>'27'!G28</f>
        <v>6391</v>
      </c>
      <c r="E28" s="104"/>
      <c r="F28" s="104"/>
      <c r="G28" s="104">
        <v>6440</v>
      </c>
      <c r="H28" s="104"/>
      <c r="I28" s="104"/>
      <c r="J28" s="102">
        <f t="shared" si="2"/>
        <v>49</v>
      </c>
      <c r="K28" s="106"/>
      <c r="L28" s="103"/>
      <c r="M28" s="102">
        <f>'27'!M28+J28</f>
        <v>1502</v>
      </c>
      <c r="N28" s="103"/>
      <c r="P28" s="104" t="s">
        <v>41</v>
      </c>
      <c r="Q28" s="104"/>
      <c r="R28" s="104"/>
      <c r="S28" s="102">
        <f>'27'!V28</f>
        <v>0</v>
      </c>
      <c r="T28" s="106"/>
      <c r="U28" s="103"/>
      <c r="V28" s="137">
        <v>0</v>
      </c>
      <c r="W28" s="137"/>
      <c r="X28" s="137"/>
      <c r="Y28" s="188">
        <f>'27'!Y28+'28'!V28</f>
        <v>0</v>
      </c>
      <c r="Z28" s="190"/>
    </row>
    <row r="29" spans="1:31" ht="21.9" customHeight="1">
      <c r="A29" s="104" t="s">
        <v>34</v>
      </c>
      <c r="B29" s="104"/>
      <c r="C29" s="104"/>
      <c r="D29" s="104">
        <f>'27'!G29</f>
        <v>66260</v>
      </c>
      <c r="E29" s="104"/>
      <c r="F29" s="104"/>
      <c r="G29" s="104">
        <v>66260</v>
      </c>
      <c r="H29" s="104"/>
      <c r="I29" s="104"/>
      <c r="J29" s="102">
        <f t="shared" si="2"/>
        <v>0</v>
      </c>
      <c r="K29" s="106"/>
      <c r="L29" s="103"/>
      <c r="M29" s="102">
        <f>'27'!M29+J29</f>
        <v>80</v>
      </c>
      <c r="N29" s="103"/>
      <c r="P29" s="104" t="s">
        <v>40</v>
      </c>
      <c r="Q29" s="104"/>
      <c r="R29" s="104"/>
      <c r="S29" s="102">
        <f>'27'!V29</f>
        <v>74.3</v>
      </c>
      <c r="T29" s="106"/>
      <c r="U29" s="103"/>
      <c r="V29" s="137">
        <v>82</v>
      </c>
      <c r="W29" s="137"/>
      <c r="X29" s="137"/>
      <c r="Y29" s="188">
        <f>'27'!Y29+'28'!V29</f>
        <v>1950.4999999999998</v>
      </c>
      <c r="Z29" s="190"/>
    </row>
    <row r="30" spans="1:31" ht="21.9" customHeight="1">
      <c r="A30" s="104" t="s">
        <v>35</v>
      </c>
      <c r="B30" s="104"/>
      <c r="C30" s="104"/>
      <c r="D30" s="104">
        <f>'27'!G30</f>
        <v>53560</v>
      </c>
      <c r="E30" s="104"/>
      <c r="F30" s="104"/>
      <c r="G30" s="104">
        <v>53570</v>
      </c>
      <c r="H30" s="104"/>
      <c r="I30" s="104"/>
      <c r="J30" s="102">
        <f t="shared" si="2"/>
        <v>10</v>
      </c>
      <c r="K30" s="106"/>
      <c r="L30" s="103"/>
      <c r="M30" s="102">
        <f>'27'!M30+J30</f>
        <v>350</v>
      </c>
      <c r="N30" s="103"/>
      <c r="P30" s="104" t="s">
        <v>28</v>
      </c>
      <c r="Q30" s="104"/>
      <c r="R30" s="104"/>
      <c r="S30" s="102">
        <f>'27'!V30</f>
        <v>0</v>
      </c>
      <c r="T30" s="106"/>
      <c r="U30" s="103"/>
      <c r="V30" s="137"/>
      <c r="W30" s="137"/>
      <c r="X30" s="137"/>
      <c r="Y30" s="188">
        <f>'27'!Y30+'28'!V30</f>
        <v>1528.3</v>
      </c>
      <c r="Z30" s="190"/>
    </row>
    <row r="31" spans="1:31" ht="21.9" customHeight="1">
      <c r="A31" s="104" t="s">
        <v>120</v>
      </c>
      <c r="B31" s="104"/>
      <c r="C31" s="104"/>
      <c r="D31" s="104">
        <f>'27'!G31</f>
        <v>6411972</v>
      </c>
      <c r="E31" s="104"/>
      <c r="F31" s="104"/>
      <c r="G31" s="102">
        <v>6419418</v>
      </c>
      <c r="H31" s="106"/>
      <c r="I31" s="103"/>
      <c r="J31" s="104">
        <f t="shared" ref="J31:J33" si="3">G31-D31</f>
        <v>7446</v>
      </c>
      <c r="K31" s="104"/>
      <c r="L31" s="104"/>
      <c r="M31" s="102">
        <f>'27'!M31+J31</f>
        <v>217323</v>
      </c>
      <c r="N31" s="103"/>
      <c r="P31" s="57"/>
      <c r="Q31" s="57"/>
      <c r="R31" s="57"/>
      <c r="S31" s="57"/>
      <c r="T31" s="57"/>
      <c r="U31" s="57"/>
      <c r="V31" s="58"/>
      <c r="W31" s="58"/>
      <c r="X31" s="58"/>
      <c r="Y31" s="58"/>
      <c r="Z31" s="58"/>
    </row>
    <row r="32" spans="1:31" ht="21.9" customHeight="1">
      <c r="A32" s="104" t="s">
        <v>121</v>
      </c>
      <c r="B32" s="104"/>
      <c r="C32" s="104"/>
      <c r="D32" s="104">
        <f>'27'!G32</f>
        <v>1.8</v>
      </c>
      <c r="E32" s="104"/>
      <c r="F32" s="104"/>
      <c r="G32" s="102">
        <v>1.8</v>
      </c>
      <c r="H32" s="106"/>
      <c r="I32" s="103"/>
      <c r="J32" s="102">
        <f t="shared" si="3"/>
        <v>0</v>
      </c>
      <c r="K32" s="106">
        <v>12.255000000000001</v>
      </c>
      <c r="L32" s="103">
        <v>12.255000000000001</v>
      </c>
      <c r="M32" s="102">
        <f>'27'!M32+J32</f>
        <v>0.19999999999999996</v>
      </c>
      <c r="N32" s="103"/>
      <c r="P32" s="57"/>
      <c r="Q32" s="57"/>
      <c r="R32" s="57"/>
      <c r="S32" s="57"/>
      <c r="T32" s="57"/>
      <c r="U32" s="57"/>
      <c r="V32" s="58"/>
      <c r="W32" s="58"/>
      <c r="X32" s="58"/>
      <c r="Y32" s="58"/>
      <c r="Z32" s="58"/>
    </row>
    <row r="33" spans="1:26" ht="21.9" customHeight="1">
      <c r="A33" s="104" t="s">
        <v>122</v>
      </c>
      <c r="B33" s="104"/>
      <c r="C33" s="104"/>
      <c r="D33" s="104">
        <f>'27'!G33</f>
        <v>0</v>
      </c>
      <c r="E33" s="104"/>
      <c r="F33" s="104"/>
      <c r="G33" s="102">
        <v>0</v>
      </c>
      <c r="H33" s="106"/>
      <c r="I33" s="103"/>
      <c r="J33" s="102">
        <f t="shared" si="3"/>
        <v>0</v>
      </c>
      <c r="K33" s="106">
        <v>12.255000000000001</v>
      </c>
      <c r="L33" s="103">
        <v>12.255000000000001</v>
      </c>
      <c r="M33" s="102">
        <f>'27'!M33+J33</f>
        <v>0</v>
      </c>
      <c r="N33" s="103"/>
      <c r="P33" s="57"/>
      <c r="Q33" s="57"/>
      <c r="R33" s="57"/>
      <c r="S33" s="57"/>
      <c r="T33" s="57"/>
      <c r="U33" s="57"/>
      <c r="V33" s="58"/>
      <c r="W33" s="58"/>
      <c r="X33" s="58"/>
      <c r="Y33" s="58"/>
      <c r="Z33" s="58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H3" name="범위2"/>
    <protectedRange sqref="U2:Z3 D7:I7 R7:Z7 E12:H20 S12:V15 S18:V20 G24:I30 V24:X30" name="범위1"/>
    <protectedRange sqref="V31:X33" name="범위1_1"/>
    <protectedRange sqref="B2:E3" name="범위1_1_2"/>
    <protectedRange sqref="F2:G3" name="범위1_1_1_1"/>
  </protectedRanges>
  <mergeCells count="223">
    <mergeCell ref="A63:B76"/>
    <mergeCell ref="C63:Z76"/>
    <mergeCell ref="A36:B48"/>
    <mergeCell ref="C36:Z48"/>
    <mergeCell ref="A49:B62"/>
    <mergeCell ref="C49:Z62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A29:C29"/>
    <mergeCell ref="D29:F29"/>
    <mergeCell ref="G29:I29"/>
    <mergeCell ref="J29:L29"/>
    <mergeCell ref="M29:N29"/>
    <mergeCell ref="P29:R29"/>
    <mergeCell ref="S29:U29"/>
    <mergeCell ref="M33:N33"/>
    <mergeCell ref="S30:U30"/>
    <mergeCell ref="V29:X29"/>
    <mergeCell ref="Y29:Z29"/>
    <mergeCell ref="A28:C28"/>
    <mergeCell ref="D28:F28"/>
    <mergeCell ref="G28:I28"/>
    <mergeCell ref="J28:L28"/>
    <mergeCell ref="M28:N28"/>
    <mergeCell ref="P28:R28"/>
    <mergeCell ref="S28:U28"/>
    <mergeCell ref="V28:X28"/>
    <mergeCell ref="Y28:Z28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A23:C23"/>
    <mergeCell ref="D23:F23"/>
    <mergeCell ref="G23:I23"/>
    <mergeCell ref="J23:L23"/>
    <mergeCell ref="M23:N23"/>
    <mergeCell ref="P23:R23"/>
    <mergeCell ref="S23:U23"/>
    <mergeCell ref="P18:R20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18:B18"/>
    <mergeCell ref="C18:D18"/>
    <mergeCell ref="E18:F18"/>
    <mergeCell ref="G18:H18"/>
    <mergeCell ref="I18:J18"/>
    <mergeCell ref="K18:L18"/>
    <mergeCell ref="M18:N18"/>
    <mergeCell ref="I17:J17"/>
    <mergeCell ref="K17:L17"/>
    <mergeCell ref="A17:B17"/>
    <mergeCell ref="C17:D17"/>
    <mergeCell ref="E17:F17"/>
    <mergeCell ref="G17:H17"/>
    <mergeCell ref="A16:B16"/>
    <mergeCell ref="C16:D16"/>
    <mergeCell ref="E16:F16"/>
    <mergeCell ref="G16:H16"/>
    <mergeCell ref="I16:J16"/>
    <mergeCell ref="K16:L16"/>
    <mergeCell ref="M16:N16"/>
    <mergeCell ref="A14:B14"/>
    <mergeCell ref="C14:D14"/>
    <mergeCell ref="E14:F14"/>
    <mergeCell ref="G14:H14"/>
    <mergeCell ref="I14:J14"/>
    <mergeCell ref="K14:L14"/>
    <mergeCell ref="M14:N14"/>
    <mergeCell ref="A15:B15"/>
    <mergeCell ref="C15:D15"/>
    <mergeCell ref="E15:F15"/>
    <mergeCell ref="G15:H15"/>
    <mergeCell ref="I15:J15"/>
    <mergeCell ref="K15:L15"/>
    <mergeCell ref="R8:T8"/>
    <mergeCell ref="S11:V11"/>
    <mergeCell ref="U8:W8"/>
    <mergeCell ref="A13:B13"/>
    <mergeCell ref="C13:D13"/>
    <mergeCell ref="E13:F13"/>
    <mergeCell ref="G13:H13"/>
    <mergeCell ref="I13:J13"/>
    <mergeCell ref="K13:L13"/>
    <mergeCell ref="M13:N13"/>
    <mergeCell ref="P12:R13"/>
    <mergeCell ref="M12:N12"/>
    <mergeCell ref="A12:B12"/>
    <mergeCell ref="C12:D12"/>
    <mergeCell ref="E12:F12"/>
    <mergeCell ref="G12:H12"/>
    <mergeCell ref="I12:J12"/>
    <mergeCell ref="K12:L12"/>
    <mergeCell ref="G8:I8"/>
    <mergeCell ref="J8:L8"/>
    <mergeCell ref="P8:Q8"/>
    <mergeCell ref="M11:N11"/>
    <mergeCell ref="P11:R11"/>
    <mergeCell ref="A8:C8"/>
    <mergeCell ref="A1:A3"/>
    <mergeCell ref="W1:X1"/>
    <mergeCell ref="H1:S2"/>
    <mergeCell ref="T1:T3"/>
    <mergeCell ref="U1:V1"/>
    <mergeCell ref="U2:V3"/>
    <mergeCell ref="H3:S3"/>
    <mergeCell ref="Y1:Z1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G6:I6"/>
    <mergeCell ref="J6:L6"/>
    <mergeCell ref="P6:Q6"/>
    <mergeCell ref="R6:T6"/>
    <mergeCell ref="U6:W6"/>
    <mergeCell ref="X6:Z6"/>
    <mergeCell ref="K11:L11"/>
    <mergeCell ref="P22:U22"/>
    <mergeCell ref="V23:X23"/>
    <mergeCell ref="Y23:Z23"/>
    <mergeCell ref="S26:U26"/>
    <mergeCell ref="V26:X26"/>
    <mergeCell ref="M17:N17"/>
    <mergeCell ref="Y26:Z26"/>
    <mergeCell ref="V27:X27"/>
    <mergeCell ref="Y27:Z27"/>
    <mergeCell ref="S14:V15"/>
    <mergeCell ref="W14:Z15"/>
    <mergeCell ref="S16:T17"/>
    <mergeCell ref="U16:V17"/>
    <mergeCell ref="W16:X17"/>
    <mergeCell ref="S18:T20"/>
    <mergeCell ref="U18:V20"/>
    <mergeCell ref="W18:X20"/>
    <mergeCell ref="P16:R17"/>
    <mergeCell ref="D8:F8"/>
    <mergeCell ref="V30:X30"/>
    <mergeCell ref="Y30:Z30"/>
    <mergeCell ref="P14:R15"/>
    <mergeCell ref="M15:N15"/>
    <mergeCell ref="B1:C1"/>
    <mergeCell ref="D1:E1"/>
    <mergeCell ref="F1:G1"/>
    <mergeCell ref="B2:C3"/>
    <mergeCell ref="D2:E3"/>
    <mergeCell ref="F2:G3"/>
    <mergeCell ref="X8:Z8"/>
    <mergeCell ref="W11:Z11"/>
    <mergeCell ref="Y18:Z20"/>
    <mergeCell ref="S12:V13"/>
    <mergeCell ref="W12:Z13"/>
    <mergeCell ref="Y16:Z17"/>
    <mergeCell ref="W2:X3"/>
    <mergeCell ref="Y2:Z3"/>
    <mergeCell ref="A11:B11"/>
    <mergeCell ref="C11:D11"/>
    <mergeCell ref="E11:F11"/>
    <mergeCell ref="G11:H11"/>
    <mergeCell ref="I11:J1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zoomScaleNormal="100" zoomScaleSheetLayoutView="100" workbookViewId="0">
      <selection activeCell="D8" sqref="D8:F8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213</v>
      </c>
      <c r="C2" s="135"/>
      <c r="D2" s="135" t="s">
        <v>214</v>
      </c>
      <c r="E2" s="135"/>
      <c r="F2" s="135" t="s">
        <v>215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05"/>
      <c r="E3" s="105"/>
      <c r="F3" s="105"/>
      <c r="G3" s="105"/>
      <c r="H3" s="132">
        <v>46232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74612</v>
      </c>
      <c r="E7" s="139"/>
      <c r="F7" s="139"/>
      <c r="G7" s="139">
        <v>123300</v>
      </c>
      <c r="H7" s="139"/>
      <c r="I7" s="139"/>
      <c r="J7" s="154">
        <f>D7+G7</f>
        <v>197912</v>
      </c>
      <c r="K7" s="154"/>
      <c r="L7" s="154"/>
      <c r="M7" s="1"/>
      <c r="N7" s="1"/>
      <c r="O7" s="1"/>
      <c r="P7" s="105" t="s">
        <v>48</v>
      </c>
      <c r="Q7" s="105"/>
      <c r="R7" s="140">
        <v>467.4</v>
      </c>
      <c r="S7" s="140"/>
      <c r="T7" s="140"/>
      <c r="U7" s="140">
        <v>53.9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'28'!D8+'29'!D7</f>
        <v>2138960</v>
      </c>
      <c r="E8" s="154"/>
      <c r="F8" s="154"/>
      <c r="G8" s="154">
        <f>'28'!G8+'29'!G7</f>
        <v>4164200</v>
      </c>
      <c r="H8" s="154"/>
      <c r="I8" s="154"/>
      <c r="J8" s="154">
        <f>D8+G8</f>
        <v>6303160</v>
      </c>
      <c r="K8" s="154"/>
      <c r="L8" s="154"/>
      <c r="M8" s="1"/>
      <c r="N8" s="1"/>
      <c r="O8" s="1"/>
      <c r="P8" s="104" t="s">
        <v>2</v>
      </c>
      <c r="Q8" s="104"/>
      <c r="R8" s="137">
        <f>'28'!R8+R7</f>
        <v>14144.2</v>
      </c>
      <c r="S8" s="137"/>
      <c r="T8" s="137"/>
      <c r="U8" s="137">
        <f>'28'!U8+U7</f>
        <v>8426.7999999999975</v>
      </c>
      <c r="V8" s="137"/>
      <c r="W8" s="137"/>
      <c r="X8" s="138">
        <f>'28'!X8+'29'!X7</f>
        <v>696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'28'!I12</f>
        <v>12765</v>
      </c>
      <c r="D12" s="174"/>
      <c r="E12" s="105">
        <v>4870</v>
      </c>
      <c r="F12" s="105"/>
      <c r="G12" s="105">
        <v>3776</v>
      </c>
      <c r="H12" s="105"/>
      <c r="I12" s="107">
        <f t="shared" ref="I12:I18" si="0">C12+E12-G12</f>
        <v>13859</v>
      </c>
      <c r="J12" s="109"/>
      <c r="K12" s="105">
        <f>'28'!K12+'29'!E12</f>
        <v>117160</v>
      </c>
      <c r="L12" s="105"/>
      <c r="M12" s="105">
        <f>'28'!M12+G12</f>
        <v>118215</v>
      </c>
      <c r="N12" s="105"/>
      <c r="O12" s="1"/>
      <c r="P12" s="149" t="s">
        <v>101</v>
      </c>
      <c r="Q12" s="105"/>
      <c r="R12" s="105"/>
      <c r="S12" s="143">
        <v>57.25</v>
      </c>
      <c r="T12" s="144"/>
      <c r="U12" s="144"/>
      <c r="V12" s="144"/>
      <c r="W12" s="194">
        <f>'28'!W12+'29'!S12</f>
        <v>1072.2400000000002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'28'!I13</f>
        <v>570</v>
      </c>
      <c r="D13" s="174"/>
      <c r="E13" s="104">
        <v>390</v>
      </c>
      <c r="F13" s="104"/>
      <c r="G13" s="104">
        <v>50</v>
      </c>
      <c r="H13" s="104"/>
      <c r="I13" s="102">
        <f t="shared" si="0"/>
        <v>910</v>
      </c>
      <c r="J13" s="103"/>
      <c r="K13" s="102">
        <f>'28'!K13+'29'!E13</f>
        <v>2810</v>
      </c>
      <c r="L13" s="103"/>
      <c r="M13" s="102">
        <f>'28'!M13+G13</f>
        <v>2490</v>
      </c>
      <c r="N13" s="103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'28'!I14</f>
        <v>1240</v>
      </c>
      <c r="D14" s="174"/>
      <c r="E14" s="104">
        <v>0</v>
      </c>
      <c r="F14" s="104"/>
      <c r="G14" s="104">
        <v>120</v>
      </c>
      <c r="H14" s="104"/>
      <c r="I14" s="102">
        <f t="shared" si="0"/>
        <v>1120</v>
      </c>
      <c r="J14" s="103"/>
      <c r="K14" s="102">
        <f>'28'!K14+'29'!E14</f>
        <v>4000</v>
      </c>
      <c r="L14" s="103"/>
      <c r="M14" s="102">
        <f>'28'!M14+G14</f>
        <v>3480</v>
      </c>
      <c r="N14" s="103"/>
      <c r="O14" s="1"/>
      <c r="P14" s="104" t="s">
        <v>26</v>
      </c>
      <c r="Q14" s="104"/>
      <c r="R14" s="104"/>
      <c r="S14" s="155">
        <v>25.78</v>
      </c>
      <c r="T14" s="156"/>
      <c r="U14" s="156"/>
      <c r="V14" s="156"/>
      <c r="W14" s="186">
        <f>'28'!W14+'29'!S14</f>
        <v>209.92999999999998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'28'!I15</f>
        <v>684</v>
      </c>
      <c r="D15" s="174"/>
      <c r="E15" s="104">
        <v>0</v>
      </c>
      <c r="F15" s="104"/>
      <c r="G15" s="104">
        <v>0</v>
      </c>
      <c r="H15" s="104"/>
      <c r="I15" s="102">
        <f t="shared" si="0"/>
        <v>684</v>
      </c>
      <c r="J15" s="103"/>
      <c r="K15" s="102">
        <f>'28'!K15+'29'!E15</f>
        <v>0</v>
      </c>
      <c r="L15" s="103"/>
      <c r="M15" s="102">
        <f>'28'!M15+G15</f>
        <v>615</v>
      </c>
      <c r="N15" s="103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'28'!I16</f>
        <v>1790</v>
      </c>
      <c r="D16" s="174"/>
      <c r="E16" s="104">
        <v>0</v>
      </c>
      <c r="F16" s="104"/>
      <c r="G16" s="104">
        <v>20</v>
      </c>
      <c r="H16" s="104"/>
      <c r="I16" s="102">
        <f t="shared" si="0"/>
        <v>1770</v>
      </c>
      <c r="J16" s="103"/>
      <c r="K16" s="102">
        <f>'28'!K16+'29'!E16</f>
        <v>0</v>
      </c>
      <c r="L16" s="103"/>
      <c r="M16" s="102">
        <f>'28'!M16+G16</f>
        <v>580</v>
      </c>
      <c r="N16" s="103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'28'!I17</f>
        <v>3450</v>
      </c>
      <c r="D17" s="174"/>
      <c r="E17" s="104">
        <v>0</v>
      </c>
      <c r="F17" s="104"/>
      <c r="G17" s="104">
        <v>200</v>
      </c>
      <c r="H17" s="104"/>
      <c r="I17" s="102">
        <f t="shared" si="0"/>
        <v>3250</v>
      </c>
      <c r="J17" s="103"/>
      <c r="K17" s="102">
        <f>'28'!K17+'29'!E17</f>
        <v>7200</v>
      </c>
      <c r="L17" s="103"/>
      <c r="M17" s="102">
        <f>'28'!M17+G17</f>
        <v>5800</v>
      </c>
      <c r="N17" s="103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'28'!I18</f>
        <v>4990</v>
      </c>
      <c r="D18" s="174"/>
      <c r="E18" s="104">
        <v>0</v>
      </c>
      <c r="F18" s="104"/>
      <c r="G18" s="104">
        <v>0</v>
      </c>
      <c r="H18" s="104"/>
      <c r="I18" s="102">
        <f t="shared" si="0"/>
        <v>4990</v>
      </c>
      <c r="J18" s="103"/>
      <c r="K18" s="102">
        <f>'28'!K18+'29'!E18</f>
        <v>0</v>
      </c>
      <c r="L18" s="103"/>
      <c r="M18" s="102">
        <f>'28'!M18+G18</f>
        <v>350</v>
      </c>
      <c r="N18" s="103"/>
      <c r="O18" s="1"/>
      <c r="P18" s="164" t="s">
        <v>27</v>
      </c>
      <c r="Q18" s="164"/>
      <c r="R18" s="164"/>
      <c r="S18" s="114">
        <v>2</v>
      </c>
      <c r="T18" s="115"/>
      <c r="U18" s="114">
        <v>2</v>
      </c>
      <c r="V18" s="115"/>
      <c r="W18" s="114">
        <f>S18+U18</f>
        <v>4</v>
      </c>
      <c r="X18" s="115"/>
      <c r="Y18" s="151">
        <f>'28'!Y18+'29'!W18</f>
        <v>90</v>
      </c>
      <c r="Z18" s="151"/>
    </row>
    <row r="19" spans="1:31" ht="21.9" customHeight="1">
      <c r="A19" s="153" t="s">
        <v>62</v>
      </c>
      <c r="B19" s="153"/>
      <c r="C19" s="174">
        <f>'28'!I19</f>
        <v>117182</v>
      </c>
      <c r="D19" s="174"/>
      <c r="E19" s="154">
        <v>44760</v>
      </c>
      <c r="F19" s="154"/>
      <c r="G19" s="154">
        <f>D7</f>
        <v>74612</v>
      </c>
      <c r="H19" s="154"/>
      <c r="I19" s="99">
        <f t="shared" ref="I19" si="1">C19+E19-G19</f>
        <v>87330</v>
      </c>
      <c r="J19" s="101"/>
      <c r="K19" s="99">
        <f>'28'!K19+'29'!E19</f>
        <v>2116290</v>
      </c>
      <c r="L19" s="101"/>
      <c r="M19" s="99">
        <f>'28'!M19+G19</f>
        <v>2138960</v>
      </c>
      <c r="N19" s="101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'28'!I20</f>
        <v>-</v>
      </c>
      <c r="D20" s="174"/>
      <c r="E20" s="102">
        <v>0</v>
      </c>
      <c r="F20" s="103"/>
      <c r="G20" s="104">
        <v>0</v>
      </c>
      <c r="H20" s="104"/>
      <c r="I20" s="102" t="s">
        <v>60</v>
      </c>
      <c r="J20" s="103"/>
      <c r="K20" s="105">
        <f>'28'!K20+'29'!E20</f>
        <v>0</v>
      </c>
      <c r="L20" s="105"/>
      <c r="M20" s="99">
        <f>'28'!M20+G20</f>
        <v>0</v>
      </c>
      <c r="N20" s="101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'28'!G24</f>
        <v>4304153</v>
      </c>
      <c r="E24" s="187"/>
      <c r="F24" s="187"/>
      <c r="G24" s="164">
        <v>4327173</v>
      </c>
      <c r="H24" s="164"/>
      <c r="I24" s="164"/>
      <c r="J24" s="164">
        <f>IF(G24-D24&lt;0,,G24-D24)</f>
        <v>23020</v>
      </c>
      <c r="K24" s="164"/>
      <c r="L24" s="164"/>
      <c r="M24" s="164">
        <f>'28'!M24+J24</f>
        <v>655605</v>
      </c>
      <c r="N24" s="164"/>
      <c r="P24" s="105" t="s">
        <v>36</v>
      </c>
      <c r="Q24" s="105"/>
      <c r="R24" s="105"/>
      <c r="S24" s="105">
        <f>'28'!V24</f>
        <v>554.70000000000005</v>
      </c>
      <c r="T24" s="105"/>
      <c r="U24" s="105"/>
      <c r="V24" s="140">
        <v>540.1</v>
      </c>
      <c r="W24" s="140"/>
      <c r="X24" s="140"/>
      <c r="Y24" s="140">
        <f>'28'!Y24+'29'!V24</f>
        <v>14948.400000000001</v>
      </c>
      <c r="Z24" s="140"/>
    </row>
    <row r="25" spans="1:31" ht="21.9" customHeight="1">
      <c r="A25" s="104" t="s">
        <v>30</v>
      </c>
      <c r="B25" s="104"/>
      <c r="C25" s="104"/>
      <c r="D25" s="104">
        <f>'28'!G25</f>
        <v>33704.300000000003</v>
      </c>
      <c r="E25" s="104"/>
      <c r="F25" s="104"/>
      <c r="G25" s="104">
        <v>33736.5</v>
      </c>
      <c r="H25" s="104"/>
      <c r="I25" s="104"/>
      <c r="J25" s="102">
        <f t="shared" ref="J25:J30" si="2">IF(G25-D25&lt;0,,G25-D25)</f>
        <v>32.19999999999709</v>
      </c>
      <c r="K25" s="106"/>
      <c r="L25" s="103"/>
      <c r="M25" s="102">
        <f>'28'!M25+J25</f>
        <v>972.40000000000146</v>
      </c>
      <c r="N25" s="103"/>
      <c r="P25" s="104" t="s">
        <v>37</v>
      </c>
      <c r="Q25" s="104"/>
      <c r="R25" s="104"/>
      <c r="S25" s="102">
        <f>'28'!V25</f>
        <v>69.7</v>
      </c>
      <c r="T25" s="106"/>
      <c r="U25" s="103"/>
      <c r="V25" s="137">
        <v>65</v>
      </c>
      <c r="W25" s="137"/>
      <c r="X25" s="137"/>
      <c r="Y25" s="188">
        <f>'28'!Y25+'29'!V25</f>
        <v>1766.6</v>
      </c>
      <c r="Z25" s="190"/>
    </row>
    <row r="26" spans="1:31" ht="21.9" customHeight="1">
      <c r="A26" s="104" t="s">
        <v>31</v>
      </c>
      <c r="B26" s="104"/>
      <c r="C26" s="104"/>
      <c r="D26" s="104">
        <f>'28'!G26</f>
        <v>24870</v>
      </c>
      <c r="E26" s="104"/>
      <c r="F26" s="104"/>
      <c r="G26" s="104">
        <v>24900</v>
      </c>
      <c r="H26" s="104"/>
      <c r="I26" s="104"/>
      <c r="J26" s="102">
        <f t="shared" si="2"/>
        <v>30</v>
      </c>
      <c r="K26" s="106"/>
      <c r="L26" s="103"/>
      <c r="M26" s="102">
        <f>'28'!M26+J26</f>
        <v>600</v>
      </c>
      <c r="N26" s="103"/>
      <c r="P26" s="104" t="s">
        <v>38</v>
      </c>
      <c r="Q26" s="104"/>
      <c r="R26" s="104"/>
      <c r="S26" s="102">
        <f>'28'!V26</f>
        <v>617.1</v>
      </c>
      <c r="T26" s="106"/>
      <c r="U26" s="103"/>
      <c r="V26" s="137">
        <v>589</v>
      </c>
      <c r="W26" s="137"/>
      <c r="X26" s="137"/>
      <c r="Y26" s="188">
        <f>'28'!Y26+'29'!V26</f>
        <v>15090.899999999998</v>
      </c>
      <c r="Z26" s="190"/>
    </row>
    <row r="27" spans="1:31" ht="21.9" customHeight="1">
      <c r="A27" s="104" t="s">
        <v>32</v>
      </c>
      <c r="B27" s="104"/>
      <c r="C27" s="104"/>
      <c r="D27" s="104">
        <f>'28'!G27</f>
        <v>1433000</v>
      </c>
      <c r="E27" s="104"/>
      <c r="F27" s="104"/>
      <c r="G27" s="104">
        <v>1436000</v>
      </c>
      <c r="H27" s="104"/>
      <c r="I27" s="104"/>
      <c r="J27" s="102">
        <f t="shared" si="2"/>
        <v>3000</v>
      </c>
      <c r="K27" s="106"/>
      <c r="L27" s="103"/>
      <c r="M27" s="102">
        <f>'28'!M27+J27</f>
        <v>97000</v>
      </c>
      <c r="N27" s="103"/>
      <c r="P27" s="104" t="s">
        <v>39</v>
      </c>
      <c r="Q27" s="104"/>
      <c r="R27" s="104"/>
      <c r="S27" s="102">
        <f>'28'!V27</f>
        <v>511.7</v>
      </c>
      <c r="T27" s="106"/>
      <c r="U27" s="103"/>
      <c r="V27" s="137">
        <v>524.79999999999995</v>
      </c>
      <c r="W27" s="137"/>
      <c r="X27" s="137"/>
      <c r="Y27" s="188">
        <f>'28'!Y27+'29'!V27</f>
        <v>14860.199999999999</v>
      </c>
      <c r="Z27" s="190"/>
    </row>
    <row r="28" spans="1:31" ht="21.9" customHeight="1">
      <c r="A28" s="104" t="s">
        <v>33</v>
      </c>
      <c r="B28" s="104"/>
      <c r="C28" s="104"/>
      <c r="D28" s="104">
        <f>'28'!G28</f>
        <v>6440</v>
      </c>
      <c r="E28" s="104"/>
      <c r="F28" s="104"/>
      <c r="G28" s="104">
        <v>6490</v>
      </c>
      <c r="H28" s="104"/>
      <c r="I28" s="104"/>
      <c r="J28" s="102">
        <f t="shared" si="2"/>
        <v>50</v>
      </c>
      <c r="K28" s="106"/>
      <c r="L28" s="103"/>
      <c r="M28" s="102">
        <f>'28'!M28+J28</f>
        <v>1552</v>
      </c>
      <c r="N28" s="103"/>
      <c r="P28" s="104" t="s">
        <v>41</v>
      </c>
      <c r="Q28" s="104"/>
      <c r="R28" s="104"/>
      <c r="S28" s="102">
        <f>'28'!V28</f>
        <v>0</v>
      </c>
      <c r="T28" s="106"/>
      <c r="U28" s="103"/>
      <c r="V28" s="137">
        <v>0</v>
      </c>
      <c r="W28" s="137"/>
      <c r="X28" s="137"/>
      <c r="Y28" s="188">
        <f>'28'!Y28+'29'!V28</f>
        <v>0</v>
      </c>
      <c r="Z28" s="190"/>
    </row>
    <row r="29" spans="1:31" ht="21.9" customHeight="1">
      <c r="A29" s="104" t="s">
        <v>34</v>
      </c>
      <c r="B29" s="104"/>
      <c r="C29" s="104"/>
      <c r="D29" s="104">
        <f>'28'!G29</f>
        <v>66260</v>
      </c>
      <c r="E29" s="104"/>
      <c r="F29" s="104"/>
      <c r="G29" s="104">
        <v>66260</v>
      </c>
      <c r="H29" s="104"/>
      <c r="I29" s="104"/>
      <c r="J29" s="102">
        <f t="shared" si="2"/>
        <v>0</v>
      </c>
      <c r="K29" s="106"/>
      <c r="L29" s="103"/>
      <c r="M29" s="102">
        <f>'28'!M29+J29</f>
        <v>80</v>
      </c>
      <c r="N29" s="103"/>
      <c r="P29" s="104" t="s">
        <v>40</v>
      </c>
      <c r="Q29" s="104"/>
      <c r="R29" s="104"/>
      <c r="S29" s="102">
        <f>'28'!V29</f>
        <v>82</v>
      </c>
      <c r="T29" s="106"/>
      <c r="U29" s="103"/>
      <c r="V29" s="137">
        <v>75.3</v>
      </c>
      <c r="W29" s="137"/>
      <c r="X29" s="137"/>
      <c r="Y29" s="188">
        <f>'28'!Y29+'29'!V29</f>
        <v>2025.7999999999997</v>
      </c>
      <c r="Z29" s="190"/>
    </row>
    <row r="30" spans="1:31" ht="21.9" customHeight="1">
      <c r="A30" s="104" t="s">
        <v>35</v>
      </c>
      <c r="B30" s="104"/>
      <c r="C30" s="104"/>
      <c r="D30" s="104">
        <f>'28'!G30</f>
        <v>53570</v>
      </c>
      <c r="E30" s="104"/>
      <c r="F30" s="104"/>
      <c r="G30" s="104">
        <v>53590</v>
      </c>
      <c r="H30" s="104"/>
      <c r="I30" s="104"/>
      <c r="J30" s="102">
        <f t="shared" si="2"/>
        <v>20</v>
      </c>
      <c r="K30" s="106"/>
      <c r="L30" s="103"/>
      <c r="M30" s="102">
        <f>'28'!M30+J30</f>
        <v>370</v>
      </c>
      <c r="N30" s="103"/>
      <c r="P30" s="104" t="s">
        <v>28</v>
      </c>
      <c r="Q30" s="104"/>
      <c r="R30" s="104"/>
      <c r="S30" s="102">
        <f>'28'!V30</f>
        <v>0</v>
      </c>
      <c r="T30" s="106"/>
      <c r="U30" s="103"/>
      <c r="V30" s="137"/>
      <c r="W30" s="137"/>
      <c r="X30" s="137"/>
      <c r="Y30" s="188">
        <f>'28'!Y30+'29'!V30</f>
        <v>1528.3</v>
      </c>
      <c r="Z30" s="190"/>
    </row>
    <row r="31" spans="1:31" ht="21.9" customHeight="1">
      <c r="A31" s="104" t="s">
        <v>120</v>
      </c>
      <c r="B31" s="104"/>
      <c r="C31" s="104"/>
      <c r="D31" s="104">
        <f>'28'!G31</f>
        <v>6419418</v>
      </c>
      <c r="E31" s="104"/>
      <c r="F31" s="104"/>
      <c r="G31" s="102">
        <v>6427071</v>
      </c>
      <c r="H31" s="106"/>
      <c r="I31" s="103"/>
      <c r="J31" s="104">
        <f t="shared" ref="J31:J33" si="3">G31-D31</f>
        <v>7653</v>
      </c>
      <c r="K31" s="104"/>
      <c r="L31" s="104"/>
      <c r="M31" s="102">
        <f>'28'!M31+J31</f>
        <v>224976</v>
      </c>
      <c r="N31" s="103"/>
      <c r="P31" s="57"/>
      <c r="Q31" s="57"/>
      <c r="R31" s="57"/>
      <c r="S31" s="57"/>
      <c r="T31" s="57"/>
      <c r="U31" s="57"/>
      <c r="V31" s="58"/>
      <c r="W31" s="58"/>
      <c r="X31" s="58"/>
      <c r="Y31" s="58"/>
      <c r="Z31" s="58"/>
    </row>
    <row r="32" spans="1:31" ht="21.9" customHeight="1">
      <c r="A32" s="104" t="s">
        <v>121</v>
      </c>
      <c r="B32" s="104"/>
      <c r="C32" s="104"/>
      <c r="D32" s="104">
        <f>'28'!G32</f>
        <v>1.8</v>
      </c>
      <c r="E32" s="104"/>
      <c r="F32" s="104"/>
      <c r="G32" s="102">
        <v>1.8</v>
      </c>
      <c r="H32" s="106"/>
      <c r="I32" s="103"/>
      <c r="J32" s="102">
        <f t="shared" si="3"/>
        <v>0</v>
      </c>
      <c r="K32" s="106">
        <v>12.255000000000001</v>
      </c>
      <c r="L32" s="103">
        <v>12.255000000000001</v>
      </c>
      <c r="M32" s="102">
        <f>'28'!M32+J32</f>
        <v>0.19999999999999996</v>
      </c>
      <c r="N32" s="103"/>
      <c r="P32" s="57"/>
      <c r="Q32" s="57"/>
      <c r="R32" s="57"/>
      <c r="S32" s="57"/>
      <c r="T32" s="57"/>
      <c r="U32" s="57"/>
      <c r="V32" s="58"/>
      <c r="W32" s="58"/>
      <c r="X32" s="58"/>
      <c r="Y32" s="58"/>
      <c r="Z32" s="58"/>
    </row>
    <row r="33" spans="1:26" ht="21.9" customHeight="1">
      <c r="A33" s="104" t="s">
        <v>122</v>
      </c>
      <c r="B33" s="104"/>
      <c r="C33" s="104"/>
      <c r="D33" s="104">
        <f>'28'!G33</f>
        <v>0</v>
      </c>
      <c r="E33" s="104"/>
      <c r="F33" s="104"/>
      <c r="G33" s="102">
        <v>0</v>
      </c>
      <c r="H33" s="106"/>
      <c r="I33" s="103"/>
      <c r="J33" s="102">
        <f t="shared" si="3"/>
        <v>0</v>
      </c>
      <c r="K33" s="106">
        <v>12.255000000000001</v>
      </c>
      <c r="L33" s="103">
        <v>12.255000000000001</v>
      </c>
      <c r="M33" s="102">
        <f>'28'!M33+J33</f>
        <v>0</v>
      </c>
      <c r="N33" s="103"/>
      <c r="P33" s="57"/>
      <c r="Q33" s="57"/>
      <c r="R33" s="57"/>
      <c r="S33" s="57"/>
      <c r="T33" s="57"/>
      <c r="U33" s="57"/>
      <c r="V33" s="58"/>
      <c r="W33" s="58"/>
      <c r="X33" s="58"/>
      <c r="Y33" s="58"/>
      <c r="Z33" s="58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U2:Z3 D7:I7 R7:Z7 E12:H20 S12:V15 S18:V20 G24:I30 V24:X33" name="범위1"/>
    <protectedRange sqref="H3" name="범위2_1"/>
    <protectedRange sqref="G32:L33 G31:I31" name="범위3_1_1_2_1"/>
    <protectedRange sqref="B2:G3" name="범위1_1"/>
  </protectedRanges>
  <mergeCells count="223">
    <mergeCell ref="A63:B76"/>
    <mergeCell ref="C63:Z76"/>
    <mergeCell ref="Y1:Z1"/>
    <mergeCell ref="W2:X3"/>
    <mergeCell ref="Y2:Z3"/>
    <mergeCell ref="A1:A3"/>
    <mergeCell ref="W1:X1"/>
    <mergeCell ref="H1:S2"/>
    <mergeCell ref="T1:T3"/>
    <mergeCell ref="U1:V1"/>
    <mergeCell ref="U2:V3"/>
    <mergeCell ref="H3:S3"/>
    <mergeCell ref="B1:C1"/>
    <mergeCell ref="D1:E1"/>
    <mergeCell ref="F1:G1"/>
    <mergeCell ref="B2:C3"/>
    <mergeCell ref="D2:E3"/>
    <mergeCell ref="F2:G3"/>
    <mergeCell ref="U6:W6"/>
    <mergeCell ref="X6:Z6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G6:I6"/>
    <mergeCell ref="J6:L6"/>
    <mergeCell ref="P6:Q6"/>
    <mergeCell ref="R6:T6"/>
    <mergeCell ref="S12:V13"/>
    <mergeCell ref="W12:Z13"/>
    <mergeCell ref="U8:W8"/>
    <mergeCell ref="X8:Z8"/>
    <mergeCell ref="A11:B11"/>
    <mergeCell ref="C11:D11"/>
    <mergeCell ref="E11:F11"/>
    <mergeCell ref="G11:H11"/>
    <mergeCell ref="I11:J11"/>
    <mergeCell ref="K11:L11"/>
    <mergeCell ref="M11:N11"/>
    <mergeCell ref="P11:R11"/>
    <mergeCell ref="A8:C8"/>
    <mergeCell ref="D8:F8"/>
    <mergeCell ref="G8:I8"/>
    <mergeCell ref="J8:L8"/>
    <mergeCell ref="P8:Q8"/>
    <mergeCell ref="R8:T8"/>
    <mergeCell ref="S11:V11"/>
    <mergeCell ref="W11:Z11"/>
    <mergeCell ref="P12:R13"/>
    <mergeCell ref="A12:B12"/>
    <mergeCell ref="C12:D12"/>
    <mergeCell ref="E12:F12"/>
    <mergeCell ref="G12:H12"/>
    <mergeCell ref="I12:J12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K14:L14"/>
    <mergeCell ref="M14:N14"/>
    <mergeCell ref="I15:J15"/>
    <mergeCell ref="K15:L15"/>
    <mergeCell ref="I17:J17"/>
    <mergeCell ref="K17:L17"/>
    <mergeCell ref="M15:N15"/>
    <mergeCell ref="A16:B16"/>
    <mergeCell ref="C16:D16"/>
    <mergeCell ref="E16:F16"/>
    <mergeCell ref="G16:H16"/>
    <mergeCell ref="I16:J16"/>
    <mergeCell ref="K16:L16"/>
    <mergeCell ref="M16:N16"/>
    <mergeCell ref="M17:N17"/>
    <mergeCell ref="A15:B15"/>
    <mergeCell ref="C15:D15"/>
    <mergeCell ref="E15:F15"/>
    <mergeCell ref="G15:H15"/>
    <mergeCell ref="A14:B14"/>
    <mergeCell ref="C14:D14"/>
    <mergeCell ref="E14:F14"/>
    <mergeCell ref="G14:H14"/>
    <mergeCell ref="I14:J14"/>
    <mergeCell ref="G18:H18"/>
    <mergeCell ref="I18:J18"/>
    <mergeCell ref="K18:L18"/>
    <mergeCell ref="M18:N18"/>
    <mergeCell ref="P16:R17"/>
    <mergeCell ref="A17:B17"/>
    <mergeCell ref="C17:D17"/>
    <mergeCell ref="E17:F17"/>
    <mergeCell ref="G17:H17"/>
    <mergeCell ref="A23:C23"/>
    <mergeCell ref="D23:F23"/>
    <mergeCell ref="G23:I23"/>
    <mergeCell ref="J23:L23"/>
    <mergeCell ref="M23:N23"/>
    <mergeCell ref="P23:R23"/>
    <mergeCell ref="S23:U23"/>
    <mergeCell ref="P18:R20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A18:B18"/>
    <mergeCell ref="C18:D18"/>
    <mergeCell ref="E18:F18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A28:C28"/>
    <mergeCell ref="D28:F28"/>
    <mergeCell ref="G28:I28"/>
    <mergeCell ref="J28:L28"/>
    <mergeCell ref="M28:N28"/>
    <mergeCell ref="P28:R28"/>
    <mergeCell ref="S28:U28"/>
    <mergeCell ref="V28:X28"/>
    <mergeCell ref="Y28:Z28"/>
    <mergeCell ref="A29:C29"/>
    <mergeCell ref="D29:F29"/>
    <mergeCell ref="G29:I29"/>
    <mergeCell ref="J29:L29"/>
    <mergeCell ref="M29:N29"/>
    <mergeCell ref="P29:R29"/>
    <mergeCell ref="S29:U29"/>
    <mergeCell ref="V29:X29"/>
    <mergeCell ref="Y29:Z29"/>
    <mergeCell ref="A36:B48"/>
    <mergeCell ref="C36:Z48"/>
    <mergeCell ref="A49:B62"/>
    <mergeCell ref="C49:Z62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M33:N33"/>
    <mergeCell ref="S14:V15"/>
    <mergeCell ref="W14:Z15"/>
    <mergeCell ref="S16:T17"/>
    <mergeCell ref="U16:V17"/>
    <mergeCell ref="W16:X17"/>
    <mergeCell ref="S18:T20"/>
    <mergeCell ref="U18:V20"/>
    <mergeCell ref="W18:X20"/>
    <mergeCell ref="S30:U30"/>
    <mergeCell ref="V30:X30"/>
    <mergeCell ref="Y30:Z30"/>
    <mergeCell ref="S26:U26"/>
    <mergeCell ref="V26:X26"/>
    <mergeCell ref="Y26:Z26"/>
    <mergeCell ref="V27:X27"/>
    <mergeCell ref="Y27:Z27"/>
    <mergeCell ref="V23:X23"/>
    <mergeCell ref="Y23:Z23"/>
    <mergeCell ref="Y18:Z20"/>
    <mergeCell ref="Y16:Z17"/>
    <mergeCell ref="M20:N20"/>
    <mergeCell ref="P22:U22"/>
    <mergeCell ref="P14:R1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zoomScaleNormal="100" zoomScaleSheetLayoutView="100" workbookViewId="0">
      <selection activeCell="D8" sqref="D8:F8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216</v>
      </c>
      <c r="C2" s="135"/>
      <c r="D2" s="135" t="s">
        <v>217</v>
      </c>
      <c r="E2" s="135"/>
      <c r="F2" s="135" t="s">
        <v>215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05"/>
      <c r="E3" s="105"/>
      <c r="F3" s="105"/>
      <c r="G3" s="105"/>
      <c r="H3" s="132">
        <v>46233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66673</v>
      </c>
      <c r="E7" s="139"/>
      <c r="F7" s="139"/>
      <c r="G7" s="139">
        <v>173800</v>
      </c>
      <c r="H7" s="139"/>
      <c r="I7" s="139"/>
      <c r="J7" s="154">
        <f>D7+G7</f>
        <v>240473</v>
      </c>
      <c r="K7" s="154"/>
      <c r="L7" s="154"/>
      <c r="M7" s="1"/>
      <c r="N7" s="1"/>
      <c r="O7" s="1"/>
      <c r="P7" s="105" t="s">
        <v>48</v>
      </c>
      <c r="Q7" s="105"/>
      <c r="R7" s="140">
        <v>498.3</v>
      </c>
      <c r="S7" s="140"/>
      <c r="T7" s="140"/>
      <c r="U7" s="140">
        <v>342.5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'29'!D8+'30'!D7</f>
        <v>2205633</v>
      </c>
      <c r="E8" s="154"/>
      <c r="F8" s="154"/>
      <c r="G8" s="154">
        <f>'29'!G8+'30'!G7</f>
        <v>4338000</v>
      </c>
      <c r="H8" s="154"/>
      <c r="I8" s="154"/>
      <c r="J8" s="154">
        <f>D8+G8</f>
        <v>6543633</v>
      </c>
      <c r="K8" s="154"/>
      <c r="L8" s="154"/>
      <c r="M8" s="1"/>
      <c r="N8" s="1"/>
      <c r="O8" s="1"/>
      <c r="P8" s="104" t="s">
        <v>2</v>
      </c>
      <c r="Q8" s="104"/>
      <c r="R8" s="137">
        <f>'29'!R8+R7</f>
        <v>14642.5</v>
      </c>
      <c r="S8" s="137"/>
      <c r="T8" s="137"/>
      <c r="U8" s="137">
        <f>'29'!U8+U7</f>
        <v>8769.2999999999975</v>
      </c>
      <c r="V8" s="137"/>
      <c r="W8" s="137"/>
      <c r="X8" s="138">
        <f>'29'!X8+'30'!X7</f>
        <v>720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107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'29'!I12</f>
        <v>13859</v>
      </c>
      <c r="D12" s="174"/>
      <c r="E12" s="105">
        <v>0</v>
      </c>
      <c r="F12" s="105"/>
      <c r="G12" s="105">
        <v>4682</v>
      </c>
      <c r="H12" s="105"/>
      <c r="I12" s="107">
        <f t="shared" ref="I12:I18" si="0">C12+E12-G12</f>
        <v>9177</v>
      </c>
      <c r="J12" s="109"/>
      <c r="K12" s="105">
        <f>'29'!K12+'30'!E12</f>
        <v>117160</v>
      </c>
      <c r="L12" s="105"/>
      <c r="M12" s="105">
        <f>'29'!M12+G12</f>
        <v>122897</v>
      </c>
      <c r="N12" s="105"/>
      <c r="O12" s="1"/>
      <c r="P12" s="149" t="s">
        <v>101</v>
      </c>
      <c r="Q12" s="105"/>
      <c r="R12" s="105"/>
      <c r="S12" s="143">
        <v>30.19</v>
      </c>
      <c r="T12" s="144"/>
      <c r="U12" s="144"/>
      <c r="V12" s="144"/>
      <c r="W12" s="194">
        <f>'29'!W12+'30'!S12</f>
        <v>1102.4300000000003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'29'!I13</f>
        <v>910</v>
      </c>
      <c r="D13" s="174"/>
      <c r="E13" s="104">
        <v>0</v>
      </c>
      <c r="F13" s="104"/>
      <c r="G13" s="104">
        <v>90</v>
      </c>
      <c r="H13" s="104"/>
      <c r="I13" s="102">
        <f t="shared" si="0"/>
        <v>820</v>
      </c>
      <c r="J13" s="103"/>
      <c r="K13" s="102">
        <f>'29'!K13+'30'!E13</f>
        <v>2810</v>
      </c>
      <c r="L13" s="103"/>
      <c r="M13" s="102">
        <f>'29'!M13+G13</f>
        <v>2580</v>
      </c>
      <c r="N13" s="103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'29'!I14</f>
        <v>1120</v>
      </c>
      <c r="D14" s="174"/>
      <c r="E14" s="104">
        <v>0</v>
      </c>
      <c r="F14" s="104"/>
      <c r="G14" s="104">
        <v>120</v>
      </c>
      <c r="H14" s="104"/>
      <c r="I14" s="102">
        <f t="shared" si="0"/>
        <v>1000</v>
      </c>
      <c r="J14" s="103"/>
      <c r="K14" s="102">
        <f>'29'!K14+'30'!E14</f>
        <v>4000</v>
      </c>
      <c r="L14" s="103"/>
      <c r="M14" s="102">
        <f>'29'!M14+G14</f>
        <v>3600</v>
      </c>
      <c r="N14" s="103"/>
      <c r="O14" s="1"/>
      <c r="P14" s="104" t="s">
        <v>26</v>
      </c>
      <c r="Q14" s="104"/>
      <c r="R14" s="104"/>
      <c r="S14" s="155">
        <v>0</v>
      </c>
      <c r="T14" s="156"/>
      <c r="U14" s="156"/>
      <c r="V14" s="156"/>
      <c r="W14" s="186">
        <f>'29'!W14+'30'!S14</f>
        <v>209.92999999999998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'29'!I15</f>
        <v>684</v>
      </c>
      <c r="D15" s="174"/>
      <c r="E15" s="104">
        <v>0</v>
      </c>
      <c r="F15" s="104"/>
      <c r="G15" s="104">
        <v>0</v>
      </c>
      <c r="H15" s="104"/>
      <c r="I15" s="102">
        <f t="shared" si="0"/>
        <v>684</v>
      </c>
      <c r="J15" s="103"/>
      <c r="K15" s="102">
        <f>'29'!K15+'30'!E15</f>
        <v>0</v>
      </c>
      <c r="L15" s="103"/>
      <c r="M15" s="102">
        <f>'29'!M15+G15</f>
        <v>615</v>
      </c>
      <c r="N15" s="103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'29'!I16</f>
        <v>1770</v>
      </c>
      <c r="D16" s="174"/>
      <c r="E16" s="104">
        <v>0</v>
      </c>
      <c r="F16" s="104"/>
      <c r="G16" s="104">
        <v>20</v>
      </c>
      <c r="H16" s="104"/>
      <c r="I16" s="102">
        <f t="shared" si="0"/>
        <v>1750</v>
      </c>
      <c r="J16" s="103"/>
      <c r="K16" s="102">
        <f>'29'!K16+'30'!E16</f>
        <v>0</v>
      </c>
      <c r="L16" s="103"/>
      <c r="M16" s="102">
        <f>'29'!M16+G16</f>
        <v>600</v>
      </c>
      <c r="N16" s="103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106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'29'!I17</f>
        <v>3250</v>
      </c>
      <c r="D17" s="174"/>
      <c r="E17" s="104">
        <v>0</v>
      </c>
      <c r="F17" s="104"/>
      <c r="G17" s="104">
        <v>200</v>
      </c>
      <c r="H17" s="104"/>
      <c r="I17" s="102">
        <f t="shared" si="0"/>
        <v>3050</v>
      </c>
      <c r="J17" s="103"/>
      <c r="K17" s="102">
        <f>'29'!K17+'30'!E17</f>
        <v>7200</v>
      </c>
      <c r="L17" s="103"/>
      <c r="M17" s="102">
        <f>'29'!M17+G17</f>
        <v>6000</v>
      </c>
      <c r="N17" s="103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'29'!I18</f>
        <v>4990</v>
      </c>
      <c r="D18" s="174"/>
      <c r="E18" s="104">
        <v>0</v>
      </c>
      <c r="F18" s="104"/>
      <c r="G18" s="104">
        <v>0</v>
      </c>
      <c r="H18" s="104"/>
      <c r="I18" s="102">
        <f t="shared" si="0"/>
        <v>4990</v>
      </c>
      <c r="J18" s="103"/>
      <c r="K18" s="102">
        <f>'29'!K18+'30'!E18</f>
        <v>0</v>
      </c>
      <c r="L18" s="103"/>
      <c r="M18" s="102">
        <f>'29'!M18+G18</f>
        <v>350</v>
      </c>
      <c r="N18" s="103"/>
      <c r="O18" s="1"/>
      <c r="P18" s="164" t="s">
        <v>27</v>
      </c>
      <c r="Q18" s="164"/>
      <c r="R18" s="164"/>
      <c r="S18" s="114">
        <v>1</v>
      </c>
      <c r="T18" s="115"/>
      <c r="U18" s="114">
        <v>2</v>
      </c>
      <c r="V18" s="115"/>
      <c r="W18" s="114">
        <f>S18+U18</f>
        <v>3</v>
      </c>
      <c r="X18" s="115"/>
      <c r="Y18" s="151">
        <f>'29'!Y18+'30'!W18</f>
        <v>93</v>
      </c>
      <c r="Z18" s="151"/>
    </row>
    <row r="19" spans="1:31" ht="21.9" customHeight="1">
      <c r="A19" s="153" t="s">
        <v>62</v>
      </c>
      <c r="B19" s="153"/>
      <c r="C19" s="174">
        <f>'29'!I19</f>
        <v>87330</v>
      </c>
      <c r="D19" s="174"/>
      <c r="E19" s="154">
        <v>90300</v>
      </c>
      <c r="F19" s="154"/>
      <c r="G19" s="154">
        <f>D7</f>
        <v>66673</v>
      </c>
      <c r="H19" s="154"/>
      <c r="I19" s="99">
        <f t="shared" ref="I19" si="1">C19+E19-G19</f>
        <v>110957</v>
      </c>
      <c r="J19" s="101"/>
      <c r="K19" s="99">
        <f>'29'!K19+'30'!E19</f>
        <v>2206590</v>
      </c>
      <c r="L19" s="101"/>
      <c r="M19" s="99">
        <f>'29'!M19+G19</f>
        <v>2205633</v>
      </c>
      <c r="N19" s="101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'29'!I20</f>
        <v>-</v>
      </c>
      <c r="D20" s="174"/>
      <c r="E20" s="102">
        <v>0</v>
      </c>
      <c r="F20" s="103"/>
      <c r="G20" s="104">
        <v>0</v>
      </c>
      <c r="H20" s="104"/>
      <c r="I20" s="102" t="s">
        <v>60</v>
      </c>
      <c r="J20" s="103"/>
      <c r="K20" s="105">
        <f>'29'!K20+'30'!E20</f>
        <v>0</v>
      </c>
      <c r="L20" s="105"/>
      <c r="M20" s="99">
        <f>'29'!M20+G20</f>
        <v>0</v>
      </c>
      <c r="N20" s="101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'29'!G24</f>
        <v>4327173</v>
      </c>
      <c r="E24" s="187"/>
      <c r="F24" s="187"/>
      <c r="G24" s="164">
        <v>4349267</v>
      </c>
      <c r="H24" s="164"/>
      <c r="I24" s="164"/>
      <c r="J24" s="164">
        <f>IF(G24-D24&lt;0,,G24-D24)</f>
        <v>22094</v>
      </c>
      <c r="K24" s="164"/>
      <c r="L24" s="164"/>
      <c r="M24" s="164">
        <f>'29'!M24+J24</f>
        <v>677699</v>
      </c>
      <c r="N24" s="164"/>
      <c r="P24" s="105" t="s">
        <v>36</v>
      </c>
      <c r="Q24" s="105"/>
      <c r="R24" s="105"/>
      <c r="S24" s="105">
        <f>'29'!V24</f>
        <v>540.1</v>
      </c>
      <c r="T24" s="105"/>
      <c r="U24" s="105"/>
      <c r="V24" s="140">
        <v>543.4</v>
      </c>
      <c r="W24" s="140"/>
      <c r="X24" s="140"/>
      <c r="Y24" s="140">
        <f>'29'!Y24+'30'!V24</f>
        <v>15491.800000000001</v>
      </c>
      <c r="Z24" s="140"/>
    </row>
    <row r="25" spans="1:31" ht="21.9" customHeight="1">
      <c r="A25" s="104" t="s">
        <v>30</v>
      </c>
      <c r="B25" s="104"/>
      <c r="C25" s="104"/>
      <c r="D25" s="104">
        <f>'29'!G25</f>
        <v>33736.5</v>
      </c>
      <c r="E25" s="104"/>
      <c r="F25" s="104"/>
      <c r="G25" s="104">
        <v>33766.300000000003</v>
      </c>
      <c r="H25" s="104"/>
      <c r="I25" s="104"/>
      <c r="J25" s="102">
        <f t="shared" ref="J25:J30" si="2">IF(G25-D25&lt;0,,G25-D25)</f>
        <v>29.80000000000291</v>
      </c>
      <c r="K25" s="106"/>
      <c r="L25" s="103"/>
      <c r="M25" s="102">
        <f>'29'!M25+J25</f>
        <v>1002.2000000000044</v>
      </c>
      <c r="N25" s="103"/>
      <c r="P25" s="104" t="s">
        <v>37</v>
      </c>
      <c r="Q25" s="104"/>
      <c r="R25" s="104"/>
      <c r="S25" s="102">
        <f>'29'!V25</f>
        <v>65</v>
      </c>
      <c r="T25" s="106"/>
      <c r="U25" s="103"/>
      <c r="V25" s="137">
        <v>65.599999999999994</v>
      </c>
      <c r="W25" s="137"/>
      <c r="X25" s="137"/>
      <c r="Y25" s="188">
        <f>'29'!Y25+'30'!V25</f>
        <v>1832.1999999999998</v>
      </c>
      <c r="Z25" s="190"/>
    </row>
    <row r="26" spans="1:31" ht="21.9" customHeight="1">
      <c r="A26" s="104" t="s">
        <v>31</v>
      </c>
      <c r="B26" s="104"/>
      <c r="C26" s="104"/>
      <c r="D26" s="104">
        <f>'29'!G26</f>
        <v>24900</v>
      </c>
      <c r="E26" s="104"/>
      <c r="F26" s="104"/>
      <c r="G26" s="104">
        <v>24910</v>
      </c>
      <c r="H26" s="104"/>
      <c r="I26" s="104"/>
      <c r="J26" s="102">
        <f t="shared" si="2"/>
        <v>10</v>
      </c>
      <c r="K26" s="106"/>
      <c r="L26" s="103"/>
      <c r="M26" s="102">
        <f>'29'!M26+J26</f>
        <v>610</v>
      </c>
      <c r="N26" s="103"/>
      <c r="P26" s="104" t="s">
        <v>38</v>
      </c>
      <c r="Q26" s="104"/>
      <c r="R26" s="104"/>
      <c r="S26" s="102">
        <f>'29'!V26</f>
        <v>589</v>
      </c>
      <c r="T26" s="106"/>
      <c r="U26" s="103"/>
      <c r="V26" s="137">
        <v>589.1</v>
      </c>
      <c r="W26" s="137"/>
      <c r="X26" s="137"/>
      <c r="Y26" s="188">
        <f>'29'!Y26+'30'!V26</f>
        <v>15679.999999999998</v>
      </c>
      <c r="Z26" s="190"/>
    </row>
    <row r="27" spans="1:31" ht="21.9" customHeight="1">
      <c r="A27" s="104" t="s">
        <v>32</v>
      </c>
      <c r="B27" s="104"/>
      <c r="C27" s="104"/>
      <c r="D27" s="104">
        <f>'29'!G27</f>
        <v>1436000</v>
      </c>
      <c r="E27" s="104"/>
      <c r="F27" s="104"/>
      <c r="G27" s="104">
        <v>1440000</v>
      </c>
      <c r="H27" s="104"/>
      <c r="I27" s="104"/>
      <c r="J27" s="102">
        <f t="shared" si="2"/>
        <v>4000</v>
      </c>
      <c r="K27" s="106"/>
      <c r="L27" s="103"/>
      <c r="M27" s="102">
        <f>'29'!M27+J27</f>
        <v>101000</v>
      </c>
      <c r="N27" s="103"/>
      <c r="P27" s="104" t="s">
        <v>39</v>
      </c>
      <c r="Q27" s="104"/>
      <c r="R27" s="104"/>
      <c r="S27" s="102">
        <f>'29'!V27</f>
        <v>524.79999999999995</v>
      </c>
      <c r="T27" s="106"/>
      <c r="U27" s="103"/>
      <c r="V27" s="137">
        <v>539.70000000000005</v>
      </c>
      <c r="W27" s="137"/>
      <c r="X27" s="137"/>
      <c r="Y27" s="188">
        <f>'29'!Y27+'30'!V27</f>
        <v>15399.9</v>
      </c>
      <c r="Z27" s="190"/>
    </row>
    <row r="28" spans="1:31" ht="21.9" customHeight="1">
      <c r="A28" s="104" t="s">
        <v>33</v>
      </c>
      <c r="B28" s="104"/>
      <c r="C28" s="104"/>
      <c r="D28" s="104">
        <f>'29'!G28</f>
        <v>6490</v>
      </c>
      <c r="E28" s="104"/>
      <c r="F28" s="104"/>
      <c r="G28" s="104">
        <v>6541</v>
      </c>
      <c r="H28" s="104"/>
      <c r="I28" s="104"/>
      <c r="J28" s="102">
        <f t="shared" si="2"/>
        <v>51</v>
      </c>
      <c r="K28" s="106"/>
      <c r="L28" s="103"/>
      <c r="M28" s="102">
        <f>'29'!M28+J28</f>
        <v>1603</v>
      </c>
      <c r="N28" s="103"/>
      <c r="P28" s="104" t="s">
        <v>41</v>
      </c>
      <c r="Q28" s="104"/>
      <c r="R28" s="104"/>
      <c r="S28" s="102">
        <f>'29'!V28</f>
        <v>0</v>
      </c>
      <c r="T28" s="106"/>
      <c r="U28" s="103"/>
      <c r="V28" s="137">
        <v>0</v>
      </c>
      <c r="W28" s="137"/>
      <c r="X28" s="137"/>
      <c r="Y28" s="188">
        <f>'29'!Y28+'30'!V28</f>
        <v>0</v>
      </c>
      <c r="Z28" s="190"/>
    </row>
    <row r="29" spans="1:31" ht="21.9" customHeight="1">
      <c r="A29" s="104" t="s">
        <v>34</v>
      </c>
      <c r="B29" s="104"/>
      <c r="C29" s="104"/>
      <c r="D29" s="104">
        <f>'29'!G29</f>
        <v>66260</v>
      </c>
      <c r="E29" s="104"/>
      <c r="F29" s="104"/>
      <c r="G29" s="104">
        <v>66260</v>
      </c>
      <c r="H29" s="104"/>
      <c r="I29" s="104"/>
      <c r="J29" s="102">
        <f t="shared" si="2"/>
        <v>0</v>
      </c>
      <c r="K29" s="106"/>
      <c r="L29" s="103"/>
      <c r="M29" s="102">
        <f>'29'!M29+J29</f>
        <v>80</v>
      </c>
      <c r="N29" s="103"/>
      <c r="P29" s="104" t="s">
        <v>40</v>
      </c>
      <c r="Q29" s="104"/>
      <c r="R29" s="104"/>
      <c r="S29" s="102">
        <f>'29'!V29</f>
        <v>75.3</v>
      </c>
      <c r="T29" s="106"/>
      <c r="U29" s="103"/>
      <c r="V29" s="137">
        <v>77.5</v>
      </c>
      <c r="W29" s="137"/>
      <c r="X29" s="137"/>
      <c r="Y29" s="188">
        <f>'29'!Y29+'30'!V29</f>
        <v>2103.2999999999997</v>
      </c>
      <c r="Z29" s="190"/>
    </row>
    <row r="30" spans="1:31" ht="21.9" customHeight="1">
      <c r="A30" s="104" t="s">
        <v>35</v>
      </c>
      <c r="B30" s="104"/>
      <c r="C30" s="104"/>
      <c r="D30" s="104">
        <f>'29'!G30</f>
        <v>53590</v>
      </c>
      <c r="E30" s="104"/>
      <c r="F30" s="104"/>
      <c r="G30" s="104">
        <v>53600</v>
      </c>
      <c r="H30" s="104"/>
      <c r="I30" s="104"/>
      <c r="J30" s="102">
        <f t="shared" si="2"/>
        <v>10</v>
      </c>
      <c r="K30" s="106"/>
      <c r="L30" s="103"/>
      <c r="M30" s="102">
        <f>'29'!M30+J30</f>
        <v>380</v>
      </c>
      <c r="N30" s="103"/>
      <c r="P30" s="104" t="s">
        <v>28</v>
      </c>
      <c r="Q30" s="104"/>
      <c r="R30" s="104"/>
      <c r="S30" s="102">
        <f>'29'!V30</f>
        <v>0</v>
      </c>
      <c r="T30" s="106"/>
      <c r="U30" s="103"/>
      <c r="V30" s="137"/>
      <c r="W30" s="137"/>
      <c r="X30" s="137"/>
      <c r="Y30" s="188">
        <f>'29'!Y30+'30'!V30</f>
        <v>1528.3</v>
      </c>
      <c r="Z30" s="190"/>
    </row>
    <row r="31" spans="1:31" ht="21.9" customHeight="1">
      <c r="A31" s="104" t="s">
        <v>120</v>
      </c>
      <c r="B31" s="104"/>
      <c r="C31" s="104"/>
      <c r="D31" s="104">
        <f>'29'!G31</f>
        <v>6427071</v>
      </c>
      <c r="E31" s="104"/>
      <c r="F31" s="104"/>
      <c r="G31" s="102">
        <v>6434557</v>
      </c>
      <c r="H31" s="106"/>
      <c r="I31" s="103"/>
      <c r="J31" s="104">
        <f t="shared" ref="J31:J33" si="3">G31-D31</f>
        <v>7486</v>
      </c>
      <c r="K31" s="104"/>
      <c r="L31" s="104"/>
      <c r="M31" s="102">
        <f>'29'!M31+J31</f>
        <v>232462</v>
      </c>
      <c r="N31" s="103"/>
      <c r="P31" s="57"/>
      <c r="Q31" s="57"/>
      <c r="R31" s="57"/>
      <c r="S31" s="57"/>
      <c r="T31" s="57"/>
      <c r="U31" s="57"/>
      <c r="V31" s="58"/>
      <c r="W31" s="58"/>
      <c r="X31" s="58"/>
      <c r="Y31" s="58"/>
      <c r="Z31" s="58"/>
    </row>
    <row r="32" spans="1:31" ht="21.9" customHeight="1">
      <c r="A32" s="104" t="s">
        <v>121</v>
      </c>
      <c r="B32" s="104"/>
      <c r="C32" s="104"/>
      <c r="D32" s="104">
        <f>'29'!G32</f>
        <v>1.8</v>
      </c>
      <c r="E32" s="104"/>
      <c r="F32" s="104"/>
      <c r="G32" s="102">
        <v>1.8</v>
      </c>
      <c r="H32" s="106"/>
      <c r="I32" s="103"/>
      <c r="J32" s="102">
        <f t="shared" si="3"/>
        <v>0</v>
      </c>
      <c r="K32" s="106">
        <v>12.255000000000001</v>
      </c>
      <c r="L32" s="103">
        <v>12.255000000000001</v>
      </c>
      <c r="M32" s="102">
        <f>'29'!M32+J32</f>
        <v>0.19999999999999996</v>
      </c>
      <c r="N32" s="103"/>
      <c r="P32" s="57"/>
      <c r="Q32" s="57"/>
      <c r="R32" s="57"/>
      <c r="S32" s="57"/>
      <c r="T32" s="57"/>
      <c r="U32" s="57"/>
      <c r="V32" s="58"/>
      <c r="W32" s="58"/>
      <c r="X32" s="58"/>
      <c r="Y32" s="58"/>
      <c r="Z32" s="58"/>
    </row>
    <row r="33" spans="1:26" ht="21.9" customHeight="1">
      <c r="A33" s="104" t="s">
        <v>122</v>
      </c>
      <c r="B33" s="104"/>
      <c r="C33" s="104"/>
      <c r="D33" s="104">
        <f>'29'!G33</f>
        <v>0</v>
      </c>
      <c r="E33" s="104"/>
      <c r="F33" s="104"/>
      <c r="G33" s="102">
        <v>0</v>
      </c>
      <c r="H33" s="106"/>
      <c r="I33" s="103"/>
      <c r="J33" s="102">
        <f t="shared" si="3"/>
        <v>0</v>
      </c>
      <c r="K33" s="106">
        <v>12.255000000000001</v>
      </c>
      <c r="L33" s="103">
        <v>12.255000000000001</v>
      </c>
      <c r="M33" s="102">
        <f>'29'!M33+J33</f>
        <v>0</v>
      </c>
      <c r="N33" s="103"/>
      <c r="P33" s="57"/>
      <c r="Q33" s="57"/>
      <c r="R33" s="57"/>
      <c r="S33" s="57"/>
      <c r="T33" s="57"/>
      <c r="U33" s="57"/>
      <c r="V33" s="58"/>
      <c r="W33" s="58"/>
      <c r="X33" s="58"/>
      <c r="Y33" s="58"/>
      <c r="Z33" s="58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H3" name="범위2"/>
    <protectedRange sqref="U2:Z3 D7:I7 R7:Z7 E12:H20 S12:V15 S18:V20 G24:I30 V24:X33" name="범위1"/>
    <protectedRange sqref="G32:L33 G31:I31" name="범위3_1_1_2_1"/>
    <protectedRange sqref="B2:G3" name="범위1_1"/>
  </protectedRanges>
  <mergeCells count="223">
    <mergeCell ref="A63:B76"/>
    <mergeCell ref="C63:Z76"/>
    <mergeCell ref="Y1:Z1"/>
    <mergeCell ref="W2:X3"/>
    <mergeCell ref="Y2:Z3"/>
    <mergeCell ref="A1:A3"/>
    <mergeCell ref="W1:X1"/>
    <mergeCell ref="H1:S2"/>
    <mergeCell ref="T1:T3"/>
    <mergeCell ref="U1:V1"/>
    <mergeCell ref="U2:V3"/>
    <mergeCell ref="H3:S3"/>
    <mergeCell ref="B1:C1"/>
    <mergeCell ref="D1:E1"/>
    <mergeCell ref="F1:G1"/>
    <mergeCell ref="B2:C3"/>
    <mergeCell ref="D2:E3"/>
    <mergeCell ref="F2:G3"/>
    <mergeCell ref="U6:W6"/>
    <mergeCell ref="X6:Z6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G6:I6"/>
    <mergeCell ref="J6:L6"/>
    <mergeCell ref="P6:Q6"/>
    <mergeCell ref="R6:T6"/>
    <mergeCell ref="S12:V13"/>
    <mergeCell ref="W12:Z13"/>
    <mergeCell ref="U8:W8"/>
    <mergeCell ref="X8:Z8"/>
    <mergeCell ref="A11:B11"/>
    <mergeCell ref="C11:D11"/>
    <mergeCell ref="E11:F11"/>
    <mergeCell ref="G11:H11"/>
    <mergeCell ref="I11:J11"/>
    <mergeCell ref="K11:L11"/>
    <mergeCell ref="M11:N11"/>
    <mergeCell ref="P11:R11"/>
    <mergeCell ref="A8:C8"/>
    <mergeCell ref="D8:F8"/>
    <mergeCell ref="G8:I8"/>
    <mergeCell ref="J8:L8"/>
    <mergeCell ref="P8:Q8"/>
    <mergeCell ref="R8:T8"/>
    <mergeCell ref="S11:V11"/>
    <mergeCell ref="W11:Z11"/>
    <mergeCell ref="P12:R13"/>
    <mergeCell ref="A12:B12"/>
    <mergeCell ref="C12:D12"/>
    <mergeCell ref="E12:F12"/>
    <mergeCell ref="G12:H12"/>
    <mergeCell ref="I12:J12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K14:L14"/>
    <mergeCell ref="M14:N14"/>
    <mergeCell ref="I15:J15"/>
    <mergeCell ref="K15:L15"/>
    <mergeCell ref="I17:J17"/>
    <mergeCell ref="K17:L17"/>
    <mergeCell ref="M15:N15"/>
    <mergeCell ref="A16:B16"/>
    <mergeCell ref="C16:D16"/>
    <mergeCell ref="E16:F16"/>
    <mergeCell ref="G16:H16"/>
    <mergeCell ref="I16:J16"/>
    <mergeCell ref="K16:L16"/>
    <mergeCell ref="M16:N16"/>
    <mergeCell ref="M17:N17"/>
    <mergeCell ref="A15:B15"/>
    <mergeCell ref="C15:D15"/>
    <mergeCell ref="E15:F15"/>
    <mergeCell ref="G15:H15"/>
    <mergeCell ref="A14:B14"/>
    <mergeCell ref="C14:D14"/>
    <mergeCell ref="E14:F14"/>
    <mergeCell ref="G14:H14"/>
    <mergeCell ref="I14:J14"/>
    <mergeCell ref="G18:H18"/>
    <mergeCell ref="I18:J18"/>
    <mergeCell ref="K18:L18"/>
    <mergeCell ref="M18:N18"/>
    <mergeCell ref="P16:R17"/>
    <mergeCell ref="A17:B17"/>
    <mergeCell ref="C17:D17"/>
    <mergeCell ref="E17:F17"/>
    <mergeCell ref="G17:H17"/>
    <mergeCell ref="A23:C23"/>
    <mergeCell ref="D23:F23"/>
    <mergeCell ref="G23:I23"/>
    <mergeCell ref="J23:L23"/>
    <mergeCell ref="M23:N23"/>
    <mergeCell ref="P23:R23"/>
    <mergeCell ref="S23:U23"/>
    <mergeCell ref="P18:R20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A18:B18"/>
    <mergeCell ref="C18:D18"/>
    <mergeCell ref="E18:F18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A28:C28"/>
    <mergeCell ref="D28:F28"/>
    <mergeCell ref="G28:I28"/>
    <mergeCell ref="J28:L28"/>
    <mergeCell ref="M28:N28"/>
    <mergeCell ref="P28:R28"/>
    <mergeCell ref="S28:U28"/>
    <mergeCell ref="V28:X28"/>
    <mergeCell ref="Y28:Z28"/>
    <mergeCell ref="A29:C29"/>
    <mergeCell ref="D29:F29"/>
    <mergeCell ref="G29:I29"/>
    <mergeCell ref="J29:L29"/>
    <mergeCell ref="M29:N29"/>
    <mergeCell ref="P29:R29"/>
    <mergeCell ref="S29:U29"/>
    <mergeCell ref="V29:X29"/>
    <mergeCell ref="Y29:Z29"/>
    <mergeCell ref="A36:B48"/>
    <mergeCell ref="C36:Z48"/>
    <mergeCell ref="A49:B62"/>
    <mergeCell ref="C49:Z62"/>
    <mergeCell ref="A30:C30"/>
    <mergeCell ref="D30:F30"/>
    <mergeCell ref="G30:I30"/>
    <mergeCell ref="J30:L30"/>
    <mergeCell ref="M30:N30"/>
    <mergeCell ref="P30:R30"/>
    <mergeCell ref="A31:C31"/>
    <mergeCell ref="D31:F31"/>
    <mergeCell ref="G31:I31"/>
    <mergeCell ref="J31:L31"/>
    <mergeCell ref="M31:N31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M33:N33"/>
    <mergeCell ref="S14:V15"/>
    <mergeCell ref="W14:Z15"/>
    <mergeCell ref="S16:T17"/>
    <mergeCell ref="U16:V17"/>
    <mergeCell ref="W16:X17"/>
    <mergeCell ref="S18:T20"/>
    <mergeCell ref="U18:V20"/>
    <mergeCell ref="W18:X20"/>
    <mergeCell ref="S30:U30"/>
    <mergeCell ref="V30:X30"/>
    <mergeCell ref="Y30:Z30"/>
    <mergeCell ref="S26:U26"/>
    <mergeCell ref="V26:X26"/>
    <mergeCell ref="Y26:Z26"/>
    <mergeCell ref="V27:X27"/>
    <mergeCell ref="Y27:Z27"/>
    <mergeCell ref="V23:X23"/>
    <mergeCell ref="Y23:Z23"/>
    <mergeCell ref="Y18:Z20"/>
    <mergeCell ref="Y16:Z17"/>
    <mergeCell ref="M20:N20"/>
    <mergeCell ref="P22:U22"/>
    <mergeCell ref="P14:R1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zoomScaleNormal="100" zoomScaleSheetLayoutView="100" workbookViewId="0">
      <selection activeCell="U8" sqref="U8:W8"/>
    </sheetView>
  </sheetViews>
  <sheetFormatPr defaultRowHeight="17.399999999999999"/>
  <cols>
    <col min="1" max="1" width="2.8984375" customWidth="1"/>
    <col min="2" max="14" width="5.59765625" customWidth="1"/>
    <col min="15" max="15" width="3.59765625" customWidth="1"/>
    <col min="16" max="22" width="4.59765625" customWidth="1"/>
    <col min="23" max="26" width="5.59765625" customWidth="1"/>
  </cols>
  <sheetData>
    <row r="1" spans="1:26" ht="18.75" customHeight="1">
      <c r="A1" s="122" t="s">
        <v>0</v>
      </c>
      <c r="B1" s="120" t="s">
        <v>17</v>
      </c>
      <c r="C1" s="120"/>
      <c r="D1" s="120" t="s">
        <v>125</v>
      </c>
      <c r="E1" s="120"/>
      <c r="F1" s="120" t="s">
        <v>126</v>
      </c>
      <c r="G1" s="120"/>
      <c r="H1" s="126" t="s">
        <v>18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5" t="s">
        <v>19</v>
      </c>
      <c r="U1" s="120" t="s">
        <v>63</v>
      </c>
      <c r="V1" s="120"/>
      <c r="W1" s="120" t="s">
        <v>123</v>
      </c>
      <c r="X1" s="120"/>
      <c r="Y1" s="120" t="s">
        <v>124</v>
      </c>
      <c r="Z1" s="120"/>
    </row>
    <row r="2" spans="1:26" ht="14.25" customHeight="1">
      <c r="A2" s="123"/>
      <c r="B2" s="135" t="s">
        <v>218</v>
      </c>
      <c r="C2" s="135"/>
      <c r="D2" s="135" t="s">
        <v>219</v>
      </c>
      <c r="E2" s="135"/>
      <c r="F2" s="135" t="s">
        <v>220</v>
      </c>
      <c r="G2" s="135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1"/>
      <c r="T2" s="121"/>
      <c r="U2" s="121"/>
      <c r="V2" s="121"/>
      <c r="W2" s="121"/>
      <c r="X2" s="121"/>
      <c r="Y2" s="121"/>
      <c r="Z2" s="121"/>
    </row>
    <row r="3" spans="1:26" ht="37.5" customHeight="1">
      <c r="A3" s="124"/>
      <c r="B3" s="105"/>
      <c r="C3" s="105"/>
      <c r="D3" s="105"/>
      <c r="E3" s="105"/>
      <c r="F3" s="105"/>
      <c r="G3" s="105"/>
      <c r="H3" s="132">
        <v>46234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05"/>
      <c r="U3" s="105"/>
      <c r="V3" s="105"/>
      <c r="W3" s="105"/>
      <c r="X3" s="105"/>
      <c r="Y3" s="105"/>
      <c r="Z3" s="105"/>
    </row>
    <row r="4" spans="1:26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55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thickBot="1">
      <c r="A6" s="136" t="s">
        <v>1</v>
      </c>
      <c r="B6" s="136"/>
      <c r="C6" s="136"/>
      <c r="D6" s="136" t="s">
        <v>49</v>
      </c>
      <c r="E6" s="136"/>
      <c r="F6" s="136"/>
      <c r="G6" s="136" t="s">
        <v>50</v>
      </c>
      <c r="H6" s="136"/>
      <c r="I6" s="136"/>
      <c r="J6" s="136" t="s">
        <v>20</v>
      </c>
      <c r="K6" s="136"/>
      <c r="L6" s="136"/>
      <c r="M6" s="1"/>
      <c r="N6" s="1"/>
      <c r="O6" s="1"/>
      <c r="P6" s="136" t="s">
        <v>1</v>
      </c>
      <c r="Q6" s="136"/>
      <c r="R6" s="136" t="s">
        <v>52</v>
      </c>
      <c r="S6" s="136"/>
      <c r="T6" s="136"/>
      <c r="U6" s="136" t="s">
        <v>53</v>
      </c>
      <c r="V6" s="136"/>
      <c r="W6" s="136"/>
      <c r="X6" s="136" t="s">
        <v>54</v>
      </c>
      <c r="Y6" s="136"/>
      <c r="Z6" s="136"/>
    </row>
    <row r="7" spans="1:26" ht="30" customHeight="1" thickTop="1">
      <c r="A7" s="105" t="s">
        <v>48</v>
      </c>
      <c r="B7" s="105"/>
      <c r="C7" s="105"/>
      <c r="D7" s="139">
        <v>56104</v>
      </c>
      <c r="E7" s="139"/>
      <c r="F7" s="139"/>
      <c r="G7" s="139">
        <v>188400</v>
      </c>
      <c r="H7" s="139"/>
      <c r="I7" s="139"/>
      <c r="J7" s="154">
        <f>D7+G7</f>
        <v>244504</v>
      </c>
      <c r="K7" s="154"/>
      <c r="L7" s="154"/>
      <c r="M7" s="1"/>
      <c r="N7" s="1"/>
      <c r="O7" s="1"/>
      <c r="P7" s="105" t="s">
        <v>48</v>
      </c>
      <c r="Q7" s="105"/>
      <c r="R7" s="140">
        <v>494.7</v>
      </c>
      <c r="S7" s="140"/>
      <c r="T7" s="140"/>
      <c r="U7" s="140">
        <v>286.39999999999998</v>
      </c>
      <c r="V7" s="140"/>
      <c r="W7" s="140"/>
      <c r="X7" s="141">
        <v>24</v>
      </c>
      <c r="Y7" s="141"/>
      <c r="Z7" s="141"/>
    </row>
    <row r="8" spans="1:26" ht="30" customHeight="1">
      <c r="A8" s="104" t="s">
        <v>2</v>
      </c>
      <c r="B8" s="104"/>
      <c r="C8" s="104"/>
      <c r="D8" s="154">
        <f>'30'!D8+'31'!D7</f>
        <v>2261737</v>
      </c>
      <c r="E8" s="154"/>
      <c r="F8" s="154"/>
      <c r="G8" s="154">
        <f>'30'!G8+'31'!G7</f>
        <v>4526400</v>
      </c>
      <c r="H8" s="154"/>
      <c r="I8" s="154"/>
      <c r="J8" s="154">
        <f>D8+G8</f>
        <v>6788137</v>
      </c>
      <c r="K8" s="154"/>
      <c r="L8" s="154"/>
      <c r="M8" s="1"/>
      <c r="N8" s="1"/>
      <c r="O8" s="1"/>
      <c r="P8" s="104" t="s">
        <v>2</v>
      </c>
      <c r="Q8" s="104"/>
      <c r="R8" s="137">
        <f>'30'!R8+R7</f>
        <v>15137.2</v>
      </c>
      <c r="S8" s="137"/>
      <c r="T8" s="137"/>
      <c r="U8" s="137">
        <f>'30'!U8+U7</f>
        <v>9055.6999999999971</v>
      </c>
      <c r="V8" s="137"/>
      <c r="W8" s="137"/>
      <c r="X8" s="138">
        <f>'30'!X8+'31'!X7</f>
        <v>744</v>
      </c>
      <c r="Y8" s="138"/>
      <c r="Z8" s="138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>
      <c r="A11" s="136" t="s">
        <v>13</v>
      </c>
      <c r="B11" s="136"/>
      <c r="C11" s="150" t="s">
        <v>22</v>
      </c>
      <c r="D11" s="136"/>
      <c r="E11" s="136" t="s">
        <v>14</v>
      </c>
      <c r="F11" s="136"/>
      <c r="G11" s="136" t="s">
        <v>21</v>
      </c>
      <c r="H11" s="136"/>
      <c r="I11" s="111" t="s">
        <v>12</v>
      </c>
      <c r="J11" s="113"/>
      <c r="K11" s="150" t="s">
        <v>23</v>
      </c>
      <c r="L11" s="136"/>
      <c r="M11" s="150" t="s">
        <v>24</v>
      </c>
      <c r="N11" s="136"/>
      <c r="O11" s="1"/>
      <c r="P11" s="136" t="s">
        <v>25</v>
      </c>
      <c r="Q11" s="136"/>
      <c r="R11" s="136"/>
      <c r="S11" s="111" t="s">
        <v>108</v>
      </c>
      <c r="T11" s="112"/>
      <c r="U11" s="112"/>
      <c r="V11" s="113"/>
      <c r="W11" s="111" t="s">
        <v>105</v>
      </c>
      <c r="X11" s="112"/>
      <c r="Y11" s="112"/>
      <c r="Z11" s="113"/>
    </row>
    <row r="12" spans="1:26" ht="21.9" customHeight="1" thickTop="1">
      <c r="A12" s="142" t="s">
        <v>114</v>
      </c>
      <c r="B12" s="142"/>
      <c r="C12" s="174">
        <f>'30'!I12</f>
        <v>9177</v>
      </c>
      <c r="D12" s="174"/>
      <c r="E12" s="105">
        <v>13800</v>
      </c>
      <c r="F12" s="105"/>
      <c r="G12" s="105">
        <v>4015</v>
      </c>
      <c r="H12" s="105"/>
      <c r="I12" s="107">
        <f t="shared" ref="I12:I19" si="0">C12+E12-G12</f>
        <v>18962</v>
      </c>
      <c r="J12" s="109"/>
      <c r="K12" s="105">
        <f>'30'!K12+'31'!E12</f>
        <v>130960</v>
      </c>
      <c r="L12" s="105"/>
      <c r="M12" s="105">
        <f>'30'!M12+G12</f>
        <v>126912</v>
      </c>
      <c r="N12" s="105"/>
      <c r="O12" s="1"/>
      <c r="P12" s="149" t="s">
        <v>101</v>
      </c>
      <c r="Q12" s="105"/>
      <c r="R12" s="105"/>
      <c r="S12" s="143">
        <v>27.32</v>
      </c>
      <c r="T12" s="144"/>
      <c r="U12" s="144"/>
      <c r="V12" s="144"/>
      <c r="W12" s="194">
        <f>'30'!W12+'31'!S12</f>
        <v>1129.7500000000002</v>
      </c>
      <c r="X12" s="144"/>
      <c r="Y12" s="144"/>
      <c r="Z12" s="147"/>
    </row>
    <row r="13" spans="1:26" ht="21.9" customHeight="1">
      <c r="A13" s="104" t="s">
        <v>4</v>
      </c>
      <c r="B13" s="104"/>
      <c r="C13" s="174">
        <f>'30'!I13</f>
        <v>820</v>
      </c>
      <c r="D13" s="174"/>
      <c r="E13" s="104">
        <v>0</v>
      </c>
      <c r="F13" s="104"/>
      <c r="G13" s="104">
        <v>90</v>
      </c>
      <c r="H13" s="104"/>
      <c r="I13" s="102">
        <f t="shared" si="0"/>
        <v>730</v>
      </c>
      <c r="J13" s="103"/>
      <c r="K13" s="102">
        <f>'30'!K13+'31'!E13</f>
        <v>2810</v>
      </c>
      <c r="L13" s="103"/>
      <c r="M13" s="102">
        <f>'30'!M13+G13</f>
        <v>2670</v>
      </c>
      <c r="N13" s="103"/>
      <c r="O13" s="1"/>
      <c r="P13" s="104"/>
      <c r="Q13" s="104"/>
      <c r="R13" s="104"/>
      <c r="S13" s="145"/>
      <c r="T13" s="146"/>
      <c r="U13" s="146"/>
      <c r="V13" s="146"/>
      <c r="W13" s="145"/>
      <c r="X13" s="146"/>
      <c r="Y13" s="146"/>
      <c r="Z13" s="148"/>
    </row>
    <row r="14" spans="1:26" ht="21.9" customHeight="1">
      <c r="A14" s="104" t="s">
        <v>5</v>
      </c>
      <c r="B14" s="104"/>
      <c r="C14" s="174">
        <f>'30'!I14</f>
        <v>1000</v>
      </c>
      <c r="D14" s="174"/>
      <c r="E14" s="104">
        <v>0</v>
      </c>
      <c r="F14" s="104"/>
      <c r="G14" s="104">
        <v>120</v>
      </c>
      <c r="H14" s="104"/>
      <c r="I14" s="102">
        <f t="shared" si="0"/>
        <v>880</v>
      </c>
      <c r="J14" s="103"/>
      <c r="K14" s="102">
        <f>'30'!K14+'31'!E14</f>
        <v>4000</v>
      </c>
      <c r="L14" s="103"/>
      <c r="M14" s="102">
        <f>'30'!M14+G14</f>
        <v>3720</v>
      </c>
      <c r="N14" s="103"/>
      <c r="O14" s="1"/>
      <c r="P14" s="104" t="s">
        <v>26</v>
      </c>
      <c r="Q14" s="104"/>
      <c r="R14" s="104"/>
      <c r="S14" s="155">
        <v>0</v>
      </c>
      <c r="T14" s="156"/>
      <c r="U14" s="156"/>
      <c r="V14" s="156"/>
      <c r="W14" s="186">
        <f>'30'!W14+'31'!S14</f>
        <v>209.92999999999998</v>
      </c>
      <c r="X14" s="156"/>
      <c r="Y14" s="156"/>
      <c r="Z14" s="157"/>
    </row>
    <row r="15" spans="1:26" ht="21.9" customHeight="1">
      <c r="A15" s="104" t="s">
        <v>7</v>
      </c>
      <c r="B15" s="104"/>
      <c r="C15" s="174">
        <f>'30'!I15</f>
        <v>684</v>
      </c>
      <c r="D15" s="174"/>
      <c r="E15" s="104">
        <v>0</v>
      </c>
      <c r="F15" s="104"/>
      <c r="G15" s="104">
        <v>0</v>
      </c>
      <c r="H15" s="104"/>
      <c r="I15" s="102">
        <f t="shared" si="0"/>
        <v>684</v>
      </c>
      <c r="J15" s="103"/>
      <c r="K15" s="102">
        <f>'30'!K15+'31'!E15</f>
        <v>0</v>
      </c>
      <c r="L15" s="103"/>
      <c r="M15" s="102">
        <f>'30'!M15+G15</f>
        <v>615</v>
      </c>
      <c r="N15" s="103"/>
      <c r="O15" s="1"/>
      <c r="P15" s="104"/>
      <c r="Q15" s="104"/>
      <c r="R15" s="104"/>
      <c r="S15" s="145"/>
      <c r="T15" s="146"/>
      <c r="U15" s="146"/>
      <c r="V15" s="146"/>
      <c r="W15" s="145"/>
      <c r="X15" s="146"/>
      <c r="Y15" s="146"/>
      <c r="Z15" s="148"/>
    </row>
    <row r="16" spans="1:26" ht="21.9" customHeight="1">
      <c r="A16" s="104" t="s">
        <v>6</v>
      </c>
      <c r="B16" s="104"/>
      <c r="C16" s="174">
        <f>'30'!I16</f>
        <v>1750</v>
      </c>
      <c r="D16" s="174"/>
      <c r="E16" s="104">
        <v>0</v>
      </c>
      <c r="F16" s="104"/>
      <c r="G16" s="104">
        <v>20</v>
      </c>
      <c r="H16" s="104"/>
      <c r="I16" s="102">
        <f t="shared" si="0"/>
        <v>1730</v>
      </c>
      <c r="J16" s="103"/>
      <c r="K16" s="102">
        <f>'30'!K16+'31'!E16</f>
        <v>0</v>
      </c>
      <c r="L16" s="103"/>
      <c r="M16" s="102">
        <f>'30'!M16+G16</f>
        <v>620</v>
      </c>
      <c r="N16" s="103"/>
      <c r="O16" s="1"/>
      <c r="P16" s="162" t="s">
        <v>64</v>
      </c>
      <c r="Q16" s="162"/>
      <c r="R16" s="162"/>
      <c r="S16" s="158" t="s">
        <v>103</v>
      </c>
      <c r="T16" s="159"/>
      <c r="U16" s="158" t="s">
        <v>104</v>
      </c>
      <c r="V16" s="159"/>
      <c r="W16" s="158" t="s">
        <v>65</v>
      </c>
      <c r="X16" s="159"/>
      <c r="Y16" s="158" t="s">
        <v>105</v>
      </c>
      <c r="Z16" s="159"/>
    </row>
    <row r="17" spans="1:31" ht="21.9" customHeight="1" thickBot="1">
      <c r="A17" s="104" t="s">
        <v>9</v>
      </c>
      <c r="B17" s="104"/>
      <c r="C17" s="174">
        <f>'30'!I17</f>
        <v>3050</v>
      </c>
      <c r="D17" s="174"/>
      <c r="E17" s="104">
        <v>0</v>
      </c>
      <c r="F17" s="104"/>
      <c r="G17" s="104">
        <v>200</v>
      </c>
      <c r="H17" s="104"/>
      <c r="I17" s="102">
        <f t="shared" si="0"/>
        <v>2850</v>
      </c>
      <c r="J17" s="103"/>
      <c r="K17" s="102">
        <f>'30'!K17+'31'!E17</f>
        <v>7200</v>
      </c>
      <c r="L17" s="103"/>
      <c r="M17" s="102">
        <f>'30'!M17+G17</f>
        <v>6200</v>
      </c>
      <c r="N17" s="103"/>
      <c r="O17" s="1"/>
      <c r="P17" s="163"/>
      <c r="Q17" s="163"/>
      <c r="R17" s="163"/>
      <c r="S17" s="160"/>
      <c r="T17" s="161"/>
      <c r="U17" s="160"/>
      <c r="V17" s="161"/>
      <c r="W17" s="160"/>
      <c r="X17" s="161"/>
      <c r="Y17" s="160"/>
      <c r="Z17" s="161"/>
      <c r="AE17" s="40"/>
    </row>
    <row r="18" spans="1:31" ht="21.9" customHeight="1" thickTop="1">
      <c r="A18" s="104" t="s">
        <v>8</v>
      </c>
      <c r="B18" s="104"/>
      <c r="C18" s="174">
        <f>'30'!I18</f>
        <v>4990</v>
      </c>
      <c r="D18" s="174"/>
      <c r="E18" s="104">
        <v>0</v>
      </c>
      <c r="F18" s="104"/>
      <c r="G18" s="104">
        <v>0</v>
      </c>
      <c r="H18" s="104"/>
      <c r="I18" s="102">
        <f t="shared" si="0"/>
        <v>4990</v>
      </c>
      <c r="J18" s="103"/>
      <c r="K18" s="102">
        <f>'30'!K18+'31'!E18</f>
        <v>0</v>
      </c>
      <c r="L18" s="103"/>
      <c r="M18" s="102">
        <f>'30'!M18+G18</f>
        <v>350</v>
      </c>
      <c r="N18" s="103"/>
      <c r="O18" s="1"/>
      <c r="P18" s="164" t="s">
        <v>27</v>
      </c>
      <c r="Q18" s="164"/>
      <c r="R18" s="164"/>
      <c r="S18" s="114">
        <v>1</v>
      </c>
      <c r="T18" s="115"/>
      <c r="U18" s="114">
        <v>1</v>
      </c>
      <c r="V18" s="115"/>
      <c r="W18" s="114">
        <f>S18+U18</f>
        <v>2</v>
      </c>
      <c r="X18" s="115"/>
      <c r="Y18" s="151">
        <f>'30'!Y18+'31'!W18</f>
        <v>95</v>
      </c>
      <c r="Z18" s="151"/>
    </row>
    <row r="19" spans="1:31" ht="21.9" customHeight="1">
      <c r="A19" s="153" t="s">
        <v>62</v>
      </c>
      <c r="B19" s="153"/>
      <c r="C19" s="174">
        <f>'30'!I19</f>
        <v>110957</v>
      </c>
      <c r="D19" s="174"/>
      <c r="E19" s="154">
        <v>48050</v>
      </c>
      <c r="F19" s="154"/>
      <c r="G19" s="154">
        <f>D7</f>
        <v>56104</v>
      </c>
      <c r="H19" s="154"/>
      <c r="I19" s="99">
        <f t="shared" si="0"/>
        <v>102903</v>
      </c>
      <c r="J19" s="101"/>
      <c r="K19" s="102">
        <f>'30'!K19+'31'!E19</f>
        <v>2254640</v>
      </c>
      <c r="L19" s="103"/>
      <c r="M19" s="102">
        <f>'30'!M19+G19</f>
        <v>2261737</v>
      </c>
      <c r="N19" s="103"/>
      <c r="O19" s="1"/>
      <c r="P19" s="104"/>
      <c r="Q19" s="104"/>
      <c r="R19" s="104"/>
      <c r="S19" s="116"/>
      <c r="T19" s="117"/>
      <c r="U19" s="116"/>
      <c r="V19" s="117"/>
      <c r="W19" s="116"/>
      <c r="X19" s="117"/>
      <c r="Y19" s="152"/>
      <c r="Z19" s="152"/>
    </row>
    <row r="20" spans="1:31" ht="21.9" customHeight="1">
      <c r="A20" s="104" t="s">
        <v>10</v>
      </c>
      <c r="B20" s="104"/>
      <c r="C20" s="174" t="str">
        <f>'30'!I20</f>
        <v>-</v>
      </c>
      <c r="D20" s="174"/>
      <c r="E20" s="102">
        <v>0</v>
      </c>
      <c r="F20" s="103"/>
      <c r="G20" s="104">
        <v>0</v>
      </c>
      <c r="H20" s="104"/>
      <c r="I20" s="102" t="s">
        <v>60</v>
      </c>
      <c r="J20" s="103"/>
      <c r="K20" s="102">
        <f>'30'!K20+'31'!E20</f>
        <v>0</v>
      </c>
      <c r="L20" s="103"/>
      <c r="M20" s="102">
        <f>'30'!M20+G20</f>
        <v>0</v>
      </c>
      <c r="N20" s="103"/>
      <c r="O20" s="1"/>
      <c r="P20" s="104"/>
      <c r="Q20" s="104"/>
      <c r="R20" s="104"/>
      <c r="S20" s="118"/>
      <c r="T20" s="119"/>
      <c r="U20" s="118"/>
      <c r="V20" s="119"/>
      <c r="W20" s="118"/>
      <c r="X20" s="119"/>
      <c r="Y20" s="152"/>
      <c r="Z20" s="152"/>
    </row>
    <row r="21" spans="1:31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>
      <c r="A22" s="1" t="s">
        <v>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0" t="s">
        <v>58</v>
      </c>
      <c r="Q22" s="110"/>
      <c r="R22" s="110"/>
      <c r="S22" s="110"/>
      <c r="T22" s="110"/>
      <c r="U22" s="110"/>
      <c r="V22" s="1"/>
      <c r="W22" s="1"/>
      <c r="X22" s="1"/>
      <c r="Y22" s="1"/>
      <c r="Z22" s="1"/>
    </row>
    <row r="23" spans="1:31" ht="28.5" customHeight="1" thickBot="1">
      <c r="A23" s="136" t="s">
        <v>1</v>
      </c>
      <c r="B23" s="136"/>
      <c r="C23" s="136"/>
      <c r="D23" s="136" t="s">
        <v>43</v>
      </c>
      <c r="E23" s="136"/>
      <c r="F23" s="136"/>
      <c r="G23" s="136" t="s">
        <v>44</v>
      </c>
      <c r="H23" s="136"/>
      <c r="I23" s="136"/>
      <c r="J23" s="136" t="s">
        <v>21</v>
      </c>
      <c r="K23" s="136"/>
      <c r="L23" s="136"/>
      <c r="M23" s="136" t="s">
        <v>2</v>
      </c>
      <c r="N23" s="136"/>
      <c r="P23" s="136" t="s">
        <v>1</v>
      </c>
      <c r="Q23" s="136"/>
      <c r="R23" s="136"/>
      <c r="S23" s="136" t="s">
        <v>42</v>
      </c>
      <c r="T23" s="136"/>
      <c r="U23" s="136"/>
      <c r="V23" s="136" t="s">
        <v>11</v>
      </c>
      <c r="W23" s="136"/>
      <c r="X23" s="136"/>
      <c r="Y23" s="136" t="s">
        <v>2</v>
      </c>
      <c r="Z23" s="136"/>
    </row>
    <row r="24" spans="1:31" ht="21.9" customHeight="1" thickTop="1">
      <c r="A24" s="105" t="s">
        <v>29</v>
      </c>
      <c r="B24" s="105"/>
      <c r="C24" s="105"/>
      <c r="D24" s="187">
        <f>'30'!G24</f>
        <v>4349267</v>
      </c>
      <c r="E24" s="187"/>
      <c r="F24" s="187"/>
      <c r="G24" s="164">
        <v>4371516</v>
      </c>
      <c r="H24" s="164"/>
      <c r="I24" s="164"/>
      <c r="J24" s="164">
        <f>IF(G24-D24&lt;0,,G24-D24)</f>
        <v>22249</v>
      </c>
      <c r="K24" s="164"/>
      <c r="L24" s="164"/>
      <c r="M24" s="164">
        <f>'30'!M24+J24</f>
        <v>699948</v>
      </c>
      <c r="N24" s="164"/>
      <c r="P24" s="105" t="s">
        <v>36</v>
      </c>
      <c r="Q24" s="105"/>
      <c r="R24" s="105"/>
      <c r="S24" s="105">
        <f>'30'!V24</f>
        <v>543.4</v>
      </c>
      <c r="T24" s="105"/>
      <c r="U24" s="105"/>
      <c r="V24" s="140">
        <v>555</v>
      </c>
      <c r="W24" s="140"/>
      <c r="X24" s="140"/>
      <c r="Y24" s="140">
        <f>'30'!Y24+'31'!V24</f>
        <v>16046.800000000001</v>
      </c>
      <c r="Z24" s="140"/>
    </row>
    <row r="25" spans="1:31" ht="21.9" customHeight="1">
      <c r="A25" s="104" t="s">
        <v>30</v>
      </c>
      <c r="B25" s="104"/>
      <c r="C25" s="104"/>
      <c r="D25" s="104">
        <f>'30'!G25</f>
        <v>33766.300000000003</v>
      </c>
      <c r="E25" s="104"/>
      <c r="F25" s="104"/>
      <c r="G25" s="104">
        <v>33795.800000000003</v>
      </c>
      <c r="H25" s="104"/>
      <c r="I25" s="104"/>
      <c r="J25" s="102">
        <f t="shared" ref="J25:J30" si="1">IF(G25-D25&lt;0,,G25-D25)</f>
        <v>29.5</v>
      </c>
      <c r="K25" s="106"/>
      <c r="L25" s="103"/>
      <c r="M25" s="102">
        <f>'30'!M25+J25</f>
        <v>1031.7000000000044</v>
      </c>
      <c r="N25" s="103"/>
      <c r="P25" s="104" t="s">
        <v>37</v>
      </c>
      <c r="Q25" s="104"/>
      <c r="R25" s="104"/>
      <c r="S25" s="105">
        <f>'30'!V25</f>
        <v>65.599999999999994</v>
      </c>
      <c r="T25" s="105"/>
      <c r="U25" s="105"/>
      <c r="V25" s="137">
        <v>61.3</v>
      </c>
      <c r="W25" s="137"/>
      <c r="X25" s="137"/>
      <c r="Y25" s="188">
        <f>'30'!Y25+'31'!V25</f>
        <v>1893.4999999999998</v>
      </c>
      <c r="Z25" s="190"/>
    </row>
    <row r="26" spans="1:31" ht="21.9" customHeight="1">
      <c r="A26" s="104" t="s">
        <v>31</v>
      </c>
      <c r="B26" s="104"/>
      <c r="C26" s="104"/>
      <c r="D26" s="104">
        <f>'30'!G26</f>
        <v>24910</v>
      </c>
      <c r="E26" s="104"/>
      <c r="F26" s="104"/>
      <c r="G26" s="104">
        <v>24930</v>
      </c>
      <c r="H26" s="104"/>
      <c r="I26" s="104"/>
      <c r="J26" s="102">
        <f t="shared" si="1"/>
        <v>20</v>
      </c>
      <c r="K26" s="106"/>
      <c r="L26" s="103"/>
      <c r="M26" s="102">
        <f>'30'!M26+J26</f>
        <v>630</v>
      </c>
      <c r="N26" s="103"/>
      <c r="P26" s="104" t="s">
        <v>38</v>
      </c>
      <c r="Q26" s="104"/>
      <c r="R26" s="104"/>
      <c r="S26" s="105">
        <f>'30'!V26</f>
        <v>589.1</v>
      </c>
      <c r="T26" s="105"/>
      <c r="U26" s="105"/>
      <c r="V26" s="137">
        <v>543.20000000000005</v>
      </c>
      <c r="W26" s="137"/>
      <c r="X26" s="137"/>
      <c r="Y26" s="188">
        <f>'30'!Y26+'31'!V26</f>
        <v>16223.199999999999</v>
      </c>
      <c r="Z26" s="190"/>
    </row>
    <row r="27" spans="1:31" ht="21.9" customHeight="1">
      <c r="A27" s="104" t="s">
        <v>32</v>
      </c>
      <c r="B27" s="104"/>
      <c r="C27" s="104"/>
      <c r="D27" s="104">
        <f>'30'!G27</f>
        <v>1440000</v>
      </c>
      <c r="E27" s="104"/>
      <c r="F27" s="104"/>
      <c r="G27" s="104">
        <v>1444000</v>
      </c>
      <c r="H27" s="104"/>
      <c r="I27" s="104"/>
      <c r="J27" s="102">
        <f t="shared" si="1"/>
        <v>4000</v>
      </c>
      <c r="K27" s="106"/>
      <c r="L27" s="103"/>
      <c r="M27" s="102">
        <f>'30'!M27+J27</f>
        <v>105000</v>
      </c>
      <c r="N27" s="103"/>
      <c r="P27" s="104" t="s">
        <v>39</v>
      </c>
      <c r="Q27" s="104"/>
      <c r="R27" s="104"/>
      <c r="S27" s="105">
        <f>'30'!V27</f>
        <v>539.70000000000005</v>
      </c>
      <c r="T27" s="105"/>
      <c r="U27" s="105"/>
      <c r="V27" s="137">
        <v>531.29999999999995</v>
      </c>
      <c r="W27" s="137"/>
      <c r="X27" s="137"/>
      <c r="Y27" s="188">
        <f>'30'!Y27+'31'!V27</f>
        <v>15931.199999999999</v>
      </c>
      <c r="Z27" s="190"/>
    </row>
    <row r="28" spans="1:31" ht="21.9" customHeight="1">
      <c r="A28" s="104" t="s">
        <v>33</v>
      </c>
      <c r="B28" s="104"/>
      <c r="C28" s="104"/>
      <c r="D28" s="104">
        <f>'30'!G28</f>
        <v>6541</v>
      </c>
      <c r="E28" s="104"/>
      <c r="F28" s="104"/>
      <c r="G28" s="104">
        <v>6591</v>
      </c>
      <c r="H28" s="104"/>
      <c r="I28" s="104"/>
      <c r="J28" s="102">
        <f t="shared" si="1"/>
        <v>50</v>
      </c>
      <c r="K28" s="106"/>
      <c r="L28" s="103"/>
      <c r="M28" s="102">
        <f>'30'!M28+J28</f>
        <v>1653</v>
      </c>
      <c r="N28" s="103"/>
      <c r="P28" s="104" t="s">
        <v>41</v>
      </c>
      <c r="Q28" s="104"/>
      <c r="R28" s="104"/>
      <c r="S28" s="105">
        <f>'30'!V28</f>
        <v>0</v>
      </c>
      <c r="T28" s="105"/>
      <c r="U28" s="105"/>
      <c r="V28" s="137">
        <v>0</v>
      </c>
      <c r="W28" s="137"/>
      <c r="X28" s="137"/>
      <c r="Y28" s="188">
        <f>'30'!Y28+'31'!V28</f>
        <v>0</v>
      </c>
      <c r="Z28" s="190"/>
    </row>
    <row r="29" spans="1:31" ht="21.9" customHeight="1">
      <c r="A29" s="104" t="s">
        <v>34</v>
      </c>
      <c r="B29" s="104"/>
      <c r="C29" s="104"/>
      <c r="D29" s="104">
        <f>'30'!G29</f>
        <v>66260</v>
      </c>
      <c r="E29" s="104"/>
      <c r="F29" s="104"/>
      <c r="G29" s="104">
        <v>66270</v>
      </c>
      <c r="H29" s="104"/>
      <c r="I29" s="104"/>
      <c r="J29" s="102">
        <f t="shared" si="1"/>
        <v>10</v>
      </c>
      <c r="K29" s="106"/>
      <c r="L29" s="103"/>
      <c r="M29" s="102">
        <f>'30'!M29+J29</f>
        <v>90</v>
      </c>
      <c r="N29" s="103"/>
      <c r="P29" s="104" t="s">
        <v>40</v>
      </c>
      <c r="Q29" s="104"/>
      <c r="R29" s="104"/>
      <c r="S29" s="105">
        <f>'30'!V29</f>
        <v>77.5</v>
      </c>
      <c r="T29" s="105"/>
      <c r="U29" s="105"/>
      <c r="V29" s="137">
        <v>75.2</v>
      </c>
      <c r="W29" s="137"/>
      <c r="X29" s="137"/>
      <c r="Y29" s="188">
        <f>'30'!Y29+'31'!V29</f>
        <v>2178.4999999999995</v>
      </c>
      <c r="Z29" s="190"/>
    </row>
    <row r="30" spans="1:31" ht="21.9" customHeight="1">
      <c r="A30" s="104" t="s">
        <v>35</v>
      </c>
      <c r="B30" s="104"/>
      <c r="C30" s="104"/>
      <c r="D30" s="104">
        <f>'30'!G30</f>
        <v>53600</v>
      </c>
      <c r="E30" s="104"/>
      <c r="F30" s="104"/>
      <c r="G30" s="104">
        <v>53610</v>
      </c>
      <c r="H30" s="104"/>
      <c r="I30" s="104"/>
      <c r="J30" s="102">
        <f t="shared" si="1"/>
        <v>10</v>
      </c>
      <c r="K30" s="106"/>
      <c r="L30" s="103"/>
      <c r="M30" s="102">
        <f>'30'!M30+J30</f>
        <v>390</v>
      </c>
      <c r="N30" s="103"/>
      <c r="P30" s="104" t="s">
        <v>28</v>
      </c>
      <c r="Q30" s="104"/>
      <c r="R30" s="104"/>
      <c r="S30" s="102">
        <f>'29'!V30</f>
        <v>0</v>
      </c>
      <c r="T30" s="106"/>
      <c r="U30" s="103"/>
      <c r="V30" s="137"/>
      <c r="W30" s="137"/>
      <c r="X30" s="137"/>
      <c r="Y30" s="188">
        <f>'30'!Y30+'31'!V30</f>
        <v>1528.3</v>
      </c>
      <c r="Z30" s="190"/>
    </row>
    <row r="31" spans="1:31" ht="21.9" customHeight="1">
      <c r="A31" s="104" t="s">
        <v>120</v>
      </c>
      <c r="B31" s="104"/>
      <c r="C31" s="104"/>
      <c r="D31" s="104">
        <f>'30'!G31</f>
        <v>6434557</v>
      </c>
      <c r="E31" s="104"/>
      <c r="F31" s="104"/>
      <c r="G31" s="102">
        <v>6442077</v>
      </c>
      <c r="H31" s="106"/>
      <c r="I31" s="103"/>
      <c r="J31" s="104">
        <f t="shared" ref="J31:J33" si="2">G31-D31</f>
        <v>7520</v>
      </c>
      <c r="K31" s="104"/>
      <c r="L31" s="104"/>
      <c r="M31" s="102">
        <f>'30'!M31+J31</f>
        <v>239982</v>
      </c>
      <c r="N31" s="103"/>
      <c r="P31" s="57"/>
      <c r="Q31" s="57"/>
      <c r="R31" s="57"/>
      <c r="S31" s="57"/>
      <c r="T31" s="57"/>
      <c r="U31" s="57"/>
      <c r="V31" s="58"/>
      <c r="W31" s="58"/>
      <c r="X31" s="58"/>
      <c r="Y31" s="58"/>
      <c r="Z31" s="58"/>
    </row>
    <row r="32" spans="1:31" ht="21.9" customHeight="1">
      <c r="A32" s="104" t="s">
        <v>121</v>
      </c>
      <c r="B32" s="104"/>
      <c r="C32" s="104"/>
      <c r="D32" s="104">
        <f>'30'!G32</f>
        <v>1.8</v>
      </c>
      <c r="E32" s="104"/>
      <c r="F32" s="104"/>
      <c r="G32" s="102">
        <v>1.8</v>
      </c>
      <c r="H32" s="106"/>
      <c r="I32" s="103"/>
      <c r="J32" s="102">
        <f t="shared" si="2"/>
        <v>0</v>
      </c>
      <c r="K32" s="106">
        <v>12.255000000000001</v>
      </c>
      <c r="L32" s="103">
        <v>12.255000000000001</v>
      </c>
      <c r="M32" s="102">
        <f>'30'!M32+J32</f>
        <v>0.19999999999999996</v>
      </c>
      <c r="N32" s="103"/>
      <c r="P32" s="57"/>
      <c r="Q32" s="57"/>
      <c r="R32" s="57"/>
      <c r="S32" s="57"/>
      <c r="T32" s="57"/>
      <c r="U32" s="57"/>
      <c r="V32" s="58"/>
      <c r="W32" s="58"/>
      <c r="X32" s="58"/>
      <c r="Y32" s="58"/>
      <c r="Z32" s="58"/>
    </row>
    <row r="33" spans="1:26" ht="21.9" customHeight="1">
      <c r="A33" s="104" t="s">
        <v>122</v>
      </c>
      <c r="B33" s="104"/>
      <c r="C33" s="104"/>
      <c r="D33" s="104">
        <f>'30'!G33</f>
        <v>0</v>
      </c>
      <c r="E33" s="104"/>
      <c r="F33" s="104"/>
      <c r="G33" s="102">
        <v>0</v>
      </c>
      <c r="H33" s="106"/>
      <c r="I33" s="103"/>
      <c r="J33" s="102">
        <f t="shared" si="2"/>
        <v>0</v>
      </c>
      <c r="K33" s="106">
        <v>12.255000000000001</v>
      </c>
      <c r="L33" s="103">
        <v>12.255000000000001</v>
      </c>
      <c r="M33" s="102">
        <f>'30'!M33+J33</f>
        <v>0</v>
      </c>
      <c r="N33" s="103"/>
      <c r="P33" s="57"/>
      <c r="Q33" s="57"/>
      <c r="R33" s="57"/>
      <c r="S33" s="57"/>
      <c r="T33" s="57"/>
      <c r="U33" s="57"/>
      <c r="V33" s="58"/>
      <c r="W33" s="58"/>
      <c r="X33" s="58"/>
      <c r="Y33" s="58"/>
      <c r="Z33" s="58"/>
    </row>
    <row r="34" spans="1:26" ht="14.25" customHeight="1"/>
    <row r="35" spans="1:26">
      <c r="A35" s="1" t="s">
        <v>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65" t="s">
        <v>15</v>
      </c>
      <c r="B36" s="166"/>
      <c r="C36" s="165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66"/>
    </row>
    <row r="37" spans="1:26">
      <c r="A37" s="167"/>
      <c r="B37" s="168"/>
      <c r="C37" s="167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68"/>
    </row>
    <row r="38" spans="1:26">
      <c r="A38" s="167"/>
      <c r="B38" s="168"/>
      <c r="C38" s="16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68"/>
    </row>
    <row r="39" spans="1:26">
      <c r="A39" s="167"/>
      <c r="B39" s="168"/>
      <c r="C39" s="167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68"/>
    </row>
    <row r="40" spans="1:26">
      <c r="A40" s="167"/>
      <c r="B40" s="168"/>
      <c r="C40" s="167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68"/>
    </row>
    <row r="41" spans="1:26">
      <c r="A41" s="167"/>
      <c r="B41" s="168"/>
      <c r="C41" s="16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68"/>
    </row>
    <row r="42" spans="1:26">
      <c r="A42" s="167"/>
      <c r="B42" s="168"/>
      <c r="C42" s="16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68"/>
    </row>
    <row r="43" spans="1:26">
      <c r="A43" s="167"/>
      <c r="B43" s="168"/>
      <c r="C43" s="167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68"/>
    </row>
    <row r="44" spans="1:26">
      <c r="A44" s="167"/>
      <c r="B44" s="168"/>
      <c r="C44" s="167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68"/>
    </row>
    <row r="45" spans="1:26">
      <c r="A45" s="167"/>
      <c r="B45" s="168"/>
      <c r="C45" s="167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68"/>
    </row>
    <row r="46" spans="1:26">
      <c r="A46" s="167"/>
      <c r="B46" s="168"/>
      <c r="C46" s="167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68"/>
    </row>
    <row r="47" spans="1:26">
      <c r="A47" s="167"/>
      <c r="B47" s="168"/>
      <c r="C47" s="167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68"/>
    </row>
    <row r="48" spans="1:26">
      <c r="A48" s="169"/>
      <c r="B48" s="170"/>
      <c r="C48" s="169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0"/>
    </row>
    <row r="49" spans="1:26">
      <c r="A49" s="165" t="s">
        <v>138</v>
      </c>
      <c r="B49" s="166"/>
      <c r="C49" s="165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66"/>
    </row>
    <row r="50" spans="1:26">
      <c r="A50" s="167"/>
      <c r="B50" s="168"/>
      <c r="C50" s="167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68"/>
    </row>
    <row r="51" spans="1:26">
      <c r="A51" s="167"/>
      <c r="B51" s="168"/>
      <c r="C51" s="167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68"/>
    </row>
    <row r="52" spans="1:26">
      <c r="A52" s="167"/>
      <c r="B52" s="168"/>
      <c r="C52" s="167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68"/>
    </row>
    <row r="53" spans="1:26">
      <c r="A53" s="167"/>
      <c r="B53" s="168"/>
      <c r="C53" s="167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68"/>
    </row>
    <row r="54" spans="1:26">
      <c r="A54" s="167"/>
      <c r="B54" s="168"/>
      <c r="C54" s="167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68"/>
    </row>
    <row r="55" spans="1:26">
      <c r="A55" s="167"/>
      <c r="B55" s="168"/>
      <c r="C55" s="167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68"/>
    </row>
    <row r="56" spans="1:26">
      <c r="A56" s="167"/>
      <c r="B56" s="168"/>
      <c r="C56" s="167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68"/>
    </row>
    <row r="57" spans="1:26">
      <c r="A57" s="167"/>
      <c r="B57" s="168"/>
      <c r="C57" s="16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68"/>
    </row>
    <row r="58" spans="1:26">
      <c r="A58" s="167"/>
      <c r="B58" s="168"/>
      <c r="C58" s="167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68"/>
    </row>
    <row r="59" spans="1:26">
      <c r="A59" s="167"/>
      <c r="B59" s="168"/>
      <c r="C59" s="16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68"/>
    </row>
    <row r="60" spans="1:26">
      <c r="A60" s="167"/>
      <c r="B60" s="168"/>
      <c r="C60" s="167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68"/>
    </row>
    <row r="61" spans="1:26">
      <c r="A61" s="167"/>
      <c r="B61" s="168"/>
      <c r="C61" s="167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68"/>
    </row>
    <row r="62" spans="1:26">
      <c r="A62" s="169"/>
      <c r="B62" s="170"/>
      <c r="C62" s="169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0"/>
    </row>
    <row r="63" spans="1:26">
      <c r="A63" s="165" t="s">
        <v>16</v>
      </c>
      <c r="B63" s="166"/>
      <c r="C63" s="165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66"/>
    </row>
    <row r="64" spans="1:26">
      <c r="A64" s="167"/>
      <c r="B64" s="168"/>
      <c r="C64" s="167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68"/>
    </row>
    <row r="65" spans="1:26">
      <c r="A65" s="167"/>
      <c r="B65" s="168"/>
      <c r="C65" s="167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68"/>
    </row>
    <row r="66" spans="1:26">
      <c r="A66" s="167"/>
      <c r="B66" s="168"/>
      <c r="C66" s="167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68"/>
    </row>
    <row r="67" spans="1:26">
      <c r="A67" s="167"/>
      <c r="B67" s="168"/>
      <c r="C67" s="167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68"/>
    </row>
    <row r="68" spans="1:26">
      <c r="A68" s="167"/>
      <c r="B68" s="168"/>
      <c r="C68" s="167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68"/>
    </row>
    <row r="69" spans="1:26">
      <c r="A69" s="167"/>
      <c r="B69" s="168"/>
      <c r="C69" s="167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68"/>
    </row>
    <row r="70" spans="1:26">
      <c r="A70" s="167"/>
      <c r="B70" s="168"/>
      <c r="C70" s="167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68"/>
    </row>
    <row r="71" spans="1:26">
      <c r="A71" s="167"/>
      <c r="B71" s="168"/>
      <c r="C71" s="167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68"/>
    </row>
    <row r="72" spans="1:26">
      <c r="A72" s="167"/>
      <c r="B72" s="168"/>
      <c r="C72" s="167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68"/>
    </row>
    <row r="73" spans="1:26">
      <c r="A73" s="167"/>
      <c r="B73" s="168"/>
      <c r="C73" s="167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68"/>
    </row>
    <row r="74" spans="1:26">
      <c r="A74" s="167"/>
      <c r="B74" s="168"/>
      <c r="C74" s="167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68"/>
    </row>
    <row r="75" spans="1:26">
      <c r="A75" s="167"/>
      <c r="B75" s="168"/>
      <c r="C75" s="167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68"/>
    </row>
    <row r="76" spans="1:26">
      <c r="A76" s="169"/>
      <c r="B76" s="170"/>
      <c r="C76" s="169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0"/>
    </row>
  </sheetData>
  <protectedRanges>
    <protectedRange sqref="H3" name="범위2"/>
    <protectedRange sqref="U2:Z3 D7:I7 R7:Z7 E12:H20 S12:V15 S18:V20 G24:I30 V24:X33" name="범위1"/>
    <protectedRange sqref="G32:L33 G31:I31" name="범위3_1_1_2_1"/>
    <protectedRange sqref="B2:G3" name="범위1_1"/>
  </protectedRanges>
  <mergeCells count="223">
    <mergeCell ref="A36:B48"/>
    <mergeCell ref="C36:Z48"/>
    <mergeCell ref="A49:B62"/>
    <mergeCell ref="C49:Z62"/>
    <mergeCell ref="A63:B76"/>
    <mergeCell ref="C63:Z76"/>
    <mergeCell ref="A32:C32"/>
    <mergeCell ref="D32:F32"/>
    <mergeCell ref="G32:I32"/>
    <mergeCell ref="J32:L32"/>
    <mergeCell ref="M32:N32"/>
    <mergeCell ref="A33:C33"/>
    <mergeCell ref="D33:F33"/>
    <mergeCell ref="G33:I33"/>
    <mergeCell ref="J33:L33"/>
    <mergeCell ref="M33:N33"/>
    <mergeCell ref="S30:U30"/>
    <mergeCell ref="V30:X30"/>
    <mergeCell ref="Y30:Z30"/>
    <mergeCell ref="A31:C31"/>
    <mergeCell ref="D31:F31"/>
    <mergeCell ref="G31:I31"/>
    <mergeCell ref="J31:L31"/>
    <mergeCell ref="M31:N31"/>
    <mergeCell ref="A30:C30"/>
    <mergeCell ref="D30:F30"/>
    <mergeCell ref="G30:I30"/>
    <mergeCell ref="J30:L30"/>
    <mergeCell ref="M30:N30"/>
    <mergeCell ref="P30:R30"/>
    <mergeCell ref="A29:C29"/>
    <mergeCell ref="D29:F29"/>
    <mergeCell ref="G29:I29"/>
    <mergeCell ref="J29:L29"/>
    <mergeCell ref="M29:N29"/>
    <mergeCell ref="P29:R29"/>
    <mergeCell ref="S29:U29"/>
    <mergeCell ref="V29:X29"/>
    <mergeCell ref="Y29:Z29"/>
    <mergeCell ref="A28:C28"/>
    <mergeCell ref="D28:F28"/>
    <mergeCell ref="G28:I28"/>
    <mergeCell ref="J28:L28"/>
    <mergeCell ref="M28:N28"/>
    <mergeCell ref="P28:R28"/>
    <mergeCell ref="S28:U28"/>
    <mergeCell ref="V28:X28"/>
    <mergeCell ref="Y28:Z28"/>
    <mergeCell ref="S26:U26"/>
    <mergeCell ref="V26:X26"/>
    <mergeCell ref="Y26:Z26"/>
    <mergeCell ref="A27:C27"/>
    <mergeCell ref="D27:F27"/>
    <mergeCell ref="G27:I27"/>
    <mergeCell ref="J27:L27"/>
    <mergeCell ref="M27:N27"/>
    <mergeCell ref="P27:R27"/>
    <mergeCell ref="S27:U27"/>
    <mergeCell ref="A26:C26"/>
    <mergeCell ref="D26:F26"/>
    <mergeCell ref="G26:I26"/>
    <mergeCell ref="J26:L26"/>
    <mergeCell ref="M26:N26"/>
    <mergeCell ref="P26:R26"/>
    <mergeCell ref="V27:X27"/>
    <mergeCell ref="Y27:Z27"/>
    <mergeCell ref="A25:C25"/>
    <mergeCell ref="D25:F25"/>
    <mergeCell ref="G25:I25"/>
    <mergeCell ref="J25:L25"/>
    <mergeCell ref="M25:N25"/>
    <mergeCell ref="P25:R25"/>
    <mergeCell ref="S25:U25"/>
    <mergeCell ref="V25:X25"/>
    <mergeCell ref="Y25:Z25"/>
    <mergeCell ref="Y23:Z23"/>
    <mergeCell ref="A24:C24"/>
    <mergeCell ref="D24:F24"/>
    <mergeCell ref="G24:I24"/>
    <mergeCell ref="J24:L24"/>
    <mergeCell ref="M24:N24"/>
    <mergeCell ref="P24:R24"/>
    <mergeCell ref="S24:U24"/>
    <mergeCell ref="V24:X24"/>
    <mergeCell ref="Y24:Z24"/>
    <mergeCell ref="P22:U22"/>
    <mergeCell ref="A23:C23"/>
    <mergeCell ref="D23:F23"/>
    <mergeCell ref="G23:I23"/>
    <mergeCell ref="J23:L23"/>
    <mergeCell ref="M23:N23"/>
    <mergeCell ref="P23:R23"/>
    <mergeCell ref="S23:U23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P18:R20"/>
    <mergeCell ref="S18:T20"/>
    <mergeCell ref="U18:V20"/>
    <mergeCell ref="V23:X23"/>
    <mergeCell ref="W18:X20"/>
    <mergeCell ref="Y18:Z20"/>
    <mergeCell ref="A19:B19"/>
    <mergeCell ref="C19:D19"/>
    <mergeCell ref="E19:F19"/>
    <mergeCell ref="G19:H19"/>
    <mergeCell ref="I19:J19"/>
    <mergeCell ref="K17:L17"/>
    <mergeCell ref="M17:N17"/>
    <mergeCell ref="A18:B18"/>
    <mergeCell ref="C18:D18"/>
    <mergeCell ref="E18:F18"/>
    <mergeCell ref="G18:H18"/>
    <mergeCell ref="I18:J18"/>
    <mergeCell ref="K18:L18"/>
    <mergeCell ref="M18:N18"/>
    <mergeCell ref="P16:R17"/>
    <mergeCell ref="S16:T17"/>
    <mergeCell ref="U16:V17"/>
    <mergeCell ref="W16:X17"/>
    <mergeCell ref="Y16:Z17"/>
    <mergeCell ref="A17:B17"/>
    <mergeCell ref="C17:D17"/>
    <mergeCell ref="E17:F17"/>
    <mergeCell ref="G17:H17"/>
    <mergeCell ref="I17:J17"/>
    <mergeCell ref="M15:N15"/>
    <mergeCell ref="A16:B16"/>
    <mergeCell ref="C16:D16"/>
    <mergeCell ref="E16:F16"/>
    <mergeCell ref="G16:H16"/>
    <mergeCell ref="I16:J16"/>
    <mergeCell ref="K16:L16"/>
    <mergeCell ref="M16:N16"/>
    <mergeCell ref="W12:Z13"/>
    <mergeCell ref="A13:B13"/>
    <mergeCell ref="C13:D13"/>
    <mergeCell ref="E13:F13"/>
    <mergeCell ref="G13:H13"/>
    <mergeCell ref="I13:J13"/>
    <mergeCell ref="K13:L13"/>
    <mergeCell ref="M13:N13"/>
    <mergeCell ref="M14:N14"/>
    <mergeCell ref="P14:R15"/>
    <mergeCell ref="S14:V15"/>
    <mergeCell ref="W14:Z15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2:B12"/>
    <mergeCell ref="C12:D12"/>
    <mergeCell ref="E12:F12"/>
    <mergeCell ref="G12:H12"/>
    <mergeCell ref="I12:J12"/>
    <mergeCell ref="K12:L12"/>
    <mergeCell ref="M12:N12"/>
    <mergeCell ref="P12:R13"/>
    <mergeCell ref="S12:V13"/>
    <mergeCell ref="U8:W8"/>
    <mergeCell ref="X8:Z8"/>
    <mergeCell ref="A11:B11"/>
    <mergeCell ref="C11:D11"/>
    <mergeCell ref="E11:F11"/>
    <mergeCell ref="G11:H11"/>
    <mergeCell ref="I11:J11"/>
    <mergeCell ref="K11:L11"/>
    <mergeCell ref="M11:N11"/>
    <mergeCell ref="P11:R11"/>
    <mergeCell ref="A8:C8"/>
    <mergeCell ref="D8:F8"/>
    <mergeCell ref="G8:I8"/>
    <mergeCell ref="J8:L8"/>
    <mergeCell ref="P8:Q8"/>
    <mergeCell ref="R8:T8"/>
    <mergeCell ref="S11:V11"/>
    <mergeCell ref="W11:Z11"/>
    <mergeCell ref="U6:W6"/>
    <mergeCell ref="X6:Z6"/>
    <mergeCell ref="A7:C7"/>
    <mergeCell ref="D7:F7"/>
    <mergeCell ref="G7:I7"/>
    <mergeCell ref="J7:L7"/>
    <mergeCell ref="P7:Q7"/>
    <mergeCell ref="R7:T7"/>
    <mergeCell ref="U7:W7"/>
    <mergeCell ref="X7:Z7"/>
    <mergeCell ref="A6:C6"/>
    <mergeCell ref="D6:F6"/>
    <mergeCell ref="G6:I6"/>
    <mergeCell ref="J6:L6"/>
    <mergeCell ref="P6:Q6"/>
    <mergeCell ref="R6:T6"/>
    <mergeCell ref="A1:A3"/>
    <mergeCell ref="B1:C1"/>
    <mergeCell ref="D1:E1"/>
    <mergeCell ref="F1:G1"/>
    <mergeCell ref="H1:S2"/>
    <mergeCell ref="T1:T3"/>
    <mergeCell ref="U1:V1"/>
    <mergeCell ref="W1:X1"/>
    <mergeCell ref="Y1:Z1"/>
    <mergeCell ref="B2:C3"/>
    <mergeCell ref="D2:E3"/>
    <mergeCell ref="F2:G3"/>
    <mergeCell ref="U2:V3"/>
    <mergeCell ref="W2:X3"/>
    <mergeCell ref="Y2:Z3"/>
    <mergeCell ref="H3:S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65"/>
  <sheetViews>
    <sheetView tabSelected="1" topLeftCell="A16" zoomScale="115" zoomScaleNormal="115" workbookViewId="0">
      <selection activeCell="S28" sqref="S28"/>
    </sheetView>
  </sheetViews>
  <sheetFormatPr defaultColWidth="9" defaultRowHeight="13.2"/>
  <cols>
    <col min="1" max="1" width="7" style="2" customWidth="1"/>
    <col min="2" max="2" width="9.3984375" style="2" customWidth="1"/>
    <col min="3" max="5" width="3.59765625" style="2" customWidth="1"/>
    <col min="6" max="7" width="3.59765625" style="23" customWidth="1"/>
    <col min="8" max="8" width="4.19921875" style="23" customWidth="1"/>
    <col min="9" max="9" width="3.59765625" style="2" customWidth="1"/>
    <col min="10" max="10" width="3.59765625" style="23" customWidth="1"/>
    <col min="11" max="11" width="3.59765625" style="2" customWidth="1"/>
    <col min="12" max="12" width="3.59765625" style="23" customWidth="1"/>
    <col min="13" max="14" width="3.59765625" style="2" customWidth="1"/>
    <col min="15" max="15" width="3.59765625" style="23" customWidth="1"/>
    <col min="16" max="16" width="3.59765625" style="2" customWidth="1"/>
    <col min="17" max="17" width="3.59765625" style="23" customWidth="1"/>
    <col min="18" max="33" width="3.59765625" style="2" customWidth="1"/>
    <col min="34" max="43" width="8.5" style="2" customWidth="1"/>
    <col min="44" max="54" width="11.59765625" style="2" customWidth="1"/>
    <col min="55" max="55" width="14.19921875" style="2" customWidth="1"/>
    <col min="56" max="78" width="5.8984375" style="2" customWidth="1"/>
    <col min="79" max="79" width="6.69921875" style="2" customWidth="1"/>
    <col min="80" max="16384" width="9" style="2"/>
  </cols>
  <sheetData>
    <row r="1" spans="1:37" ht="20.100000000000001" customHeight="1">
      <c r="B1" s="221" t="s">
        <v>146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</row>
    <row r="2" spans="1:37" ht="6.75" customHeight="1" thickBot="1">
      <c r="C2" s="3"/>
      <c r="D2" s="3"/>
      <c r="E2" s="3"/>
      <c r="F2" s="4"/>
      <c r="G2" s="4"/>
      <c r="H2" s="4"/>
      <c r="I2" s="3"/>
      <c r="J2" s="4"/>
      <c r="K2" s="3"/>
      <c r="L2" s="4"/>
      <c r="M2" s="3"/>
      <c r="N2" s="3"/>
      <c r="O2" s="4"/>
      <c r="P2" s="3"/>
      <c r="Q2" s="4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7" ht="20.100000000000001" customHeight="1" thickBot="1">
      <c r="A3" s="222" t="s">
        <v>64</v>
      </c>
      <c r="B3" s="223"/>
      <c r="C3" s="5">
        <v>1</v>
      </c>
      <c r="D3" s="5">
        <v>2</v>
      </c>
      <c r="E3" s="5">
        <v>3</v>
      </c>
      <c r="F3" s="6">
        <v>4</v>
      </c>
      <c r="G3" s="6">
        <v>5</v>
      </c>
      <c r="H3" s="6">
        <v>6</v>
      </c>
      <c r="I3" s="5">
        <v>7</v>
      </c>
      <c r="J3" s="6">
        <v>8</v>
      </c>
      <c r="K3" s="5">
        <v>9</v>
      </c>
      <c r="L3" s="6">
        <v>10</v>
      </c>
      <c r="M3" s="5">
        <v>11</v>
      </c>
      <c r="N3" s="5">
        <v>12</v>
      </c>
      <c r="O3" s="6">
        <v>13</v>
      </c>
      <c r="P3" s="5">
        <v>14</v>
      </c>
      <c r="Q3" s="6">
        <v>15</v>
      </c>
      <c r="R3" s="5">
        <v>16</v>
      </c>
      <c r="S3" s="5">
        <v>17</v>
      </c>
      <c r="T3" s="5">
        <v>18</v>
      </c>
      <c r="U3" s="5">
        <v>19</v>
      </c>
      <c r="V3" s="5">
        <v>20</v>
      </c>
      <c r="W3" s="5">
        <v>21</v>
      </c>
      <c r="X3" s="5">
        <v>22</v>
      </c>
      <c r="Y3" s="5">
        <v>23</v>
      </c>
      <c r="Z3" s="5">
        <v>24</v>
      </c>
      <c r="AA3" s="5">
        <v>25</v>
      </c>
      <c r="AB3" s="5">
        <v>26</v>
      </c>
      <c r="AC3" s="5">
        <v>27</v>
      </c>
      <c r="AD3" s="5">
        <v>28</v>
      </c>
      <c r="AE3" s="5">
        <v>29</v>
      </c>
      <c r="AF3" s="5">
        <v>30</v>
      </c>
      <c r="AG3" s="5">
        <v>31</v>
      </c>
      <c r="AH3" s="5" t="s">
        <v>65</v>
      </c>
      <c r="AI3" s="7" t="s">
        <v>66</v>
      </c>
    </row>
    <row r="4" spans="1:37" ht="20.100000000000001" customHeight="1" thickTop="1">
      <c r="A4" s="224" t="s">
        <v>118</v>
      </c>
      <c r="B4" s="8" t="s">
        <v>67</v>
      </c>
      <c r="C4" s="9">
        <f>'1'!$E$12</f>
        <v>0</v>
      </c>
      <c r="D4" s="9">
        <f>'2'!$E$12</f>
        <v>0</v>
      </c>
      <c r="E4" s="9">
        <f>'3'!$E$12</f>
        <v>15450</v>
      </c>
      <c r="F4" s="9">
        <f>'4'!$E$12</f>
        <v>0</v>
      </c>
      <c r="G4" s="9">
        <f>'5'!$E$12</f>
        <v>0</v>
      </c>
      <c r="H4" s="9">
        <f>'6'!$E$12</f>
        <v>0</v>
      </c>
      <c r="I4" s="9">
        <f>'7'!$E$12</f>
        <v>16020</v>
      </c>
      <c r="J4" s="9">
        <f>'8'!$E$12</f>
        <v>0</v>
      </c>
      <c r="K4" s="9">
        <f>'9'!$E$12</f>
        <v>0</v>
      </c>
      <c r="L4" s="9">
        <f>'10'!$E$12</f>
        <v>11400</v>
      </c>
      <c r="M4" s="9">
        <f>'11'!$E$12</f>
        <v>0</v>
      </c>
      <c r="N4" s="9">
        <f>'12'!$E$12</f>
        <v>0</v>
      </c>
      <c r="O4" s="9">
        <f>'13'!$E$12</f>
        <v>11350</v>
      </c>
      <c r="P4" s="9">
        <f>'14'!$E$12</f>
        <v>0</v>
      </c>
      <c r="Q4" s="9">
        <f>'15'!$E$12</f>
        <v>0</v>
      </c>
      <c r="R4" s="9">
        <f>'16'!$E$12</f>
        <v>12190</v>
      </c>
      <c r="S4" s="9">
        <f>'17'!$E$12</f>
        <v>0</v>
      </c>
      <c r="T4" s="9">
        <f>'18'!$E$12</f>
        <v>0</v>
      </c>
      <c r="U4" s="9">
        <f>'19'!$E$12</f>
        <v>0</v>
      </c>
      <c r="V4" s="9">
        <f>'20'!$E$12</f>
        <v>16950</v>
      </c>
      <c r="W4" s="9">
        <f>'21'!$E$12</f>
        <v>0</v>
      </c>
      <c r="X4" s="9">
        <f>'22'!$E$12</f>
        <v>0</v>
      </c>
      <c r="Y4" s="9">
        <f>'23'!$E$12</f>
        <v>0</v>
      </c>
      <c r="Z4" s="9">
        <f>'24'!$E$12</f>
        <v>14830</v>
      </c>
      <c r="AA4" s="9">
        <f>'25'!$E$12</f>
        <v>0</v>
      </c>
      <c r="AB4" s="9">
        <f>'26'!$E$12</f>
        <v>0</v>
      </c>
      <c r="AC4" s="9">
        <f>'27'!$E$12</f>
        <v>14100</v>
      </c>
      <c r="AD4" s="9">
        <f>'28'!$E$12</f>
        <v>0</v>
      </c>
      <c r="AE4" s="9">
        <f>'29'!$E$12</f>
        <v>4870</v>
      </c>
      <c r="AF4" s="9">
        <f>'30'!$E$12</f>
        <v>0</v>
      </c>
      <c r="AG4" s="9">
        <f>'31'!$E$12</f>
        <v>13800</v>
      </c>
      <c r="AH4" s="10">
        <f>SUM(C4:AG4)</f>
        <v>130960</v>
      </c>
      <c r="AI4" s="84">
        <f t="shared" ref="AI4:AI12" si="0">IFERROR(AVERAGE(C4:AG4),"")</f>
        <v>4224.5161290322585</v>
      </c>
      <c r="AJ4" s="2">
        <f>('1'!C12+AH4)-AH5</f>
        <v>18962</v>
      </c>
      <c r="AK4" s="2">
        <f>AJ4-'30'!I12</f>
        <v>9785</v>
      </c>
    </row>
    <row r="5" spans="1:37" ht="20.100000000000001" customHeight="1">
      <c r="A5" s="225"/>
      <c r="B5" s="8" t="s">
        <v>68</v>
      </c>
      <c r="C5" s="9">
        <f>'1'!$G$12</f>
        <v>3339</v>
      </c>
      <c r="D5" s="9">
        <f>'2'!$G$12</f>
        <v>3812</v>
      </c>
      <c r="E5" s="9">
        <f>'3'!$G$12</f>
        <v>3638</v>
      </c>
      <c r="F5" s="9">
        <f>'4'!$G$12</f>
        <v>4682</v>
      </c>
      <c r="G5" s="9">
        <f>'5'!$G$12</f>
        <v>3767</v>
      </c>
      <c r="H5" s="9">
        <f>'6'!$G$12</f>
        <v>4082</v>
      </c>
      <c r="I5" s="9">
        <f>'7'!$G$12</f>
        <v>3356</v>
      </c>
      <c r="J5" s="9">
        <f>'8'!$G$12</f>
        <v>4727</v>
      </c>
      <c r="K5" s="9">
        <f>'9'!$G$12</f>
        <v>3518</v>
      </c>
      <c r="L5" s="9">
        <f>'10'!$G$12</f>
        <v>3494</v>
      </c>
      <c r="M5" s="9">
        <f>'11'!$G$12</f>
        <v>4136</v>
      </c>
      <c r="N5" s="9">
        <f>'12'!$G$12</f>
        <v>3591</v>
      </c>
      <c r="O5" s="9">
        <f>'13'!$G$12</f>
        <v>3941</v>
      </c>
      <c r="P5" s="9">
        <f>'14'!$G$12</f>
        <v>4270</v>
      </c>
      <c r="Q5" s="9">
        <f>'15'!$G$12</f>
        <v>4082</v>
      </c>
      <c r="R5" s="9">
        <f>'16'!$G$12</f>
        <v>4223</v>
      </c>
      <c r="S5" s="9">
        <f>'17'!$G$12</f>
        <v>4670</v>
      </c>
      <c r="T5" s="9">
        <f>'18'!$G$12</f>
        <v>4036</v>
      </c>
      <c r="U5" s="9">
        <f>'19'!$G$12</f>
        <v>4036</v>
      </c>
      <c r="V5" s="9">
        <f>'20'!$G$12</f>
        <v>3980</v>
      </c>
      <c r="W5" s="9">
        <f>'21'!$G$12</f>
        <v>4245</v>
      </c>
      <c r="X5" s="9">
        <f>'22'!$G$12</f>
        <v>4418</v>
      </c>
      <c r="Y5" s="9">
        <f>'23'!$G$12</f>
        <v>4306</v>
      </c>
      <c r="Z5" s="9">
        <f>'24'!$G$12</f>
        <v>4291</v>
      </c>
      <c r="AA5" s="9">
        <f>'25'!$G$12</f>
        <v>4933</v>
      </c>
      <c r="AB5" s="9">
        <f>'26'!$G$12</f>
        <v>4227</v>
      </c>
      <c r="AC5" s="9">
        <f>'27'!$G$12</f>
        <v>4433</v>
      </c>
      <c r="AD5" s="9">
        <f>'28'!$G$12</f>
        <v>4206</v>
      </c>
      <c r="AE5" s="9">
        <f>'29'!$G$12</f>
        <v>3776</v>
      </c>
      <c r="AF5" s="9">
        <f>'30'!$G$12</f>
        <v>4682</v>
      </c>
      <c r="AG5" s="9">
        <f>'31'!$G$12</f>
        <v>4015</v>
      </c>
      <c r="AH5" s="10">
        <f>SUM(C5:AG5)</f>
        <v>126912</v>
      </c>
      <c r="AI5" s="11">
        <f t="shared" si="0"/>
        <v>4093.9354838709678</v>
      </c>
      <c r="AJ5" s="2">
        <f>AF6-AJ4</f>
        <v>-9785</v>
      </c>
    </row>
    <row r="6" spans="1:37" ht="19.5" customHeight="1" thickBot="1">
      <c r="A6" s="226"/>
      <c r="B6" s="12" t="s">
        <v>69</v>
      </c>
      <c r="C6" s="13">
        <f>'1'!I12</f>
        <v>11575</v>
      </c>
      <c r="D6" s="13">
        <f t="shared" ref="D6:AE6" si="1">C6+D4-D5</f>
        <v>7763</v>
      </c>
      <c r="E6" s="13">
        <f t="shared" si="1"/>
        <v>19575</v>
      </c>
      <c r="F6" s="13">
        <f t="shared" si="1"/>
        <v>14893</v>
      </c>
      <c r="G6" s="13">
        <f t="shared" si="1"/>
        <v>11126</v>
      </c>
      <c r="H6" s="13">
        <f t="shared" si="1"/>
        <v>7044</v>
      </c>
      <c r="I6" s="13">
        <f t="shared" si="1"/>
        <v>19708</v>
      </c>
      <c r="J6" s="13">
        <f t="shared" si="1"/>
        <v>14981</v>
      </c>
      <c r="K6" s="13">
        <f t="shared" si="1"/>
        <v>11463</v>
      </c>
      <c r="L6" s="13">
        <f t="shared" si="1"/>
        <v>19369</v>
      </c>
      <c r="M6" s="13">
        <f t="shared" si="1"/>
        <v>15233</v>
      </c>
      <c r="N6" s="13">
        <f t="shared" si="1"/>
        <v>11642</v>
      </c>
      <c r="O6" s="13">
        <f t="shared" si="1"/>
        <v>19051</v>
      </c>
      <c r="P6" s="13">
        <f t="shared" si="1"/>
        <v>14781</v>
      </c>
      <c r="Q6" s="13">
        <f t="shared" si="1"/>
        <v>10699</v>
      </c>
      <c r="R6" s="13">
        <f t="shared" si="1"/>
        <v>18666</v>
      </c>
      <c r="S6" s="13">
        <f t="shared" si="1"/>
        <v>13996</v>
      </c>
      <c r="T6" s="13">
        <f t="shared" si="1"/>
        <v>9960</v>
      </c>
      <c r="U6" s="13">
        <f t="shared" si="1"/>
        <v>5924</v>
      </c>
      <c r="V6" s="13">
        <f t="shared" si="1"/>
        <v>18894</v>
      </c>
      <c r="W6" s="13">
        <f t="shared" si="1"/>
        <v>14649</v>
      </c>
      <c r="X6" s="13">
        <f t="shared" si="1"/>
        <v>10231</v>
      </c>
      <c r="Y6" s="13">
        <f t="shared" si="1"/>
        <v>5925</v>
      </c>
      <c r="Z6" s="13">
        <f t="shared" si="1"/>
        <v>16464</v>
      </c>
      <c r="AA6" s="13">
        <f t="shared" si="1"/>
        <v>11531</v>
      </c>
      <c r="AB6" s="13">
        <f t="shared" si="1"/>
        <v>7304</v>
      </c>
      <c r="AC6" s="13">
        <f t="shared" si="1"/>
        <v>16971</v>
      </c>
      <c r="AD6" s="13">
        <f t="shared" si="1"/>
        <v>12765</v>
      </c>
      <c r="AE6" s="13">
        <f t="shared" si="1"/>
        <v>13859</v>
      </c>
      <c r="AF6" s="13">
        <f>AE6+AF4-AF5</f>
        <v>9177</v>
      </c>
      <c r="AG6" s="13">
        <f>AF6+AG4-AG5</f>
        <v>18962</v>
      </c>
      <c r="AH6" s="80">
        <v>0</v>
      </c>
      <c r="AI6" s="82">
        <f t="shared" si="0"/>
        <v>13360.677419354839</v>
      </c>
    </row>
    <row r="7" spans="1:37" ht="20.100000000000001" customHeight="1">
      <c r="A7" s="227" t="s">
        <v>70</v>
      </c>
      <c r="B7" s="15" t="s">
        <v>67</v>
      </c>
      <c r="C7" s="9">
        <f>'1'!$E$13</f>
        <v>0</v>
      </c>
      <c r="D7" s="9">
        <f>'2'!$E$13</f>
        <v>0</v>
      </c>
      <c r="E7" s="9">
        <f>'3'!$E$13</f>
        <v>710</v>
      </c>
      <c r="F7" s="9">
        <f>'4'!$E$13</f>
        <v>0</v>
      </c>
      <c r="G7" s="9">
        <f>'5'!$E$13</f>
        <v>0</v>
      </c>
      <c r="H7" s="9">
        <f>'6'!$E$13</f>
        <v>0</v>
      </c>
      <c r="I7" s="9">
        <f>'7'!$E$13</f>
        <v>0</v>
      </c>
      <c r="J7" s="9">
        <f>'8'!$E$13</f>
        <v>0</v>
      </c>
      <c r="K7" s="9">
        <f>'9'!$E$13</f>
        <v>0</v>
      </c>
      <c r="L7" s="9">
        <f>'10'!$E$13</f>
        <v>0</v>
      </c>
      <c r="M7" s="9">
        <f>'11'!$E$13</f>
        <v>0</v>
      </c>
      <c r="N7" s="9">
        <f>'12'!$E$13</f>
        <v>0</v>
      </c>
      <c r="O7" s="9">
        <f>'13'!$E$13</f>
        <v>910</v>
      </c>
      <c r="P7" s="9">
        <f>'14'!$E$13</f>
        <v>0</v>
      </c>
      <c r="Q7" s="9">
        <f>'15'!$E$13</f>
        <v>0</v>
      </c>
      <c r="R7" s="9">
        <f>'16'!$E$13</f>
        <v>0</v>
      </c>
      <c r="S7" s="9">
        <f>'17'!$E$13</f>
        <v>0</v>
      </c>
      <c r="T7" s="9">
        <f>'18'!$E$13</f>
        <v>0</v>
      </c>
      <c r="U7" s="9">
        <f>'19'!$E$13</f>
        <v>0</v>
      </c>
      <c r="V7" s="9">
        <f>'20'!$E$13</f>
        <v>0</v>
      </c>
      <c r="W7" s="9">
        <f>'21'!$E$13</f>
        <v>0</v>
      </c>
      <c r="X7" s="9">
        <f>'22'!$E$13</f>
        <v>800</v>
      </c>
      <c r="Y7" s="9">
        <f>'23'!$E$13</f>
        <v>0</v>
      </c>
      <c r="Z7" s="9">
        <f>'24'!$E$13</f>
        <v>0</v>
      </c>
      <c r="AA7" s="9">
        <f>'25'!$E$13</f>
        <v>0</v>
      </c>
      <c r="AB7" s="9">
        <f>'26'!$E$13</f>
        <v>0</v>
      </c>
      <c r="AC7" s="9">
        <f>'27'!$E$13</f>
        <v>0</v>
      </c>
      <c r="AD7" s="9">
        <f>'28'!$E$13</f>
        <v>0</v>
      </c>
      <c r="AE7" s="9">
        <f>'29'!$E$13</f>
        <v>390</v>
      </c>
      <c r="AF7" s="9">
        <f>'30'!$E$13</f>
        <v>0</v>
      </c>
      <c r="AG7" s="9">
        <f>'31'!$E$13</f>
        <v>0</v>
      </c>
      <c r="AH7" s="10">
        <f>SUM(C7:AG7)</f>
        <v>2810</v>
      </c>
      <c r="AI7" s="18">
        <f t="shared" si="0"/>
        <v>90.645161290322577</v>
      </c>
      <c r="AJ7" s="2">
        <f>('1'!C13+'요약(약품)'!AH7)-AH8</f>
        <v>730</v>
      </c>
      <c r="AK7" s="2">
        <f>AJ7-'30'!I13</f>
        <v>-90</v>
      </c>
    </row>
    <row r="8" spans="1:37" ht="20.100000000000001" customHeight="1">
      <c r="A8" s="219"/>
      <c r="B8" s="8" t="s">
        <v>68</v>
      </c>
      <c r="C8" s="9">
        <f>'1'!$G$13</f>
        <v>90</v>
      </c>
      <c r="D8" s="9">
        <f>'2'!$G$13</f>
        <v>100</v>
      </c>
      <c r="E8" s="9">
        <f>'3'!$G$13</f>
        <v>100</v>
      </c>
      <c r="F8" s="9">
        <f>'4'!$G$13</f>
        <v>80</v>
      </c>
      <c r="G8" s="9">
        <f>'5'!$G$13</f>
        <v>110</v>
      </c>
      <c r="H8" s="9">
        <f>'6'!$G$13</f>
        <v>90</v>
      </c>
      <c r="I8" s="9">
        <f>'7'!$G$13</f>
        <v>90</v>
      </c>
      <c r="J8" s="9">
        <f>'8'!$G$13</f>
        <v>80</v>
      </c>
      <c r="K8" s="9">
        <f>'9'!$G$13</f>
        <v>90</v>
      </c>
      <c r="L8" s="9">
        <f>'10'!$G$13</f>
        <v>100</v>
      </c>
      <c r="M8" s="9">
        <f>'11'!$G$13</f>
        <v>90</v>
      </c>
      <c r="N8" s="9">
        <f>'12'!$G$13</f>
        <v>100</v>
      </c>
      <c r="O8" s="9">
        <f>'13'!$G$13</f>
        <v>100</v>
      </c>
      <c r="P8" s="9">
        <f>'14'!$G$13</f>
        <v>90</v>
      </c>
      <c r="Q8" s="9">
        <f>'15'!$G$13</f>
        <v>90</v>
      </c>
      <c r="R8" s="9">
        <f>'16'!$G$13</f>
        <v>90</v>
      </c>
      <c r="S8" s="9">
        <f>'17'!$G$13</f>
        <v>100</v>
      </c>
      <c r="T8" s="9">
        <f>'18'!$G$13</f>
        <v>90</v>
      </c>
      <c r="U8" s="9">
        <f>'19'!$G$13</f>
        <v>90</v>
      </c>
      <c r="V8" s="9">
        <f>'20'!$G$13</f>
        <v>100</v>
      </c>
      <c r="W8" s="9">
        <f>'21'!$G$13</f>
        <v>100</v>
      </c>
      <c r="X8" s="9">
        <f>'22'!$G$13</f>
        <v>100</v>
      </c>
      <c r="Y8" s="9">
        <f>'23'!$G$13</f>
        <v>70</v>
      </c>
      <c r="Z8" s="9">
        <f>'24'!$G$13</f>
        <v>60</v>
      </c>
      <c r="AA8" s="9">
        <f>'25'!$G$13</f>
        <v>60</v>
      </c>
      <c r="AB8" s="9">
        <f>'26'!$G$13</f>
        <v>60</v>
      </c>
      <c r="AC8" s="9">
        <f>'27'!$G$13</f>
        <v>60</v>
      </c>
      <c r="AD8" s="9">
        <f>'28'!$G$13</f>
        <v>60</v>
      </c>
      <c r="AE8" s="9">
        <f>'29'!$G$13</f>
        <v>50</v>
      </c>
      <c r="AF8" s="9">
        <f>'30'!$G$13</f>
        <v>90</v>
      </c>
      <c r="AG8" s="9">
        <f>'31'!$G$13</f>
        <v>90</v>
      </c>
      <c r="AH8" s="10">
        <f>SUM(C8:AG8)</f>
        <v>2670</v>
      </c>
      <c r="AI8" s="11">
        <f t="shared" si="0"/>
        <v>86.129032258064512</v>
      </c>
      <c r="AJ8" s="2">
        <f>AF9-AJ7</f>
        <v>90</v>
      </c>
    </row>
    <row r="9" spans="1:37" ht="19.5" customHeight="1" thickBot="1">
      <c r="A9" s="220"/>
      <c r="B9" s="12" t="s">
        <v>69</v>
      </c>
      <c r="C9" s="17">
        <f>'1'!I13</f>
        <v>500</v>
      </c>
      <c r="D9" s="17">
        <f t="shared" ref="D9:AE9" si="2">C9+D7-D8</f>
        <v>400</v>
      </c>
      <c r="E9" s="17">
        <f t="shared" si="2"/>
        <v>1010</v>
      </c>
      <c r="F9" s="17">
        <f t="shared" si="2"/>
        <v>930</v>
      </c>
      <c r="G9" s="17">
        <f t="shared" si="2"/>
        <v>820</v>
      </c>
      <c r="H9" s="17">
        <f t="shared" si="2"/>
        <v>730</v>
      </c>
      <c r="I9" s="17">
        <f t="shared" si="2"/>
        <v>640</v>
      </c>
      <c r="J9" s="17">
        <f t="shared" si="2"/>
        <v>560</v>
      </c>
      <c r="K9" s="17">
        <f t="shared" si="2"/>
        <v>470</v>
      </c>
      <c r="L9" s="17">
        <f t="shared" si="2"/>
        <v>370</v>
      </c>
      <c r="M9" s="17">
        <f t="shared" si="2"/>
        <v>280</v>
      </c>
      <c r="N9" s="17">
        <f t="shared" si="2"/>
        <v>180</v>
      </c>
      <c r="O9" s="17">
        <f t="shared" si="2"/>
        <v>990</v>
      </c>
      <c r="P9" s="17">
        <f t="shared" si="2"/>
        <v>900</v>
      </c>
      <c r="Q9" s="17">
        <f t="shared" si="2"/>
        <v>810</v>
      </c>
      <c r="R9" s="17">
        <f t="shared" si="2"/>
        <v>720</v>
      </c>
      <c r="S9" s="17">
        <f t="shared" si="2"/>
        <v>620</v>
      </c>
      <c r="T9" s="17">
        <f t="shared" si="2"/>
        <v>530</v>
      </c>
      <c r="U9" s="17">
        <f t="shared" si="2"/>
        <v>440</v>
      </c>
      <c r="V9" s="17">
        <f t="shared" si="2"/>
        <v>340</v>
      </c>
      <c r="W9" s="17">
        <f t="shared" si="2"/>
        <v>240</v>
      </c>
      <c r="X9" s="17">
        <f t="shared" si="2"/>
        <v>940</v>
      </c>
      <c r="Y9" s="17">
        <f t="shared" si="2"/>
        <v>870</v>
      </c>
      <c r="Z9" s="17">
        <f t="shared" si="2"/>
        <v>810</v>
      </c>
      <c r="AA9" s="17">
        <f t="shared" si="2"/>
        <v>750</v>
      </c>
      <c r="AB9" s="17">
        <f t="shared" si="2"/>
        <v>690</v>
      </c>
      <c r="AC9" s="17">
        <f t="shared" si="2"/>
        <v>630</v>
      </c>
      <c r="AD9" s="17">
        <f t="shared" si="2"/>
        <v>570</v>
      </c>
      <c r="AE9" s="17">
        <f t="shared" si="2"/>
        <v>910</v>
      </c>
      <c r="AF9" s="17">
        <f>AE9+AF7-AF8</f>
        <v>820</v>
      </c>
      <c r="AG9" s="17">
        <f>AF9+AG7-AG8</f>
        <v>730</v>
      </c>
      <c r="AH9" s="80">
        <v>0</v>
      </c>
      <c r="AI9" s="82">
        <f t="shared" si="0"/>
        <v>651.61290322580646</v>
      </c>
    </row>
    <row r="10" spans="1:37" ht="20.100000000000001" customHeight="1">
      <c r="A10" s="227" t="s">
        <v>71</v>
      </c>
      <c r="B10" s="15" t="s">
        <v>67</v>
      </c>
      <c r="C10" s="9">
        <f>'1'!$E$14</f>
        <v>0</v>
      </c>
      <c r="D10" s="9">
        <f>'2'!$E$14</f>
        <v>0</v>
      </c>
      <c r="E10" s="9">
        <f>'3'!$E$14</f>
        <v>0</v>
      </c>
      <c r="F10" s="9">
        <f>'4'!$E$14</f>
        <v>0</v>
      </c>
      <c r="G10" s="9">
        <f>'5'!$E$14</f>
        <v>0</v>
      </c>
      <c r="H10" s="9">
        <f>'6'!$E$14</f>
        <v>2000</v>
      </c>
      <c r="I10" s="9">
        <f>'7'!$E$14</f>
        <v>0</v>
      </c>
      <c r="J10" s="9">
        <f>'8'!$E$14</f>
        <v>0</v>
      </c>
      <c r="K10" s="9">
        <f>'9'!$E$14</f>
        <v>0</v>
      </c>
      <c r="L10" s="9">
        <f>'10'!$E$14</f>
        <v>0</v>
      </c>
      <c r="M10" s="9">
        <f>'11'!$E$14</f>
        <v>0</v>
      </c>
      <c r="N10" s="9">
        <f>'12'!$E$14</f>
        <v>0</v>
      </c>
      <c r="O10" s="9">
        <f>'13'!$E$14</f>
        <v>0</v>
      </c>
      <c r="P10" s="9">
        <f>'14'!$E$14</f>
        <v>0</v>
      </c>
      <c r="Q10" s="9">
        <f>'15'!$E$14</f>
        <v>0</v>
      </c>
      <c r="R10" s="9">
        <f>'16'!$E$14</f>
        <v>0</v>
      </c>
      <c r="S10" s="9">
        <f>'17'!$E$14</f>
        <v>0</v>
      </c>
      <c r="T10" s="9">
        <f>'18'!$E$14</f>
        <v>0</v>
      </c>
      <c r="U10" s="9">
        <f>'19'!$E$14</f>
        <v>0</v>
      </c>
      <c r="V10" s="9">
        <f>'20'!$E$14</f>
        <v>0</v>
      </c>
      <c r="W10" s="9">
        <f>'21'!$E$14</f>
        <v>0</v>
      </c>
      <c r="X10" s="9">
        <f>'22'!$E$14</f>
        <v>2000</v>
      </c>
      <c r="Y10" s="9">
        <f>'23'!$E$14</f>
        <v>0</v>
      </c>
      <c r="Z10" s="9">
        <f>'24'!$E$14</f>
        <v>0</v>
      </c>
      <c r="AA10" s="9">
        <f>'25'!$E$14</f>
        <v>0</v>
      </c>
      <c r="AB10" s="9">
        <f>'26'!$E$14</f>
        <v>0</v>
      </c>
      <c r="AC10" s="9">
        <f>'27'!$E$14</f>
        <v>0</v>
      </c>
      <c r="AD10" s="9">
        <f>'28'!$E$14</f>
        <v>0</v>
      </c>
      <c r="AE10" s="9">
        <f>'29'!$E$14</f>
        <v>0</v>
      </c>
      <c r="AF10" s="9">
        <f>'30'!$E$14</f>
        <v>0</v>
      </c>
      <c r="AG10" s="9">
        <f>'31'!$E$14</f>
        <v>0</v>
      </c>
      <c r="AH10" s="10">
        <f>SUM(C10:AG10)</f>
        <v>4000</v>
      </c>
      <c r="AI10" s="18">
        <f t="shared" si="0"/>
        <v>129.03225806451613</v>
      </c>
      <c r="AJ10" s="2">
        <f>('1'!C14+'요약(약품)'!AH10)-AH11</f>
        <v>880</v>
      </c>
      <c r="AK10" s="2">
        <f>AJ10-'30'!I14</f>
        <v>-120</v>
      </c>
    </row>
    <row r="11" spans="1:37" ht="20.100000000000001" customHeight="1">
      <c r="A11" s="219"/>
      <c r="B11" s="8" t="s">
        <v>68</v>
      </c>
      <c r="C11" s="9">
        <f>'1'!$G$14</f>
        <v>120</v>
      </c>
      <c r="D11" s="9">
        <f>'2'!$G$14</f>
        <v>120</v>
      </c>
      <c r="E11" s="9">
        <f>'3'!$G$14</f>
        <v>120</v>
      </c>
      <c r="F11" s="9">
        <f>'4'!$G$14</f>
        <v>120</v>
      </c>
      <c r="G11" s="9">
        <f>'5'!$G$14</f>
        <v>120</v>
      </c>
      <c r="H11" s="9">
        <f>'6'!$G$14</f>
        <v>120</v>
      </c>
      <c r="I11" s="9">
        <f>'7'!$G$14</f>
        <v>120</v>
      </c>
      <c r="J11" s="9">
        <f>'8'!$G$14</f>
        <v>120</v>
      </c>
      <c r="K11" s="9">
        <f>'9'!$G$14</f>
        <v>120</v>
      </c>
      <c r="L11" s="9">
        <f>'10'!$G$14</f>
        <v>120</v>
      </c>
      <c r="M11" s="9">
        <f>'11'!$G$14</f>
        <v>120</v>
      </c>
      <c r="N11" s="9">
        <f>'12'!$G$14</f>
        <v>120</v>
      </c>
      <c r="O11" s="9">
        <f>'13'!$G$14</f>
        <v>120</v>
      </c>
      <c r="P11" s="9">
        <f>'14'!$G$14</f>
        <v>120</v>
      </c>
      <c r="Q11" s="9">
        <f>'15'!$G$14</f>
        <v>120</v>
      </c>
      <c r="R11" s="9">
        <f>'16'!$G$14</f>
        <v>120</v>
      </c>
      <c r="S11" s="9">
        <f>'17'!$G$14</f>
        <v>120</v>
      </c>
      <c r="T11" s="9">
        <f>'18'!$G$14</f>
        <v>120</v>
      </c>
      <c r="U11" s="9">
        <f>'19'!$G$14</f>
        <v>120</v>
      </c>
      <c r="V11" s="9">
        <f>'20'!$G$14</f>
        <v>120</v>
      </c>
      <c r="W11" s="9">
        <f>'21'!$G$14</f>
        <v>120</v>
      </c>
      <c r="X11" s="9">
        <f>'22'!$G$14</f>
        <v>120</v>
      </c>
      <c r="Y11" s="9">
        <f>'23'!$G$14</f>
        <v>120</v>
      </c>
      <c r="Z11" s="9">
        <f>'24'!$G$14</f>
        <v>120</v>
      </c>
      <c r="AA11" s="9">
        <f>'25'!$G$14</f>
        <v>120</v>
      </c>
      <c r="AB11" s="9">
        <f>'26'!$G$14</f>
        <v>120</v>
      </c>
      <c r="AC11" s="9">
        <f>'27'!$G$14</f>
        <v>120</v>
      </c>
      <c r="AD11" s="9">
        <f>'28'!$G$14</f>
        <v>120</v>
      </c>
      <c r="AE11" s="9">
        <f>'29'!$G$14</f>
        <v>120</v>
      </c>
      <c r="AF11" s="9">
        <f>'30'!$G$14</f>
        <v>120</v>
      </c>
      <c r="AG11" s="9">
        <f>'31'!$G$14</f>
        <v>120</v>
      </c>
      <c r="AH11" s="10">
        <f>SUM(C11:AG11)</f>
        <v>3720</v>
      </c>
      <c r="AI11" s="11">
        <f t="shared" si="0"/>
        <v>120</v>
      </c>
      <c r="AJ11" s="2">
        <f>AF12-AJ10</f>
        <v>120</v>
      </c>
    </row>
    <row r="12" spans="1:37" ht="19.5" customHeight="1" thickBot="1">
      <c r="A12" s="220"/>
      <c r="B12" s="12" t="s">
        <v>69</v>
      </c>
      <c r="C12" s="17">
        <f>'1'!I14</f>
        <v>480</v>
      </c>
      <c r="D12" s="17">
        <f t="shared" ref="D12:AE12" si="3">C12+D10-D11</f>
        <v>360</v>
      </c>
      <c r="E12" s="17">
        <f t="shared" si="3"/>
        <v>240</v>
      </c>
      <c r="F12" s="17">
        <f t="shared" si="3"/>
        <v>120</v>
      </c>
      <c r="G12" s="17">
        <f t="shared" si="3"/>
        <v>0</v>
      </c>
      <c r="H12" s="17">
        <f t="shared" si="3"/>
        <v>1880</v>
      </c>
      <c r="I12" s="17">
        <f t="shared" si="3"/>
        <v>1760</v>
      </c>
      <c r="J12" s="17">
        <f t="shared" si="3"/>
        <v>1640</v>
      </c>
      <c r="K12" s="17">
        <f t="shared" si="3"/>
        <v>1520</v>
      </c>
      <c r="L12" s="17">
        <f t="shared" si="3"/>
        <v>1400</v>
      </c>
      <c r="M12" s="17">
        <f t="shared" si="3"/>
        <v>1280</v>
      </c>
      <c r="N12" s="17">
        <f t="shared" si="3"/>
        <v>1160</v>
      </c>
      <c r="O12" s="17">
        <f t="shared" si="3"/>
        <v>1040</v>
      </c>
      <c r="P12" s="17">
        <f t="shared" si="3"/>
        <v>920</v>
      </c>
      <c r="Q12" s="17">
        <f t="shared" si="3"/>
        <v>800</v>
      </c>
      <c r="R12" s="17">
        <f t="shared" si="3"/>
        <v>680</v>
      </c>
      <c r="S12" s="17">
        <f t="shared" si="3"/>
        <v>560</v>
      </c>
      <c r="T12" s="17">
        <f t="shared" si="3"/>
        <v>440</v>
      </c>
      <c r="U12" s="17">
        <f t="shared" si="3"/>
        <v>320</v>
      </c>
      <c r="V12" s="17">
        <f t="shared" si="3"/>
        <v>200</v>
      </c>
      <c r="W12" s="17">
        <f t="shared" si="3"/>
        <v>80</v>
      </c>
      <c r="X12" s="17">
        <f t="shared" si="3"/>
        <v>1960</v>
      </c>
      <c r="Y12" s="17">
        <f t="shared" si="3"/>
        <v>1840</v>
      </c>
      <c r="Z12" s="17">
        <f t="shared" si="3"/>
        <v>1720</v>
      </c>
      <c r="AA12" s="17">
        <f t="shared" si="3"/>
        <v>1600</v>
      </c>
      <c r="AB12" s="17">
        <f t="shared" si="3"/>
        <v>1480</v>
      </c>
      <c r="AC12" s="17">
        <f t="shared" si="3"/>
        <v>1360</v>
      </c>
      <c r="AD12" s="17">
        <f t="shared" si="3"/>
        <v>1240</v>
      </c>
      <c r="AE12" s="17">
        <f t="shared" si="3"/>
        <v>1120</v>
      </c>
      <c r="AF12" s="17">
        <f>AE12+AF10-AF11</f>
        <v>1000</v>
      </c>
      <c r="AG12" s="17">
        <f>AF12+AG10-AG11</f>
        <v>880</v>
      </c>
      <c r="AH12" s="80">
        <v>0</v>
      </c>
      <c r="AI12" s="82">
        <f t="shared" si="0"/>
        <v>1002.5806451612904</v>
      </c>
    </row>
    <row r="13" spans="1:37" ht="20.100000000000001" customHeight="1">
      <c r="A13" s="227" t="s">
        <v>72</v>
      </c>
      <c r="B13" s="15" t="s">
        <v>67</v>
      </c>
      <c r="C13" s="9">
        <f>'1'!$E$15</f>
        <v>0</v>
      </c>
      <c r="D13" s="9">
        <f>'2'!$E$15</f>
        <v>0</v>
      </c>
      <c r="E13" s="9">
        <f>'3'!$E$15</f>
        <v>0</v>
      </c>
      <c r="F13" s="9">
        <f>'4'!$E$15</f>
        <v>0</v>
      </c>
      <c r="G13" s="9">
        <f>'5'!$E$15</f>
        <v>0</v>
      </c>
      <c r="H13" s="9">
        <f>'6'!$E$15</f>
        <v>0</v>
      </c>
      <c r="I13" s="9">
        <f>'7'!$E$15</f>
        <v>0</v>
      </c>
      <c r="J13" s="9">
        <f>'8'!$E$15</f>
        <v>0</v>
      </c>
      <c r="K13" s="9">
        <f>'9'!$E$15</f>
        <v>0</v>
      </c>
      <c r="L13" s="9">
        <f>'10'!$E$15</f>
        <v>0</v>
      </c>
      <c r="M13" s="9">
        <f>'11'!$E$15</f>
        <v>0</v>
      </c>
      <c r="N13" s="9">
        <f>'12'!$E$15</f>
        <v>0</v>
      </c>
      <c r="O13" s="9">
        <f>'13'!$E$15</f>
        <v>0</v>
      </c>
      <c r="P13" s="9">
        <f>'14'!$E$15</f>
        <v>0</v>
      </c>
      <c r="Q13" s="9">
        <f>'15'!$E$15</f>
        <v>0</v>
      </c>
      <c r="R13" s="9">
        <f>'16'!$E$15</f>
        <v>0</v>
      </c>
      <c r="S13" s="9">
        <f>'17'!$E$15</f>
        <v>0</v>
      </c>
      <c r="T13" s="9">
        <f>'18'!$E$15</f>
        <v>0</v>
      </c>
      <c r="U13" s="9">
        <f>'19'!$E$15</f>
        <v>0</v>
      </c>
      <c r="V13" s="9">
        <f>'20'!$E$15</f>
        <v>0</v>
      </c>
      <c r="W13" s="9">
        <f>'21'!$E$15</f>
        <v>0</v>
      </c>
      <c r="X13" s="9">
        <f>'22'!$E$15</f>
        <v>0</v>
      </c>
      <c r="Y13" s="9">
        <f>'23'!$E$15</f>
        <v>0</v>
      </c>
      <c r="Z13" s="9">
        <f>'24'!$E$15</f>
        <v>0</v>
      </c>
      <c r="AA13" s="9">
        <f>'25'!$E$15</f>
        <v>0</v>
      </c>
      <c r="AB13" s="9">
        <f>'26'!$E$15</f>
        <v>0</v>
      </c>
      <c r="AC13" s="9">
        <f>'27'!$E$15</f>
        <v>0</v>
      </c>
      <c r="AD13" s="9">
        <f>'28'!$E$15</f>
        <v>0</v>
      </c>
      <c r="AE13" s="9">
        <f>'29'!$E$15</f>
        <v>0</v>
      </c>
      <c r="AF13" s="9">
        <f>'30'!$E$15</f>
        <v>0</v>
      </c>
      <c r="AG13" s="9">
        <f>'31'!$E$15</f>
        <v>0</v>
      </c>
      <c r="AH13" s="10">
        <f>SUM(C13:AF13)</f>
        <v>0</v>
      </c>
      <c r="AI13" s="18">
        <f t="shared" ref="AI13:AI16" si="4">IFERROR(AVERAGE(C13:AF13),"")</f>
        <v>0</v>
      </c>
    </row>
    <row r="14" spans="1:37" ht="20.100000000000001" customHeight="1">
      <c r="A14" s="219"/>
      <c r="B14" s="8" t="s">
        <v>68</v>
      </c>
      <c r="C14" s="9">
        <f>'1'!$G$15</f>
        <v>33</v>
      </c>
      <c r="D14" s="9">
        <f>'2'!$G$15</f>
        <v>31</v>
      </c>
      <c r="E14" s="9">
        <f>'3'!$G$15</f>
        <v>24</v>
      </c>
      <c r="F14" s="9">
        <f>'4'!$G$15</f>
        <v>35</v>
      </c>
      <c r="G14" s="9">
        <f>'5'!$G$15</f>
        <v>29</v>
      </c>
      <c r="H14" s="9">
        <f>'6'!$G$15</f>
        <v>24</v>
      </c>
      <c r="I14" s="9">
        <f>'7'!$G$15</f>
        <v>33</v>
      </c>
      <c r="J14" s="9">
        <f>'8'!$G$15</f>
        <v>29</v>
      </c>
      <c r="K14" s="9">
        <f>'9'!$G$15</f>
        <v>26</v>
      </c>
      <c r="L14" s="9">
        <f>'10'!$G$15</f>
        <v>31</v>
      </c>
      <c r="M14" s="9">
        <f>'11'!$G$15</f>
        <v>24</v>
      </c>
      <c r="N14" s="9">
        <f>'12'!$G$15</f>
        <v>22</v>
      </c>
      <c r="O14" s="9">
        <f>'13'!$G$15</f>
        <v>31</v>
      </c>
      <c r="P14" s="9">
        <f>'14'!$G$15</f>
        <v>24</v>
      </c>
      <c r="Q14" s="9">
        <f>'15'!$G$15</f>
        <v>40</v>
      </c>
      <c r="R14" s="9">
        <f>'16'!$G$15</f>
        <v>31</v>
      </c>
      <c r="S14" s="9">
        <f>'17'!$G$15</f>
        <v>31</v>
      </c>
      <c r="T14" s="9">
        <f>'18'!$G$15</f>
        <v>40</v>
      </c>
      <c r="U14" s="9">
        <f>'19'!$G$15</f>
        <v>24</v>
      </c>
      <c r="V14" s="9">
        <f>'20'!$G$15</f>
        <v>33</v>
      </c>
      <c r="W14" s="9">
        <v>29</v>
      </c>
      <c r="X14" s="9">
        <v>29</v>
      </c>
      <c r="Y14" s="9">
        <f>'23'!$G$15</f>
        <v>20</v>
      </c>
      <c r="Z14" s="9">
        <f>'24'!$G$15</f>
        <v>0</v>
      </c>
      <c r="AA14" s="9">
        <f>'25'!$G$15</f>
        <v>0</v>
      </c>
      <c r="AB14" s="9">
        <f>'26'!$G$15</f>
        <v>0</v>
      </c>
      <c r="AC14" s="9">
        <f>'27'!$G$15</f>
        <v>0</v>
      </c>
      <c r="AD14" s="9">
        <f>'28'!$G$15</f>
        <v>0</v>
      </c>
      <c r="AE14" s="9">
        <f>'29'!$G$15</f>
        <v>0</v>
      </c>
      <c r="AF14" s="9">
        <f>'30'!$G$15</f>
        <v>0</v>
      </c>
      <c r="AG14" s="9">
        <f>'31'!$G$15</f>
        <v>0</v>
      </c>
      <c r="AH14" s="10">
        <f>SUM(C14:AF14)</f>
        <v>673</v>
      </c>
      <c r="AI14" s="11">
        <f t="shared" si="4"/>
        <v>22.433333333333334</v>
      </c>
    </row>
    <row r="15" spans="1:37" ht="19.5" customHeight="1" thickBot="1">
      <c r="A15" s="220"/>
      <c r="B15" s="12" t="s">
        <v>69</v>
      </c>
      <c r="C15" s="17">
        <f>'1'!I15</f>
        <v>1266</v>
      </c>
      <c r="D15" s="17">
        <f t="shared" ref="D15:AE15" si="5">C15+D13-D14</f>
        <v>1235</v>
      </c>
      <c r="E15" s="17">
        <f t="shared" si="5"/>
        <v>1211</v>
      </c>
      <c r="F15" s="17">
        <f t="shared" si="5"/>
        <v>1176</v>
      </c>
      <c r="G15" s="17">
        <f t="shared" si="5"/>
        <v>1147</v>
      </c>
      <c r="H15" s="17">
        <f t="shared" si="5"/>
        <v>1123</v>
      </c>
      <c r="I15" s="17">
        <f t="shared" si="5"/>
        <v>1090</v>
      </c>
      <c r="J15" s="17">
        <f t="shared" si="5"/>
        <v>1061</v>
      </c>
      <c r="K15" s="17">
        <f t="shared" si="5"/>
        <v>1035</v>
      </c>
      <c r="L15" s="17">
        <f t="shared" si="5"/>
        <v>1004</v>
      </c>
      <c r="M15" s="17">
        <f t="shared" si="5"/>
        <v>980</v>
      </c>
      <c r="N15" s="17">
        <f t="shared" si="5"/>
        <v>958</v>
      </c>
      <c r="O15" s="17">
        <f t="shared" si="5"/>
        <v>927</v>
      </c>
      <c r="P15" s="17">
        <f t="shared" si="5"/>
        <v>903</v>
      </c>
      <c r="Q15" s="17">
        <f t="shared" si="5"/>
        <v>863</v>
      </c>
      <c r="R15" s="17">
        <f t="shared" si="5"/>
        <v>832</v>
      </c>
      <c r="S15" s="17">
        <f t="shared" si="5"/>
        <v>801</v>
      </c>
      <c r="T15" s="17">
        <f t="shared" si="5"/>
        <v>761</v>
      </c>
      <c r="U15" s="17">
        <f t="shared" si="5"/>
        <v>737</v>
      </c>
      <c r="V15" s="17">
        <f t="shared" si="5"/>
        <v>704</v>
      </c>
      <c r="W15" s="17">
        <f t="shared" si="5"/>
        <v>675</v>
      </c>
      <c r="X15" s="17">
        <f t="shared" si="5"/>
        <v>646</v>
      </c>
      <c r="Y15" s="17">
        <f t="shared" si="5"/>
        <v>626</v>
      </c>
      <c r="Z15" s="17">
        <f t="shared" si="5"/>
        <v>626</v>
      </c>
      <c r="AA15" s="17">
        <f t="shared" si="5"/>
        <v>626</v>
      </c>
      <c r="AB15" s="17">
        <f t="shared" si="5"/>
        <v>626</v>
      </c>
      <c r="AC15" s="17">
        <f t="shared" si="5"/>
        <v>626</v>
      </c>
      <c r="AD15" s="17">
        <f t="shared" si="5"/>
        <v>626</v>
      </c>
      <c r="AE15" s="17">
        <f t="shared" si="5"/>
        <v>626</v>
      </c>
      <c r="AF15" s="17">
        <f>AE15+AF13-AF14</f>
        <v>626</v>
      </c>
      <c r="AG15" s="17">
        <f>AF15+AG13-AG14</f>
        <v>626</v>
      </c>
      <c r="AH15" s="80">
        <v>0</v>
      </c>
      <c r="AI15" s="82">
        <f t="shared" si="4"/>
        <v>871.43333333333328</v>
      </c>
    </row>
    <row r="16" spans="1:37" ht="20.100000000000001" customHeight="1">
      <c r="A16" s="227" t="s">
        <v>73</v>
      </c>
      <c r="B16" s="15" t="s">
        <v>67</v>
      </c>
      <c r="C16" s="9">
        <f>'1'!$E$16</f>
        <v>0</v>
      </c>
      <c r="D16" s="9">
        <f>'2'!$E$16</f>
        <v>0</v>
      </c>
      <c r="E16" s="9">
        <f>'3'!$E$16</f>
        <v>0</v>
      </c>
      <c r="F16" s="9">
        <f>'4'!$E$16</f>
        <v>0</v>
      </c>
      <c r="G16" s="9">
        <f>'5'!$E$16</f>
        <v>0</v>
      </c>
      <c r="H16" s="9">
        <f>'6'!$E$16</f>
        <v>0</v>
      </c>
      <c r="I16" s="9">
        <f>'7'!$E$16</f>
        <v>0</v>
      </c>
      <c r="J16" s="9">
        <f>'8'!$E$16</f>
        <v>0</v>
      </c>
      <c r="K16" s="9">
        <f>'9'!$E$16</f>
        <v>0</v>
      </c>
      <c r="L16" s="9">
        <f>'10'!$E$16</f>
        <v>0</v>
      </c>
      <c r="M16" s="9">
        <f>'11'!$E$16</f>
        <v>0</v>
      </c>
      <c r="N16" s="9">
        <f>'12'!$E$16</f>
        <v>0</v>
      </c>
      <c r="O16" s="9">
        <f>'13'!$E$16</f>
        <v>0</v>
      </c>
      <c r="P16" s="9">
        <f>'14'!$E$16</f>
        <v>0</v>
      </c>
      <c r="Q16" s="9">
        <f>'15'!$E$16</f>
        <v>0</v>
      </c>
      <c r="R16" s="9">
        <f>'16'!$E$16</f>
        <v>0</v>
      </c>
      <c r="S16" s="9">
        <f>'17'!$E$16</f>
        <v>0</v>
      </c>
      <c r="T16" s="9">
        <f>'18'!$E$16</f>
        <v>0</v>
      </c>
      <c r="U16" s="9">
        <f>'19'!$E$16</f>
        <v>0</v>
      </c>
      <c r="V16" s="9">
        <f>'20'!$E$16</f>
        <v>0</v>
      </c>
      <c r="W16" s="9">
        <f>'21'!$E$16</f>
        <v>0</v>
      </c>
      <c r="X16" s="9">
        <f>'22'!$E$16</f>
        <v>0</v>
      </c>
      <c r="Y16" s="9">
        <f>'23'!$E$16</f>
        <v>0</v>
      </c>
      <c r="Z16" s="9">
        <f>'24'!$E$16</f>
        <v>0</v>
      </c>
      <c r="AA16" s="9">
        <f>'25'!$E$16</f>
        <v>0</v>
      </c>
      <c r="AB16" s="9">
        <f>'26'!$E$16</f>
        <v>0</v>
      </c>
      <c r="AC16" s="9">
        <f>'27'!$E$16</f>
        <v>0</v>
      </c>
      <c r="AD16" s="9">
        <f>'28'!$E$16</f>
        <v>0</v>
      </c>
      <c r="AE16" s="9">
        <f>'29'!$E$16</f>
        <v>0</v>
      </c>
      <c r="AF16" s="9">
        <f>'30'!$E$16</f>
        <v>0</v>
      </c>
      <c r="AG16" s="9">
        <f>'31'!$E$16</f>
        <v>0</v>
      </c>
      <c r="AH16" s="10">
        <f>SUM(C16:AF16)</f>
        <v>0</v>
      </c>
      <c r="AI16" s="83">
        <f t="shared" si="4"/>
        <v>0</v>
      </c>
      <c r="AJ16" s="2">
        <f>('1'!C16+'요약(약품)'!AH16)-AH17</f>
        <v>1730</v>
      </c>
      <c r="AK16" s="2">
        <f>AJ16-'30'!I16</f>
        <v>-20</v>
      </c>
    </row>
    <row r="17" spans="1:54" ht="20.100000000000001" customHeight="1">
      <c r="A17" s="219"/>
      <c r="B17" s="8" t="s">
        <v>68</v>
      </c>
      <c r="C17" s="9">
        <f>'1'!$G$16</f>
        <v>20</v>
      </c>
      <c r="D17" s="9">
        <f>'2'!$G$16</f>
        <v>20</v>
      </c>
      <c r="E17" s="9">
        <f>'3'!$G$16</f>
        <v>20</v>
      </c>
      <c r="F17" s="9">
        <f>'4'!$G$16</f>
        <v>20</v>
      </c>
      <c r="G17" s="9">
        <f>'5'!$G$16</f>
        <v>20</v>
      </c>
      <c r="H17" s="9">
        <f>'6'!$G$16</f>
        <v>20</v>
      </c>
      <c r="I17" s="9">
        <f>'7'!$G$16</f>
        <v>20</v>
      </c>
      <c r="J17" s="9">
        <f>'8'!$G$16</f>
        <v>20</v>
      </c>
      <c r="K17" s="9">
        <f>'9'!$G$16</f>
        <v>20</v>
      </c>
      <c r="L17" s="9">
        <f>'10'!$G$16</f>
        <v>20</v>
      </c>
      <c r="M17" s="9">
        <f>'11'!$G$16</f>
        <v>20</v>
      </c>
      <c r="N17" s="9">
        <f>'12'!$G$16</f>
        <v>20</v>
      </c>
      <c r="O17" s="9">
        <f>'13'!$G$16</f>
        <v>20</v>
      </c>
      <c r="P17" s="9">
        <f>'14'!$G$16</f>
        <v>20</v>
      </c>
      <c r="Q17" s="9">
        <f>'15'!$G$16</f>
        <v>20</v>
      </c>
      <c r="R17" s="9">
        <f>'16'!$G$16</f>
        <v>20</v>
      </c>
      <c r="S17" s="9">
        <f>'17'!$G$16</f>
        <v>20</v>
      </c>
      <c r="T17" s="9">
        <f>'18'!$G$16</f>
        <v>20</v>
      </c>
      <c r="U17" s="9">
        <f>'19'!$G$16</f>
        <v>20</v>
      </c>
      <c r="V17" s="9">
        <f>'20'!$G$16</f>
        <v>20</v>
      </c>
      <c r="W17" s="9">
        <f>'21'!$G$16</f>
        <v>20</v>
      </c>
      <c r="X17" s="9">
        <f>'22'!$G$16</f>
        <v>20</v>
      </c>
      <c r="Y17" s="9">
        <f>'23'!$G$16</f>
        <v>20</v>
      </c>
      <c r="Z17" s="9">
        <f>'24'!$G$16</f>
        <v>20</v>
      </c>
      <c r="AA17" s="9">
        <f>'25'!$G$16</f>
        <v>20</v>
      </c>
      <c r="AB17" s="9">
        <f>'26'!$G$16</f>
        <v>20</v>
      </c>
      <c r="AC17" s="9">
        <f>'27'!$G$16</f>
        <v>20</v>
      </c>
      <c r="AD17" s="9">
        <f>'28'!$G$16</f>
        <v>20</v>
      </c>
      <c r="AE17" s="9">
        <f>'29'!$G$16</f>
        <v>20</v>
      </c>
      <c r="AF17" s="9">
        <f>'30'!$G$16</f>
        <v>20</v>
      </c>
      <c r="AG17" s="9">
        <f>'31'!$G$16</f>
        <v>20</v>
      </c>
      <c r="AH17" s="10">
        <f>SUM(C17:AG17)</f>
        <v>620</v>
      </c>
      <c r="AI17" s="11">
        <f t="shared" ref="AI17:AI24" si="6">IFERROR(AVERAGE(C17:AG17),"")</f>
        <v>20</v>
      </c>
      <c r="AJ17" s="2">
        <f>AF18-AJ16</f>
        <v>20</v>
      </c>
    </row>
    <row r="18" spans="1:54" ht="19.5" customHeight="1" thickBot="1">
      <c r="A18" s="220"/>
      <c r="B18" s="12" t="s">
        <v>69</v>
      </c>
      <c r="C18" s="17">
        <f>'1'!I16</f>
        <v>2330</v>
      </c>
      <c r="D18" s="17">
        <f t="shared" ref="D18:AE18" si="7">C18+D16-D17</f>
        <v>2310</v>
      </c>
      <c r="E18" s="17">
        <f t="shared" si="7"/>
        <v>2290</v>
      </c>
      <c r="F18" s="17">
        <f t="shared" si="7"/>
        <v>2270</v>
      </c>
      <c r="G18" s="17">
        <f t="shared" si="7"/>
        <v>2250</v>
      </c>
      <c r="H18" s="17">
        <f t="shared" si="7"/>
        <v>2230</v>
      </c>
      <c r="I18" s="17">
        <f t="shared" si="7"/>
        <v>2210</v>
      </c>
      <c r="J18" s="17">
        <f t="shared" si="7"/>
        <v>2190</v>
      </c>
      <c r="K18" s="17">
        <f t="shared" si="7"/>
        <v>2170</v>
      </c>
      <c r="L18" s="17">
        <f t="shared" si="7"/>
        <v>2150</v>
      </c>
      <c r="M18" s="17">
        <f t="shared" si="7"/>
        <v>2130</v>
      </c>
      <c r="N18" s="17">
        <f t="shared" si="7"/>
        <v>2110</v>
      </c>
      <c r="O18" s="17">
        <f t="shared" si="7"/>
        <v>2090</v>
      </c>
      <c r="P18" s="17">
        <f t="shared" si="7"/>
        <v>2070</v>
      </c>
      <c r="Q18" s="17">
        <f t="shared" si="7"/>
        <v>2050</v>
      </c>
      <c r="R18" s="17">
        <f t="shared" si="7"/>
        <v>2030</v>
      </c>
      <c r="S18" s="17">
        <f t="shared" si="7"/>
        <v>2010</v>
      </c>
      <c r="T18" s="17">
        <f t="shared" si="7"/>
        <v>1990</v>
      </c>
      <c r="U18" s="17">
        <f t="shared" si="7"/>
        <v>1970</v>
      </c>
      <c r="V18" s="17">
        <f t="shared" si="7"/>
        <v>1950</v>
      </c>
      <c r="W18" s="17">
        <f t="shared" si="7"/>
        <v>1930</v>
      </c>
      <c r="X18" s="17">
        <f t="shared" si="7"/>
        <v>1910</v>
      </c>
      <c r="Y18" s="17">
        <f t="shared" si="7"/>
        <v>1890</v>
      </c>
      <c r="Z18" s="17">
        <f t="shared" si="7"/>
        <v>1870</v>
      </c>
      <c r="AA18" s="17">
        <f t="shared" si="7"/>
        <v>1850</v>
      </c>
      <c r="AB18" s="17">
        <f t="shared" si="7"/>
        <v>1830</v>
      </c>
      <c r="AC18" s="17">
        <f t="shared" si="7"/>
        <v>1810</v>
      </c>
      <c r="AD18" s="17">
        <f t="shared" si="7"/>
        <v>1790</v>
      </c>
      <c r="AE18" s="17">
        <f t="shared" si="7"/>
        <v>1770</v>
      </c>
      <c r="AF18" s="17">
        <f>AE18+AF16-AF17</f>
        <v>1750</v>
      </c>
      <c r="AG18" s="17">
        <f>AF18+AG16-AG17</f>
        <v>1730</v>
      </c>
      <c r="AH18" s="80">
        <v>0</v>
      </c>
      <c r="AI18" s="82">
        <f t="shared" si="6"/>
        <v>2030</v>
      </c>
    </row>
    <row r="19" spans="1:54" ht="20.100000000000001" customHeight="1">
      <c r="A19" s="218" t="s">
        <v>74</v>
      </c>
      <c r="B19" s="15" t="s">
        <v>67</v>
      </c>
      <c r="C19" s="9">
        <f>'1'!$E$17</f>
        <v>0</v>
      </c>
      <c r="D19" s="9">
        <f>'2'!$E$17</f>
        <v>0</v>
      </c>
      <c r="E19" s="9">
        <f>'3'!$E$17</f>
        <v>0</v>
      </c>
      <c r="F19" s="9">
        <f>'4'!$E$17</f>
        <v>0</v>
      </c>
      <c r="G19" s="9">
        <f>'5'!$E$17</f>
        <v>1440</v>
      </c>
      <c r="H19" s="9">
        <f>'6'!$E$17</f>
        <v>0</v>
      </c>
      <c r="I19" s="9">
        <f>'7'!$E$17</f>
        <v>0</v>
      </c>
      <c r="J19" s="9">
        <f>'8'!$E$17</f>
        <v>0</v>
      </c>
      <c r="K19" s="9">
        <f>'9'!$E$17</f>
        <v>0</v>
      </c>
      <c r="L19" s="9">
        <f>'10'!$E$17</f>
        <v>0</v>
      </c>
      <c r="M19" s="9">
        <f>'11'!$E$17</f>
        <v>0</v>
      </c>
      <c r="N19" s="9">
        <f>'12'!$E$17</f>
        <v>1440</v>
      </c>
      <c r="O19" s="9">
        <f>'13'!$E$17</f>
        <v>0</v>
      </c>
      <c r="P19" s="9">
        <f>'14'!$E$17</f>
        <v>0</v>
      </c>
      <c r="Q19" s="9">
        <f>'15'!$E$17</f>
        <v>0</v>
      </c>
      <c r="R19" s="9">
        <f>'16'!$E$17</f>
        <v>0</v>
      </c>
      <c r="S19" s="9">
        <f>'17'!$E$17</f>
        <v>0</v>
      </c>
      <c r="T19" s="9">
        <f>'18'!$E$17</f>
        <v>0</v>
      </c>
      <c r="U19" s="9">
        <f>'19'!$E$17</f>
        <v>0</v>
      </c>
      <c r="V19" s="9">
        <f>'20'!$E$17</f>
        <v>1440</v>
      </c>
      <c r="W19" s="9">
        <f>'21'!$E$17</f>
        <v>0</v>
      </c>
      <c r="X19" s="9">
        <f>'22'!$E$17</f>
        <v>0</v>
      </c>
      <c r="Y19" s="9">
        <f>'23'!$E$17</f>
        <v>0</v>
      </c>
      <c r="Z19" s="9">
        <f>'24'!$E$17</f>
        <v>0</v>
      </c>
      <c r="AA19" s="9">
        <f>'25'!$E$17</f>
        <v>0</v>
      </c>
      <c r="AB19" s="9">
        <f>'26'!$E$17</f>
        <v>1440</v>
      </c>
      <c r="AC19" s="9">
        <f>'27'!$E$17</f>
        <v>1440</v>
      </c>
      <c r="AD19" s="9">
        <f>'28'!$E$17</f>
        <v>0</v>
      </c>
      <c r="AE19" s="9">
        <f>'29'!$E$17</f>
        <v>0</v>
      </c>
      <c r="AF19" s="9">
        <f>'30'!$E$17</f>
        <v>0</v>
      </c>
      <c r="AG19" s="9">
        <f>'31'!$E$17</f>
        <v>0</v>
      </c>
      <c r="AH19" s="10">
        <f>SUM(C19:AG19)</f>
        <v>7200</v>
      </c>
      <c r="AI19" s="83">
        <f t="shared" si="6"/>
        <v>232.25806451612902</v>
      </c>
      <c r="AJ19" s="2">
        <f>('1'!C17+'요약(약품)'!AH19)-AH20</f>
        <v>2850</v>
      </c>
      <c r="AK19" s="2">
        <f>AJ19-'30'!I17</f>
        <v>-200</v>
      </c>
      <c r="AL19" s="19"/>
      <c r="AM19" s="19"/>
      <c r="AN19" s="19"/>
    </row>
    <row r="20" spans="1:54" ht="20.100000000000001" customHeight="1">
      <c r="A20" s="219"/>
      <c r="B20" s="8" t="s">
        <v>68</v>
      </c>
      <c r="C20" s="9">
        <f>'1'!$G$17</f>
        <v>200</v>
      </c>
      <c r="D20" s="9">
        <f>'2'!$G$17</f>
        <v>200</v>
      </c>
      <c r="E20" s="9">
        <f>'3'!$G$17</f>
        <v>200</v>
      </c>
      <c r="F20" s="9">
        <f>'4'!$G$17</f>
        <v>200</v>
      </c>
      <c r="G20" s="9">
        <f>'5'!$G$17</f>
        <v>200</v>
      </c>
      <c r="H20" s="9">
        <f>'6'!$G$17</f>
        <v>200</v>
      </c>
      <c r="I20" s="9">
        <f>'7'!$G$17</f>
        <v>200</v>
      </c>
      <c r="J20" s="9">
        <f>'8'!$G$17</f>
        <v>200</v>
      </c>
      <c r="K20" s="9">
        <f>'9'!$G$17</f>
        <v>200</v>
      </c>
      <c r="L20" s="9">
        <f>'10'!$G$17</f>
        <v>200</v>
      </c>
      <c r="M20" s="9">
        <f>'11'!$G$17</f>
        <v>200</v>
      </c>
      <c r="N20" s="9">
        <f>'12'!$G$17</f>
        <v>200</v>
      </c>
      <c r="O20" s="9">
        <f>'13'!$G$17</f>
        <v>200</v>
      </c>
      <c r="P20" s="9">
        <f>'14'!$G$17</f>
        <v>200</v>
      </c>
      <c r="Q20" s="9">
        <f>'15'!$G$17</f>
        <v>200</v>
      </c>
      <c r="R20" s="9">
        <f>'16'!$G$17</f>
        <v>200</v>
      </c>
      <c r="S20" s="9">
        <f>'17'!$G$17</f>
        <v>200</v>
      </c>
      <c r="T20" s="9">
        <f>'18'!$G$17</f>
        <v>200</v>
      </c>
      <c r="U20" s="9">
        <f>'19'!$G$17</f>
        <v>200</v>
      </c>
      <c r="V20" s="9">
        <f>'20'!$G$17</f>
        <v>200</v>
      </c>
      <c r="W20" s="9">
        <f>'21'!$G$17</f>
        <v>200</v>
      </c>
      <c r="X20" s="9">
        <f>'22'!$G$17</f>
        <v>200</v>
      </c>
      <c r="Y20" s="9">
        <f>'23'!$G$17</f>
        <v>200</v>
      </c>
      <c r="Z20" s="9">
        <f>'24'!$G$17</f>
        <v>200</v>
      </c>
      <c r="AA20" s="9">
        <f>'25'!$G$17</f>
        <v>200</v>
      </c>
      <c r="AB20" s="9">
        <f>'26'!$G$17</f>
        <v>200</v>
      </c>
      <c r="AC20" s="9">
        <f>'27'!$G$17</f>
        <v>200</v>
      </c>
      <c r="AD20" s="9">
        <f>'28'!$G$17</f>
        <v>200</v>
      </c>
      <c r="AE20" s="9">
        <f>'29'!$G$17</f>
        <v>200</v>
      </c>
      <c r="AF20" s="9">
        <f>'30'!$G$17</f>
        <v>200</v>
      </c>
      <c r="AG20" s="9">
        <f>'31'!$G$17</f>
        <v>200</v>
      </c>
      <c r="AH20" s="10">
        <f>SUM(C20:AG20)</f>
        <v>6200</v>
      </c>
      <c r="AI20" s="11">
        <f t="shared" si="6"/>
        <v>200</v>
      </c>
      <c r="AJ20" s="2">
        <f>AF21-AJ19</f>
        <v>200</v>
      </c>
    </row>
    <row r="21" spans="1:54" ht="19.5" customHeight="1" thickBot="1">
      <c r="A21" s="220"/>
      <c r="B21" s="12" t="s">
        <v>69</v>
      </c>
      <c r="C21" s="17">
        <f>'1'!I17</f>
        <v>1650</v>
      </c>
      <c r="D21" s="17">
        <f>C21+D19-D20</f>
        <v>1450</v>
      </c>
      <c r="E21" s="17">
        <f t="shared" ref="E21:AE21" si="8">D21+E19-E20</f>
        <v>1250</v>
      </c>
      <c r="F21" s="17">
        <f t="shared" si="8"/>
        <v>1050</v>
      </c>
      <c r="G21" s="17">
        <f t="shared" si="8"/>
        <v>2290</v>
      </c>
      <c r="H21" s="17">
        <f t="shared" si="8"/>
        <v>2090</v>
      </c>
      <c r="I21" s="17">
        <f t="shared" si="8"/>
        <v>1890</v>
      </c>
      <c r="J21" s="17">
        <f t="shared" si="8"/>
        <v>1690</v>
      </c>
      <c r="K21" s="17">
        <f t="shared" si="8"/>
        <v>1490</v>
      </c>
      <c r="L21" s="17">
        <f t="shared" si="8"/>
        <v>1290</v>
      </c>
      <c r="M21" s="17">
        <f t="shared" si="8"/>
        <v>1090</v>
      </c>
      <c r="N21" s="17">
        <f t="shared" si="8"/>
        <v>2330</v>
      </c>
      <c r="O21" s="17">
        <f t="shared" si="8"/>
        <v>2130</v>
      </c>
      <c r="P21" s="17">
        <f t="shared" si="8"/>
        <v>1930</v>
      </c>
      <c r="Q21" s="17">
        <f t="shared" si="8"/>
        <v>1730</v>
      </c>
      <c r="R21" s="17">
        <f t="shared" si="8"/>
        <v>1530</v>
      </c>
      <c r="S21" s="17">
        <f t="shared" si="8"/>
        <v>1330</v>
      </c>
      <c r="T21" s="17">
        <f t="shared" si="8"/>
        <v>1130</v>
      </c>
      <c r="U21" s="17">
        <f t="shared" si="8"/>
        <v>930</v>
      </c>
      <c r="V21" s="17">
        <f t="shared" si="8"/>
        <v>2170</v>
      </c>
      <c r="W21" s="17">
        <f t="shared" si="8"/>
        <v>1970</v>
      </c>
      <c r="X21" s="17">
        <f t="shared" si="8"/>
        <v>1770</v>
      </c>
      <c r="Y21" s="17">
        <f t="shared" si="8"/>
        <v>1570</v>
      </c>
      <c r="Z21" s="17">
        <f t="shared" si="8"/>
        <v>1370</v>
      </c>
      <c r="AA21" s="17">
        <f t="shared" si="8"/>
        <v>1170</v>
      </c>
      <c r="AB21" s="17">
        <f t="shared" si="8"/>
        <v>2410</v>
      </c>
      <c r="AC21" s="17">
        <f t="shared" si="8"/>
        <v>3650</v>
      </c>
      <c r="AD21" s="17">
        <f t="shared" si="8"/>
        <v>3450</v>
      </c>
      <c r="AE21" s="17">
        <f t="shared" si="8"/>
        <v>3250</v>
      </c>
      <c r="AF21" s="17">
        <f>AE21+AF19-AF20</f>
        <v>3050</v>
      </c>
      <c r="AG21" s="17">
        <f>AF21+AG19-AG20</f>
        <v>2850</v>
      </c>
      <c r="AH21" s="80">
        <v>0</v>
      </c>
      <c r="AI21" s="82">
        <f t="shared" si="6"/>
        <v>1901.6129032258063</v>
      </c>
    </row>
    <row r="22" spans="1:54" ht="20.100000000000001" customHeight="1">
      <c r="A22" s="218" t="s">
        <v>75</v>
      </c>
      <c r="B22" s="15" t="s">
        <v>67</v>
      </c>
      <c r="C22" s="9">
        <f>'1'!$E$18</f>
        <v>0</v>
      </c>
      <c r="D22" s="9">
        <f>'2'!$E$18</f>
        <v>0</v>
      </c>
      <c r="E22" s="9">
        <f>'3'!$E$18</f>
        <v>0</v>
      </c>
      <c r="F22" s="9">
        <f>'4'!$E$18</f>
        <v>0</v>
      </c>
      <c r="G22" s="9">
        <f>'5'!$E$18</f>
        <v>0</v>
      </c>
      <c r="H22" s="9">
        <f>'6'!$E$18</f>
        <v>0</v>
      </c>
      <c r="I22" s="9">
        <f>'7'!$E$18</f>
        <v>0</v>
      </c>
      <c r="J22" s="9">
        <f>'8'!$E$18</f>
        <v>0</v>
      </c>
      <c r="K22" s="9">
        <f>'9'!$E$18</f>
        <v>0</v>
      </c>
      <c r="L22" s="9">
        <f>'10'!$E$18</f>
        <v>0</v>
      </c>
      <c r="M22" s="9">
        <f>'11'!$E$18</f>
        <v>0</v>
      </c>
      <c r="N22" s="9">
        <f>'12'!$E$18</f>
        <v>0</v>
      </c>
      <c r="O22" s="9">
        <f>'13'!$E$18</f>
        <v>0</v>
      </c>
      <c r="P22" s="9">
        <f>'14'!$E$18</f>
        <v>0</v>
      </c>
      <c r="Q22" s="9">
        <f>'15'!$E$18</f>
        <v>0</v>
      </c>
      <c r="R22" s="9">
        <f>'16'!$E$18</f>
        <v>0</v>
      </c>
      <c r="S22" s="9">
        <f>'17'!$E$18</f>
        <v>0</v>
      </c>
      <c r="T22" s="9">
        <f>'18'!$E$18</f>
        <v>0</v>
      </c>
      <c r="U22" s="9">
        <f>'19'!$E$18</f>
        <v>0</v>
      </c>
      <c r="V22" s="9">
        <f>'20'!$E$18</f>
        <v>0</v>
      </c>
      <c r="W22" s="9">
        <f>'21'!$E$18</f>
        <v>0</v>
      </c>
      <c r="X22" s="9">
        <f>'22'!$E$18</f>
        <v>0</v>
      </c>
      <c r="Y22" s="9">
        <f>'23'!$E$18</f>
        <v>0</v>
      </c>
      <c r="Z22" s="9">
        <f>'24'!$E$18</f>
        <v>0</v>
      </c>
      <c r="AA22" s="9">
        <f>'25'!$E$18</f>
        <v>0</v>
      </c>
      <c r="AB22" s="9">
        <f>'26'!$E$18</f>
        <v>0</v>
      </c>
      <c r="AC22" s="9">
        <f>'27'!$E$18</f>
        <v>0</v>
      </c>
      <c r="AD22" s="9">
        <f>'28'!$E$18</f>
        <v>0</v>
      </c>
      <c r="AE22" s="9">
        <f>'29'!$E$18</f>
        <v>0</v>
      </c>
      <c r="AF22" s="9">
        <f>'30'!$E$18</f>
        <v>0</v>
      </c>
      <c r="AG22" s="9">
        <f>'31'!$E$18</f>
        <v>0</v>
      </c>
      <c r="AH22" s="10">
        <f>SUM(C22:AG22)</f>
        <v>0</v>
      </c>
      <c r="AI22" s="83">
        <f t="shared" si="6"/>
        <v>0</v>
      </c>
      <c r="AJ22" s="2">
        <f>('1'!C18+'요약(약품)'!AH22)-AH23</f>
        <v>4990</v>
      </c>
      <c r="AK22" s="2">
        <f>AJ22-'30'!I18</f>
        <v>0</v>
      </c>
      <c r="AL22" s="19"/>
      <c r="AM22" s="19"/>
      <c r="AN22" s="19"/>
      <c r="AO22" s="19"/>
      <c r="AP22" s="19"/>
      <c r="AQ22" s="19"/>
      <c r="AR22" s="19"/>
    </row>
    <row r="23" spans="1:54" ht="20.100000000000001" customHeight="1">
      <c r="A23" s="219"/>
      <c r="B23" s="8" t="s">
        <v>68</v>
      </c>
      <c r="C23" s="9">
        <f>'1'!$G$18</f>
        <v>0</v>
      </c>
      <c r="D23" s="9">
        <f>'2'!$G$18</f>
        <v>0</v>
      </c>
      <c r="E23" s="9">
        <f>'3'!$G$18</f>
        <v>0</v>
      </c>
      <c r="F23" s="9">
        <f>'4'!$G$18</f>
        <v>0</v>
      </c>
      <c r="G23" s="9">
        <f>'5'!$G$18</f>
        <v>0</v>
      </c>
      <c r="H23" s="9">
        <f>'6'!$G$18</f>
        <v>0</v>
      </c>
      <c r="I23" s="9">
        <f>'7'!$G$18</f>
        <v>0</v>
      </c>
      <c r="J23" s="9">
        <f>'8'!$G$18</f>
        <v>0</v>
      </c>
      <c r="K23" s="9">
        <f>'9'!$G$18</f>
        <v>0</v>
      </c>
      <c r="L23" s="9">
        <f>'10'!$G$18</f>
        <v>0</v>
      </c>
      <c r="M23" s="9">
        <f>'11'!$G$18</f>
        <v>0</v>
      </c>
      <c r="N23" s="9">
        <f>'12'!$G$18</f>
        <v>0</v>
      </c>
      <c r="O23" s="9">
        <f>'13'!$G$18</f>
        <v>0</v>
      </c>
      <c r="P23" s="9">
        <f>'14'!$G$18</f>
        <v>0</v>
      </c>
      <c r="Q23" s="9">
        <f>'15'!$G$18</f>
        <v>0</v>
      </c>
      <c r="R23" s="9">
        <f>'16'!$G$18</f>
        <v>0</v>
      </c>
      <c r="S23" s="9">
        <f>'17'!$G$18</f>
        <v>0</v>
      </c>
      <c r="T23" s="9">
        <f>'18'!$G$18</f>
        <v>0</v>
      </c>
      <c r="U23" s="9">
        <f>'19'!$G$18</f>
        <v>0</v>
      </c>
      <c r="V23" s="9">
        <f>'20'!$G$18</f>
        <v>0</v>
      </c>
      <c r="W23" s="9">
        <f>'21'!$G$18</f>
        <v>0</v>
      </c>
      <c r="X23" s="9">
        <f>'22'!$G$18</f>
        <v>0</v>
      </c>
      <c r="Y23" s="9">
        <f>'23'!$G$18</f>
        <v>0</v>
      </c>
      <c r="Z23" s="9">
        <f>'24'!$G$18</f>
        <v>0</v>
      </c>
      <c r="AA23" s="9">
        <f>'25'!$G$18</f>
        <v>0</v>
      </c>
      <c r="AB23" s="9">
        <f>'26'!$G$18</f>
        <v>0</v>
      </c>
      <c r="AC23" s="9">
        <f>'27'!$G$18</f>
        <v>0</v>
      </c>
      <c r="AD23" s="9">
        <f>'28'!$G$18</f>
        <v>350</v>
      </c>
      <c r="AE23" s="9">
        <f>'29'!$G$18</f>
        <v>0</v>
      </c>
      <c r="AF23" s="9">
        <f>'30'!$G$18</f>
        <v>0</v>
      </c>
      <c r="AG23" s="9">
        <f>'31'!$G$18</f>
        <v>0</v>
      </c>
      <c r="AH23" s="10">
        <f>SUM(C23:AG23)</f>
        <v>350</v>
      </c>
      <c r="AI23" s="11">
        <f t="shared" si="6"/>
        <v>11.290322580645162</v>
      </c>
      <c r="AJ23" s="2">
        <f>AF24-AJ22</f>
        <v>0</v>
      </c>
    </row>
    <row r="24" spans="1:54" ht="19.5" customHeight="1" thickBot="1">
      <c r="A24" s="220"/>
      <c r="B24" s="12" t="s">
        <v>69</v>
      </c>
      <c r="C24" s="20">
        <f>'1'!I18</f>
        <v>5340</v>
      </c>
      <c r="D24" s="20">
        <f>C24+D22-D23</f>
        <v>5340</v>
      </c>
      <c r="E24" s="20">
        <f t="shared" ref="E24:AE24" si="9">D24+E22-E23</f>
        <v>5340</v>
      </c>
      <c r="F24" s="20">
        <f t="shared" si="9"/>
        <v>5340</v>
      </c>
      <c r="G24" s="20">
        <f t="shared" si="9"/>
        <v>5340</v>
      </c>
      <c r="H24" s="20">
        <f t="shared" si="9"/>
        <v>5340</v>
      </c>
      <c r="I24" s="20">
        <f t="shared" si="9"/>
        <v>5340</v>
      </c>
      <c r="J24" s="20">
        <f t="shared" si="9"/>
        <v>5340</v>
      </c>
      <c r="K24" s="20">
        <f t="shared" si="9"/>
        <v>5340</v>
      </c>
      <c r="L24" s="20">
        <f t="shared" si="9"/>
        <v>5340</v>
      </c>
      <c r="M24" s="20">
        <f t="shared" si="9"/>
        <v>5340</v>
      </c>
      <c r="N24" s="20">
        <f t="shared" si="9"/>
        <v>5340</v>
      </c>
      <c r="O24" s="20">
        <f t="shared" si="9"/>
        <v>5340</v>
      </c>
      <c r="P24" s="20">
        <f t="shared" si="9"/>
        <v>5340</v>
      </c>
      <c r="Q24" s="20">
        <f t="shared" si="9"/>
        <v>5340</v>
      </c>
      <c r="R24" s="20">
        <f t="shared" si="9"/>
        <v>5340</v>
      </c>
      <c r="S24" s="20">
        <f t="shared" si="9"/>
        <v>5340</v>
      </c>
      <c r="T24" s="20">
        <f t="shared" si="9"/>
        <v>5340</v>
      </c>
      <c r="U24" s="20">
        <f t="shared" si="9"/>
        <v>5340</v>
      </c>
      <c r="V24" s="20">
        <f t="shared" si="9"/>
        <v>5340</v>
      </c>
      <c r="W24" s="20">
        <f t="shared" si="9"/>
        <v>5340</v>
      </c>
      <c r="X24" s="20">
        <f t="shared" si="9"/>
        <v>5340</v>
      </c>
      <c r="Y24" s="20">
        <f t="shared" si="9"/>
        <v>5340</v>
      </c>
      <c r="Z24" s="20">
        <f t="shared" si="9"/>
        <v>5340</v>
      </c>
      <c r="AA24" s="20">
        <f t="shared" si="9"/>
        <v>5340</v>
      </c>
      <c r="AB24" s="20">
        <f t="shared" si="9"/>
        <v>5340</v>
      </c>
      <c r="AC24" s="20">
        <f t="shared" si="9"/>
        <v>5340</v>
      </c>
      <c r="AD24" s="20">
        <f t="shared" si="9"/>
        <v>4990</v>
      </c>
      <c r="AE24" s="20">
        <f t="shared" si="9"/>
        <v>4990</v>
      </c>
      <c r="AF24" s="20">
        <f>AE24+AF22-AF23</f>
        <v>4990</v>
      </c>
      <c r="AG24" s="20">
        <f>AF24+AG22-AG23</f>
        <v>4990</v>
      </c>
      <c r="AH24" s="10">
        <v>0</v>
      </c>
      <c r="AI24" s="82">
        <f t="shared" si="6"/>
        <v>5294.8387096774195</v>
      </c>
    </row>
    <row r="25" spans="1:54" ht="20.100000000000001" customHeight="1">
      <c r="A25" s="218" t="s">
        <v>76</v>
      </c>
      <c r="B25" s="15" t="s">
        <v>67</v>
      </c>
      <c r="C25" s="9">
        <f>'1'!$E$20</f>
        <v>0</v>
      </c>
      <c r="D25" s="9">
        <f>'2'!$E$20</f>
        <v>0</v>
      </c>
      <c r="E25" s="9">
        <f>'3'!$E$20</f>
        <v>0</v>
      </c>
      <c r="F25" s="9">
        <f>'4'!$E$20</f>
        <v>0</v>
      </c>
      <c r="G25" s="9">
        <f>'5'!$E$20</f>
        <v>0</v>
      </c>
      <c r="H25" s="9">
        <f>'6'!$E$20</f>
        <v>0</v>
      </c>
      <c r="I25" s="9">
        <f>'7'!$E$20</f>
        <v>0</v>
      </c>
      <c r="J25" s="9">
        <f>'8'!$E$20</f>
        <v>0</v>
      </c>
      <c r="K25" s="9">
        <f>'9'!$E$20</f>
        <v>0</v>
      </c>
      <c r="L25" s="9">
        <f>'10'!$E$20</f>
        <v>0</v>
      </c>
      <c r="M25" s="9">
        <f>'11'!$E$20</f>
        <v>0</v>
      </c>
      <c r="N25" s="9">
        <f>'12'!$E$20</f>
        <v>0</v>
      </c>
      <c r="O25" s="9">
        <f>'13'!$E$20</f>
        <v>0</v>
      </c>
      <c r="P25" s="9">
        <f>'14'!$E$20</f>
        <v>0</v>
      </c>
      <c r="Q25" s="9">
        <f>'15'!$E$20</f>
        <v>0</v>
      </c>
      <c r="R25" s="9">
        <f>'16'!$E$20</f>
        <v>0</v>
      </c>
      <c r="S25" s="9">
        <f>'17'!$E$20</f>
        <v>0</v>
      </c>
      <c r="T25" s="9">
        <f>'18'!$E$20</f>
        <v>0</v>
      </c>
      <c r="U25" s="9">
        <f>'19'!$E$20</f>
        <v>0</v>
      </c>
      <c r="V25" s="9">
        <f>'20'!$E$20</f>
        <v>0</v>
      </c>
      <c r="W25" s="9">
        <f>'21'!$E$20</f>
        <v>0</v>
      </c>
      <c r="X25" s="9">
        <f>'22'!$E$20</f>
        <v>0</v>
      </c>
      <c r="Y25" s="9">
        <f>'23'!$E$20</f>
        <v>0</v>
      </c>
      <c r="Z25" s="9">
        <f>'24'!$E$20</f>
        <v>0</v>
      </c>
      <c r="AA25" s="9">
        <f>'25'!$E$20</f>
        <v>0</v>
      </c>
      <c r="AB25" s="9">
        <f>'26'!$E$20</f>
        <v>0</v>
      </c>
      <c r="AC25" s="9">
        <f>'27'!$E$20</f>
        <v>0</v>
      </c>
      <c r="AD25" s="9">
        <f>'28'!$E$20</f>
        <v>0</v>
      </c>
      <c r="AE25" s="9">
        <f>'29'!$E$20</f>
        <v>0</v>
      </c>
      <c r="AF25" s="9">
        <f>'30'!$E$20</f>
        <v>0</v>
      </c>
      <c r="AG25" s="9">
        <f>'31'!$E$20</f>
        <v>0</v>
      </c>
      <c r="AH25" s="16"/>
      <c r="AI25" s="18"/>
    </row>
    <row r="26" spans="1:54" ht="20.100000000000001" customHeight="1">
      <c r="A26" s="219"/>
      <c r="B26" s="8" t="s">
        <v>68</v>
      </c>
      <c r="C26" s="228" t="s">
        <v>77</v>
      </c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29"/>
      <c r="AA26" s="229"/>
      <c r="AB26" s="229"/>
      <c r="AC26" s="229"/>
      <c r="AD26" s="229"/>
      <c r="AE26" s="229"/>
      <c r="AF26" s="229"/>
      <c r="AG26" s="230"/>
      <c r="AH26" s="10" t="s">
        <v>111</v>
      </c>
      <c r="AI26" s="11" t="s">
        <v>111</v>
      </c>
    </row>
    <row r="27" spans="1:54" ht="19.5" customHeight="1" thickBot="1">
      <c r="A27" s="219"/>
      <c r="B27" s="31" t="s">
        <v>78</v>
      </c>
      <c r="C27" s="77">
        <f>'1'!$K$20</f>
        <v>0</v>
      </c>
      <c r="D27" s="77">
        <f>'2'!$K$20</f>
        <v>0</v>
      </c>
      <c r="E27" s="77">
        <f>'3'!$K$20</f>
        <v>0</v>
      </c>
      <c r="F27" s="77">
        <f>'4'!$K$20</f>
        <v>0</v>
      </c>
      <c r="G27" s="77">
        <f>'5'!$K$20</f>
        <v>0</v>
      </c>
      <c r="H27" s="77">
        <f>'6'!$K$20</f>
        <v>0</v>
      </c>
      <c r="I27" s="77">
        <f>'7'!$K$20</f>
        <v>0</v>
      </c>
      <c r="J27" s="77">
        <f>'8'!$K$20</f>
        <v>0</v>
      </c>
      <c r="K27" s="77">
        <f>'9'!$K$20</f>
        <v>0</v>
      </c>
      <c r="L27" s="77">
        <f>'10'!$K$20</f>
        <v>0</v>
      </c>
      <c r="M27" s="77">
        <f>'11'!$K$20</f>
        <v>0</v>
      </c>
      <c r="N27" s="77">
        <f>'12'!$K$20</f>
        <v>0</v>
      </c>
      <c r="O27" s="77">
        <f>'13'!$K$20</f>
        <v>0</v>
      </c>
      <c r="P27" s="77">
        <f>'14'!$K$20</f>
        <v>0</v>
      </c>
      <c r="Q27" s="77">
        <f>'15'!$K$20</f>
        <v>0</v>
      </c>
      <c r="R27" s="77">
        <f>'16'!$K$20</f>
        <v>0</v>
      </c>
      <c r="S27" s="77">
        <f>'17'!$K$20</f>
        <v>0</v>
      </c>
      <c r="T27" s="77">
        <f>'18'!$K$20</f>
        <v>0</v>
      </c>
      <c r="U27" s="77">
        <f>'19'!$K$20</f>
        <v>0</v>
      </c>
      <c r="V27" s="77">
        <f>'20'!$K$20</f>
        <v>0</v>
      </c>
      <c r="W27" s="77">
        <f>'21'!$K$20</f>
        <v>0</v>
      </c>
      <c r="X27" s="77">
        <f>'22'!$K$20</f>
        <v>0</v>
      </c>
      <c r="Y27" s="77">
        <f>'23'!$K$20</f>
        <v>0</v>
      </c>
      <c r="Z27" s="77">
        <f>'24'!$K$20</f>
        <v>0</v>
      </c>
      <c r="AA27" s="77">
        <f>'25'!$K$20</f>
        <v>0</v>
      </c>
      <c r="AB27" s="77">
        <f>'26'!$K$20</f>
        <v>0</v>
      </c>
      <c r="AC27" s="77">
        <f>'27'!$K$20</f>
        <v>0</v>
      </c>
      <c r="AD27" s="77">
        <f>'28'!$K$20</f>
        <v>0</v>
      </c>
      <c r="AE27" s="77">
        <f>'29'!$K$20</f>
        <v>0</v>
      </c>
      <c r="AF27" s="77">
        <f>'30'!$K$20</f>
        <v>0</v>
      </c>
      <c r="AG27" s="85">
        <f>'31'!$K$20</f>
        <v>0</v>
      </c>
      <c r="AH27" s="80">
        <v>0</v>
      </c>
      <c r="AI27" s="14"/>
    </row>
    <row r="28" spans="1:54" ht="20.100000000000001" customHeight="1">
      <c r="A28" s="218" t="s">
        <v>79</v>
      </c>
      <c r="B28" s="15" t="s">
        <v>67</v>
      </c>
      <c r="C28" s="78">
        <f>'1'!$E$19</f>
        <v>70150</v>
      </c>
      <c r="D28" s="78">
        <f>'2'!$E$19</f>
        <v>66230</v>
      </c>
      <c r="E28" s="78">
        <f>'3'!$E$19</f>
        <v>64150</v>
      </c>
      <c r="F28" s="78">
        <f>'4'!$E$19</f>
        <v>62100</v>
      </c>
      <c r="G28" s="78">
        <f>'5'!$E$19</f>
        <v>45930</v>
      </c>
      <c r="H28" s="78">
        <f>'6'!$E$19</f>
        <v>70810</v>
      </c>
      <c r="I28" s="78">
        <f>'7'!$E$19</f>
        <v>66070</v>
      </c>
      <c r="J28" s="78">
        <f>'8'!$E$19</f>
        <v>71350</v>
      </c>
      <c r="K28" s="78">
        <f>'9'!$E$19</f>
        <v>70800</v>
      </c>
      <c r="L28" s="78">
        <f>'10'!$E$19</f>
        <v>65350</v>
      </c>
      <c r="M28" s="78">
        <f>'11'!$E$19</f>
        <v>98650</v>
      </c>
      <c r="N28" s="78">
        <f>'12'!$E$19</f>
        <v>68680</v>
      </c>
      <c r="O28" s="78">
        <f>'13'!$E$19</f>
        <v>74790</v>
      </c>
      <c r="P28" s="78">
        <f>'14'!$E$19</f>
        <v>67100</v>
      </c>
      <c r="Q28" s="78">
        <f>'15'!$E$19</f>
        <v>94630</v>
      </c>
      <c r="R28" s="78">
        <f>'16'!$E$19</f>
        <v>48570</v>
      </c>
      <c r="S28" s="86">
        <f>'17'!$E$19</f>
        <v>62710</v>
      </c>
      <c r="T28" s="86">
        <f>'18'!$E$19</f>
        <v>89060</v>
      </c>
      <c r="U28" s="78">
        <f>'19'!$E$19</f>
        <v>65600</v>
      </c>
      <c r="V28" s="78">
        <f>'20'!$E$19</f>
        <v>97000</v>
      </c>
      <c r="W28" s="78">
        <f>'21'!$E$19</f>
        <v>84770</v>
      </c>
      <c r="X28" s="78">
        <f>'22'!$E$19</f>
        <v>91250</v>
      </c>
      <c r="Y28" s="78">
        <f>'23'!$E$19</f>
        <v>96960</v>
      </c>
      <c r="Z28" s="78">
        <f>'24'!$E$19</f>
        <v>65600</v>
      </c>
      <c r="AA28" s="78">
        <f>'25'!$E$19</f>
        <v>88810</v>
      </c>
      <c r="AB28" s="78">
        <f>'26'!$E$19</f>
        <v>64810</v>
      </c>
      <c r="AC28" s="78">
        <f>'27'!$E$19</f>
        <v>72610</v>
      </c>
      <c r="AD28" s="78">
        <f>'28'!$E$19</f>
        <v>86990</v>
      </c>
      <c r="AE28" s="78">
        <f>'29'!$E$19</f>
        <v>44760</v>
      </c>
      <c r="AF28" s="78">
        <f>'30'!$E$19</f>
        <v>90300</v>
      </c>
      <c r="AG28" s="86">
        <f>'31'!$E$19</f>
        <v>48050</v>
      </c>
      <c r="AH28" s="22">
        <f>SUM(C28:AG28)</f>
        <v>2254640</v>
      </c>
      <c r="AI28" s="11">
        <f>IFERROR(AVERAGE(C28:AG28),"")</f>
        <v>72730.322580645166</v>
      </c>
      <c r="AJ28" s="76">
        <f>('1'!C19+'요약(약품)'!AH28)-AH29</f>
        <v>102903</v>
      </c>
      <c r="AK28" s="76">
        <f>AJ28-'30'!I19</f>
        <v>-8054</v>
      </c>
    </row>
    <row r="29" spans="1:54" s="23" customFormat="1" ht="20.100000000000001" customHeight="1">
      <c r="A29" s="219"/>
      <c r="B29" s="21" t="s">
        <v>68</v>
      </c>
      <c r="C29" s="9">
        <f>'1'!$G$19</f>
        <v>70549</v>
      </c>
      <c r="D29" s="9">
        <f>'2'!$G$19</f>
        <v>63525</v>
      </c>
      <c r="E29" s="9">
        <f>'3'!$G$19</f>
        <v>63380</v>
      </c>
      <c r="F29" s="9">
        <f>'4'!$G$19</f>
        <v>59627</v>
      </c>
      <c r="G29" s="9">
        <f>'5'!$G$19</f>
        <v>65675</v>
      </c>
      <c r="H29" s="9">
        <f>'6'!$G$19</f>
        <v>73379</v>
      </c>
      <c r="I29" s="9">
        <f>'7'!$G$19</f>
        <v>78842</v>
      </c>
      <c r="J29" s="9">
        <f>'8'!$G$19</f>
        <v>81006</v>
      </c>
      <c r="K29" s="9">
        <f>'9'!$G$19</f>
        <v>78799</v>
      </c>
      <c r="L29" s="9">
        <f>'10'!$G$19</f>
        <v>80936</v>
      </c>
      <c r="M29" s="9">
        <f>'11'!$G$19</f>
        <v>73131</v>
      </c>
      <c r="N29" s="9">
        <f>'12'!$G$19</f>
        <v>72830</v>
      </c>
      <c r="O29" s="9">
        <f>'13'!$G$19</f>
        <v>76475</v>
      </c>
      <c r="P29" s="9">
        <f>'14'!$G$19</f>
        <v>69312</v>
      </c>
      <c r="Q29" s="9">
        <f>'15'!$G$19</f>
        <v>61510</v>
      </c>
      <c r="R29" s="9">
        <f>'16'!$G$19</f>
        <v>67599</v>
      </c>
      <c r="S29" s="87">
        <f>'17'!$G$19</f>
        <v>77111</v>
      </c>
      <c r="T29" s="87">
        <f>'18'!$G$19</f>
        <v>68297</v>
      </c>
      <c r="U29" s="9">
        <f>'19'!$G$19</f>
        <v>84977</v>
      </c>
      <c r="V29" s="9">
        <f>'20'!$G$19</f>
        <v>90268</v>
      </c>
      <c r="W29" s="9">
        <f>'21'!$G$19</f>
        <v>81962</v>
      </c>
      <c r="X29" s="9">
        <f>'22'!$G$19</f>
        <v>90783</v>
      </c>
      <c r="Y29" s="9">
        <f>'23'!$G$19</f>
        <v>72610</v>
      </c>
      <c r="Z29" s="9">
        <f>'24'!$G$19</f>
        <v>74316</v>
      </c>
      <c r="AA29" s="9">
        <f>'25'!$G$19</f>
        <v>64897</v>
      </c>
      <c r="AB29" s="9">
        <f>'26'!$G$19</f>
        <v>71161</v>
      </c>
      <c r="AC29" s="9">
        <f>'27'!$G$19</f>
        <v>78087</v>
      </c>
      <c r="AD29" s="9">
        <f>'28'!$G$19</f>
        <v>73304</v>
      </c>
      <c r="AE29" s="9">
        <f>'29'!$G$19</f>
        <v>74612</v>
      </c>
      <c r="AF29" s="9">
        <f>'30'!$G$19</f>
        <v>66673</v>
      </c>
      <c r="AG29" s="87">
        <f>'31'!$G$19</f>
        <v>56104</v>
      </c>
      <c r="AH29" s="22">
        <f>SUM(C29:AG29)</f>
        <v>2261737</v>
      </c>
      <c r="AI29" s="11">
        <f>IFERROR(AVERAGE(C29:AG29),"")</f>
        <v>72959.258064516136</v>
      </c>
      <c r="AJ29" s="76">
        <f>AF30-AJ28</f>
        <v>8054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1:54" ht="19.5" customHeight="1" thickBot="1">
      <c r="A30" s="220"/>
      <c r="B30" s="12" t="s">
        <v>69</v>
      </c>
      <c r="C30" s="17">
        <f>'1'!I19</f>
        <v>109601</v>
      </c>
      <c r="D30" s="17">
        <f t="shared" ref="D30:AE30" si="10">C30+D28-D29</f>
        <v>112306</v>
      </c>
      <c r="E30" s="17">
        <f t="shared" si="10"/>
        <v>113076</v>
      </c>
      <c r="F30" s="17">
        <f t="shared" si="10"/>
        <v>115549</v>
      </c>
      <c r="G30" s="17">
        <f t="shared" si="10"/>
        <v>95804</v>
      </c>
      <c r="H30" s="17">
        <f t="shared" si="10"/>
        <v>93235</v>
      </c>
      <c r="I30" s="17">
        <f t="shared" si="10"/>
        <v>80463</v>
      </c>
      <c r="J30" s="17">
        <f t="shared" si="10"/>
        <v>70807</v>
      </c>
      <c r="K30" s="17">
        <f t="shared" si="10"/>
        <v>62808</v>
      </c>
      <c r="L30" s="17">
        <f t="shared" si="10"/>
        <v>47222</v>
      </c>
      <c r="M30" s="17">
        <f t="shared" si="10"/>
        <v>72741</v>
      </c>
      <c r="N30" s="17">
        <f t="shared" si="10"/>
        <v>68591</v>
      </c>
      <c r="O30" s="17">
        <f t="shared" si="10"/>
        <v>66906</v>
      </c>
      <c r="P30" s="17">
        <f t="shared" si="10"/>
        <v>64694</v>
      </c>
      <c r="Q30" s="17">
        <f t="shared" si="10"/>
        <v>97814</v>
      </c>
      <c r="R30" s="17">
        <f t="shared" si="10"/>
        <v>78785</v>
      </c>
      <c r="S30" s="17">
        <f t="shared" si="10"/>
        <v>64384</v>
      </c>
      <c r="T30" s="17">
        <f t="shared" si="10"/>
        <v>85147</v>
      </c>
      <c r="U30" s="17">
        <f t="shared" si="10"/>
        <v>65770</v>
      </c>
      <c r="V30" s="17">
        <f t="shared" si="10"/>
        <v>72502</v>
      </c>
      <c r="W30" s="17">
        <f t="shared" si="10"/>
        <v>75310</v>
      </c>
      <c r="X30" s="17">
        <f t="shared" si="10"/>
        <v>75777</v>
      </c>
      <c r="Y30" s="17">
        <f t="shared" si="10"/>
        <v>100127</v>
      </c>
      <c r="Z30" s="17">
        <f t="shared" si="10"/>
        <v>91411</v>
      </c>
      <c r="AA30" s="17">
        <f t="shared" si="10"/>
        <v>115324</v>
      </c>
      <c r="AB30" s="17">
        <f t="shared" si="10"/>
        <v>108973</v>
      </c>
      <c r="AC30" s="17">
        <f t="shared" si="10"/>
        <v>103496</v>
      </c>
      <c r="AD30" s="17">
        <f t="shared" si="10"/>
        <v>117182</v>
      </c>
      <c r="AE30" s="17">
        <f t="shared" si="10"/>
        <v>87330</v>
      </c>
      <c r="AF30" s="17">
        <f>AE30+AF28-AF29</f>
        <v>110957</v>
      </c>
      <c r="AG30" s="17">
        <f>AF30+AG28-AG29</f>
        <v>102903</v>
      </c>
      <c r="AH30" s="81">
        <v>0</v>
      </c>
      <c r="AI30" s="82">
        <f>IFERROR(AVERAGE(C30:AG30),"")</f>
        <v>87967.580645161288</v>
      </c>
    </row>
    <row r="39" spans="36:36">
      <c r="AJ39" s="2" t="s">
        <v>80</v>
      </c>
    </row>
    <row r="65" spans="30:30">
      <c r="AD65" s="2" t="s">
        <v>81</v>
      </c>
    </row>
  </sheetData>
  <mergeCells count="12">
    <mergeCell ref="A28:A30"/>
    <mergeCell ref="B1:AI1"/>
    <mergeCell ref="A3:B3"/>
    <mergeCell ref="A4:A6"/>
    <mergeCell ref="A7:A9"/>
    <mergeCell ref="A10:A12"/>
    <mergeCell ref="A13:A15"/>
    <mergeCell ref="A16:A18"/>
    <mergeCell ref="A19:A21"/>
    <mergeCell ref="A22:A24"/>
    <mergeCell ref="A25:A27"/>
    <mergeCell ref="C26:AG26"/>
  </mergeCells>
  <phoneticPr fontId="1" type="noConversion"/>
  <conditionalFormatting sqref="C5:AG5">
    <cfRule type="cellIs" dxfId="3" priority="1" operator="greaterThan">
      <formula>3288</formula>
    </cfRule>
    <cfRule type="cellIs" dxfId="2" priority="2" operator="greaterThan">
      <formula>3627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0"/>
  <sheetViews>
    <sheetView topLeftCell="A16" zoomScaleNormal="100" workbookViewId="0">
      <selection activeCell="AG9" sqref="AG9"/>
    </sheetView>
  </sheetViews>
  <sheetFormatPr defaultColWidth="9" defaultRowHeight="13.2"/>
  <cols>
    <col min="1" max="1" width="7" style="2" customWidth="1"/>
    <col min="2" max="2" width="9.3984375" style="2" customWidth="1"/>
    <col min="3" max="16" width="5.59765625" style="2" customWidth="1"/>
    <col min="17" max="17" width="5.59765625" style="23" customWidth="1"/>
    <col min="18" max="33" width="5.59765625" style="2" customWidth="1"/>
    <col min="34" max="42" width="8.5" style="2" customWidth="1"/>
    <col min="43" max="53" width="11.59765625" style="2" customWidth="1"/>
    <col min="54" max="54" width="14.19921875" style="2" customWidth="1"/>
    <col min="55" max="77" width="5.8984375" style="2" customWidth="1"/>
    <col min="78" max="78" width="6.69921875" style="2" customWidth="1"/>
    <col min="79" max="16384" width="9" style="2"/>
  </cols>
  <sheetData>
    <row r="1" spans="1:40" ht="20.100000000000001" customHeight="1">
      <c r="A1" s="221" t="s">
        <v>146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</row>
    <row r="2" spans="1:40" ht="20.25" customHeight="1" thickBot="1"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40" ht="20.100000000000001" customHeight="1" thickBot="1">
      <c r="A3" s="222" t="s">
        <v>64</v>
      </c>
      <c r="B3" s="223"/>
      <c r="C3" s="5">
        <v>1</v>
      </c>
      <c r="D3" s="5">
        <v>2</v>
      </c>
      <c r="E3" s="5">
        <v>3</v>
      </c>
      <c r="F3" s="5">
        <v>4</v>
      </c>
      <c r="G3" s="5">
        <v>5</v>
      </c>
      <c r="H3" s="5">
        <v>6</v>
      </c>
      <c r="I3" s="5">
        <v>7</v>
      </c>
      <c r="J3" s="5">
        <v>8</v>
      </c>
      <c r="K3" s="5">
        <v>9</v>
      </c>
      <c r="L3" s="5">
        <v>10</v>
      </c>
      <c r="M3" s="5">
        <v>11</v>
      </c>
      <c r="N3" s="5">
        <v>12</v>
      </c>
      <c r="O3" s="5">
        <v>13</v>
      </c>
      <c r="P3" s="5">
        <v>14</v>
      </c>
      <c r="Q3" s="6">
        <v>15</v>
      </c>
      <c r="R3" s="5">
        <v>16</v>
      </c>
      <c r="S3" s="5">
        <v>17</v>
      </c>
      <c r="T3" s="5">
        <v>18</v>
      </c>
      <c r="U3" s="5">
        <v>19</v>
      </c>
      <c r="V3" s="5">
        <v>20</v>
      </c>
      <c r="W3" s="5">
        <v>21</v>
      </c>
      <c r="X3" s="5">
        <v>22</v>
      </c>
      <c r="Y3" s="5">
        <v>23</v>
      </c>
      <c r="Z3" s="5">
        <v>24</v>
      </c>
      <c r="AA3" s="5">
        <v>25</v>
      </c>
      <c r="AB3" s="5">
        <v>26</v>
      </c>
      <c r="AC3" s="5">
        <v>27</v>
      </c>
      <c r="AD3" s="5">
        <v>28</v>
      </c>
      <c r="AE3" s="5">
        <v>29</v>
      </c>
      <c r="AF3" s="5">
        <v>30</v>
      </c>
      <c r="AG3" s="5">
        <v>31</v>
      </c>
      <c r="AH3" s="5" t="s">
        <v>65</v>
      </c>
      <c r="AI3" s="7" t="s">
        <v>66</v>
      </c>
    </row>
    <row r="4" spans="1:40" ht="20.100000000000001" customHeight="1" thickTop="1">
      <c r="A4" s="236" t="s">
        <v>54</v>
      </c>
      <c r="B4" s="237"/>
      <c r="C4" s="24">
        <f>'1'!$X$7</f>
        <v>24</v>
      </c>
      <c r="D4" s="24">
        <f>'2'!$X$7</f>
        <v>24</v>
      </c>
      <c r="E4" s="24">
        <f>'3'!$X$7</f>
        <v>24</v>
      </c>
      <c r="F4" s="24">
        <f>'4'!$X$7</f>
        <v>24</v>
      </c>
      <c r="G4" s="24">
        <f>'5'!$X$7</f>
        <v>24</v>
      </c>
      <c r="H4" s="24">
        <f>'6'!$X$7</f>
        <v>24</v>
      </c>
      <c r="I4" s="24">
        <f>'7'!$X$7</f>
        <v>24</v>
      </c>
      <c r="J4" s="24">
        <f>'8'!$X$7</f>
        <v>24</v>
      </c>
      <c r="K4" s="24">
        <f>'9'!$X$7</f>
        <v>24</v>
      </c>
      <c r="L4" s="24">
        <f>'10'!$X$7</f>
        <v>24</v>
      </c>
      <c r="M4" s="24">
        <f>'11'!$X$7</f>
        <v>24</v>
      </c>
      <c r="N4" s="24">
        <f>'12'!$X$7</f>
        <v>24</v>
      </c>
      <c r="O4" s="24">
        <f>'13'!$X$7</f>
        <v>24</v>
      </c>
      <c r="P4" s="24">
        <f>'14'!$X$7</f>
        <v>24</v>
      </c>
      <c r="Q4" s="24">
        <f>'15'!$X$7</f>
        <v>24</v>
      </c>
      <c r="R4" s="24">
        <f>'16'!$X$7</f>
        <v>24</v>
      </c>
      <c r="S4" s="24">
        <f>'16'!$X$7</f>
        <v>24</v>
      </c>
      <c r="T4" s="24">
        <f>'18'!$X$7</f>
        <v>24</v>
      </c>
      <c r="U4" s="24">
        <f>'19'!$X$7</f>
        <v>24</v>
      </c>
      <c r="V4" s="24">
        <f>'20'!$X$7</f>
        <v>24</v>
      </c>
      <c r="W4" s="24">
        <f>'21'!$X$7</f>
        <v>24</v>
      </c>
      <c r="X4" s="24">
        <f>'22'!$X$7</f>
        <v>24</v>
      </c>
      <c r="Y4" s="24">
        <f>'23'!$X$7</f>
        <v>24</v>
      </c>
      <c r="Z4" s="24">
        <f>'24'!$X$7</f>
        <v>24</v>
      </c>
      <c r="AA4" s="24">
        <f>'25'!$X$7</f>
        <v>24</v>
      </c>
      <c r="AB4" s="24">
        <f>'26'!$X$7</f>
        <v>24</v>
      </c>
      <c r="AC4" s="24">
        <f>'27'!$X$7</f>
        <v>24</v>
      </c>
      <c r="AD4" s="24">
        <f>'28'!$X$7</f>
        <v>24</v>
      </c>
      <c r="AE4" s="24">
        <f>'29'!$X$7</f>
        <v>24</v>
      </c>
      <c r="AF4" s="24">
        <f>'30'!$X$7</f>
        <v>24</v>
      </c>
      <c r="AG4" s="24">
        <f>'31'!$X$7</f>
        <v>24</v>
      </c>
      <c r="AH4" s="47">
        <f>SUM(C4:AG4)</f>
        <v>744</v>
      </c>
      <c r="AI4" s="46">
        <f>IFERROR(AVERAGE(C4:AG4),"")</f>
        <v>24</v>
      </c>
    </row>
    <row r="5" spans="1:40" ht="24.9" customHeight="1">
      <c r="A5" s="233" t="s">
        <v>82</v>
      </c>
      <c r="B5" s="8" t="s">
        <v>62</v>
      </c>
      <c r="C5" s="25">
        <f>'1'!$D$7</f>
        <v>70549</v>
      </c>
      <c r="D5" s="25">
        <f>'2'!$D$7</f>
        <v>63525</v>
      </c>
      <c r="E5" s="25">
        <f>'3'!$D$7</f>
        <v>63380</v>
      </c>
      <c r="F5" s="25">
        <f>'4'!$D$7</f>
        <v>59627</v>
      </c>
      <c r="G5" s="25">
        <f>'5'!$D$7</f>
        <v>65675</v>
      </c>
      <c r="H5" s="25">
        <f>'6'!$D$7</f>
        <v>73379</v>
      </c>
      <c r="I5" s="25">
        <f>'7'!$D$7</f>
        <v>78842</v>
      </c>
      <c r="J5" s="25">
        <f>'8'!$D$7</f>
        <v>81006</v>
      </c>
      <c r="K5" s="25">
        <f>'9'!$D$7</f>
        <v>78799</v>
      </c>
      <c r="L5" s="25">
        <f>'10'!$D$7</f>
        <v>80936</v>
      </c>
      <c r="M5" s="25">
        <f>'11'!$D$7</f>
        <v>73131</v>
      </c>
      <c r="N5" s="25">
        <f>'12'!$D$7</f>
        <v>72830</v>
      </c>
      <c r="O5" s="25">
        <f>'13'!$D$7</f>
        <v>76475</v>
      </c>
      <c r="P5" s="25">
        <f>'14'!$D$7</f>
        <v>69312</v>
      </c>
      <c r="Q5" s="25">
        <f>'15'!$D$7</f>
        <v>61510</v>
      </c>
      <c r="R5" s="25">
        <f>'16'!$D$7</f>
        <v>67599</v>
      </c>
      <c r="S5" s="37">
        <f>'17'!$D$7</f>
        <v>77111</v>
      </c>
      <c r="T5" s="37">
        <f>'18'!$D$7</f>
        <v>68297</v>
      </c>
      <c r="U5" s="25">
        <f>'19'!$D$7</f>
        <v>84977</v>
      </c>
      <c r="V5" s="25">
        <f>'20'!$D$7</f>
        <v>90268</v>
      </c>
      <c r="W5" s="25">
        <f>'21'!$D$7</f>
        <v>81962</v>
      </c>
      <c r="X5" s="25">
        <f>'22'!$D$7</f>
        <v>90783</v>
      </c>
      <c r="Y5" s="25">
        <f>'23'!$D$7</f>
        <v>72610</v>
      </c>
      <c r="Z5" s="25">
        <f>'24'!$D$7</f>
        <v>74316</v>
      </c>
      <c r="AA5" s="25">
        <f>'25'!$D$7</f>
        <v>64897</v>
      </c>
      <c r="AB5" s="25">
        <f>'26'!$D$7</f>
        <v>71161</v>
      </c>
      <c r="AC5" s="25">
        <f>'27'!$D$7</f>
        <v>78087</v>
      </c>
      <c r="AD5" s="25">
        <f>'28'!$D$7</f>
        <v>73304</v>
      </c>
      <c r="AE5" s="25">
        <f>'29'!$D$7</f>
        <v>74612</v>
      </c>
      <c r="AF5" s="25">
        <f>'30'!$D$7</f>
        <v>66673</v>
      </c>
      <c r="AG5" s="37">
        <f>'31'!$D$7</f>
        <v>56104</v>
      </c>
      <c r="AH5" s="45">
        <f>SUM(C5:AG5)</f>
        <v>2261737</v>
      </c>
      <c r="AI5" s="41">
        <f>IFERROR(AVERAGE(C5:AG5),"")</f>
        <v>72959.258064516136</v>
      </c>
    </row>
    <row r="6" spans="1:40" ht="24.9" customHeight="1">
      <c r="A6" s="219"/>
      <c r="B6" s="30" t="s">
        <v>139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27">
        <v>0</v>
      </c>
      <c r="AG6" s="88">
        <v>0</v>
      </c>
      <c r="AH6" s="45">
        <f t="shared" ref="AH6:AH27" si="0">SUM(C6:AG6)</f>
        <v>0</v>
      </c>
      <c r="AI6" s="41">
        <f t="shared" ref="AI6:AI28" si="1">IFERROR(AVERAGE(C6:AG6),"")</f>
        <v>0</v>
      </c>
    </row>
    <row r="7" spans="1:40" ht="24.9" customHeight="1">
      <c r="A7" s="219"/>
      <c r="B7" s="30" t="s">
        <v>140</v>
      </c>
      <c r="C7" s="27">
        <f>C5+C6</f>
        <v>70549</v>
      </c>
      <c r="D7" s="27">
        <f>D5+D6</f>
        <v>63525</v>
      </c>
      <c r="E7" s="27">
        <f t="shared" ref="E7:AG7" si="2">E5+E6</f>
        <v>63380</v>
      </c>
      <c r="F7" s="27">
        <f t="shared" si="2"/>
        <v>59627</v>
      </c>
      <c r="G7" s="27">
        <f t="shared" si="2"/>
        <v>65675</v>
      </c>
      <c r="H7" s="27">
        <f t="shared" si="2"/>
        <v>73379</v>
      </c>
      <c r="I7" s="27">
        <f t="shared" si="2"/>
        <v>78842</v>
      </c>
      <c r="J7" s="27">
        <f t="shared" si="2"/>
        <v>81006</v>
      </c>
      <c r="K7" s="27">
        <f t="shared" si="2"/>
        <v>78799</v>
      </c>
      <c r="L7" s="27">
        <f t="shared" si="2"/>
        <v>80936</v>
      </c>
      <c r="M7" s="27">
        <f t="shared" si="2"/>
        <v>73131</v>
      </c>
      <c r="N7" s="27">
        <f t="shared" si="2"/>
        <v>72830</v>
      </c>
      <c r="O7" s="27">
        <f t="shared" si="2"/>
        <v>76475</v>
      </c>
      <c r="P7" s="27">
        <f t="shared" si="2"/>
        <v>69312</v>
      </c>
      <c r="Q7" s="27">
        <f t="shared" si="2"/>
        <v>61510</v>
      </c>
      <c r="R7" s="27">
        <f>R5+R6</f>
        <v>67599</v>
      </c>
      <c r="S7" s="27">
        <f>S5+S6</f>
        <v>77111</v>
      </c>
      <c r="T7" s="27">
        <f t="shared" si="2"/>
        <v>68297</v>
      </c>
      <c r="U7" s="27">
        <f t="shared" si="2"/>
        <v>84977</v>
      </c>
      <c r="V7" s="27">
        <f t="shared" si="2"/>
        <v>90268</v>
      </c>
      <c r="W7" s="27">
        <f t="shared" si="2"/>
        <v>81962</v>
      </c>
      <c r="X7" s="27">
        <f t="shared" si="2"/>
        <v>90783</v>
      </c>
      <c r="Y7" s="27">
        <f t="shared" si="2"/>
        <v>72610</v>
      </c>
      <c r="Z7" s="27">
        <f t="shared" si="2"/>
        <v>74316</v>
      </c>
      <c r="AA7" s="27">
        <f t="shared" si="2"/>
        <v>64897</v>
      </c>
      <c r="AB7" s="27">
        <f t="shared" si="2"/>
        <v>71161</v>
      </c>
      <c r="AC7" s="27">
        <f t="shared" si="2"/>
        <v>78087</v>
      </c>
      <c r="AD7" s="27">
        <f t="shared" si="2"/>
        <v>73304</v>
      </c>
      <c r="AE7" s="27">
        <f t="shared" si="2"/>
        <v>74612</v>
      </c>
      <c r="AF7" s="27">
        <f t="shared" si="2"/>
        <v>66673</v>
      </c>
      <c r="AG7" s="27">
        <f t="shared" si="2"/>
        <v>56104</v>
      </c>
      <c r="AH7" s="45">
        <f>SUM(C7:AG7)</f>
        <v>2261737</v>
      </c>
      <c r="AI7" s="41">
        <f t="shared" si="1"/>
        <v>72959.258064516136</v>
      </c>
    </row>
    <row r="8" spans="1:40" ht="24.9" customHeight="1">
      <c r="A8" s="219"/>
      <c r="B8" s="55" t="s">
        <v>83</v>
      </c>
      <c r="C8" s="27">
        <f>'1'!$G$7</f>
        <v>170800</v>
      </c>
      <c r="D8" s="27">
        <f>'2'!$G$7</f>
        <v>178400</v>
      </c>
      <c r="E8" s="27">
        <f>'3'!$G$7</f>
        <v>157600</v>
      </c>
      <c r="F8" s="27">
        <f>'4'!$G$7</f>
        <v>159400</v>
      </c>
      <c r="G8" s="27">
        <f>'5'!$G$7</f>
        <v>158700</v>
      </c>
      <c r="H8" s="27">
        <f>'6'!$G$7</f>
        <v>163900</v>
      </c>
      <c r="I8" s="27">
        <f>'7'!$G$7</f>
        <v>117000</v>
      </c>
      <c r="J8" s="27">
        <f>'8'!$G$7</f>
        <v>106400</v>
      </c>
      <c r="K8" s="27">
        <f>'9'!$G$7</f>
        <v>152000</v>
      </c>
      <c r="L8" s="27">
        <f>'10'!$G$7</f>
        <v>138500</v>
      </c>
      <c r="M8" s="27">
        <f>'11'!$G$7</f>
        <v>127700</v>
      </c>
      <c r="N8" s="27">
        <f>'12'!$G$7</f>
        <v>142900</v>
      </c>
      <c r="O8" s="27">
        <f>'13'!$G$7</f>
        <v>137100</v>
      </c>
      <c r="P8" s="27">
        <f>'14'!$G$7</f>
        <v>148900</v>
      </c>
      <c r="Q8" s="27">
        <f>'15'!$G$7</f>
        <v>171100</v>
      </c>
      <c r="R8" s="27">
        <f>'16'!$G$7</f>
        <v>145400</v>
      </c>
      <c r="S8" s="91">
        <f>'17'!$G$7</f>
        <v>135800</v>
      </c>
      <c r="T8" s="91">
        <f>'18'!$G$7</f>
        <v>150300</v>
      </c>
      <c r="U8" s="27">
        <f>'19'!$G$7</f>
        <v>151500</v>
      </c>
      <c r="V8" s="27">
        <f>'20'!$G$7</f>
        <v>121700</v>
      </c>
      <c r="W8" s="27">
        <f>'21'!$G$7</f>
        <v>103500</v>
      </c>
      <c r="X8" s="27">
        <f>'22'!$G$7</f>
        <v>100400</v>
      </c>
      <c r="Y8" s="27">
        <f>'23'!$G$7</f>
        <v>188100</v>
      </c>
      <c r="Z8" s="27">
        <f>'24'!$G$7</f>
        <v>143600</v>
      </c>
      <c r="AA8" s="27">
        <f>'25'!$G$7</f>
        <v>155000</v>
      </c>
      <c r="AB8" s="27">
        <f>'26'!$G$7</f>
        <v>146000</v>
      </c>
      <c r="AC8" s="27">
        <f>'27'!$G$7</f>
        <v>136100</v>
      </c>
      <c r="AD8" s="27">
        <f>'28'!$G$7</f>
        <v>133100</v>
      </c>
      <c r="AE8" s="27">
        <f>'29'!$G$7</f>
        <v>123300</v>
      </c>
      <c r="AF8" s="27">
        <f>'30'!$G$7</f>
        <v>173800</v>
      </c>
      <c r="AG8" s="90">
        <f>'31'!$G$7</f>
        <v>188400</v>
      </c>
      <c r="AH8" s="45">
        <f t="shared" si="0"/>
        <v>4526400</v>
      </c>
      <c r="AI8" s="41">
        <f t="shared" si="1"/>
        <v>146012.90322580645</v>
      </c>
    </row>
    <row r="9" spans="1:40" ht="24.9" customHeight="1">
      <c r="A9" s="219"/>
      <c r="B9" s="30" t="s">
        <v>115</v>
      </c>
      <c r="C9" s="25">
        <v>273.3</v>
      </c>
      <c r="D9" s="25">
        <v>283.60000000000002</v>
      </c>
      <c r="E9" s="25">
        <v>243.2</v>
      </c>
      <c r="F9" s="25">
        <v>237.5</v>
      </c>
      <c r="G9" s="25">
        <v>270.5</v>
      </c>
      <c r="H9" s="25">
        <v>279.8</v>
      </c>
      <c r="I9" s="25">
        <v>218.4</v>
      </c>
      <c r="J9" s="25">
        <v>228.9</v>
      </c>
      <c r="K9" s="25">
        <v>312.60000000000002</v>
      </c>
      <c r="L9" s="25">
        <v>274.89999999999998</v>
      </c>
      <c r="M9" s="25">
        <v>232.1</v>
      </c>
      <c r="N9" s="25">
        <v>242.4</v>
      </c>
      <c r="O9" s="25">
        <v>229.7</v>
      </c>
      <c r="P9" s="25">
        <v>250.9</v>
      </c>
      <c r="Q9" s="25">
        <v>278.60000000000002</v>
      </c>
      <c r="R9" s="25">
        <v>268.89999999999998</v>
      </c>
      <c r="S9" s="25">
        <v>306.39999999999998</v>
      </c>
      <c r="T9" s="25">
        <v>301</v>
      </c>
      <c r="U9" s="25">
        <v>308.8</v>
      </c>
      <c r="V9" s="25">
        <v>289.7</v>
      </c>
      <c r="W9" s="25">
        <v>253.6</v>
      </c>
      <c r="X9" s="25">
        <v>253.8</v>
      </c>
      <c r="Y9" s="25">
        <v>347.4</v>
      </c>
      <c r="Z9" s="25">
        <v>283.3</v>
      </c>
      <c r="AA9" s="25">
        <v>271.89999999999998</v>
      </c>
      <c r="AB9" s="25">
        <v>282.60000000000002</v>
      </c>
      <c r="AC9" s="25">
        <v>265.89999999999998</v>
      </c>
      <c r="AD9" s="25">
        <v>235.1</v>
      </c>
      <c r="AE9" s="25">
        <v>223.4</v>
      </c>
      <c r="AF9" s="25">
        <v>299.5</v>
      </c>
      <c r="AG9" s="89">
        <v>303.8</v>
      </c>
      <c r="AH9" s="45">
        <f t="shared" si="0"/>
        <v>8351.5</v>
      </c>
      <c r="AI9" s="41">
        <f t="shared" si="1"/>
        <v>269.40322580645159</v>
      </c>
    </row>
    <row r="10" spans="1:40" ht="24.9" customHeight="1" thickBot="1">
      <c r="A10" s="220"/>
      <c r="B10" s="26" t="s">
        <v>113</v>
      </c>
      <c r="C10" s="56">
        <v>10</v>
      </c>
      <c r="D10" s="56">
        <v>10</v>
      </c>
      <c r="E10" s="56">
        <v>7</v>
      </c>
      <c r="F10" s="56">
        <v>4</v>
      </c>
      <c r="G10" s="56">
        <v>8</v>
      </c>
      <c r="H10" s="56">
        <v>12</v>
      </c>
      <c r="I10" s="56">
        <v>28</v>
      </c>
      <c r="J10" s="56">
        <v>51</v>
      </c>
      <c r="K10" s="56">
        <v>15</v>
      </c>
      <c r="L10" s="56">
        <v>4</v>
      </c>
      <c r="M10" s="56">
        <v>7</v>
      </c>
      <c r="N10" s="56">
        <v>4</v>
      </c>
      <c r="O10" s="56">
        <v>0</v>
      </c>
      <c r="P10" s="56">
        <v>2</v>
      </c>
      <c r="Q10" s="56">
        <v>3</v>
      </c>
      <c r="R10" s="56">
        <v>12</v>
      </c>
      <c r="S10" s="56">
        <v>2</v>
      </c>
      <c r="T10" s="56">
        <v>9</v>
      </c>
      <c r="U10" s="56">
        <v>4</v>
      </c>
      <c r="V10" s="56">
        <v>2</v>
      </c>
      <c r="W10" s="56">
        <v>17</v>
      </c>
      <c r="X10" s="56">
        <v>36</v>
      </c>
      <c r="Y10" s="56">
        <v>13</v>
      </c>
      <c r="Z10" s="56">
        <v>7</v>
      </c>
      <c r="AA10" s="56">
        <v>24</v>
      </c>
      <c r="AB10" s="56">
        <v>28</v>
      </c>
      <c r="AC10" s="56">
        <v>44</v>
      </c>
      <c r="AD10" s="56">
        <v>57</v>
      </c>
      <c r="AE10" s="56">
        <v>53</v>
      </c>
      <c r="AF10" s="56">
        <v>14</v>
      </c>
      <c r="AG10" s="56">
        <v>4</v>
      </c>
      <c r="AH10" s="44">
        <f t="shared" si="0"/>
        <v>491</v>
      </c>
      <c r="AI10" s="42">
        <f t="shared" si="1"/>
        <v>15.838709677419354</v>
      </c>
    </row>
    <row r="11" spans="1:40" ht="24.9" customHeight="1">
      <c r="A11" s="219" t="s">
        <v>84</v>
      </c>
      <c r="B11" s="8" t="s">
        <v>85</v>
      </c>
      <c r="C11" s="29">
        <f>'1'!$R$7</f>
        <v>475.7</v>
      </c>
      <c r="D11" s="29">
        <f>'2'!$R$7</f>
        <v>481.2</v>
      </c>
      <c r="E11" s="29">
        <f>'3'!$R$7</f>
        <v>478</v>
      </c>
      <c r="F11" s="29">
        <f>'4'!$R$7</f>
        <v>477.1</v>
      </c>
      <c r="G11" s="29">
        <f>'5'!$R$7</f>
        <v>474</v>
      </c>
      <c r="H11" s="29">
        <f>'6'!$R$7</f>
        <v>488.7</v>
      </c>
      <c r="I11" s="29">
        <f>'7'!$R$7</f>
        <v>455</v>
      </c>
      <c r="J11" s="29">
        <f>'8'!$R$7</f>
        <v>468.2</v>
      </c>
      <c r="K11" s="29">
        <f>'9'!$R$7</f>
        <v>497</v>
      </c>
      <c r="L11" s="29">
        <f>'10'!$R$7</f>
        <v>507.6</v>
      </c>
      <c r="M11" s="29">
        <f>'11'!$R$7</f>
        <v>495.7</v>
      </c>
      <c r="N11" s="29">
        <f>'12'!$R$7</f>
        <v>491.5</v>
      </c>
      <c r="O11" s="29">
        <f>'13'!$R$7</f>
        <v>487.2</v>
      </c>
      <c r="P11" s="29">
        <f>'14'!$R$7</f>
        <v>487.8</v>
      </c>
      <c r="Q11" s="29">
        <f>'15'!$R$7</f>
        <v>495.2</v>
      </c>
      <c r="R11" s="29">
        <f>'16'!$R$7</f>
        <v>495.5</v>
      </c>
      <c r="S11" s="29">
        <f>'17'!$R$7</f>
        <v>514.70000000000005</v>
      </c>
      <c r="T11" s="29">
        <f>'18'!$R$7</f>
        <v>491.5</v>
      </c>
      <c r="U11" s="29">
        <f>'19'!$R$7</f>
        <v>506.5</v>
      </c>
      <c r="V11" s="29">
        <f>'20'!$R$7</f>
        <v>506.3</v>
      </c>
      <c r="W11" s="29">
        <f>'21'!$R$7</f>
        <v>483.3</v>
      </c>
      <c r="X11" s="29">
        <f>'22'!$R$7</f>
        <v>469.2</v>
      </c>
      <c r="Y11" s="29">
        <f>'23'!$R$7</f>
        <v>514.6</v>
      </c>
      <c r="Z11" s="29">
        <f>'24'!$R$7</f>
        <v>490.1</v>
      </c>
      <c r="AA11" s="29">
        <f>'25'!$R$7</f>
        <v>494.9</v>
      </c>
      <c r="AB11" s="29">
        <f>'26'!$R$7</f>
        <v>484.2</v>
      </c>
      <c r="AC11" s="29">
        <f>'27'!$R$7</f>
        <v>490.6</v>
      </c>
      <c r="AD11" s="29">
        <f>'28'!$R$7</f>
        <v>475.5</v>
      </c>
      <c r="AE11" s="29">
        <f>'29'!$R$7</f>
        <v>467.4</v>
      </c>
      <c r="AF11" s="29">
        <f>'30'!$R$7</f>
        <v>498.3</v>
      </c>
      <c r="AG11" s="29">
        <f>'31'!$R$7</f>
        <v>494.7</v>
      </c>
      <c r="AH11" s="45">
        <f t="shared" si="0"/>
        <v>15137.2</v>
      </c>
      <c r="AI11" s="43">
        <f t="shared" si="1"/>
        <v>488.2967741935484</v>
      </c>
    </row>
    <row r="12" spans="1:40" ht="24.9" customHeight="1" thickBot="1">
      <c r="A12" s="220"/>
      <c r="B12" s="26" t="s">
        <v>86</v>
      </c>
      <c r="C12" s="51">
        <f>'1'!$U$7</f>
        <v>277.8</v>
      </c>
      <c r="D12" s="51">
        <f>'2'!$U$7</f>
        <v>327.39999999999998</v>
      </c>
      <c r="E12" s="51">
        <f>'3'!$U$7</f>
        <v>390.8</v>
      </c>
      <c r="F12" s="51">
        <f>'4'!$U$7</f>
        <v>388.4</v>
      </c>
      <c r="G12" s="51">
        <f>'5'!$U$7</f>
        <v>344</v>
      </c>
      <c r="H12" s="52">
        <f>'6'!$U$7</f>
        <v>354.5</v>
      </c>
      <c r="I12" s="52">
        <f>'7'!$U$7</f>
        <v>259.2</v>
      </c>
      <c r="J12" s="52">
        <f>'8'!$U$7</f>
        <v>253.9</v>
      </c>
      <c r="K12" s="53">
        <f>'9'!$U$7</f>
        <v>388.7</v>
      </c>
      <c r="L12" s="51">
        <f>'10'!$U$7</f>
        <v>319.8</v>
      </c>
      <c r="M12" s="52">
        <f>'11'!$U$7</f>
        <v>384.2</v>
      </c>
      <c r="N12" s="52">
        <f>'12'!$U$7</f>
        <v>365.7</v>
      </c>
      <c r="O12" s="53">
        <f>'13'!$U$7</f>
        <v>338.4</v>
      </c>
      <c r="P12" s="52">
        <f>'14'!$U$7</f>
        <v>86.6</v>
      </c>
      <c r="Q12" s="51">
        <f>'15'!$U$7</f>
        <v>124.8</v>
      </c>
      <c r="R12" s="52">
        <f>'16'!$U$7</f>
        <v>405.4</v>
      </c>
      <c r="S12" s="52">
        <f>'17'!$U$7</f>
        <v>389.5</v>
      </c>
      <c r="T12" s="53">
        <f>'18'!$U$7</f>
        <v>295</v>
      </c>
      <c r="U12" s="52">
        <f>'19'!$U$7</f>
        <v>232</v>
      </c>
      <c r="V12" s="52">
        <f>'20'!$U$7</f>
        <v>260.3</v>
      </c>
      <c r="W12" s="51">
        <f>'21'!$U$7</f>
        <v>29.7</v>
      </c>
      <c r="X12" s="53">
        <f>'22'!$U$7</f>
        <v>55.3</v>
      </c>
      <c r="Y12" s="52">
        <f>'23'!$U$7</f>
        <v>418.2</v>
      </c>
      <c r="Z12" s="53">
        <f>'24'!$U$7</f>
        <v>422.8</v>
      </c>
      <c r="AA12" s="51">
        <f>'25'!$U$7</f>
        <v>422.2</v>
      </c>
      <c r="AB12" s="51">
        <f>'26'!$U$7</f>
        <v>409.2</v>
      </c>
      <c r="AC12" s="52">
        <f>'27'!$U$7</f>
        <v>396.3</v>
      </c>
      <c r="AD12" s="52">
        <f>'28'!$U$7</f>
        <v>32.799999999999997</v>
      </c>
      <c r="AE12" s="51">
        <f>'29'!$U$7</f>
        <v>53.9</v>
      </c>
      <c r="AF12" s="53">
        <f>'30'!$U$7</f>
        <v>342.5</v>
      </c>
      <c r="AG12" s="53">
        <f>'31'!$U$7</f>
        <v>286.39999999999998</v>
      </c>
      <c r="AH12" s="44">
        <f t="shared" si="0"/>
        <v>9055.6999999999971</v>
      </c>
      <c r="AI12" s="42">
        <f t="shared" si="1"/>
        <v>292.11935483870957</v>
      </c>
    </row>
    <row r="13" spans="1:40" ht="24.9" customHeight="1">
      <c r="A13" s="219" t="s">
        <v>102</v>
      </c>
      <c r="B13" s="30" t="s">
        <v>87</v>
      </c>
      <c r="C13" s="48">
        <f>'1'!$S$12</f>
        <v>54.12</v>
      </c>
      <c r="D13" s="48">
        <f>'2'!$S$12</f>
        <v>55.53</v>
      </c>
      <c r="E13" s="48">
        <f>'3'!$S$12</f>
        <v>58.74</v>
      </c>
      <c r="F13" s="48">
        <f>'4'!$S$12</f>
        <v>26.29</v>
      </c>
      <c r="G13" s="48">
        <f>'5'!$S$12</f>
        <v>0</v>
      </c>
      <c r="H13" s="48">
        <f>'6'!$S$12</f>
        <v>25.95</v>
      </c>
      <c r="I13" s="48">
        <f>'7'!$S$12</f>
        <v>55.97</v>
      </c>
      <c r="J13" s="48">
        <f>'8'!$S$12</f>
        <v>55.74</v>
      </c>
      <c r="K13" s="48">
        <f>'9'!$S$12</f>
        <v>30.99</v>
      </c>
      <c r="L13" s="48">
        <f>'10'!$S$12</f>
        <v>26.21</v>
      </c>
      <c r="M13" s="48">
        <f>'11'!$S$12</f>
        <v>56.34</v>
      </c>
      <c r="N13" s="48">
        <f>'12'!$S$12</f>
        <v>0</v>
      </c>
      <c r="O13" s="48">
        <f>'13'!$S$12</f>
        <v>26.67</v>
      </c>
      <c r="P13" s="48">
        <f>'14'!$S$12</f>
        <v>59.94</v>
      </c>
      <c r="Q13" s="48">
        <f>'15'!$S$12</f>
        <v>54.94</v>
      </c>
      <c r="R13" s="48">
        <f>'16'!$S$12</f>
        <v>29.21</v>
      </c>
      <c r="S13" s="48">
        <f>'17'!$S$12</f>
        <v>55.46</v>
      </c>
      <c r="T13" s="48">
        <f>'18'!$S$12</f>
        <v>0</v>
      </c>
      <c r="U13" s="48">
        <f>'19'!$S$12</f>
        <v>0</v>
      </c>
      <c r="V13" s="48">
        <f>'20'!$S$12</f>
        <v>57.42</v>
      </c>
      <c r="W13" s="48">
        <f>'21'!$S$12</f>
        <v>57.48</v>
      </c>
      <c r="X13" s="48">
        <f>'22'!$S$12</f>
        <v>0</v>
      </c>
      <c r="Y13" s="48">
        <f>'23'!$S$12</f>
        <v>58.12</v>
      </c>
      <c r="Z13" s="48">
        <f>'24'!$S$12</f>
        <v>25.22</v>
      </c>
      <c r="AA13" s="48">
        <f>'25'!$S$12</f>
        <v>29.28</v>
      </c>
      <c r="AB13" s="48">
        <f>'26'!$S$12</f>
        <v>0</v>
      </c>
      <c r="AC13" s="48">
        <f>'27'!$S$12</f>
        <v>57.92</v>
      </c>
      <c r="AD13" s="48">
        <v>0</v>
      </c>
      <c r="AE13" s="48">
        <f>'29'!$S$12</f>
        <v>57.25</v>
      </c>
      <c r="AF13" s="48">
        <f>'30'!$S$12</f>
        <v>30.19</v>
      </c>
      <c r="AG13" s="48">
        <f>'31'!$S$12</f>
        <v>27.32</v>
      </c>
      <c r="AH13" s="45">
        <f t="shared" si="0"/>
        <v>1072.3</v>
      </c>
      <c r="AI13" s="43">
        <f t="shared" si="1"/>
        <v>34.590322580645157</v>
      </c>
    </row>
    <row r="14" spans="1:40" ht="24.9" customHeight="1">
      <c r="A14" s="219"/>
      <c r="B14" s="30" t="s">
        <v>88</v>
      </c>
      <c r="C14" s="49">
        <f>'1'!$W$18</f>
        <v>3</v>
      </c>
      <c r="D14" s="49">
        <f>'2'!$W$18</f>
        <v>5</v>
      </c>
      <c r="E14" s="49">
        <f>'3'!$W$18</f>
        <v>4</v>
      </c>
      <c r="F14" s="49">
        <f>'4'!$W$18</f>
        <v>3</v>
      </c>
      <c r="G14" s="49">
        <f>'5'!$W$18</f>
        <v>5</v>
      </c>
      <c r="H14" s="49">
        <f>'6'!$W$18</f>
        <v>4</v>
      </c>
      <c r="I14" s="49">
        <f>'7'!$W$18</f>
        <v>3</v>
      </c>
      <c r="J14" s="49">
        <f>'8'!$W$18</f>
        <v>4</v>
      </c>
      <c r="K14" s="49">
        <f>'9'!$W$18</f>
        <v>3</v>
      </c>
      <c r="L14" s="49">
        <f>'10'!$W$18</f>
        <v>2</v>
      </c>
      <c r="M14" s="49">
        <f>'11'!$W$18</f>
        <v>5</v>
      </c>
      <c r="N14" s="49">
        <f>'12'!$W$18</f>
        <v>4</v>
      </c>
      <c r="O14" s="49">
        <f>'13'!$W$18</f>
        <v>3</v>
      </c>
      <c r="P14" s="49">
        <f>'14'!$W$18</f>
        <v>3</v>
      </c>
      <c r="Q14" s="49">
        <f>'15'!$W$18</f>
        <v>3</v>
      </c>
      <c r="R14" s="49">
        <f>'16'!$W$18</f>
        <v>2</v>
      </c>
      <c r="S14" s="49">
        <f>'17'!$W$18</f>
        <v>2</v>
      </c>
      <c r="T14" s="49">
        <f>'18'!$W$18</f>
        <v>3</v>
      </c>
      <c r="U14" s="49">
        <f>'19'!$W$18</f>
        <v>2</v>
      </c>
      <c r="V14" s="49">
        <f>'20'!$W$18</f>
        <v>3</v>
      </c>
      <c r="W14" s="49">
        <f>'21'!$W$18</f>
        <v>2</v>
      </c>
      <c r="X14" s="49">
        <f>'22'!$W$18</f>
        <v>3</v>
      </c>
      <c r="Y14" s="49">
        <f>'23'!$W$18</f>
        <v>3</v>
      </c>
      <c r="Z14" s="49">
        <f>'24'!$W$18</f>
        <v>2</v>
      </c>
      <c r="AA14" s="49">
        <f>'25'!$W$18</f>
        <v>3</v>
      </c>
      <c r="AB14" s="49">
        <f>'26'!$W$18</f>
        <v>2</v>
      </c>
      <c r="AC14" s="49">
        <f>'27'!$W$18</f>
        <v>3</v>
      </c>
      <c r="AD14" s="49">
        <f>'28'!$W$18</f>
        <v>2</v>
      </c>
      <c r="AE14" s="49">
        <f>'29'!$W$18</f>
        <v>4</v>
      </c>
      <c r="AF14" s="49">
        <f>'30'!$W$18</f>
        <v>3</v>
      </c>
      <c r="AG14" s="49">
        <f>'31'!$W$18</f>
        <v>2</v>
      </c>
      <c r="AH14" s="45">
        <f t="shared" si="0"/>
        <v>95</v>
      </c>
      <c r="AI14" s="41">
        <f t="shared" si="1"/>
        <v>3.064516129032258</v>
      </c>
    </row>
    <row r="15" spans="1:40" ht="24.9" customHeight="1" thickBot="1">
      <c r="A15" s="235"/>
      <c r="B15" s="12" t="s">
        <v>89</v>
      </c>
      <c r="C15" s="50">
        <f>'1'!$S$14</f>
        <v>24.1</v>
      </c>
      <c r="D15" s="50">
        <f>'2'!$S$14</f>
        <v>0</v>
      </c>
      <c r="E15" s="50">
        <f>'3'!$S$14</f>
        <v>0</v>
      </c>
      <c r="F15" s="50">
        <f>'4'!$S$14</f>
        <v>22.74</v>
      </c>
      <c r="G15" s="50">
        <f>'5'!$S$14</f>
        <v>0</v>
      </c>
      <c r="H15" s="50">
        <f>'6'!$S$14</f>
        <v>0</v>
      </c>
      <c r="I15" s="50">
        <f>'7'!$S$14</f>
        <v>24.8</v>
      </c>
      <c r="J15" s="50">
        <f>'8'!$S$14</f>
        <v>0</v>
      </c>
      <c r="K15" s="50">
        <f>'9'!$S$14</f>
        <v>0</v>
      </c>
      <c r="L15" s="50">
        <f>'10'!$S$14</f>
        <v>0</v>
      </c>
      <c r="M15" s="50">
        <f>'11'!$S$14</f>
        <v>22.1</v>
      </c>
      <c r="N15" s="50">
        <f>'12'!$S$14</f>
        <v>0</v>
      </c>
      <c r="O15" s="50">
        <f>'13'!$S$14</f>
        <v>0</v>
      </c>
      <c r="P15" s="50">
        <f>'14'!$S$14</f>
        <v>24.69</v>
      </c>
      <c r="Q15" s="50">
        <f>'15'!$S$14</f>
        <v>0</v>
      </c>
      <c r="R15" s="50">
        <f>'16'!$S$14</f>
        <v>0</v>
      </c>
      <c r="S15" s="50">
        <f>'17'!$S$14</f>
        <v>0</v>
      </c>
      <c r="T15" s="50">
        <f>'18'!$S$14</f>
        <v>20.82</v>
      </c>
      <c r="U15" s="50">
        <f>'19'!$S$14</f>
        <v>0</v>
      </c>
      <c r="V15" s="50">
        <f>'20'!$S$14</f>
        <v>23.82</v>
      </c>
      <c r="W15" s="50">
        <f>'21'!$S$14</f>
        <v>0</v>
      </c>
      <c r="X15" s="50">
        <f>'22'!$S$14</f>
        <v>0</v>
      </c>
      <c r="Y15" s="50">
        <f>'23'!$S$14</f>
        <v>0</v>
      </c>
      <c r="Z15" s="50">
        <f>'24'!$S$14</f>
        <v>21.08</v>
      </c>
      <c r="AA15" s="50">
        <f>'25'!$S$14</f>
        <v>0</v>
      </c>
      <c r="AB15" s="50">
        <f>'26'!$S$14</f>
        <v>0</v>
      </c>
      <c r="AC15" s="50">
        <f>'27'!$S$14</f>
        <v>0</v>
      </c>
      <c r="AD15" s="50">
        <f>'28'!$S$14</f>
        <v>0</v>
      </c>
      <c r="AE15" s="50">
        <f>'29'!$S$14</f>
        <v>25.78</v>
      </c>
      <c r="AF15" s="50">
        <f>'30'!$S$14</f>
        <v>0</v>
      </c>
      <c r="AG15" s="50">
        <f>'31'!$S$14</f>
        <v>0</v>
      </c>
      <c r="AH15" s="44">
        <f t="shared" si="0"/>
        <v>209.92999999999998</v>
      </c>
      <c r="AI15" s="42">
        <f t="shared" si="1"/>
        <v>6.7719354838709673</v>
      </c>
    </row>
    <row r="16" spans="1:40" ht="24.9" customHeight="1">
      <c r="A16" s="231" t="s">
        <v>90</v>
      </c>
      <c r="B16" s="31" t="s">
        <v>36</v>
      </c>
      <c r="C16" s="24">
        <f>'1'!$V$24</f>
        <v>432.2</v>
      </c>
      <c r="D16" s="24">
        <f>'2'!$V$24</f>
        <v>429.1</v>
      </c>
      <c r="E16" s="24">
        <f>'3'!$V$24</f>
        <v>427.2</v>
      </c>
      <c r="F16" s="24">
        <f>'4'!$V$24</f>
        <v>428.1</v>
      </c>
      <c r="G16" s="24">
        <f>'5'!$V$24</f>
        <v>424.3</v>
      </c>
      <c r="H16" s="24">
        <f>'6'!$V$24</f>
        <v>426.3</v>
      </c>
      <c r="I16" s="24">
        <f>'7'!$V$24</f>
        <v>421.4</v>
      </c>
      <c r="J16" s="24">
        <f>'8'!$V$24</f>
        <v>414.6</v>
      </c>
      <c r="K16" s="24">
        <f>'9'!$V$24</f>
        <v>473.9</v>
      </c>
      <c r="L16" s="24">
        <f>'10'!$V$24</f>
        <v>562</v>
      </c>
      <c r="M16" s="24">
        <f>'11'!$V$24</f>
        <v>558.79999999999995</v>
      </c>
      <c r="N16" s="24">
        <f>'12'!$V$24</f>
        <v>561.29999999999995</v>
      </c>
      <c r="O16" s="24">
        <f>'13'!$V$24</f>
        <v>561.29999999999995</v>
      </c>
      <c r="P16" s="24">
        <f>'14'!$V$24</f>
        <v>559.9</v>
      </c>
      <c r="Q16" s="24">
        <f>'15'!$V$24</f>
        <v>559.29999999999995</v>
      </c>
      <c r="R16" s="24">
        <f>'16'!$V$24</f>
        <v>561.4</v>
      </c>
      <c r="S16" s="24">
        <f>'17'!$V$24</f>
        <v>565.1</v>
      </c>
      <c r="T16" s="24">
        <f>'18'!$V$24</f>
        <v>554.1</v>
      </c>
      <c r="U16" s="24">
        <f>'19'!$V$24</f>
        <v>556.5</v>
      </c>
      <c r="V16" s="24">
        <f>'20'!$V$24</f>
        <v>556.6</v>
      </c>
      <c r="W16" s="24">
        <f>'21'!$V$24</f>
        <v>536.9</v>
      </c>
      <c r="X16" s="24">
        <f>'22'!$V$24</f>
        <v>519.1</v>
      </c>
      <c r="Y16" s="24">
        <f>'23'!$V$24</f>
        <v>536.5</v>
      </c>
      <c r="Z16" s="24">
        <f>'24'!$V$24</f>
        <v>548.79999999999995</v>
      </c>
      <c r="AA16" s="24">
        <f>'25'!$V$24</f>
        <v>556.6</v>
      </c>
      <c r="AB16" s="24">
        <f>'26'!$V$24</f>
        <v>560.79999999999995</v>
      </c>
      <c r="AC16" s="24">
        <f>'27'!$V$24</f>
        <v>561.5</v>
      </c>
      <c r="AD16" s="24">
        <f>'28'!$V$24</f>
        <v>554.70000000000005</v>
      </c>
      <c r="AE16" s="24">
        <f>'29'!$V$24</f>
        <v>540.1</v>
      </c>
      <c r="AF16" s="24">
        <f>'30'!$V$24</f>
        <v>543.4</v>
      </c>
      <c r="AG16" s="24">
        <f>'31'!$V$24</f>
        <v>555</v>
      </c>
      <c r="AH16" s="45">
        <f t="shared" si="0"/>
        <v>16046.800000000001</v>
      </c>
      <c r="AI16" s="43">
        <f t="shared" si="1"/>
        <v>517.63870967741934</v>
      </c>
      <c r="AK16" s="32"/>
      <c r="AL16" s="19"/>
      <c r="AM16" s="19"/>
      <c r="AN16" s="19"/>
    </row>
    <row r="17" spans="1:37" ht="24.9" customHeight="1">
      <c r="A17" s="232"/>
      <c r="B17" s="30" t="s">
        <v>37</v>
      </c>
      <c r="C17" s="25">
        <f>'1'!$V$25</f>
        <v>56.4</v>
      </c>
      <c r="D17" s="25">
        <f>'2'!$V$25</f>
        <v>55.3</v>
      </c>
      <c r="E17" s="25">
        <f>'3'!$V$25</f>
        <v>56.1</v>
      </c>
      <c r="F17" s="25">
        <f>'4'!$V$25</f>
        <v>57.3</v>
      </c>
      <c r="G17" s="25">
        <f>'5'!$V$25</f>
        <v>55</v>
      </c>
      <c r="H17" s="25">
        <f>'6'!$V$25</f>
        <v>57.3</v>
      </c>
      <c r="I17" s="25">
        <f>'7'!$V$25</f>
        <v>61.2</v>
      </c>
      <c r="J17" s="25">
        <f>'8'!$V$25</f>
        <v>55.2</v>
      </c>
      <c r="K17" s="25">
        <f>'9'!$V$25</f>
        <v>55.4</v>
      </c>
      <c r="L17" s="25">
        <f>'10'!$V$25</f>
        <v>62.9</v>
      </c>
      <c r="M17" s="25">
        <f>'11'!$V$25</f>
        <v>56.5</v>
      </c>
      <c r="N17" s="25">
        <f>'12'!$V$25</f>
        <v>60.8</v>
      </c>
      <c r="O17" s="25">
        <f>'13'!$V$25</f>
        <v>60.6</v>
      </c>
      <c r="P17" s="25">
        <f>'14'!$V$25</f>
        <v>61.1</v>
      </c>
      <c r="Q17" s="25">
        <f>'15'!$V$25</f>
        <v>55.6</v>
      </c>
      <c r="R17" s="25">
        <f>'16'!$V$25</f>
        <v>66.8</v>
      </c>
      <c r="S17" s="25">
        <f>'17'!$V$25</f>
        <v>52.8</v>
      </c>
      <c r="T17" s="25">
        <f>'18'!$V$25</f>
        <v>60.8</v>
      </c>
      <c r="U17" s="25">
        <f>'19'!$V$25</f>
        <v>61.3</v>
      </c>
      <c r="V17" s="25">
        <f>'20'!$V$25</f>
        <v>63</v>
      </c>
      <c r="W17" s="25">
        <f>'21'!$V$25</f>
        <v>60.4</v>
      </c>
      <c r="X17" s="25">
        <f>'22'!$V$25</f>
        <v>67.599999999999994</v>
      </c>
      <c r="Y17" s="25">
        <f>'23'!$V$25</f>
        <v>67.8</v>
      </c>
      <c r="Z17" s="25">
        <f>'24'!$V$25</f>
        <v>70.400000000000006</v>
      </c>
      <c r="AA17" s="25">
        <f>'25'!$V$25</f>
        <v>66</v>
      </c>
      <c r="AB17" s="25">
        <f>'26'!$V$25</f>
        <v>61.6</v>
      </c>
      <c r="AC17" s="25">
        <f>'27'!$V$25</f>
        <v>66.7</v>
      </c>
      <c r="AD17" s="25">
        <f>'28'!$V$25</f>
        <v>69.7</v>
      </c>
      <c r="AE17" s="25">
        <f>'29'!$V$25</f>
        <v>65</v>
      </c>
      <c r="AF17" s="25">
        <f>'30'!$V$25</f>
        <v>65.599999999999994</v>
      </c>
      <c r="AG17" s="25">
        <f>'31'!$V$25</f>
        <v>61.3</v>
      </c>
      <c r="AH17" s="45">
        <f t="shared" si="0"/>
        <v>1893.4999999999998</v>
      </c>
      <c r="AI17" s="41">
        <f t="shared" si="1"/>
        <v>61.080645161290313</v>
      </c>
      <c r="AK17" s="33"/>
    </row>
    <row r="18" spans="1:37" ht="24.9" customHeight="1">
      <c r="A18" s="232"/>
      <c r="B18" s="30" t="s">
        <v>38</v>
      </c>
      <c r="C18" s="25">
        <f>'1'!$V$26</f>
        <v>477.8</v>
      </c>
      <c r="D18" s="25">
        <f>'2'!$V$26</f>
        <v>499.6</v>
      </c>
      <c r="E18" s="25">
        <f>'3'!$V$26</f>
        <v>429.7</v>
      </c>
      <c r="F18" s="25">
        <f>'4'!$V$26</f>
        <v>430.3</v>
      </c>
      <c r="G18" s="25">
        <f>'5'!$V$26</f>
        <v>454.9</v>
      </c>
      <c r="H18" s="25">
        <f>'6'!$V$26</f>
        <v>541.20000000000005</v>
      </c>
      <c r="I18" s="25">
        <f>'7'!$V$26</f>
        <v>574.79999999999995</v>
      </c>
      <c r="J18" s="25">
        <f>'8'!$V$26</f>
        <v>532.6</v>
      </c>
      <c r="K18" s="25">
        <f>'9'!$V$26</f>
        <v>514.9</v>
      </c>
      <c r="L18" s="25">
        <f>'10'!$V$26</f>
        <v>488.1</v>
      </c>
      <c r="M18" s="25">
        <f>'11'!$V$26</f>
        <v>468.7</v>
      </c>
      <c r="N18" s="25">
        <f>'12'!$V$26</f>
        <v>521.6</v>
      </c>
      <c r="O18" s="25">
        <f>'13'!$V$26</f>
        <v>525.1</v>
      </c>
      <c r="P18" s="25">
        <f>'14'!$V$26</f>
        <v>472.2</v>
      </c>
      <c r="Q18" s="25">
        <f>'15'!$V$26</f>
        <v>480.7</v>
      </c>
      <c r="R18" s="25">
        <f>'16'!$V$26</f>
        <v>485.3</v>
      </c>
      <c r="S18" s="25">
        <f>'17'!$V$26</f>
        <v>504.6</v>
      </c>
      <c r="T18" s="25">
        <f>'18'!$V$26</f>
        <v>453.8</v>
      </c>
      <c r="U18" s="25">
        <f>'19'!$V$26</f>
        <v>540.79999999999995</v>
      </c>
      <c r="V18" s="25">
        <f>'20'!$V$26</f>
        <v>527</v>
      </c>
      <c r="W18" s="25">
        <f>'21'!$V$26</f>
        <v>529.70000000000005</v>
      </c>
      <c r="X18" s="25">
        <f>'22'!$V$26</f>
        <v>528.4</v>
      </c>
      <c r="Y18" s="25">
        <f>'23'!$V$26</f>
        <v>556.5</v>
      </c>
      <c r="Z18" s="25">
        <f>'24'!$V$26</f>
        <v>573.5</v>
      </c>
      <c r="AA18" s="25">
        <f>'25'!$V$26</f>
        <v>613.79999999999995</v>
      </c>
      <c r="AB18" s="25">
        <f>'26'!$V$26</f>
        <v>602.9</v>
      </c>
      <c r="AC18" s="25">
        <f>'27'!$V$26</f>
        <v>556.29999999999995</v>
      </c>
      <c r="AD18" s="25">
        <f>'28'!$V$26</f>
        <v>617.1</v>
      </c>
      <c r="AE18" s="25">
        <f>'29'!$V$26</f>
        <v>589</v>
      </c>
      <c r="AF18" s="25">
        <f>'30'!$V$26</f>
        <v>589.1</v>
      </c>
      <c r="AG18" s="25">
        <f>'31'!$V$26</f>
        <v>543.20000000000005</v>
      </c>
      <c r="AH18" s="45">
        <f t="shared" si="0"/>
        <v>16223.199999999999</v>
      </c>
      <c r="AI18" s="41">
        <f t="shared" si="1"/>
        <v>523.32903225806444</v>
      </c>
    </row>
    <row r="19" spans="1:37" ht="24.9" customHeight="1">
      <c r="A19" s="232"/>
      <c r="B19" s="30" t="s">
        <v>91</v>
      </c>
      <c r="C19" s="25">
        <f>'1'!$V$27</f>
        <v>500.3</v>
      </c>
      <c r="D19" s="25">
        <f>'2'!$V$27</f>
        <v>514.9</v>
      </c>
      <c r="E19" s="25">
        <f>'3'!$V$27</f>
        <v>481.3</v>
      </c>
      <c r="F19" s="25">
        <f>'4'!$V$27</f>
        <v>480.1</v>
      </c>
      <c r="G19" s="25">
        <f>'5'!$V$27</f>
        <v>491</v>
      </c>
      <c r="H19" s="25">
        <f>'6'!$V$27</f>
        <v>531.5</v>
      </c>
      <c r="I19" s="25">
        <f>'7'!$V$27</f>
        <v>527.79999999999995</v>
      </c>
      <c r="J19" s="25">
        <f>'8'!$V$27</f>
        <v>506.4</v>
      </c>
      <c r="K19" s="25">
        <f>'9'!$V$27</f>
        <v>508.5</v>
      </c>
      <c r="L19" s="25">
        <f>'10'!$V$27</f>
        <v>513.29999999999995</v>
      </c>
      <c r="M19" s="25">
        <f>'11'!$V$27</f>
        <v>500</v>
      </c>
      <c r="N19" s="25">
        <f>'12'!$V$27</f>
        <v>516.5</v>
      </c>
      <c r="O19" s="25">
        <f>'13'!$V$27</f>
        <v>577.6</v>
      </c>
      <c r="P19" s="25">
        <f>'14'!$V$27</f>
        <v>482.6</v>
      </c>
      <c r="Q19" s="25">
        <f>'15'!$V$27</f>
        <v>490.9</v>
      </c>
      <c r="R19" s="25">
        <f>'16'!$V$27</f>
        <v>508.4</v>
      </c>
      <c r="S19" s="25">
        <f>'17'!$V$27</f>
        <v>519.1</v>
      </c>
      <c r="T19" s="25">
        <f>'18'!$V$27</f>
        <v>490.4</v>
      </c>
      <c r="U19" s="25">
        <f>'19'!$V$27</f>
        <v>530.6</v>
      </c>
      <c r="V19" s="25">
        <f>'20'!$V$27</f>
        <v>525.70000000000005</v>
      </c>
      <c r="W19" s="25">
        <f>'21'!$V$27</f>
        <v>498.1</v>
      </c>
      <c r="X19" s="25">
        <f>'22'!$V$27</f>
        <v>490.5</v>
      </c>
      <c r="Y19" s="25">
        <f>'23'!$V$27</f>
        <v>527.79999999999995</v>
      </c>
      <c r="Z19" s="25">
        <f>'24'!$V$27</f>
        <v>539.9</v>
      </c>
      <c r="AA19" s="25">
        <f>'25'!$V$27</f>
        <v>523.20000000000005</v>
      </c>
      <c r="AB19" s="25">
        <f>'26'!$V$27</f>
        <v>523.4</v>
      </c>
      <c r="AC19" s="25">
        <f>'27'!$V$27</f>
        <v>523.9</v>
      </c>
      <c r="AD19" s="25">
        <f>'28'!$V$27</f>
        <v>511.7</v>
      </c>
      <c r="AE19" s="25">
        <f>'29'!$V$27</f>
        <v>524.79999999999995</v>
      </c>
      <c r="AF19" s="25">
        <f>'30'!$V$27</f>
        <v>539.70000000000005</v>
      </c>
      <c r="AG19" s="25">
        <f>'31'!$V$27</f>
        <v>531.29999999999995</v>
      </c>
      <c r="AH19" s="45">
        <f t="shared" si="0"/>
        <v>15931.199999999999</v>
      </c>
      <c r="AI19" s="41">
        <f t="shared" si="1"/>
        <v>513.90967741935481</v>
      </c>
    </row>
    <row r="20" spans="1:37" ht="24.9" customHeight="1">
      <c r="A20" s="232"/>
      <c r="B20" s="30" t="s">
        <v>93</v>
      </c>
      <c r="C20" s="25">
        <f>'1'!$V$29</f>
        <v>61.6</v>
      </c>
      <c r="D20" s="25">
        <f>'2'!$V$29</f>
        <v>59.7</v>
      </c>
      <c r="E20" s="25">
        <f>'3'!$V$29</f>
        <v>65.099999999999994</v>
      </c>
      <c r="F20" s="25">
        <f>'4'!$V$29</f>
        <v>60.8</v>
      </c>
      <c r="G20" s="25">
        <f>'5'!$V$29</f>
        <v>61.2</v>
      </c>
      <c r="H20" s="25">
        <f>'6'!$V$29</f>
        <v>61.6</v>
      </c>
      <c r="I20" s="25">
        <f>'7'!$V$29</f>
        <v>69.900000000000006</v>
      </c>
      <c r="J20" s="25">
        <f>'8'!$V$29</f>
        <v>59.7</v>
      </c>
      <c r="K20" s="25">
        <f>'9'!$V$29</f>
        <v>62</v>
      </c>
      <c r="L20" s="25">
        <f>'10'!$V$29</f>
        <v>70.3</v>
      </c>
      <c r="M20" s="25">
        <f>'11'!$V$29</f>
        <v>64.8</v>
      </c>
      <c r="N20" s="25">
        <f>'12'!$V$29</f>
        <v>68.900000000000006</v>
      </c>
      <c r="O20" s="25">
        <f>'13'!$V$29</f>
        <v>75.599999999999994</v>
      </c>
      <c r="P20" s="25">
        <f>'14'!$V$29</f>
        <v>69</v>
      </c>
      <c r="Q20" s="25">
        <f>'15'!$V$29</f>
        <v>66.599999999999994</v>
      </c>
      <c r="R20" s="25">
        <f>'16'!$V$29</f>
        <v>75.2</v>
      </c>
      <c r="S20" s="25">
        <f>'17'!$V$29</f>
        <v>67.2</v>
      </c>
      <c r="T20" s="25">
        <f>'18'!$V$29</f>
        <v>70.099999999999994</v>
      </c>
      <c r="U20" s="25">
        <f>'19'!$V$29</f>
        <v>76.099999999999994</v>
      </c>
      <c r="V20" s="25">
        <f>'20'!$V$29</f>
        <v>70.8</v>
      </c>
      <c r="W20" s="25">
        <f>'21'!$V$29</f>
        <v>71.5</v>
      </c>
      <c r="X20" s="25">
        <f>'22'!$V$29</f>
        <v>75.7</v>
      </c>
      <c r="Y20" s="25">
        <f>'23'!$V$29</f>
        <v>79.900000000000006</v>
      </c>
      <c r="Z20" s="25">
        <f>'24'!$V$29</f>
        <v>79.900000000000006</v>
      </c>
      <c r="AA20" s="25">
        <f>'25'!$V$29</f>
        <v>76.400000000000006</v>
      </c>
      <c r="AB20" s="25">
        <f>'26'!$V$29</f>
        <v>74.599999999999994</v>
      </c>
      <c r="AC20" s="25">
        <f>'27'!$V$29</f>
        <v>74.3</v>
      </c>
      <c r="AD20" s="25">
        <f>'28'!$V$29</f>
        <v>82</v>
      </c>
      <c r="AE20" s="25">
        <f>'29'!$V$29</f>
        <v>75.3</v>
      </c>
      <c r="AF20" s="25">
        <f>'30'!$V$29</f>
        <v>77.5</v>
      </c>
      <c r="AG20" s="25">
        <f>'31'!$V$29</f>
        <v>75.2</v>
      </c>
      <c r="AH20" s="45">
        <f t="shared" si="0"/>
        <v>2178.4999999999995</v>
      </c>
      <c r="AI20" s="41">
        <f t="shared" si="1"/>
        <v>70.274193548387089</v>
      </c>
    </row>
    <row r="21" spans="1:37" ht="24.9" customHeight="1" thickBot="1">
      <c r="A21" s="233"/>
      <c r="B21" s="31" t="s">
        <v>92</v>
      </c>
      <c r="C21" s="24">
        <f>'1'!$V$28</f>
        <v>0</v>
      </c>
      <c r="D21" s="24">
        <f>'2'!$V$28</f>
        <v>0</v>
      </c>
      <c r="E21" s="24">
        <f>'3'!$V$28</f>
        <v>0</v>
      </c>
      <c r="F21" s="24">
        <f>'4'!$V$28</f>
        <v>0</v>
      </c>
      <c r="G21" s="24">
        <f>'5'!$V$28</f>
        <v>0</v>
      </c>
      <c r="H21" s="24">
        <f>'6'!$V$28</f>
        <v>0</v>
      </c>
      <c r="I21" s="24">
        <f>'7'!$V$28</f>
        <v>0</v>
      </c>
      <c r="J21" s="24">
        <f>'8'!$V$28</f>
        <v>0</v>
      </c>
      <c r="K21" s="24">
        <f>'9'!$V$28</f>
        <v>0</v>
      </c>
      <c r="L21" s="24">
        <f>'10'!$V$28</f>
        <v>0</v>
      </c>
      <c r="M21" s="24">
        <f>'11'!$V$28</f>
        <v>0</v>
      </c>
      <c r="N21" s="24">
        <f>'12'!$V$28</f>
        <v>0</v>
      </c>
      <c r="O21" s="24">
        <f>'13'!$V$28</f>
        <v>0</v>
      </c>
      <c r="P21" s="24">
        <f>'14'!$V$28</f>
        <v>0</v>
      </c>
      <c r="Q21" s="24">
        <f>'15'!$V$28</f>
        <v>0</v>
      </c>
      <c r="R21" s="24">
        <f>'16'!$V$28</f>
        <v>0</v>
      </c>
      <c r="S21" s="24">
        <f>'17'!$V$28</f>
        <v>0</v>
      </c>
      <c r="T21" s="24">
        <f>'18'!$V$28</f>
        <v>0</v>
      </c>
      <c r="U21" s="24">
        <f>'19'!$V$28</f>
        <v>0</v>
      </c>
      <c r="V21" s="24">
        <f>'20'!$V$28</f>
        <v>0</v>
      </c>
      <c r="W21" s="24">
        <f>'21'!$V$28</f>
        <v>0</v>
      </c>
      <c r="X21" s="24">
        <f>'22'!$V$28</f>
        <v>0</v>
      </c>
      <c r="Y21" s="24">
        <f>'23'!$V$28</f>
        <v>0</v>
      </c>
      <c r="Z21" s="24">
        <f>'24'!$V$28</f>
        <v>0</v>
      </c>
      <c r="AA21" s="24">
        <f>'25'!$V$28</f>
        <v>0</v>
      </c>
      <c r="AB21" s="24">
        <f>'26'!$V$28</f>
        <v>0</v>
      </c>
      <c r="AC21" s="24">
        <f>'27'!$V$28</f>
        <v>0</v>
      </c>
      <c r="AD21" s="24">
        <f>'28'!$V$28</f>
        <v>0</v>
      </c>
      <c r="AE21" s="24">
        <f>'29'!$V$28</f>
        <v>0</v>
      </c>
      <c r="AF21" s="24">
        <f>'30'!$V$28</f>
        <v>0</v>
      </c>
      <c r="AG21" s="24">
        <f>'31'!$V$28</f>
        <v>0</v>
      </c>
      <c r="AH21" s="44">
        <f t="shared" si="0"/>
        <v>0</v>
      </c>
      <c r="AI21" s="42">
        <f t="shared" si="1"/>
        <v>0</v>
      </c>
    </row>
    <row r="22" spans="1:37" ht="24.9" customHeight="1">
      <c r="A22" s="234" t="s">
        <v>94</v>
      </c>
      <c r="B22" s="34" t="s">
        <v>95</v>
      </c>
      <c r="C22" s="35">
        <f>'1'!$J$24</f>
        <v>42440</v>
      </c>
      <c r="D22" s="35">
        <f>'2'!$J$24</f>
        <v>21306</v>
      </c>
      <c r="E22" s="35">
        <f>'3'!$J$24</f>
        <v>20767</v>
      </c>
      <c r="F22" s="35">
        <f>'4'!$J$24</f>
        <v>20981</v>
      </c>
      <c r="G22" s="35">
        <f>'5'!$J$24</f>
        <v>21066</v>
      </c>
      <c r="H22" s="35">
        <f>'6'!$J$24</f>
        <v>21174</v>
      </c>
      <c r="I22" s="35">
        <f>'7'!$J$24</f>
        <v>20861</v>
      </c>
      <c r="J22" s="35">
        <f>'8'!$J$24</f>
        <v>21602</v>
      </c>
      <c r="K22" s="35">
        <f>'9'!$J$24</f>
        <v>21837</v>
      </c>
      <c r="L22" s="35">
        <f>'10'!$J$24</f>
        <v>21951</v>
      </c>
      <c r="M22" s="35">
        <f>'11'!$J$24</f>
        <v>21319</v>
      </c>
      <c r="N22" s="35">
        <f>'12'!$J$24</f>
        <v>22400</v>
      </c>
      <c r="O22" s="35">
        <f>'13'!$J$24</f>
        <v>22078</v>
      </c>
      <c r="P22" s="35">
        <f>'14'!$J$24</f>
        <v>22295</v>
      </c>
      <c r="Q22" s="35">
        <f>'15'!$J$24</f>
        <v>23352</v>
      </c>
      <c r="R22" s="35">
        <f>'16'!$J$24</f>
        <v>22541</v>
      </c>
      <c r="S22" s="35">
        <f>'17'!$J$24</f>
        <v>22540</v>
      </c>
      <c r="T22" s="35">
        <f>'18'!$J$24</f>
        <v>22424</v>
      </c>
      <c r="U22" s="35">
        <f>'19'!$J$24</f>
        <v>22316</v>
      </c>
      <c r="V22" s="35">
        <f>'20'!$J$24</f>
        <v>21712</v>
      </c>
      <c r="W22" s="35">
        <f>'21'!$J$24</f>
        <v>21583</v>
      </c>
      <c r="X22" s="35">
        <f>'22'!$J$24</f>
        <v>21333</v>
      </c>
      <c r="Y22" s="35">
        <f>'23'!$J$24</f>
        <v>21707</v>
      </c>
      <c r="Z22" s="35">
        <f>'24'!$J$24</f>
        <v>21742</v>
      </c>
      <c r="AA22" s="35">
        <f>'25'!$J$24</f>
        <v>22049</v>
      </c>
      <c r="AB22" s="35">
        <f>'26'!$J$24</f>
        <v>22206</v>
      </c>
      <c r="AC22" s="35">
        <f>'27'!$J$24</f>
        <v>22717</v>
      </c>
      <c r="AD22" s="35">
        <f>'28'!$J$24</f>
        <v>22286</v>
      </c>
      <c r="AE22" s="35">
        <f>'29'!$J$24</f>
        <v>23020</v>
      </c>
      <c r="AF22" s="35">
        <f>'30'!$J$24</f>
        <v>22094</v>
      </c>
      <c r="AG22" s="35">
        <f>'31'!$J$24</f>
        <v>22249</v>
      </c>
      <c r="AH22" s="45">
        <f t="shared" si="0"/>
        <v>699948</v>
      </c>
      <c r="AI22" s="43">
        <f t="shared" si="1"/>
        <v>22578.967741935485</v>
      </c>
    </row>
    <row r="23" spans="1:37" ht="24.9" customHeight="1">
      <c r="A23" s="232"/>
      <c r="B23" s="36" t="s">
        <v>96</v>
      </c>
      <c r="C23" s="25">
        <f>'1'!$J$25</f>
        <v>62</v>
      </c>
      <c r="D23" s="25">
        <f>'2'!$J$25</f>
        <v>32.099999999998545</v>
      </c>
      <c r="E23" s="25">
        <f>'3'!$J$25</f>
        <v>31.700000000004366</v>
      </c>
      <c r="F23" s="25">
        <f>'4'!$J$25</f>
        <v>32.5</v>
      </c>
      <c r="G23" s="25">
        <f>'5'!$J$25</f>
        <v>33.099999999998545</v>
      </c>
      <c r="H23" s="25">
        <f>'6'!$J$25</f>
        <v>32.900000000001455</v>
      </c>
      <c r="I23" s="25">
        <f>'7'!$J$25</f>
        <v>33.400000000001455</v>
      </c>
      <c r="J23" s="25">
        <f>'8'!$J$25</f>
        <v>33.5</v>
      </c>
      <c r="K23" s="25">
        <f>'9'!$J$25</f>
        <v>31.799999999995634</v>
      </c>
      <c r="L23" s="25">
        <f>'10'!$J$25</f>
        <v>30.599999999998545</v>
      </c>
      <c r="M23" s="25">
        <f>'11'!$J$25</f>
        <v>29.400000000001455</v>
      </c>
      <c r="N23" s="25">
        <f>'12'!$J$25</f>
        <v>29.400000000001455</v>
      </c>
      <c r="O23" s="25">
        <f>'13'!$J$25</f>
        <v>30.099999999998545</v>
      </c>
      <c r="P23" s="25">
        <f>'14'!$J$25</f>
        <v>33.30000000000291</v>
      </c>
      <c r="Q23" s="25">
        <f>'15'!$J$25</f>
        <v>33.799999999995634</v>
      </c>
      <c r="R23" s="25">
        <f>'16'!$J$25</f>
        <v>34.100000000005821</v>
      </c>
      <c r="S23" s="25">
        <f>'17'!$J$25</f>
        <v>34.799999999995634</v>
      </c>
      <c r="T23" s="25">
        <f>'18'!$J$25</f>
        <v>34.599999999998545</v>
      </c>
      <c r="U23" s="25">
        <f>'19'!$J$25</f>
        <v>33.600000000005821</v>
      </c>
      <c r="V23" s="25">
        <f>'20'!$J$25</f>
        <v>34.799999999995634</v>
      </c>
      <c r="W23" s="25">
        <f>'21'!$J$25</f>
        <v>33.599999999998545</v>
      </c>
      <c r="X23" s="25">
        <f>'22'!$J$25</f>
        <v>34.5</v>
      </c>
      <c r="Y23" s="25">
        <f>'23'!$J$25</f>
        <v>31.5</v>
      </c>
      <c r="Z23" s="25">
        <f>'24'!$J$25</f>
        <v>30.80000000000291</v>
      </c>
      <c r="AA23" s="25">
        <f>'25'!$J$25</f>
        <v>31.30000000000291</v>
      </c>
      <c r="AB23" s="25">
        <f>'26'!$J$25</f>
        <v>31.899999999994179</v>
      </c>
      <c r="AC23" s="25">
        <f>'27'!$J$25</f>
        <v>33.30000000000291</v>
      </c>
      <c r="AD23" s="25">
        <f>'28'!$J$25</f>
        <v>31.80000000000291</v>
      </c>
      <c r="AE23" s="25">
        <f>'29'!$J$25</f>
        <v>32.19999999999709</v>
      </c>
      <c r="AF23" s="25">
        <f>'30'!$J$25</f>
        <v>29.80000000000291</v>
      </c>
      <c r="AG23" s="25">
        <f>'31'!$J$25</f>
        <v>29.5</v>
      </c>
      <c r="AH23" s="45">
        <f t="shared" si="0"/>
        <v>1031.7000000000044</v>
      </c>
      <c r="AI23" s="41">
        <f t="shared" si="1"/>
        <v>33.280645161290465</v>
      </c>
    </row>
    <row r="24" spans="1:37" ht="24.9" customHeight="1">
      <c r="A24" s="232"/>
      <c r="B24" s="30" t="s">
        <v>97</v>
      </c>
      <c r="C24" s="25">
        <f>'1'!$J$26</f>
        <v>40</v>
      </c>
      <c r="D24" s="25">
        <f>'2'!$J$26</f>
        <v>20</v>
      </c>
      <c r="E24" s="25">
        <f>'3'!$J$26</f>
        <v>10</v>
      </c>
      <c r="F24" s="25">
        <f>'4'!$J$26</f>
        <v>20</v>
      </c>
      <c r="G24" s="25">
        <f>'5'!$J$26</f>
        <v>20</v>
      </c>
      <c r="H24" s="25">
        <f>'6'!$J$26</f>
        <v>20</v>
      </c>
      <c r="I24" s="25">
        <f>'7'!$J$26</f>
        <v>20</v>
      </c>
      <c r="J24" s="25">
        <f>'8'!$J$26</f>
        <v>20</v>
      </c>
      <c r="K24" s="25">
        <f>'9'!$J$26</f>
        <v>20</v>
      </c>
      <c r="L24" s="25">
        <f>'10'!$J$26</f>
        <v>20</v>
      </c>
      <c r="M24" s="25">
        <f>'11'!$J$26</f>
        <v>20</v>
      </c>
      <c r="N24" s="25">
        <f>'12'!$J$26</f>
        <v>20</v>
      </c>
      <c r="O24" s="25">
        <f>'13'!$J$26</f>
        <v>20</v>
      </c>
      <c r="P24" s="25">
        <f>'14'!$J$26</f>
        <v>20</v>
      </c>
      <c r="Q24" s="25">
        <f>'15'!$J$26</f>
        <v>20</v>
      </c>
      <c r="R24" s="25">
        <f>'16'!$J$26</f>
        <v>20</v>
      </c>
      <c r="S24" s="25">
        <f>'17'!$J$26</f>
        <v>20</v>
      </c>
      <c r="T24" s="25">
        <f>'18'!$J$26</f>
        <v>20</v>
      </c>
      <c r="U24" s="25">
        <f>'19'!$J$26</f>
        <v>20</v>
      </c>
      <c r="V24" s="25">
        <f>'20'!$J$26</f>
        <v>30</v>
      </c>
      <c r="W24" s="25">
        <f>'21'!$J$26</f>
        <v>20</v>
      </c>
      <c r="X24" s="25">
        <f>'22'!$J$26</f>
        <v>20</v>
      </c>
      <c r="Y24" s="25">
        <f>'23'!$J$26</f>
        <v>20</v>
      </c>
      <c r="Z24" s="25">
        <f>'24'!$J$26</f>
        <v>20</v>
      </c>
      <c r="AA24" s="25">
        <f>'25'!$J$26</f>
        <v>20</v>
      </c>
      <c r="AB24" s="25">
        <f>'26'!$J$26</f>
        <v>20</v>
      </c>
      <c r="AC24" s="25">
        <f>'27'!$J$26</f>
        <v>20</v>
      </c>
      <c r="AD24" s="25">
        <f>'28'!$J$26</f>
        <v>10</v>
      </c>
      <c r="AE24" s="25">
        <f>'29'!$J$26</f>
        <v>30</v>
      </c>
      <c r="AF24" s="25">
        <f>'30'!$J$26</f>
        <v>10</v>
      </c>
      <c r="AG24" s="25">
        <f>'31'!$J$26</f>
        <v>20</v>
      </c>
      <c r="AH24" s="45">
        <f t="shared" si="0"/>
        <v>630</v>
      </c>
      <c r="AI24" s="41">
        <f t="shared" si="1"/>
        <v>20.322580645161292</v>
      </c>
    </row>
    <row r="25" spans="1:37" ht="24.9" customHeight="1">
      <c r="A25" s="232"/>
      <c r="B25" s="30" t="s">
        <v>98</v>
      </c>
      <c r="C25" s="25">
        <f>'1'!$J$27</f>
        <v>7000</v>
      </c>
      <c r="D25" s="25">
        <f>'2'!$J$27</f>
        <v>3000</v>
      </c>
      <c r="E25" s="25">
        <f>'3'!$J$27</f>
        <v>3000</v>
      </c>
      <c r="F25" s="25">
        <f>'4'!$J$27</f>
        <v>4000</v>
      </c>
      <c r="G25" s="25">
        <f>'5'!$J$27</f>
        <v>3000</v>
      </c>
      <c r="H25" s="25">
        <f>'6'!$J$27</f>
        <v>3000</v>
      </c>
      <c r="I25" s="25">
        <f>'7'!$J$27</f>
        <v>3000</v>
      </c>
      <c r="J25" s="25">
        <f>'8'!$J$27</f>
        <v>4000</v>
      </c>
      <c r="K25" s="25">
        <f>'9'!$J$27</f>
        <v>3000</v>
      </c>
      <c r="L25" s="25">
        <f>'10'!$J$27</f>
        <v>3000</v>
      </c>
      <c r="M25" s="25">
        <f>'11'!$J$27</f>
        <v>3000</v>
      </c>
      <c r="N25" s="25">
        <f>'12'!$J$27</f>
        <v>3000</v>
      </c>
      <c r="O25" s="25">
        <f>'13'!$J$27</f>
        <v>3000</v>
      </c>
      <c r="P25" s="25">
        <f>'14'!$J$27</f>
        <v>3000</v>
      </c>
      <c r="Q25" s="25">
        <f>'15'!$J$27</f>
        <v>3000</v>
      </c>
      <c r="R25" s="25">
        <f>'16'!$J$27</f>
        <v>3000</v>
      </c>
      <c r="S25" s="25">
        <f>'17'!$J$27</f>
        <v>3000</v>
      </c>
      <c r="T25" s="25">
        <f>'18'!$J$27</f>
        <v>3000</v>
      </c>
      <c r="U25" s="25">
        <f>'19'!$J$27</f>
        <v>3000</v>
      </c>
      <c r="V25" s="25">
        <f>'20'!$J$27</f>
        <v>3000</v>
      </c>
      <c r="W25" s="25">
        <f>'21'!$J$27</f>
        <v>3000</v>
      </c>
      <c r="X25" s="25">
        <f>'22'!$J$27</f>
        <v>3000</v>
      </c>
      <c r="Y25" s="25">
        <f>'23'!$J$27</f>
        <v>4000</v>
      </c>
      <c r="Z25" s="25">
        <f>'24'!$J$27</f>
        <v>3000</v>
      </c>
      <c r="AA25" s="25">
        <f>'25'!$J$27</f>
        <v>4000</v>
      </c>
      <c r="AB25" s="25">
        <f>'26'!$J$27</f>
        <v>3000</v>
      </c>
      <c r="AC25" s="25">
        <f>'27'!$J$27</f>
        <v>4000</v>
      </c>
      <c r="AD25" s="25">
        <f>'28'!$J$27</f>
        <v>4000</v>
      </c>
      <c r="AE25" s="25">
        <f>'29'!$J$27</f>
        <v>3000</v>
      </c>
      <c r="AF25" s="25">
        <f>'30'!$J$27</f>
        <v>4000</v>
      </c>
      <c r="AG25" s="25">
        <f>'31'!$J$27</f>
        <v>4000</v>
      </c>
      <c r="AH25" s="45">
        <f t="shared" si="0"/>
        <v>105000</v>
      </c>
      <c r="AI25" s="41">
        <f t="shared" si="1"/>
        <v>3387.0967741935483</v>
      </c>
    </row>
    <row r="26" spans="1:37" ht="24.9" customHeight="1">
      <c r="A26" s="232"/>
      <c r="B26" s="30" t="s">
        <v>99</v>
      </c>
      <c r="C26" s="25">
        <f>'1'!$J$28</f>
        <v>107</v>
      </c>
      <c r="D26" s="25">
        <f>'2'!$J$28</f>
        <v>54</v>
      </c>
      <c r="E26" s="25">
        <f>'3'!$J$28</f>
        <v>52</v>
      </c>
      <c r="F26" s="25">
        <f>'4'!$J$28</f>
        <v>53</v>
      </c>
      <c r="G26" s="25">
        <f>'5'!$J$28</f>
        <v>53</v>
      </c>
      <c r="H26" s="25">
        <f>'6'!$J$28</f>
        <v>53</v>
      </c>
      <c r="I26" s="25">
        <f>'7'!$J$28</f>
        <v>52</v>
      </c>
      <c r="J26" s="25">
        <f>'8'!$J$28</f>
        <v>56</v>
      </c>
      <c r="K26" s="25">
        <f>'9'!$J$28</f>
        <v>53</v>
      </c>
      <c r="L26" s="25">
        <f>'10'!$J$28</f>
        <v>51</v>
      </c>
      <c r="M26" s="25">
        <f>'11'!$J$28</f>
        <v>49</v>
      </c>
      <c r="N26" s="25">
        <f>'12'!$J$28</f>
        <v>49</v>
      </c>
      <c r="O26" s="25">
        <f>'13'!$J$28</f>
        <v>49</v>
      </c>
      <c r="P26" s="25">
        <f>'14'!$J$28</f>
        <v>50</v>
      </c>
      <c r="Q26" s="25">
        <f>'15'!$J$28</f>
        <v>53</v>
      </c>
      <c r="R26" s="25">
        <f>'16'!$J$28</f>
        <v>51</v>
      </c>
      <c r="S26" s="25">
        <f>'17'!$J$28</f>
        <v>52</v>
      </c>
      <c r="T26" s="25">
        <f>'18'!$J$28</f>
        <v>52</v>
      </c>
      <c r="U26" s="25">
        <f>'19'!$J$28</f>
        <v>52</v>
      </c>
      <c r="V26" s="25">
        <f>'20'!$J$28</f>
        <v>52</v>
      </c>
      <c r="W26" s="25">
        <f>'21'!$J$28</f>
        <v>52</v>
      </c>
      <c r="X26" s="25">
        <f>'22'!$J$28</f>
        <v>52</v>
      </c>
      <c r="Y26" s="25">
        <f>'23'!$J$28</f>
        <v>52</v>
      </c>
      <c r="Z26" s="25">
        <f>'24'!$J$28</f>
        <v>52</v>
      </c>
      <c r="AA26" s="25">
        <f>'25'!$J$28</f>
        <v>50</v>
      </c>
      <c r="AB26" s="25">
        <f>'26'!$J$28</f>
        <v>50</v>
      </c>
      <c r="AC26" s="25">
        <f>'27'!$J$28</f>
        <v>52</v>
      </c>
      <c r="AD26" s="25">
        <f>'28'!$J$28</f>
        <v>49</v>
      </c>
      <c r="AE26" s="25">
        <f>'29'!$J$28</f>
        <v>50</v>
      </c>
      <c r="AF26" s="25">
        <f>'30'!$J$28</f>
        <v>51</v>
      </c>
      <c r="AG26" s="25">
        <f>'31'!$J$28</f>
        <v>50</v>
      </c>
      <c r="AH26" s="45">
        <f t="shared" si="0"/>
        <v>1653</v>
      </c>
      <c r="AI26" s="41">
        <f t="shared" si="1"/>
        <v>53.322580645161288</v>
      </c>
    </row>
    <row r="27" spans="1:37" ht="24.9" customHeight="1">
      <c r="A27" s="232"/>
      <c r="B27" s="30" t="s">
        <v>100</v>
      </c>
      <c r="C27" s="25">
        <f>'1'!$J$29</f>
        <v>10</v>
      </c>
      <c r="D27" s="25">
        <f>'2'!$J$29</f>
        <v>0</v>
      </c>
      <c r="E27" s="37">
        <f>'3'!$J$29</f>
        <v>0</v>
      </c>
      <c r="F27" s="25">
        <f>'4'!$J$29</f>
        <v>10</v>
      </c>
      <c r="G27" s="25">
        <f>'5'!$J$29</f>
        <v>0</v>
      </c>
      <c r="H27" s="25">
        <f>'6'!$J$29</f>
        <v>0</v>
      </c>
      <c r="I27" s="25">
        <f>'7'!$J$29</f>
        <v>10</v>
      </c>
      <c r="J27" s="25">
        <f>'8'!$J$29</f>
        <v>0</v>
      </c>
      <c r="K27" s="25">
        <f>'9'!$J$29</f>
        <v>0</v>
      </c>
      <c r="L27" s="25">
        <f>'10'!$J$29</f>
        <v>10</v>
      </c>
      <c r="M27" s="25">
        <f>'11'!$J$29</f>
        <v>0</v>
      </c>
      <c r="N27" s="25">
        <f>'12'!$J$29</f>
        <v>0</v>
      </c>
      <c r="O27" s="25">
        <f>'13'!$J$29</f>
        <v>0</v>
      </c>
      <c r="P27" s="25">
        <f>'14'!$J$29</f>
        <v>10</v>
      </c>
      <c r="Q27" s="25">
        <f>'15'!$J$29</f>
        <v>0</v>
      </c>
      <c r="R27" s="25">
        <f>'16'!$J$29</f>
        <v>0</v>
      </c>
      <c r="S27" s="25">
        <f>'17'!$J$29</f>
        <v>0</v>
      </c>
      <c r="T27" s="25">
        <f>'18'!$J$29</f>
        <v>10</v>
      </c>
      <c r="U27" s="25">
        <f>'19'!$J$29</f>
        <v>0</v>
      </c>
      <c r="V27" s="25">
        <f>'20'!$J$29</f>
        <v>0</v>
      </c>
      <c r="W27" s="25">
        <f>'21'!$J$29</f>
        <v>10</v>
      </c>
      <c r="X27" s="25">
        <f>'22'!$J$29</f>
        <v>0</v>
      </c>
      <c r="Y27" s="25">
        <f>'23'!$J$29</f>
        <v>0</v>
      </c>
      <c r="Z27" s="25">
        <f>'24'!$J$29</f>
        <v>0</v>
      </c>
      <c r="AA27" s="25">
        <f>'25'!$J$29</f>
        <v>10</v>
      </c>
      <c r="AB27" s="25">
        <f>'26'!$J$29</f>
        <v>0</v>
      </c>
      <c r="AC27" s="25">
        <f>'27'!$J$29</f>
        <v>0</v>
      </c>
      <c r="AD27" s="25">
        <f>'28'!$J$29</f>
        <v>0</v>
      </c>
      <c r="AE27" s="25">
        <f>'29'!$J$29</f>
        <v>0</v>
      </c>
      <c r="AF27" s="25">
        <f>'30'!$J$30</f>
        <v>10</v>
      </c>
      <c r="AG27" s="25">
        <f>'31'!$J$30</f>
        <v>10</v>
      </c>
      <c r="AH27" s="45">
        <f t="shared" si="0"/>
        <v>100</v>
      </c>
      <c r="AI27" s="41">
        <f t="shared" si="1"/>
        <v>3.225806451612903</v>
      </c>
    </row>
    <row r="28" spans="1:37" ht="24.9" customHeight="1" thickBot="1">
      <c r="A28" s="235"/>
      <c r="B28" s="26" t="s">
        <v>3</v>
      </c>
      <c r="C28" s="28">
        <f>'1'!$J$30</f>
        <v>30</v>
      </c>
      <c r="D28" s="28">
        <f>'2'!$J$30</f>
        <v>10</v>
      </c>
      <c r="E28" s="38">
        <f>'3'!$J$30</f>
        <v>10</v>
      </c>
      <c r="F28" s="28">
        <f>'4'!$J$30</f>
        <v>10</v>
      </c>
      <c r="G28" s="28">
        <f>'5'!$J$30</f>
        <v>10</v>
      </c>
      <c r="H28" s="28">
        <f>'6'!$J$30</f>
        <v>20</v>
      </c>
      <c r="I28" s="28">
        <f>'7'!$J$30</f>
        <v>10</v>
      </c>
      <c r="J28" s="28">
        <f>'8'!$J$30</f>
        <v>10</v>
      </c>
      <c r="K28" s="28">
        <f>'9'!$J$30</f>
        <v>10</v>
      </c>
      <c r="L28" s="28">
        <f>'10'!$J$30</f>
        <v>10</v>
      </c>
      <c r="M28" s="28">
        <f>'11'!$J$30</f>
        <v>20</v>
      </c>
      <c r="N28" s="28">
        <f>'12'!$J$30</f>
        <v>10</v>
      </c>
      <c r="O28" s="28">
        <f>'13'!$J$30</f>
        <v>10</v>
      </c>
      <c r="P28" s="28">
        <f>'14'!$J$30</f>
        <v>10</v>
      </c>
      <c r="Q28" s="28">
        <f>'15'!$J$30</f>
        <v>10</v>
      </c>
      <c r="R28" s="28">
        <f>'16'!$J$30</f>
        <v>20</v>
      </c>
      <c r="S28" s="28">
        <f>'17'!$J$30</f>
        <v>10</v>
      </c>
      <c r="T28" s="28">
        <f>'18'!$J$30</f>
        <v>10</v>
      </c>
      <c r="U28" s="28">
        <f>'19'!$J$30</f>
        <v>10</v>
      </c>
      <c r="V28" s="28">
        <f>'20'!$J$30</f>
        <v>10</v>
      </c>
      <c r="W28" s="28">
        <f>'21'!$J$30</f>
        <v>20</v>
      </c>
      <c r="X28" s="28">
        <f>'22'!$J$30</f>
        <v>10</v>
      </c>
      <c r="Y28" s="28">
        <f>'23'!$J$30</f>
        <v>10</v>
      </c>
      <c r="Z28" s="28">
        <f>'24'!$J$30</f>
        <v>10</v>
      </c>
      <c r="AA28" s="28">
        <f>'25'!$J$30</f>
        <v>20</v>
      </c>
      <c r="AB28" s="28">
        <f>'26'!$J$30</f>
        <v>10</v>
      </c>
      <c r="AC28" s="28">
        <f>'27'!$J$30</f>
        <v>10</v>
      </c>
      <c r="AD28" s="28">
        <f>'28'!$J$30</f>
        <v>10</v>
      </c>
      <c r="AE28" s="28">
        <f>'29'!$J$30</f>
        <v>20</v>
      </c>
      <c r="AF28" s="28">
        <f>'30'!$J$30</f>
        <v>10</v>
      </c>
      <c r="AG28" s="28">
        <f>'31'!$J$30</f>
        <v>10</v>
      </c>
      <c r="AH28" s="44">
        <f>SUM(C28:AG28)</f>
        <v>390</v>
      </c>
      <c r="AI28" s="42">
        <f t="shared" si="1"/>
        <v>12.580645161290322</v>
      </c>
    </row>
    <row r="29" spans="1:37" ht="25.5" customHeight="1" thickBot="1">
      <c r="A29" s="94" t="s">
        <v>144</v>
      </c>
      <c r="B29" s="95" t="s">
        <v>145</v>
      </c>
      <c r="C29" s="92"/>
      <c r="D29" s="92"/>
      <c r="E29" s="92">
        <v>54.49</v>
      </c>
      <c r="F29" s="92"/>
      <c r="G29" s="98" t="s">
        <v>163</v>
      </c>
      <c r="H29" s="92"/>
      <c r="I29" s="92"/>
      <c r="J29" s="92"/>
      <c r="K29" s="92"/>
      <c r="L29" s="92"/>
      <c r="M29" s="92"/>
      <c r="N29" s="92"/>
      <c r="O29" s="92"/>
      <c r="P29" s="92"/>
      <c r="Q29" s="93"/>
      <c r="R29" s="92">
        <v>47.79</v>
      </c>
      <c r="S29" s="92"/>
      <c r="T29" s="92">
        <v>48.44</v>
      </c>
      <c r="U29" s="92">
        <v>47.85</v>
      </c>
      <c r="V29" s="92"/>
      <c r="W29" s="92"/>
      <c r="X29" s="92"/>
      <c r="Y29" s="92"/>
      <c r="Z29" s="92"/>
      <c r="AA29" s="92">
        <v>48.45</v>
      </c>
      <c r="AB29" s="92"/>
      <c r="AC29" s="92"/>
      <c r="AD29" s="92"/>
      <c r="AE29" s="92">
        <v>47.46</v>
      </c>
      <c r="AF29" s="92"/>
      <c r="AG29" s="97"/>
      <c r="AH29" s="96"/>
      <c r="AI29" s="96"/>
    </row>
    <row r="30" spans="1:37" ht="17.25" customHeight="1">
      <c r="Q30" s="2"/>
    </row>
  </sheetData>
  <protectedRanges>
    <protectedRange sqref="C9:AG10" name="범위1"/>
  </protectedRanges>
  <mergeCells count="8">
    <mergeCell ref="A1:AI1"/>
    <mergeCell ref="A16:A21"/>
    <mergeCell ref="A22:A28"/>
    <mergeCell ref="A3:B3"/>
    <mergeCell ref="A4:B4"/>
    <mergeCell ref="A11:A12"/>
    <mergeCell ref="A13:A15"/>
    <mergeCell ref="A5:A10"/>
  </mergeCells>
  <phoneticPr fontId="1" type="noConversion"/>
  <conditionalFormatting sqref="C7:AG7">
    <cfRule type="cellIs" dxfId="1" priority="1" operator="greaterThan">
      <formula>91000</formula>
    </cfRule>
    <cfRule type="cellIs" dxfId="0" priority="3" operator="greaterThan">
      <formula>89853</formula>
    </cfRule>
  </conditionalFormatting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5"/>
  <sheetViews>
    <sheetView workbookViewId="0">
      <pane xSplit="2" ySplit="2" topLeftCell="C75" activePane="bottomRight" state="frozen"/>
      <selection activeCell="AN11" sqref="AN11"/>
      <selection pane="topRight" activeCell="AN11" sqref="AN11"/>
      <selection pane="bottomLeft" activeCell="AN11" sqref="AN11"/>
      <selection pane="bottomRight" activeCell="Q88" sqref="Q88"/>
    </sheetView>
  </sheetViews>
  <sheetFormatPr defaultRowHeight="17.399999999999999"/>
  <cols>
    <col min="1" max="1" width="2" customWidth="1"/>
    <col min="2" max="2" width="11.09765625" bestFit="1" customWidth="1"/>
    <col min="3" max="3" width="10.59765625" bestFit="1" customWidth="1"/>
    <col min="4" max="13" width="9.69921875" customWidth="1"/>
    <col min="14" max="14" width="9.59765625" bestFit="1" customWidth="1"/>
    <col min="18" max="18" width="15.3984375" customWidth="1"/>
  </cols>
  <sheetData>
    <row r="1" spans="1:25">
      <c r="A1" s="238"/>
      <c r="B1" s="247" t="s">
        <v>127</v>
      </c>
      <c r="C1" s="241" t="s">
        <v>128</v>
      </c>
      <c r="D1" s="245" t="s">
        <v>129</v>
      </c>
      <c r="E1" s="246"/>
      <c r="F1" s="245" t="s">
        <v>130</v>
      </c>
      <c r="G1" s="246"/>
      <c r="H1" s="245" t="s">
        <v>131</v>
      </c>
      <c r="I1" s="246"/>
      <c r="J1" s="245" t="s">
        <v>132</v>
      </c>
      <c r="K1" s="246"/>
      <c r="L1" s="245" t="s">
        <v>133</v>
      </c>
      <c r="M1" s="246"/>
      <c r="N1" s="241" t="s">
        <v>134</v>
      </c>
      <c r="O1" s="249" t="s">
        <v>135</v>
      </c>
      <c r="Q1" s="39"/>
      <c r="S1" s="59"/>
      <c r="T1" s="60"/>
      <c r="U1" s="61"/>
      <c r="V1" s="60"/>
      <c r="W1" s="60"/>
      <c r="X1" s="60"/>
      <c r="Y1" s="62"/>
    </row>
    <row r="2" spans="1:25">
      <c r="A2" s="238"/>
      <c r="B2" s="248"/>
      <c r="C2" s="242"/>
      <c r="D2" s="72" t="s">
        <v>142</v>
      </c>
      <c r="E2" s="72" t="s">
        <v>141</v>
      </c>
      <c r="F2" s="72" t="s">
        <v>142</v>
      </c>
      <c r="G2" s="72" t="s">
        <v>141</v>
      </c>
      <c r="H2" s="72" t="s">
        <v>142</v>
      </c>
      <c r="I2" s="72" t="s">
        <v>141</v>
      </c>
      <c r="J2" s="72" t="s">
        <v>142</v>
      </c>
      <c r="K2" s="72" t="s">
        <v>141</v>
      </c>
      <c r="L2" s="72" t="s">
        <v>142</v>
      </c>
      <c r="M2" s="72" t="s">
        <v>141</v>
      </c>
      <c r="N2" s="242"/>
      <c r="O2" s="250"/>
      <c r="Q2" s="39"/>
      <c r="S2" s="59"/>
      <c r="T2" s="60"/>
      <c r="U2" s="61"/>
      <c r="V2" s="60"/>
      <c r="W2" s="60"/>
      <c r="X2" s="60"/>
      <c r="Y2" s="62"/>
    </row>
    <row r="3" spans="1:25">
      <c r="A3" s="238"/>
      <c r="B3" s="239">
        <v>46204</v>
      </c>
      <c r="C3" s="63" t="s">
        <v>136</v>
      </c>
      <c r="D3" s="73">
        <v>0.3125</v>
      </c>
      <c r="E3" s="64">
        <v>0.61609999999999998</v>
      </c>
      <c r="F3" s="73">
        <v>0.35416666666666669</v>
      </c>
      <c r="G3" s="65">
        <v>0.60489999999999999</v>
      </c>
      <c r="H3" s="73"/>
      <c r="I3" s="66"/>
      <c r="J3" s="73">
        <v>0.39583333333333331</v>
      </c>
      <c r="K3" s="65">
        <v>0.57640000000000002</v>
      </c>
      <c r="L3" s="73">
        <v>0.4375</v>
      </c>
      <c r="M3" s="65">
        <v>0.6462</v>
      </c>
      <c r="N3" s="65">
        <f>AVERAGE(E3,G3,I3,K3,M3)</f>
        <v>0.6109</v>
      </c>
      <c r="O3" s="240">
        <f>AVERAGE(N3:N5)</f>
        <v>0.59760000000000002</v>
      </c>
      <c r="Q3" s="39"/>
      <c r="S3" s="60"/>
      <c r="T3" s="60"/>
      <c r="U3" s="61"/>
      <c r="V3" s="61"/>
      <c r="W3" s="61"/>
      <c r="X3" s="60"/>
      <c r="Y3" s="62"/>
    </row>
    <row r="4" spans="1:25">
      <c r="A4" s="238"/>
      <c r="B4" s="239"/>
      <c r="C4" s="63" t="s">
        <v>137</v>
      </c>
      <c r="D4" s="73">
        <v>0.625</v>
      </c>
      <c r="E4" s="65">
        <v>0.59330000000000005</v>
      </c>
      <c r="F4" s="73">
        <v>0.65277777777777779</v>
      </c>
      <c r="G4" s="65">
        <v>0.61550000000000005</v>
      </c>
      <c r="H4" s="73"/>
      <c r="I4" s="66"/>
      <c r="J4" s="73">
        <v>0.68055555555555558</v>
      </c>
      <c r="K4" s="66">
        <v>0.53310000000000002</v>
      </c>
      <c r="L4" s="73">
        <v>0.72916666666666663</v>
      </c>
      <c r="M4" s="66">
        <v>0.64949999999999997</v>
      </c>
      <c r="N4" s="65">
        <f t="shared" ref="N4:N67" si="0">AVERAGE(E4,G4,I4,K4,M4)</f>
        <v>0.59784999999999999</v>
      </c>
      <c r="O4" s="240"/>
      <c r="Q4" s="39"/>
      <c r="S4" s="60"/>
      <c r="T4" s="61"/>
      <c r="U4" s="61"/>
      <c r="V4" s="61"/>
      <c r="W4" s="61"/>
      <c r="X4" s="60"/>
      <c r="Y4" s="62"/>
    </row>
    <row r="5" spans="1:25">
      <c r="A5" s="238"/>
      <c r="B5" s="239"/>
      <c r="C5" s="63" t="s">
        <v>104</v>
      </c>
      <c r="D5" s="73">
        <v>0.97916666666666663</v>
      </c>
      <c r="E5" s="65">
        <v>0.51519999999999999</v>
      </c>
      <c r="F5" s="73">
        <v>1.3888888888888888E-2</v>
      </c>
      <c r="G5" s="66">
        <v>0.62439999999999996</v>
      </c>
      <c r="H5" s="73"/>
      <c r="I5" s="66"/>
      <c r="J5" s="73">
        <v>6.25E-2</v>
      </c>
      <c r="K5" s="66">
        <v>0.54879999999999995</v>
      </c>
      <c r="L5" s="73">
        <v>9.7222222222222224E-2</v>
      </c>
      <c r="M5" s="66">
        <v>0.64780000000000004</v>
      </c>
      <c r="N5" s="65">
        <f t="shared" si="0"/>
        <v>0.58404999999999996</v>
      </c>
      <c r="O5" s="240"/>
      <c r="Q5" s="39"/>
      <c r="S5" s="59"/>
      <c r="T5" s="60"/>
      <c r="U5" s="61"/>
      <c r="V5" s="60"/>
      <c r="W5" s="60"/>
      <c r="X5" s="60"/>
      <c r="Y5" s="62"/>
    </row>
    <row r="6" spans="1:25">
      <c r="A6" s="238"/>
      <c r="B6" s="239">
        <v>46205</v>
      </c>
      <c r="C6" s="63" t="s">
        <v>136</v>
      </c>
      <c r="D6" s="73">
        <v>0.3125</v>
      </c>
      <c r="E6" s="64">
        <v>0.57920000000000005</v>
      </c>
      <c r="F6" s="73">
        <v>0.35416666666666669</v>
      </c>
      <c r="G6" s="65">
        <v>0.60550000000000004</v>
      </c>
      <c r="H6" s="73"/>
      <c r="I6" s="66"/>
      <c r="J6" s="73">
        <v>0.39583333333333331</v>
      </c>
      <c r="K6" s="66">
        <v>0.52500000000000002</v>
      </c>
      <c r="L6" s="73">
        <v>0.4375</v>
      </c>
      <c r="M6" s="66">
        <v>0.63090000000000002</v>
      </c>
      <c r="N6" s="65">
        <f t="shared" si="0"/>
        <v>0.58515000000000006</v>
      </c>
      <c r="O6" s="240">
        <f>AVERAGE(N6:N8)</f>
        <v>0.60827500000000001</v>
      </c>
      <c r="Q6" s="39"/>
      <c r="S6" s="60"/>
      <c r="T6" s="60"/>
      <c r="U6" s="61"/>
      <c r="V6" s="61"/>
      <c r="W6" s="61"/>
      <c r="X6" s="60"/>
      <c r="Y6" s="62"/>
    </row>
    <row r="7" spans="1:25">
      <c r="A7" s="238"/>
      <c r="B7" s="239"/>
      <c r="C7" s="63" t="s">
        <v>137</v>
      </c>
      <c r="D7" s="73">
        <v>0.63888888888888884</v>
      </c>
      <c r="E7" s="65">
        <v>0.52810000000000001</v>
      </c>
      <c r="F7" s="73">
        <v>0.67361111111111116</v>
      </c>
      <c r="G7" s="65">
        <v>0.57830000000000004</v>
      </c>
      <c r="H7" s="73"/>
      <c r="I7" s="66"/>
      <c r="J7" s="73">
        <v>0.72222222222222221</v>
      </c>
      <c r="K7" s="66">
        <v>0.54020000000000001</v>
      </c>
      <c r="L7" s="73">
        <v>0.75</v>
      </c>
      <c r="M7" s="66">
        <v>0.72750000000000004</v>
      </c>
      <c r="N7" s="65">
        <f t="shared" si="0"/>
        <v>0.59352500000000008</v>
      </c>
      <c r="O7" s="240"/>
      <c r="Q7" s="39"/>
      <c r="S7" s="60"/>
      <c r="T7" s="61"/>
      <c r="U7" s="61"/>
      <c r="V7" s="61"/>
      <c r="W7" s="61"/>
      <c r="X7" s="60"/>
      <c r="Y7" s="62"/>
    </row>
    <row r="8" spans="1:25">
      <c r="A8" s="238"/>
      <c r="B8" s="239"/>
      <c r="C8" s="63" t="s">
        <v>104</v>
      </c>
      <c r="D8" s="73">
        <v>0.97916666666666663</v>
      </c>
      <c r="E8" s="65">
        <v>0.67520000000000002</v>
      </c>
      <c r="F8" s="73">
        <v>1.3888888888888888E-2</v>
      </c>
      <c r="G8" s="66">
        <v>0.62480000000000002</v>
      </c>
      <c r="H8" s="73"/>
      <c r="I8" s="66"/>
      <c r="J8" s="73">
        <v>5.5555555555555552E-2</v>
      </c>
      <c r="K8" s="66">
        <v>0.61580000000000001</v>
      </c>
      <c r="L8" s="73">
        <v>0.1111111111111111</v>
      </c>
      <c r="M8" s="66">
        <v>0.66879999999999995</v>
      </c>
      <c r="N8" s="65">
        <f t="shared" si="0"/>
        <v>0.64615</v>
      </c>
      <c r="O8" s="240"/>
      <c r="Q8" s="39"/>
      <c r="S8" s="59"/>
      <c r="T8" s="60"/>
      <c r="U8" s="61"/>
      <c r="V8" s="60"/>
      <c r="W8" s="60"/>
      <c r="X8" s="60"/>
      <c r="Y8" s="62"/>
    </row>
    <row r="9" spans="1:25">
      <c r="A9" s="238"/>
      <c r="B9" s="239">
        <v>46206</v>
      </c>
      <c r="C9" s="63" t="s">
        <v>136</v>
      </c>
      <c r="D9" s="73">
        <v>0.3125</v>
      </c>
      <c r="E9" s="64">
        <v>0.65590000000000004</v>
      </c>
      <c r="F9" s="73">
        <v>0.35416666666666669</v>
      </c>
      <c r="G9" s="65">
        <v>0.60529999999999995</v>
      </c>
      <c r="H9" s="73"/>
      <c r="I9" s="66"/>
      <c r="J9" s="73">
        <v>0.39583333333333331</v>
      </c>
      <c r="K9" s="66">
        <v>0.5343</v>
      </c>
      <c r="L9" s="73">
        <v>0.4375</v>
      </c>
      <c r="M9" s="66">
        <v>0.67479999999999996</v>
      </c>
      <c r="N9" s="65">
        <f t="shared" si="0"/>
        <v>0.61757499999999999</v>
      </c>
      <c r="O9" s="240">
        <f>AVERAGE(N9:N11)</f>
        <v>0.60378499999999991</v>
      </c>
      <c r="Q9" s="39"/>
      <c r="S9" s="60"/>
      <c r="T9" s="60"/>
      <c r="U9" s="61"/>
      <c r="V9" s="61"/>
      <c r="W9" s="61"/>
      <c r="X9" s="60"/>
      <c r="Y9" s="62"/>
    </row>
    <row r="10" spans="1:25">
      <c r="A10" s="238"/>
      <c r="B10" s="239"/>
      <c r="C10" s="63" t="s">
        <v>137</v>
      </c>
      <c r="D10" s="73">
        <v>0.64583333333333337</v>
      </c>
      <c r="E10" s="65">
        <v>0.5514</v>
      </c>
      <c r="F10" s="73">
        <v>0.6875</v>
      </c>
      <c r="G10" s="65">
        <v>0.56469999999999998</v>
      </c>
      <c r="H10" s="73">
        <v>0.74305555555555558</v>
      </c>
      <c r="I10" s="66">
        <v>0.68659999999999999</v>
      </c>
      <c r="J10" s="73">
        <v>0.78472222222222221</v>
      </c>
      <c r="K10" s="66">
        <v>0.52710000000000001</v>
      </c>
      <c r="L10" s="73">
        <v>0.83333333333333337</v>
      </c>
      <c r="M10" s="66">
        <v>0.62380000000000002</v>
      </c>
      <c r="N10" s="65">
        <f t="shared" si="0"/>
        <v>0.59071999999999991</v>
      </c>
      <c r="O10" s="240"/>
      <c r="Q10" s="39"/>
      <c r="S10" s="60"/>
      <c r="T10" s="61"/>
      <c r="U10" s="61"/>
      <c r="V10" s="61"/>
      <c r="W10" s="61"/>
      <c r="X10" s="60"/>
      <c r="Y10" s="62"/>
    </row>
    <row r="11" spans="1:25">
      <c r="A11" s="238"/>
      <c r="B11" s="239"/>
      <c r="C11" s="63" t="s">
        <v>104</v>
      </c>
      <c r="D11" s="73">
        <v>0.97916666666666663</v>
      </c>
      <c r="E11" s="65">
        <v>0.57850000000000001</v>
      </c>
      <c r="F11" s="73">
        <v>1.3888888888888888E-2</v>
      </c>
      <c r="G11" s="66">
        <v>0.60840000000000005</v>
      </c>
      <c r="H11" s="73">
        <v>6.9444444444444448E-2</v>
      </c>
      <c r="I11" s="66">
        <v>0.67520000000000002</v>
      </c>
      <c r="J11" s="73">
        <v>0.10416666666666667</v>
      </c>
      <c r="K11" s="66">
        <v>0.51839999999999997</v>
      </c>
      <c r="L11" s="73">
        <v>0.14583333333333334</v>
      </c>
      <c r="M11" s="66">
        <v>0.63480000000000003</v>
      </c>
      <c r="N11" s="65">
        <f t="shared" si="0"/>
        <v>0.60305999999999993</v>
      </c>
      <c r="O11" s="240"/>
      <c r="Q11" s="39"/>
      <c r="S11" s="59"/>
      <c r="T11" s="60"/>
      <c r="U11" s="61"/>
      <c r="V11" s="60"/>
      <c r="W11" s="60"/>
      <c r="X11" s="60"/>
      <c r="Y11" s="62"/>
    </row>
    <row r="12" spans="1:25">
      <c r="A12" s="238"/>
      <c r="B12" s="239">
        <v>46207</v>
      </c>
      <c r="C12" s="63" t="s">
        <v>136</v>
      </c>
      <c r="D12" s="73">
        <v>0.3125</v>
      </c>
      <c r="E12" s="64">
        <v>0.61629999999999996</v>
      </c>
      <c r="F12" s="73">
        <v>0.35416666666666669</v>
      </c>
      <c r="G12" s="65">
        <v>0.55710000000000004</v>
      </c>
      <c r="H12" s="73">
        <v>0.39583333333333331</v>
      </c>
      <c r="I12" s="66">
        <v>0.67220000000000002</v>
      </c>
      <c r="J12" s="73">
        <v>0.4375</v>
      </c>
      <c r="K12" s="66">
        <v>0.52410000000000001</v>
      </c>
      <c r="L12" s="73">
        <v>0.47916666666666669</v>
      </c>
      <c r="M12" s="66">
        <v>0.62760000000000005</v>
      </c>
      <c r="N12" s="65">
        <f t="shared" si="0"/>
        <v>0.59945999999999999</v>
      </c>
      <c r="O12" s="240">
        <f>AVERAGE(N12:N14)</f>
        <v>0.59362000000000004</v>
      </c>
      <c r="Q12" s="39"/>
      <c r="S12" s="60"/>
      <c r="T12" s="60"/>
      <c r="U12" s="61"/>
      <c r="V12" s="61"/>
      <c r="W12" s="61"/>
      <c r="X12" s="60"/>
      <c r="Y12" s="62"/>
    </row>
    <row r="13" spans="1:25">
      <c r="A13" s="238"/>
      <c r="B13" s="239"/>
      <c r="C13" s="63" t="s">
        <v>137</v>
      </c>
      <c r="D13" s="73">
        <v>0.63888888888888884</v>
      </c>
      <c r="E13" s="65">
        <v>0.56769999999999998</v>
      </c>
      <c r="F13" s="73">
        <v>0.68055555555555558</v>
      </c>
      <c r="G13" s="65">
        <v>0.54079999999999995</v>
      </c>
      <c r="H13" s="73">
        <v>0.72916666666666663</v>
      </c>
      <c r="I13" s="66">
        <v>0.6472</v>
      </c>
      <c r="J13" s="73">
        <v>0.77083333333333337</v>
      </c>
      <c r="K13" s="66">
        <v>0.52110000000000001</v>
      </c>
      <c r="L13" s="73">
        <v>0.82638888888888884</v>
      </c>
      <c r="M13" s="66">
        <v>0.62680000000000002</v>
      </c>
      <c r="N13" s="65">
        <f t="shared" si="0"/>
        <v>0.58072000000000001</v>
      </c>
      <c r="O13" s="240"/>
      <c r="Q13" s="39"/>
      <c r="S13" s="60"/>
      <c r="T13" s="61"/>
      <c r="U13" s="61"/>
      <c r="V13" s="61"/>
      <c r="W13" s="61"/>
      <c r="X13" s="60"/>
      <c r="Y13" s="62"/>
    </row>
    <row r="14" spans="1:25">
      <c r="A14" s="238"/>
      <c r="B14" s="239"/>
      <c r="C14" s="63" t="s">
        <v>104</v>
      </c>
      <c r="D14" s="73" t="s">
        <v>159</v>
      </c>
      <c r="E14" s="65">
        <v>0.59870000000000001</v>
      </c>
      <c r="F14" s="73">
        <v>2.0833333333333332E-2</v>
      </c>
      <c r="G14" s="66">
        <v>0.59989999999999999</v>
      </c>
      <c r="H14" s="73">
        <v>5.5555555555555552E-2</v>
      </c>
      <c r="I14" s="66">
        <v>0.6452</v>
      </c>
      <c r="J14" s="73">
        <v>0.1111111111111111</v>
      </c>
      <c r="K14" s="66">
        <v>0.51580000000000004</v>
      </c>
      <c r="L14" s="73">
        <v>0.1388888888888889</v>
      </c>
      <c r="M14" s="66">
        <v>0.64380000000000004</v>
      </c>
      <c r="N14" s="65">
        <f t="shared" si="0"/>
        <v>0.60067999999999999</v>
      </c>
      <c r="O14" s="240"/>
      <c r="Q14" s="39"/>
      <c r="S14" s="59"/>
      <c r="T14" s="60"/>
      <c r="U14" s="61"/>
      <c r="V14" s="60"/>
      <c r="W14" s="60"/>
      <c r="X14" s="60"/>
      <c r="Y14" s="62"/>
    </row>
    <row r="15" spans="1:25">
      <c r="A15" s="238"/>
      <c r="B15" s="239">
        <v>46208</v>
      </c>
      <c r="C15" s="63" t="s">
        <v>136</v>
      </c>
      <c r="D15" s="73">
        <v>0.31944444444444442</v>
      </c>
      <c r="E15" s="64">
        <v>0.63119999999999998</v>
      </c>
      <c r="F15" s="73">
        <v>0.34027777777777779</v>
      </c>
      <c r="G15" s="65">
        <v>0.61870000000000003</v>
      </c>
      <c r="H15" s="73">
        <v>0.375</v>
      </c>
      <c r="I15" s="66">
        <v>0.66869999999999996</v>
      </c>
      <c r="J15" s="73">
        <v>0.40277777777777779</v>
      </c>
      <c r="K15" s="66">
        <v>0.57599999999999996</v>
      </c>
      <c r="L15" s="73">
        <v>0.4236111111111111</v>
      </c>
      <c r="M15" s="66">
        <v>0.67020000000000002</v>
      </c>
      <c r="N15" s="65">
        <f t="shared" si="0"/>
        <v>0.63295999999999997</v>
      </c>
      <c r="O15" s="240">
        <f>AVERAGE(N15:N17)</f>
        <v>0.62615333333333334</v>
      </c>
      <c r="Q15" s="39"/>
      <c r="S15" s="60"/>
      <c r="T15" s="60"/>
      <c r="U15" s="61"/>
      <c r="V15" s="61"/>
      <c r="W15" s="61"/>
      <c r="X15" s="60"/>
      <c r="Y15" s="62"/>
    </row>
    <row r="16" spans="1:25">
      <c r="A16" s="238"/>
      <c r="B16" s="239"/>
      <c r="C16" s="63" t="s">
        <v>137</v>
      </c>
      <c r="D16" s="73">
        <v>0.64583333333333337</v>
      </c>
      <c r="E16" s="65">
        <v>0.61919999999999997</v>
      </c>
      <c r="F16" s="73">
        <v>0.6875</v>
      </c>
      <c r="G16" s="65">
        <v>0.57020000000000004</v>
      </c>
      <c r="H16" s="73">
        <v>0.72916666666666663</v>
      </c>
      <c r="I16" s="66">
        <v>0.67720000000000002</v>
      </c>
      <c r="J16" s="73">
        <v>0.78472222222222221</v>
      </c>
      <c r="K16" s="66">
        <v>0.52439999999999998</v>
      </c>
      <c r="L16" s="73">
        <v>0.81944444444444442</v>
      </c>
      <c r="M16" s="66">
        <v>0.64539999999999997</v>
      </c>
      <c r="N16" s="65">
        <f t="shared" si="0"/>
        <v>0.60728000000000004</v>
      </c>
      <c r="O16" s="240"/>
      <c r="Q16" s="39"/>
      <c r="S16" s="60"/>
      <c r="T16" s="61"/>
      <c r="U16" s="61"/>
      <c r="V16" s="61"/>
      <c r="W16" s="61"/>
      <c r="X16" s="60"/>
      <c r="Y16" s="62"/>
    </row>
    <row r="17" spans="1:25">
      <c r="A17" s="238"/>
      <c r="B17" s="239"/>
      <c r="C17" s="63" t="s">
        <v>104</v>
      </c>
      <c r="D17" s="73">
        <v>0.97916666666666663</v>
      </c>
      <c r="E17" s="65">
        <v>0.67849999999999999</v>
      </c>
      <c r="F17" s="73">
        <v>1.3888888888888888E-2</v>
      </c>
      <c r="G17" s="66">
        <v>0.62060000000000004</v>
      </c>
      <c r="H17" s="73">
        <v>6.25E-2</v>
      </c>
      <c r="I17" s="66">
        <v>0.66790000000000005</v>
      </c>
      <c r="J17" s="73">
        <v>9.7222222222222224E-2</v>
      </c>
      <c r="K17" s="66">
        <v>0.57989999999999997</v>
      </c>
      <c r="L17" s="73">
        <v>0.15277777777777779</v>
      </c>
      <c r="M17" s="66">
        <v>0.64419999999999999</v>
      </c>
      <c r="N17" s="65">
        <f t="shared" si="0"/>
        <v>0.63822000000000001</v>
      </c>
      <c r="O17" s="240"/>
      <c r="Q17" s="39"/>
      <c r="S17" s="59"/>
      <c r="T17" s="60"/>
      <c r="U17" s="61"/>
      <c r="V17" s="60"/>
      <c r="W17" s="60"/>
      <c r="X17" s="60"/>
      <c r="Y17" s="62"/>
    </row>
    <row r="18" spans="1:25">
      <c r="A18" s="238"/>
      <c r="B18" s="239">
        <v>46209</v>
      </c>
      <c r="C18" s="63" t="s">
        <v>136</v>
      </c>
      <c r="D18" s="73">
        <v>0.30555555555555558</v>
      </c>
      <c r="E18" s="65">
        <v>0.64080000000000004</v>
      </c>
      <c r="F18" s="73">
        <v>0.33333333333333331</v>
      </c>
      <c r="G18" s="65">
        <v>0.58550000000000002</v>
      </c>
      <c r="H18" s="73">
        <v>0.35416666666666669</v>
      </c>
      <c r="I18" s="66">
        <v>0.6613</v>
      </c>
      <c r="J18" s="73">
        <v>0.3888888888888889</v>
      </c>
      <c r="K18" s="66">
        <v>0.53500000000000003</v>
      </c>
      <c r="L18" s="73">
        <v>0.41666666666666669</v>
      </c>
      <c r="M18" s="66">
        <v>0.62749999999999995</v>
      </c>
      <c r="N18" s="65">
        <f t="shared" si="0"/>
        <v>0.61002000000000001</v>
      </c>
      <c r="O18" s="240">
        <f>AVERAGE(N18:N20)</f>
        <v>0.61949333333333334</v>
      </c>
      <c r="Q18" s="39"/>
      <c r="S18" s="60"/>
      <c r="T18" s="60"/>
      <c r="U18" s="61"/>
      <c r="V18" s="61"/>
      <c r="W18" s="61"/>
      <c r="X18" s="60"/>
      <c r="Y18" s="62"/>
    </row>
    <row r="19" spans="1:25">
      <c r="A19" s="238"/>
      <c r="B19" s="239"/>
      <c r="C19" s="63" t="s">
        <v>137</v>
      </c>
      <c r="D19" s="73">
        <v>0.625</v>
      </c>
      <c r="E19" s="65">
        <v>0.64959999999999996</v>
      </c>
      <c r="F19" s="73">
        <v>0.65972222222222221</v>
      </c>
      <c r="G19" s="65">
        <v>0.66649999999999998</v>
      </c>
      <c r="H19" s="73">
        <v>0.68055555555555558</v>
      </c>
      <c r="I19" s="66">
        <v>0.59550000000000003</v>
      </c>
      <c r="J19" s="73">
        <v>0.71527777777777779</v>
      </c>
      <c r="K19" s="66">
        <v>0.55469999999999997</v>
      </c>
      <c r="L19" s="73">
        <v>0.75</v>
      </c>
      <c r="M19" s="66">
        <v>0.63839999999999997</v>
      </c>
      <c r="N19" s="65">
        <f t="shared" si="0"/>
        <v>0.62093999999999994</v>
      </c>
      <c r="O19" s="240"/>
      <c r="Q19" s="39"/>
      <c r="S19" s="60"/>
      <c r="T19" s="61"/>
      <c r="U19" s="61"/>
      <c r="V19" s="61"/>
      <c r="W19" s="61"/>
      <c r="X19" s="60"/>
      <c r="Y19" s="62"/>
    </row>
    <row r="20" spans="1:25">
      <c r="B20" s="239"/>
      <c r="C20" s="63" t="s">
        <v>104</v>
      </c>
      <c r="D20" s="73">
        <v>0.95833333333333337</v>
      </c>
      <c r="E20" s="65">
        <v>0.62880000000000003</v>
      </c>
      <c r="F20" s="73">
        <v>0</v>
      </c>
      <c r="G20" s="66">
        <v>0.61170000000000002</v>
      </c>
      <c r="H20" s="73">
        <v>4.1666666666666664E-2</v>
      </c>
      <c r="I20" s="66">
        <v>0.61450000000000005</v>
      </c>
      <c r="J20" s="73">
        <v>8.3333333333333329E-2</v>
      </c>
      <c r="K20" s="66">
        <v>0.6371</v>
      </c>
      <c r="L20" s="73">
        <v>0.125</v>
      </c>
      <c r="M20" s="66">
        <v>0.64549999999999996</v>
      </c>
      <c r="N20" s="65">
        <f t="shared" si="0"/>
        <v>0.62751999999999997</v>
      </c>
      <c r="O20" s="240"/>
    </row>
    <row r="21" spans="1:25">
      <c r="B21" s="239">
        <v>46210</v>
      </c>
      <c r="C21" s="63" t="s">
        <v>136</v>
      </c>
      <c r="D21" s="73">
        <v>0.31944444444444442</v>
      </c>
      <c r="E21" s="64">
        <v>0.58789999999999998</v>
      </c>
      <c r="F21" s="73">
        <v>0.34722222222222221</v>
      </c>
      <c r="G21" s="65">
        <v>0.56950000000000001</v>
      </c>
      <c r="H21" s="73">
        <v>0.375</v>
      </c>
      <c r="I21" s="66">
        <v>0.64059999999999995</v>
      </c>
      <c r="J21" s="73">
        <v>0.39583333333333331</v>
      </c>
      <c r="K21" s="65">
        <v>0.53749999999999998</v>
      </c>
      <c r="L21" s="73">
        <v>0.43055555555555558</v>
      </c>
      <c r="M21" s="65">
        <v>0.63039999999999996</v>
      </c>
      <c r="N21" s="65">
        <f t="shared" si="0"/>
        <v>0.59318000000000004</v>
      </c>
      <c r="O21" s="240">
        <f>AVERAGE(N21:N23)</f>
        <v>0.64985333333333328</v>
      </c>
    </row>
    <row r="22" spans="1:25">
      <c r="B22" s="239"/>
      <c r="C22" s="63" t="s">
        <v>137</v>
      </c>
      <c r="D22" s="73">
        <v>0.63194444444444442</v>
      </c>
      <c r="E22" s="65">
        <v>0.6946</v>
      </c>
      <c r="F22" s="73">
        <v>0.67361111111111116</v>
      </c>
      <c r="G22" s="65">
        <v>0.6895</v>
      </c>
      <c r="H22" s="73">
        <v>0.72916666666666663</v>
      </c>
      <c r="I22" s="66">
        <v>0.68569999999999998</v>
      </c>
      <c r="J22" s="73">
        <v>0.77083333333333337</v>
      </c>
      <c r="K22" s="66">
        <v>0.6079</v>
      </c>
      <c r="L22" s="73">
        <v>0.72222222222222221</v>
      </c>
      <c r="M22" s="66">
        <v>0.67420000000000002</v>
      </c>
      <c r="N22" s="65">
        <f t="shared" si="0"/>
        <v>0.67037999999999998</v>
      </c>
      <c r="O22" s="240"/>
    </row>
    <row r="23" spans="1:25">
      <c r="B23" s="239"/>
      <c r="C23" s="63" t="s">
        <v>104</v>
      </c>
      <c r="D23" s="73"/>
      <c r="E23" s="65"/>
      <c r="F23" s="73"/>
      <c r="G23" s="66"/>
      <c r="H23" s="73">
        <v>0.95833333333333337</v>
      </c>
      <c r="I23" s="66">
        <v>0.68110000000000004</v>
      </c>
      <c r="J23" s="73"/>
      <c r="K23" s="66"/>
      <c r="L23" s="73">
        <v>0</v>
      </c>
      <c r="M23" s="66">
        <v>0.69089999999999996</v>
      </c>
      <c r="N23" s="65">
        <f t="shared" si="0"/>
        <v>0.68599999999999994</v>
      </c>
      <c r="O23" s="240"/>
    </row>
    <row r="24" spans="1:25">
      <c r="B24" s="239">
        <v>46211</v>
      </c>
      <c r="C24" s="63" t="s">
        <v>136</v>
      </c>
      <c r="D24" s="73"/>
      <c r="E24" s="64"/>
      <c r="F24" s="73"/>
      <c r="G24" s="65"/>
      <c r="H24" s="73">
        <v>0.30555555555555558</v>
      </c>
      <c r="I24" s="66">
        <v>0.69620000000000004</v>
      </c>
      <c r="J24" s="73"/>
      <c r="K24" s="65"/>
      <c r="L24" s="73">
        <v>0.34027777777777779</v>
      </c>
      <c r="M24" s="65">
        <v>0.70230000000000004</v>
      </c>
      <c r="N24" s="65">
        <f t="shared" si="0"/>
        <v>0.69925000000000004</v>
      </c>
      <c r="O24" s="240">
        <f>AVERAGE(N24:N26)</f>
        <v>0.69879999999999998</v>
      </c>
    </row>
    <row r="25" spans="1:25">
      <c r="B25" s="239"/>
      <c r="C25" s="63" t="s">
        <v>137</v>
      </c>
      <c r="D25" s="73"/>
      <c r="E25" s="65"/>
      <c r="F25" s="73"/>
      <c r="G25" s="65"/>
      <c r="H25" s="73">
        <v>0.64583333333333337</v>
      </c>
      <c r="I25" s="66">
        <v>0.68899999999999995</v>
      </c>
      <c r="J25" s="73"/>
      <c r="K25" s="66"/>
      <c r="L25" s="73">
        <v>0.72222222222222221</v>
      </c>
      <c r="M25" s="66">
        <v>0.67979999999999996</v>
      </c>
      <c r="N25" s="65">
        <f t="shared" si="0"/>
        <v>0.6843999999999999</v>
      </c>
      <c r="O25" s="240"/>
    </row>
    <row r="26" spans="1:25">
      <c r="B26" s="239"/>
      <c r="C26" s="63" t="s">
        <v>104</v>
      </c>
      <c r="D26" s="73"/>
      <c r="E26" s="65"/>
      <c r="F26" s="73"/>
      <c r="G26" s="66"/>
      <c r="H26" s="73">
        <v>0.95833333333333337</v>
      </c>
      <c r="I26" s="66">
        <v>0.71279999999999999</v>
      </c>
      <c r="J26" s="73"/>
      <c r="K26" s="66"/>
      <c r="L26" s="73">
        <v>0</v>
      </c>
      <c r="M26" s="66">
        <v>0.7127</v>
      </c>
      <c r="N26" s="65">
        <f t="shared" si="0"/>
        <v>0.71274999999999999</v>
      </c>
      <c r="O26" s="240"/>
    </row>
    <row r="27" spans="1:25">
      <c r="B27" s="239">
        <v>46212</v>
      </c>
      <c r="C27" s="63" t="s">
        <v>136</v>
      </c>
      <c r="D27" s="73"/>
      <c r="E27" s="64"/>
      <c r="F27" s="73"/>
      <c r="G27" s="65"/>
      <c r="H27" s="73">
        <v>0.35416666666666669</v>
      </c>
      <c r="I27" s="66">
        <v>0.68</v>
      </c>
      <c r="J27" s="73"/>
      <c r="K27" s="65"/>
      <c r="L27" s="73">
        <v>0.38194444444444442</v>
      </c>
      <c r="M27" s="65">
        <v>0.67920000000000003</v>
      </c>
      <c r="N27" s="65">
        <f t="shared" si="0"/>
        <v>0.67959999999999998</v>
      </c>
      <c r="O27" s="240">
        <f>AVERAGE(N27:N29)</f>
        <v>0.63863999999999999</v>
      </c>
    </row>
    <row r="28" spans="1:25">
      <c r="B28" s="239"/>
      <c r="C28" s="63" t="s">
        <v>137</v>
      </c>
      <c r="D28" s="73">
        <v>0.63194444444444442</v>
      </c>
      <c r="E28" s="65">
        <v>0.68910000000000005</v>
      </c>
      <c r="F28" s="73">
        <v>0.67361111111111116</v>
      </c>
      <c r="G28" s="65">
        <v>0.58809999999999996</v>
      </c>
      <c r="H28" s="73">
        <v>0.72916666666666663</v>
      </c>
      <c r="I28" s="66">
        <v>0.67779999999999996</v>
      </c>
      <c r="J28" s="73">
        <v>0.77083333333333337</v>
      </c>
      <c r="K28" s="66">
        <v>0.56140000000000001</v>
      </c>
      <c r="L28" s="73">
        <v>0.8125</v>
      </c>
      <c r="M28" s="66">
        <v>0.69099999999999995</v>
      </c>
      <c r="N28" s="65">
        <f t="shared" si="0"/>
        <v>0.64147999999999994</v>
      </c>
      <c r="O28" s="240"/>
    </row>
    <row r="29" spans="1:25">
      <c r="B29" s="239"/>
      <c r="C29" s="63" t="s">
        <v>104</v>
      </c>
      <c r="D29" s="73">
        <v>0.95833333333333337</v>
      </c>
      <c r="E29" s="65">
        <v>0.60360000000000003</v>
      </c>
      <c r="F29" s="73">
        <v>0</v>
      </c>
      <c r="G29" s="66">
        <v>0.51290000000000002</v>
      </c>
      <c r="H29" s="73">
        <v>4.1666666666666664E-2</v>
      </c>
      <c r="I29" s="66">
        <v>0.62339999999999995</v>
      </c>
      <c r="J29" s="73">
        <v>8.3333333333333329E-2</v>
      </c>
      <c r="K29" s="66">
        <v>0.54620000000000002</v>
      </c>
      <c r="L29" s="73">
        <v>0.125</v>
      </c>
      <c r="M29" s="66">
        <v>0.68810000000000004</v>
      </c>
      <c r="N29" s="65">
        <f t="shared" si="0"/>
        <v>0.59484000000000004</v>
      </c>
      <c r="O29" s="240"/>
    </row>
    <row r="30" spans="1:25">
      <c r="B30" s="239">
        <v>46213</v>
      </c>
      <c r="C30" s="63" t="s">
        <v>136</v>
      </c>
      <c r="D30" s="73">
        <v>0.2986111111111111</v>
      </c>
      <c r="E30" s="64">
        <v>0.54820000000000002</v>
      </c>
      <c r="F30" s="73">
        <v>0.33333333333333331</v>
      </c>
      <c r="G30" s="65">
        <v>0.54930000000000001</v>
      </c>
      <c r="H30" s="73">
        <v>0.375</v>
      </c>
      <c r="I30" s="66">
        <v>0.61880000000000002</v>
      </c>
      <c r="J30" s="73">
        <v>0.4375</v>
      </c>
      <c r="K30" s="65">
        <v>0.50270000000000004</v>
      </c>
      <c r="L30" s="73">
        <v>0.47916666666666669</v>
      </c>
      <c r="M30" s="65">
        <v>0.64219999999999999</v>
      </c>
      <c r="N30" s="65">
        <f t="shared" si="0"/>
        <v>0.57224000000000008</v>
      </c>
      <c r="O30" s="240" t="e">
        <f>AVERAGE(N30:N32)</f>
        <v>#DIV/0!</v>
      </c>
    </row>
    <row r="31" spans="1:25">
      <c r="B31" s="239"/>
      <c r="C31" s="63" t="s">
        <v>137</v>
      </c>
      <c r="D31" s="73"/>
      <c r="E31" s="65"/>
      <c r="F31" s="73"/>
      <c r="G31" s="65"/>
      <c r="H31" s="73"/>
      <c r="I31" s="66"/>
      <c r="J31" s="73"/>
      <c r="K31" s="66"/>
      <c r="L31" s="73"/>
      <c r="M31" s="66"/>
      <c r="N31" s="65" t="e">
        <f t="shared" si="0"/>
        <v>#DIV/0!</v>
      </c>
      <c r="O31" s="240"/>
    </row>
    <row r="32" spans="1:25">
      <c r="B32" s="239"/>
      <c r="C32" s="63" t="s">
        <v>104</v>
      </c>
      <c r="D32" s="73">
        <v>0.97222222222222221</v>
      </c>
      <c r="E32" s="65">
        <v>0.56920000000000004</v>
      </c>
      <c r="F32" s="73">
        <v>0.98611111111111116</v>
      </c>
      <c r="G32" s="66">
        <v>0.55879999999999996</v>
      </c>
      <c r="H32" s="73">
        <v>0</v>
      </c>
      <c r="I32" s="66">
        <v>0.62319999999999998</v>
      </c>
      <c r="J32" s="73">
        <v>1.3888888888888888E-2</v>
      </c>
      <c r="K32" s="66">
        <v>0.53220000000000001</v>
      </c>
      <c r="L32" s="73">
        <v>2.7777777777777776E-2</v>
      </c>
      <c r="M32" s="66">
        <v>0.65069999999999995</v>
      </c>
      <c r="N32" s="65">
        <f t="shared" si="0"/>
        <v>0.58682000000000012</v>
      </c>
      <c r="O32" s="240"/>
    </row>
    <row r="33" spans="2:15">
      <c r="B33" s="239">
        <v>46214</v>
      </c>
      <c r="C33" s="63" t="s">
        <v>136</v>
      </c>
      <c r="D33" s="73">
        <v>0.30555555555555558</v>
      </c>
      <c r="E33" s="64">
        <v>0.55169999999999997</v>
      </c>
      <c r="F33" s="73">
        <v>0.35416666666666669</v>
      </c>
      <c r="G33" s="65">
        <v>0.54720000000000002</v>
      </c>
      <c r="H33" s="73">
        <v>0.38194444444444442</v>
      </c>
      <c r="I33" s="66">
        <v>0.62780000000000002</v>
      </c>
      <c r="J33" s="73">
        <v>0.41666666666666669</v>
      </c>
      <c r="K33" s="65">
        <v>0.52559999999999996</v>
      </c>
      <c r="L33" s="73">
        <v>0.47916666666666669</v>
      </c>
      <c r="M33" s="65">
        <v>0.62970000000000004</v>
      </c>
      <c r="N33" s="65">
        <f t="shared" si="0"/>
        <v>0.57640000000000002</v>
      </c>
      <c r="O33" s="240" t="e">
        <f>AVERAGE(N33:N35)</f>
        <v>#DIV/0!</v>
      </c>
    </row>
    <row r="34" spans="2:15">
      <c r="B34" s="239"/>
      <c r="C34" s="63" t="s">
        <v>137</v>
      </c>
      <c r="D34" s="73"/>
      <c r="E34" s="65"/>
      <c r="F34" s="73"/>
      <c r="G34" s="65"/>
      <c r="H34" s="73"/>
      <c r="I34" s="66"/>
      <c r="J34" s="73"/>
      <c r="K34" s="65"/>
      <c r="L34" s="73"/>
      <c r="M34" s="66"/>
      <c r="N34" s="65" t="e">
        <f t="shared" si="0"/>
        <v>#DIV/0!</v>
      </c>
      <c r="O34" s="240"/>
    </row>
    <row r="35" spans="2:15">
      <c r="B35" s="239"/>
      <c r="C35" s="63" t="s">
        <v>104</v>
      </c>
      <c r="D35" s="73">
        <v>0.96527777777777779</v>
      </c>
      <c r="E35" s="65">
        <v>0.62609999999999999</v>
      </c>
      <c r="F35" s="73">
        <v>4.1666666666666664E-2</v>
      </c>
      <c r="G35" s="66">
        <v>0.61929999999999996</v>
      </c>
      <c r="H35" s="73">
        <v>9.7222222222222224E-2</v>
      </c>
      <c r="I35" s="66">
        <v>0.64219999999999999</v>
      </c>
      <c r="J35" s="73">
        <v>0.16666666666666666</v>
      </c>
      <c r="K35" s="66">
        <v>0.58940000000000003</v>
      </c>
      <c r="L35" s="73">
        <v>0.22916666666666666</v>
      </c>
      <c r="M35" s="66">
        <v>0.70589999999999997</v>
      </c>
      <c r="N35" s="65">
        <f t="shared" si="0"/>
        <v>0.63658000000000003</v>
      </c>
      <c r="O35" s="240"/>
    </row>
    <row r="36" spans="2:15">
      <c r="B36" s="239">
        <v>46215</v>
      </c>
      <c r="C36" s="63" t="s">
        <v>136</v>
      </c>
      <c r="D36" s="73">
        <v>0.30555555555555558</v>
      </c>
      <c r="E36" s="64">
        <v>0.628</v>
      </c>
      <c r="F36" s="73">
        <v>0.35416666666666669</v>
      </c>
      <c r="G36" s="65">
        <v>0.59919999999999995</v>
      </c>
      <c r="H36" s="73">
        <v>0.38194444444444442</v>
      </c>
      <c r="I36" s="66">
        <v>0.65580000000000005</v>
      </c>
      <c r="J36" s="73">
        <v>0.41666666666666669</v>
      </c>
      <c r="K36" s="65">
        <v>0.59199999999999997</v>
      </c>
      <c r="L36" s="73">
        <v>0.47916666666666669</v>
      </c>
      <c r="M36" s="65">
        <v>0.66510000000000002</v>
      </c>
      <c r="N36" s="65">
        <f t="shared" si="0"/>
        <v>0.62802000000000002</v>
      </c>
      <c r="O36" s="240" t="e">
        <f>AVERAGE(N36:N38)</f>
        <v>#DIV/0!</v>
      </c>
    </row>
    <row r="37" spans="2:15">
      <c r="B37" s="239"/>
      <c r="C37" s="63" t="s">
        <v>137</v>
      </c>
      <c r="D37" s="73"/>
      <c r="E37" s="65"/>
      <c r="F37" s="73"/>
      <c r="G37" s="65"/>
      <c r="H37" s="73"/>
      <c r="I37" s="66"/>
      <c r="J37" s="73"/>
      <c r="K37" s="66"/>
      <c r="L37" s="73"/>
      <c r="M37" s="66"/>
      <c r="N37" s="65" t="e">
        <f t="shared" si="0"/>
        <v>#DIV/0!</v>
      </c>
      <c r="O37" s="240"/>
    </row>
    <row r="38" spans="2:15">
      <c r="B38" s="239"/>
      <c r="C38" s="63" t="s">
        <v>104</v>
      </c>
      <c r="D38" s="73">
        <v>0.96527777777777779</v>
      </c>
      <c r="E38" s="65">
        <v>0.61829999999999996</v>
      </c>
      <c r="F38" s="73">
        <v>4.1666666666666664E-2</v>
      </c>
      <c r="G38" s="66">
        <v>0.54649999999999999</v>
      </c>
      <c r="H38" s="73">
        <v>6.9444444444444448E-2</v>
      </c>
      <c r="I38" s="66">
        <v>0.66990000000000005</v>
      </c>
      <c r="J38" s="73">
        <v>9.7222222222222224E-2</v>
      </c>
      <c r="K38" s="66">
        <v>0.54259999999999997</v>
      </c>
      <c r="L38" s="73">
        <v>0.13194444444444445</v>
      </c>
      <c r="M38" s="66">
        <v>0.63439999999999996</v>
      </c>
      <c r="N38" s="65">
        <f t="shared" si="0"/>
        <v>0.60233999999999999</v>
      </c>
      <c r="O38" s="240"/>
    </row>
    <row r="39" spans="2:15">
      <c r="B39" s="239">
        <v>46216</v>
      </c>
      <c r="C39" s="63" t="s">
        <v>136</v>
      </c>
      <c r="D39" s="73">
        <v>0.30555555555555558</v>
      </c>
      <c r="E39" s="64">
        <v>0.53369999999999995</v>
      </c>
      <c r="F39" s="73">
        <v>0.34722222222222221</v>
      </c>
      <c r="G39" s="65">
        <v>0.57210000000000005</v>
      </c>
      <c r="H39" s="73">
        <v>0.3888888888888889</v>
      </c>
      <c r="I39" s="66">
        <v>0.65</v>
      </c>
      <c r="J39" s="73">
        <v>0.43055555555555558</v>
      </c>
      <c r="K39" s="65">
        <v>0.52800000000000002</v>
      </c>
      <c r="L39" s="73">
        <v>0.47222222222222221</v>
      </c>
      <c r="M39" s="65">
        <v>0.72399999999999998</v>
      </c>
      <c r="N39" s="65">
        <f t="shared" si="0"/>
        <v>0.60155999999999987</v>
      </c>
      <c r="O39" s="240">
        <f>AVERAGE(N39:N41)</f>
        <v>0.60460666666666663</v>
      </c>
    </row>
    <row r="40" spans="2:15">
      <c r="B40" s="239"/>
      <c r="C40" s="63" t="s">
        <v>137</v>
      </c>
      <c r="D40" s="73">
        <v>0.625</v>
      </c>
      <c r="E40" s="65">
        <v>0.54159999999999997</v>
      </c>
      <c r="F40" s="73">
        <v>0.66666666666666663</v>
      </c>
      <c r="G40" s="65">
        <v>0.58230000000000004</v>
      </c>
      <c r="H40" s="73">
        <v>0.70833333333333337</v>
      </c>
      <c r="I40" s="66">
        <v>0.65759999999999996</v>
      </c>
      <c r="J40" s="73">
        <v>0.75</v>
      </c>
      <c r="K40" s="66">
        <v>0.5323</v>
      </c>
      <c r="L40" s="73">
        <v>0.79166666666666663</v>
      </c>
      <c r="M40" s="66">
        <v>0.71440000000000003</v>
      </c>
      <c r="N40" s="65">
        <f t="shared" si="0"/>
        <v>0.60563999999999996</v>
      </c>
      <c r="O40" s="240"/>
    </row>
    <row r="41" spans="2:15">
      <c r="B41" s="239"/>
      <c r="C41" s="63" t="s">
        <v>104</v>
      </c>
      <c r="D41" s="73">
        <v>0.95833333333333337</v>
      </c>
      <c r="E41" s="65">
        <v>0.57420000000000004</v>
      </c>
      <c r="F41" s="73">
        <v>1.3888888888888888E-2</v>
      </c>
      <c r="G41" s="66">
        <v>0.56840000000000002</v>
      </c>
      <c r="H41" s="73">
        <v>4.8611111111111112E-2</v>
      </c>
      <c r="I41" s="66">
        <v>0.68120000000000003</v>
      </c>
      <c r="J41" s="73">
        <v>0.1111111111111111</v>
      </c>
      <c r="K41" s="66">
        <v>0.54039999999999999</v>
      </c>
      <c r="L41" s="73">
        <v>0.16666666666666666</v>
      </c>
      <c r="M41" s="66">
        <v>0.66890000000000005</v>
      </c>
      <c r="N41" s="65">
        <f t="shared" si="0"/>
        <v>0.60662000000000005</v>
      </c>
      <c r="O41" s="240"/>
    </row>
    <row r="42" spans="2:15">
      <c r="B42" s="239">
        <v>46217</v>
      </c>
      <c r="C42" s="63" t="s">
        <v>136</v>
      </c>
      <c r="D42" s="73">
        <v>0.30555555555555558</v>
      </c>
      <c r="E42" s="64">
        <v>0.53920000000000001</v>
      </c>
      <c r="F42" s="73">
        <v>0.34722222222222221</v>
      </c>
      <c r="G42" s="65">
        <v>0.5423</v>
      </c>
      <c r="H42" s="73">
        <v>0.3888888888888889</v>
      </c>
      <c r="I42" s="66">
        <v>0.65</v>
      </c>
      <c r="J42" s="73">
        <v>0.43055555555555558</v>
      </c>
      <c r="K42" s="65">
        <v>0.4793</v>
      </c>
      <c r="L42" s="73">
        <v>0.47222222222222221</v>
      </c>
      <c r="M42" s="65">
        <v>0.60799999999999998</v>
      </c>
      <c r="N42" s="65">
        <f t="shared" si="0"/>
        <v>0.56376000000000004</v>
      </c>
      <c r="O42" s="240">
        <f>AVERAGE(N42:N44)</f>
        <v>0.55905833333333332</v>
      </c>
    </row>
    <row r="43" spans="2:15">
      <c r="B43" s="239"/>
      <c r="C43" s="63" t="s">
        <v>137</v>
      </c>
      <c r="D43" s="73">
        <v>0.625</v>
      </c>
      <c r="E43" s="65">
        <v>0.54120000000000001</v>
      </c>
      <c r="F43" s="73">
        <v>0.66666666666666663</v>
      </c>
      <c r="G43" s="65">
        <v>0.55459999999999998</v>
      </c>
      <c r="H43" s="73">
        <v>0.70833333333333337</v>
      </c>
      <c r="I43" s="66">
        <v>0.65159999999999996</v>
      </c>
      <c r="J43" s="73">
        <v>0.75</v>
      </c>
      <c r="K43" s="66">
        <v>0.51480000000000004</v>
      </c>
      <c r="L43" s="73">
        <v>0.79166666666666663</v>
      </c>
      <c r="M43" s="66">
        <v>0.61150000000000004</v>
      </c>
      <c r="N43" s="65">
        <f t="shared" si="0"/>
        <v>0.57474000000000003</v>
      </c>
      <c r="O43" s="240"/>
    </row>
    <row r="44" spans="2:15">
      <c r="B44" s="239"/>
      <c r="C44" s="63" t="s">
        <v>104</v>
      </c>
      <c r="D44" s="73">
        <v>0.96527777777777779</v>
      </c>
      <c r="E44" s="65">
        <v>0.55269999999999997</v>
      </c>
      <c r="F44" s="73">
        <v>1.0138888888888888</v>
      </c>
      <c r="G44" s="66">
        <v>0.52969999999999995</v>
      </c>
      <c r="H44" s="73"/>
      <c r="I44" s="66"/>
      <c r="J44" s="73">
        <v>3.4722222222222224E-2</v>
      </c>
      <c r="K44" s="66">
        <v>0.4612</v>
      </c>
      <c r="L44" s="73">
        <v>6.25E-2</v>
      </c>
      <c r="M44" s="66">
        <v>0.61109999999999998</v>
      </c>
      <c r="N44" s="65">
        <f t="shared" si="0"/>
        <v>0.53867500000000001</v>
      </c>
      <c r="O44" s="240"/>
    </row>
    <row r="45" spans="2:15">
      <c r="B45" s="239">
        <v>46218</v>
      </c>
      <c r="C45" s="63" t="s">
        <v>136</v>
      </c>
      <c r="D45" s="73">
        <v>0.3125</v>
      </c>
      <c r="E45" s="64">
        <v>0.49180000000000001</v>
      </c>
      <c r="F45" s="73">
        <v>0.3611111111111111</v>
      </c>
      <c r="G45" s="65">
        <v>0.55800000000000005</v>
      </c>
      <c r="H45" s="73"/>
      <c r="I45" s="66"/>
      <c r="J45" s="73">
        <v>0.3888888888888889</v>
      </c>
      <c r="K45" s="65">
        <v>0.49280000000000002</v>
      </c>
      <c r="L45" s="73">
        <v>0.4375</v>
      </c>
      <c r="M45" s="65">
        <v>0.69930000000000003</v>
      </c>
      <c r="N45" s="65">
        <f t="shared" si="0"/>
        <v>0.56047500000000006</v>
      </c>
      <c r="O45" s="240">
        <f>AVERAGE(N45:N47)</f>
        <v>0.56252500000000005</v>
      </c>
    </row>
    <row r="46" spans="2:15">
      <c r="B46" s="239"/>
      <c r="C46" s="63" t="s">
        <v>137</v>
      </c>
      <c r="D46" s="73">
        <v>0.625</v>
      </c>
      <c r="E46" s="65">
        <v>0.60799999999999998</v>
      </c>
      <c r="F46" s="73">
        <v>0.66666666666666663</v>
      </c>
      <c r="G46" s="65">
        <v>0.53620000000000001</v>
      </c>
      <c r="H46" s="73"/>
      <c r="I46" s="66"/>
      <c r="J46" s="73">
        <v>0.70833333333333337</v>
      </c>
      <c r="K46" s="66">
        <v>0.4753</v>
      </c>
      <c r="L46" s="73">
        <v>0.75</v>
      </c>
      <c r="M46" s="66">
        <v>0.64690000000000003</v>
      </c>
      <c r="N46" s="65">
        <f t="shared" si="0"/>
        <v>0.56659999999999999</v>
      </c>
      <c r="O46" s="240"/>
    </row>
    <row r="47" spans="2:15">
      <c r="B47" s="239"/>
      <c r="C47" s="63" t="s">
        <v>104</v>
      </c>
      <c r="D47" s="73">
        <v>0.96527777777777779</v>
      </c>
      <c r="E47" s="66">
        <v>0.5232</v>
      </c>
      <c r="F47" s="73">
        <v>5.5555555555555552E-2</v>
      </c>
      <c r="G47" s="66">
        <v>0.56850000000000001</v>
      </c>
      <c r="H47" s="73"/>
      <c r="I47" s="66"/>
      <c r="J47" s="73">
        <v>0.125</v>
      </c>
      <c r="K47" s="66">
        <v>0.48759999999999998</v>
      </c>
      <c r="L47" s="73">
        <v>0.1875</v>
      </c>
      <c r="M47" s="66">
        <v>0.66269999999999996</v>
      </c>
      <c r="N47" s="65">
        <f t="shared" si="0"/>
        <v>0.5605</v>
      </c>
      <c r="O47" s="240"/>
    </row>
    <row r="48" spans="2:15">
      <c r="B48" s="239">
        <v>46219</v>
      </c>
      <c r="C48" s="63" t="s">
        <v>136</v>
      </c>
      <c r="D48" s="73">
        <v>0.3125</v>
      </c>
      <c r="E48" s="64">
        <v>0.55479999999999996</v>
      </c>
      <c r="F48" s="73">
        <v>0.3611111111111111</v>
      </c>
      <c r="G48" s="65">
        <v>0.54849999999999999</v>
      </c>
      <c r="H48" s="73"/>
      <c r="I48" s="66"/>
      <c r="J48" s="73">
        <v>0.3888888888888889</v>
      </c>
      <c r="K48" s="66">
        <v>0.52839999999999998</v>
      </c>
      <c r="L48" s="73">
        <v>0.4375</v>
      </c>
      <c r="M48" s="66">
        <v>0.62849999999999995</v>
      </c>
      <c r="N48" s="65">
        <f t="shared" si="0"/>
        <v>0.56504999999999994</v>
      </c>
      <c r="O48" s="240" t="e">
        <f>AVERAGE(N48:N50)</f>
        <v>#DIV/0!</v>
      </c>
    </row>
    <row r="49" spans="2:15">
      <c r="B49" s="239"/>
      <c r="C49" s="63" t="s">
        <v>137</v>
      </c>
      <c r="D49" s="73"/>
      <c r="E49" s="65"/>
      <c r="F49" s="73"/>
      <c r="G49" s="65"/>
      <c r="H49" s="73"/>
      <c r="I49" s="66"/>
      <c r="J49" s="73"/>
      <c r="K49" s="66"/>
      <c r="L49" s="73"/>
      <c r="M49" s="66"/>
      <c r="N49" s="65" t="e">
        <f t="shared" si="0"/>
        <v>#DIV/0!</v>
      </c>
      <c r="O49" s="240"/>
    </row>
    <row r="50" spans="2:15">
      <c r="B50" s="239"/>
      <c r="C50" s="63" t="s">
        <v>104</v>
      </c>
      <c r="D50" s="73">
        <v>0.96527777777777779</v>
      </c>
      <c r="E50" s="65">
        <v>0.54649999999999999</v>
      </c>
      <c r="F50" s="73">
        <v>2.0833333333333332E-2</v>
      </c>
      <c r="G50" s="66">
        <v>0.54330000000000001</v>
      </c>
      <c r="H50" s="73"/>
      <c r="I50" s="66"/>
      <c r="J50" s="73">
        <v>6.25E-2</v>
      </c>
      <c r="K50" s="66">
        <v>0.52569999999999995</v>
      </c>
      <c r="L50" s="73">
        <v>0.125</v>
      </c>
      <c r="M50" s="66">
        <v>0.62439999999999996</v>
      </c>
      <c r="N50" s="65">
        <f t="shared" si="0"/>
        <v>0.559975</v>
      </c>
      <c r="O50" s="240"/>
    </row>
    <row r="51" spans="2:15">
      <c r="B51" s="239">
        <v>46220</v>
      </c>
      <c r="C51" s="63" t="s">
        <v>136</v>
      </c>
      <c r="D51" s="73">
        <v>0.31944444444444442</v>
      </c>
      <c r="E51" s="64">
        <v>0.61399999999999999</v>
      </c>
      <c r="F51" s="73">
        <v>0.35416666666666669</v>
      </c>
      <c r="G51" s="65">
        <v>0.55769999999999997</v>
      </c>
      <c r="H51" s="73"/>
      <c r="I51" s="66"/>
      <c r="J51" s="73">
        <v>0.40277777777777779</v>
      </c>
      <c r="K51" s="66">
        <v>0.55010000000000003</v>
      </c>
      <c r="L51" s="73">
        <v>0.43055555555555558</v>
      </c>
      <c r="M51" s="66">
        <v>0.63770000000000004</v>
      </c>
      <c r="N51" s="65">
        <f t="shared" si="0"/>
        <v>0.58987500000000004</v>
      </c>
      <c r="O51" s="240">
        <f>AVERAGE(N51:N53)</f>
        <v>0.59185833333333338</v>
      </c>
    </row>
    <row r="52" spans="2:15">
      <c r="B52" s="239"/>
      <c r="C52" s="63" t="s">
        <v>137</v>
      </c>
      <c r="D52" s="73">
        <v>0.65277777777777779</v>
      </c>
      <c r="E52" s="65">
        <v>0.60599999999999998</v>
      </c>
      <c r="F52" s="73">
        <v>0.69444444444444442</v>
      </c>
      <c r="G52" s="65">
        <v>0.55230000000000001</v>
      </c>
      <c r="H52" s="73"/>
      <c r="I52" s="66"/>
      <c r="J52" s="73">
        <v>0.70138888888888884</v>
      </c>
      <c r="K52" s="66">
        <v>0.55549999999999999</v>
      </c>
      <c r="L52" s="73">
        <v>0.75</v>
      </c>
      <c r="M52" s="66">
        <v>0.62919999999999998</v>
      </c>
      <c r="N52" s="65">
        <f t="shared" si="0"/>
        <v>0.58574999999999999</v>
      </c>
      <c r="O52" s="240"/>
    </row>
    <row r="53" spans="2:15">
      <c r="B53" s="239"/>
      <c r="C53" s="63" t="s">
        <v>104</v>
      </c>
      <c r="D53" s="73">
        <v>0.96527777777777779</v>
      </c>
      <c r="E53" s="65">
        <v>0.62350000000000005</v>
      </c>
      <c r="F53" s="73">
        <v>6.9444444444444441E-3</v>
      </c>
      <c r="G53" s="66">
        <v>0.60229999999999995</v>
      </c>
      <c r="H53" s="73"/>
      <c r="I53" s="66"/>
      <c r="J53" s="73">
        <v>4.8611111111111112E-2</v>
      </c>
      <c r="K53" s="66">
        <v>0.54700000000000004</v>
      </c>
      <c r="L53" s="73">
        <v>9.0277777777777776E-2</v>
      </c>
      <c r="M53" s="66">
        <v>0.627</v>
      </c>
      <c r="N53" s="65">
        <f t="shared" si="0"/>
        <v>0.59994999999999998</v>
      </c>
      <c r="O53" s="240"/>
    </row>
    <row r="54" spans="2:15">
      <c r="B54" s="239">
        <v>46221</v>
      </c>
      <c r="C54" s="63" t="s">
        <v>136</v>
      </c>
      <c r="D54" s="73">
        <v>0.31944444444444442</v>
      </c>
      <c r="E54" s="64">
        <v>0.60809999999999997</v>
      </c>
      <c r="F54" s="73">
        <v>0.35416666666666669</v>
      </c>
      <c r="G54" s="65">
        <v>0.59840000000000004</v>
      </c>
      <c r="H54" s="73"/>
      <c r="I54" s="66"/>
      <c r="J54" s="73">
        <v>0.3888888888888889</v>
      </c>
      <c r="K54" s="66">
        <v>0.51749999999999996</v>
      </c>
      <c r="L54" s="73">
        <v>0.44444444444444442</v>
      </c>
      <c r="M54" s="66">
        <v>0.64680000000000004</v>
      </c>
      <c r="N54" s="65">
        <f t="shared" si="0"/>
        <v>0.5927</v>
      </c>
      <c r="O54" s="240">
        <f>AVERAGE(N54:N56)</f>
        <v>0.61168333333333325</v>
      </c>
    </row>
    <row r="55" spans="2:15">
      <c r="B55" s="239"/>
      <c r="C55" s="63" t="s">
        <v>137</v>
      </c>
      <c r="D55" s="73">
        <v>0.64583333333333337</v>
      </c>
      <c r="E55" s="65">
        <v>0.64849999999999997</v>
      </c>
      <c r="F55" s="73">
        <v>0.68055555555555558</v>
      </c>
      <c r="G55" s="65">
        <v>0.63849999999999996</v>
      </c>
      <c r="H55" s="73"/>
      <c r="I55" s="66"/>
      <c r="J55" s="73">
        <v>0.73611111111111116</v>
      </c>
      <c r="K55" s="66">
        <v>0.55479999999999996</v>
      </c>
      <c r="L55" s="73">
        <v>0.76388888888888884</v>
      </c>
      <c r="M55" s="66">
        <v>0.63849999999999996</v>
      </c>
      <c r="N55" s="65">
        <f t="shared" si="0"/>
        <v>0.62007499999999993</v>
      </c>
      <c r="O55" s="240"/>
    </row>
    <row r="56" spans="2:15">
      <c r="B56" s="239"/>
      <c r="C56" s="63" t="s">
        <v>104</v>
      </c>
      <c r="D56" s="73">
        <v>0.96527777777777779</v>
      </c>
      <c r="E56" s="65">
        <v>0.62960000000000005</v>
      </c>
      <c r="F56" s="73">
        <v>0.16666666666666666</v>
      </c>
      <c r="G56" s="66">
        <v>0.62190000000000001</v>
      </c>
      <c r="H56" s="73">
        <v>0.2013888888888889</v>
      </c>
      <c r="I56" s="66">
        <v>0.64580000000000004</v>
      </c>
      <c r="J56" s="73">
        <v>2.0833333333333332E-2</v>
      </c>
      <c r="K56" s="66">
        <v>0.59179999999999999</v>
      </c>
      <c r="L56" s="73"/>
      <c r="M56" s="66"/>
      <c r="N56" s="65">
        <f t="shared" si="0"/>
        <v>0.62227500000000002</v>
      </c>
      <c r="O56" s="240"/>
    </row>
    <row r="57" spans="2:15">
      <c r="B57" s="239">
        <v>46222</v>
      </c>
      <c r="C57" s="63" t="s">
        <v>136</v>
      </c>
      <c r="D57" s="73">
        <v>0.31944444444444442</v>
      </c>
      <c r="E57" s="64">
        <v>0.64800000000000002</v>
      </c>
      <c r="F57" s="73">
        <v>0.34722222222222221</v>
      </c>
      <c r="G57" s="65">
        <v>0.59079999999999999</v>
      </c>
      <c r="H57" s="73">
        <v>0.3888888888888889</v>
      </c>
      <c r="I57" s="66">
        <v>0.64849999999999997</v>
      </c>
      <c r="J57" s="73">
        <v>0.4375</v>
      </c>
      <c r="K57" s="66">
        <v>0.55510000000000004</v>
      </c>
      <c r="L57" s="73"/>
      <c r="M57" s="66"/>
      <c r="N57" s="65">
        <f t="shared" si="0"/>
        <v>0.61059999999999992</v>
      </c>
      <c r="O57" s="240">
        <f>AVERAGE(N57:N59)</f>
        <v>0.61901666666666666</v>
      </c>
    </row>
    <row r="58" spans="2:15">
      <c r="B58" s="239"/>
      <c r="C58" s="63" t="s">
        <v>137</v>
      </c>
      <c r="D58" s="73">
        <v>0.64583333333333337</v>
      </c>
      <c r="E58" s="65">
        <v>0.65820000000000001</v>
      </c>
      <c r="F58" s="73">
        <v>0.68055555555555558</v>
      </c>
      <c r="G58" s="65">
        <v>0.66479999999999995</v>
      </c>
      <c r="H58" s="73">
        <v>0.72916666666666663</v>
      </c>
      <c r="I58" s="66">
        <v>0.62849999999999995</v>
      </c>
      <c r="J58" s="73">
        <v>0.76388888888888884</v>
      </c>
      <c r="K58" s="66">
        <v>0.61850000000000005</v>
      </c>
      <c r="L58" s="73"/>
      <c r="M58" s="66"/>
      <c r="N58" s="65">
        <f t="shared" si="0"/>
        <v>0.64249999999999996</v>
      </c>
      <c r="O58" s="240"/>
    </row>
    <row r="59" spans="2:15">
      <c r="B59" s="239"/>
      <c r="C59" s="63" t="s">
        <v>104</v>
      </c>
      <c r="D59" s="73">
        <v>0.96527777777777779</v>
      </c>
      <c r="E59" s="65">
        <v>0.625</v>
      </c>
      <c r="F59" s="73">
        <v>6.9444444444444441E-3</v>
      </c>
      <c r="G59" s="66">
        <v>0.56420000000000003</v>
      </c>
      <c r="H59" s="73">
        <v>3.4722222222222224E-2</v>
      </c>
      <c r="I59" s="66">
        <v>0.65659999999999996</v>
      </c>
      <c r="J59" s="73">
        <v>6.25E-2</v>
      </c>
      <c r="K59" s="66">
        <v>0.56999999999999995</v>
      </c>
      <c r="L59" s="73"/>
      <c r="M59" s="66"/>
      <c r="N59" s="65">
        <f t="shared" si="0"/>
        <v>0.60394999999999999</v>
      </c>
      <c r="O59" s="240"/>
    </row>
    <row r="60" spans="2:15">
      <c r="B60" s="239">
        <v>46223</v>
      </c>
      <c r="C60" s="63" t="s">
        <v>136</v>
      </c>
      <c r="D60" s="73">
        <v>0.3125</v>
      </c>
      <c r="E60" s="65">
        <v>0.68049999999999999</v>
      </c>
      <c r="F60" s="73">
        <v>0.35416666666666669</v>
      </c>
      <c r="G60" s="65">
        <v>0.59499999999999997</v>
      </c>
      <c r="H60" s="73">
        <v>0.39583333333333331</v>
      </c>
      <c r="I60" s="66">
        <v>0.66890000000000005</v>
      </c>
      <c r="J60" s="73">
        <v>0.4375</v>
      </c>
      <c r="K60" s="66">
        <v>0.56389999999999996</v>
      </c>
      <c r="L60" s="73"/>
      <c r="M60" s="66"/>
      <c r="N60" s="65">
        <f t="shared" si="0"/>
        <v>0.62707500000000005</v>
      </c>
      <c r="O60" s="240">
        <f>AVERAGE(N60:N62)</f>
        <v>0.61735833333333334</v>
      </c>
    </row>
    <row r="61" spans="2:15">
      <c r="B61" s="239"/>
      <c r="C61" s="63" t="s">
        <v>137</v>
      </c>
      <c r="D61" s="73">
        <v>0.63194444444444442</v>
      </c>
      <c r="E61" s="65">
        <v>0.67879999999999996</v>
      </c>
      <c r="F61" s="73">
        <v>0.70138888888888884</v>
      </c>
      <c r="G61" s="65">
        <v>0.58919999999999995</v>
      </c>
      <c r="H61" s="73"/>
      <c r="I61" s="66"/>
      <c r="J61" s="73">
        <v>0.76388888888888884</v>
      </c>
      <c r="K61" s="66">
        <v>0.55369999999999997</v>
      </c>
      <c r="L61" s="73">
        <v>0.81944444444444442</v>
      </c>
      <c r="M61" s="66">
        <v>0.66139999999999999</v>
      </c>
      <c r="N61" s="65">
        <f t="shared" si="0"/>
        <v>0.62077499999999997</v>
      </c>
      <c r="O61" s="240"/>
    </row>
    <row r="62" spans="2:15">
      <c r="B62" s="239"/>
      <c r="C62" s="63" t="s">
        <v>104</v>
      </c>
      <c r="D62" s="73">
        <v>0.96527777777777779</v>
      </c>
      <c r="E62" s="65">
        <v>0.64080000000000004</v>
      </c>
      <c r="F62" s="73">
        <v>1.3888888888888888E-2</v>
      </c>
      <c r="G62" s="66">
        <v>0.58699999999999997</v>
      </c>
      <c r="H62" s="73"/>
      <c r="I62" s="66"/>
      <c r="J62" s="73">
        <v>5.5555555555555552E-2</v>
      </c>
      <c r="K62" s="66">
        <v>0.55230000000000001</v>
      </c>
      <c r="L62" s="73">
        <v>0.10416666666666667</v>
      </c>
      <c r="M62" s="66">
        <v>0.63680000000000003</v>
      </c>
      <c r="N62" s="65">
        <f t="shared" si="0"/>
        <v>0.60422500000000001</v>
      </c>
      <c r="O62" s="240"/>
    </row>
    <row r="63" spans="2:15">
      <c r="B63" s="239">
        <v>46224</v>
      </c>
      <c r="C63" s="63" t="s">
        <v>136</v>
      </c>
      <c r="D63" s="73">
        <v>0.3125</v>
      </c>
      <c r="E63" s="64">
        <v>0.6028</v>
      </c>
      <c r="F63" s="73">
        <v>0.35416666666666669</v>
      </c>
      <c r="G63" s="65">
        <v>0.60950000000000004</v>
      </c>
      <c r="H63" s="73"/>
      <c r="I63" s="66"/>
      <c r="J63" s="73">
        <v>0.39583333333333331</v>
      </c>
      <c r="K63" s="65">
        <v>0.55500000000000005</v>
      </c>
      <c r="L63" s="73">
        <v>0.4375</v>
      </c>
      <c r="M63" s="65">
        <v>0.65259999999999996</v>
      </c>
      <c r="N63" s="65">
        <f t="shared" si="0"/>
        <v>0.60497500000000004</v>
      </c>
      <c r="O63" s="240">
        <f>AVERAGE(N63:N65)</f>
        <v>0.62469166666666676</v>
      </c>
    </row>
    <row r="64" spans="2:15">
      <c r="B64" s="239"/>
      <c r="C64" s="63" t="s">
        <v>137</v>
      </c>
      <c r="D64" s="73">
        <v>0.63194444444444442</v>
      </c>
      <c r="E64" s="65">
        <v>0.62470000000000003</v>
      </c>
      <c r="F64" s="73">
        <v>0.70138888888888884</v>
      </c>
      <c r="G64" s="65">
        <v>0.59379999999999999</v>
      </c>
      <c r="H64" s="73"/>
      <c r="I64" s="66"/>
      <c r="J64" s="73">
        <v>0.77777777777777779</v>
      </c>
      <c r="K64" s="66">
        <v>0.57850000000000001</v>
      </c>
      <c r="L64" s="73">
        <v>0.83333333333333337</v>
      </c>
      <c r="M64" s="66">
        <v>0.64880000000000004</v>
      </c>
      <c r="N64" s="65">
        <f t="shared" si="0"/>
        <v>0.61145000000000005</v>
      </c>
      <c r="O64" s="240"/>
    </row>
    <row r="65" spans="2:15">
      <c r="B65" s="239"/>
      <c r="C65" s="63" t="s">
        <v>104</v>
      </c>
      <c r="D65" s="73">
        <v>0.96527777777777779</v>
      </c>
      <c r="E65" s="65">
        <v>0.63119999999999998</v>
      </c>
      <c r="F65" s="73"/>
      <c r="G65" s="66"/>
      <c r="H65" s="73"/>
      <c r="I65" s="66"/>
      <c r="J65" s="73"/>
      <c r="K65" s="66"/>
      <c r="L65" s="73">
        <v>5.5555555555555552E-2</v>
      </c>
      <c r="M65" s="66">
        <v>0.68410000000000004</v>
      </c>
      <c r="N65" s="65">
        <f t="shared" si="0"/>
        <v>0.65765000000000007</v>
      </c>
      <c r="O65" s="240"/>
    </row>
    <row r="66" spans="2:15">
      <c r="B66" s="239">
        <v>46225</v>
      </c>
      <c r="C66" s="63" t="s">
        <v>143</v>
      </c>
      <c r="D66" s="73"/>
      <c r="E66" s="64"/>
      <c r="F66" s="73"/>
      <c r="G66" s="65"/>
      <c r="H66" s="73">
        <v>0.3125</v>
      </c>
      <c r="I66" s="66">
        <v>0.70079999999999998</v>
      </c>
      <c r="J66" s="73"/>
      <c r="K66" s="65"/>
      <c r="L66" s="73">
        <v>0.35416666666666669</v>
      </c>
      <c r="M66" s="65">
        <v>0.69820000000000004</v>
      </c>
      <c r="N66" s="65">
        <f t="shared" si="0"/>
        <v>0.69950000000000001</v>
      </c>
      <c r="O66" s="240">
        <f>AVERAGE(N66:N68)</f>
        <v>0.70374999999999999</v>
      </c>
    </row>
    <row r="67" spans="2:15">
      <c r="B67" s="239"/>
      <c r="C67" s="63" t="s">
        <v>137</v>
      </c>
      <c r="D67" s="73"/>
      <c r="E67" s="65"/>
      <c r="F67" s="73"/>
      <c r="G67" s="65"/>
      <c r="H67" s="73">
        <v>0.64583333333333337</v>
      </c>
      <c r="I67" s="66">
        <v>0.71279999999999999</v>
      </c>
      <c r="J67" s="73"/>
      <c r="K67" s="66"/>
      <c r="L67" s="73">
        <v>0.6875</v>
      </c>
      <c r="M67" s="66">
        <v>0.70389999999999997</v>
      </c>
      <c r="N67" s="65">
        <f t="shared" si="0"/>
        <v>0.70835000000000004</v>
      </c>
      <c r="O67" s="240"/>
    </row>
    <row r="68" spans="2:15">
      <c r="B68" s="239"/>
      <c r="C68" s="63" t="s">
        <v>104</v>
      </c>
      <c r="D68" s="73"/>
      <c r="E68" s="65"/>
      <c r="F68" s="73"/>
      <c r="G68" s="66"/>
      <c r="H68" s="73">
        <v>0.96527777777777779</v>
      </c>
      <c r="I68" s="66">
        <v>0.70540000000000003</v>
      </c>
      <c r="J68" s="73"/>
      <c r="K68" s="66"/>
      <c r="L68" s="73">
        <v>4.8611111111111112E-2</v>
      </c>
      <c r="M68" s="66">
        <v>0.70140000000000002</v>
      </c>
      <c r="N68" s="65">
        <f t="shared" ref="N68:N95" si="1">AVERAGE(E68,G68,I68,K68,M68)</f>
        <v>0.70340000000000003</v>
      </c>
      <c r="O68" s="240"/>
    </row>
    <row r="69" spans="2:15">
      <c r="B69" s="239">
        <v>46226</v>
      </c>
      <c r="C69" s="63" t="s">
        <v>136</v>
      </c>
      <c r="D69" s="73"/>
      <c r="E69" s="64"/>
      <c r="F69" s="73"/>
      <c r="G69" s="65"/>
      <c r="H69" s="73"/>
      <c r="I69" s="66"/>
      <c r="J69" s="73"/>
      <c r="K69" s="65"/>
      <c r="L69" s="73"/>
      <c r="M69" s="65"/>
      <c r="N69" s="65" t="e">
        <f t="shared" si="1"/>
        <v>#DIV/0!</v>
      </c>
      <c r="O69" s="240" t="e">
        <f>AVERAGE(N69:N71)</f>
        <v>#DIV/0!</v>
      </c>
    </row>
    <row r="70" spans="2:15">
      <c r="B70" s="239"/>
      <c r="C70" s="63" t="s">
        <v>137</v>
      </c>
      <c r="D70" s="73"/>
      <c r="E70" s="65"/>
      <c r="F70" s="73"/>
      <c r="G70" s="65"/>
      <c r="H70" s="73"/>
      <c r="I70" s="66"/>
      <c r="J70" s="73"/>
      <c r="K70" s="66"/>
      <c r="L70" s="73"/>
      <c r="M70" s="66"/>
      <c r="N70" s="65" t="e">
        <f t="shared" si="1"/>
        <v>#DIV/0!</v>
      </c>
      <c r="O70" s="240"/>
    </row>
    <row r="71" spans="2:15">
      <c r="B71" s="239"/>
      <c r="C71" s="63" t="s">
        <v>104</v>
      </c>
      <c r="D71" s="73">
        <v>0.96527777777777779</v>
      </c>
      <c r="E71" s="65">
        <v>0.56189999999999996</v>
      </c>
      <c r="F71" s="73">
        <v>1.3888888888888888E-2</v>
      </c>
      <c r="G71" s="66">
        <v>0.58279999999999998</v>
      </c>
      <c r="H71" s="73"/>
      <c r="I71" s="66"/>
      <c r="J71" s="73">
        <v>5.5555555555555552E-2</v>
      </c>
      <c r="K71" s="66">
        <v>0.57140000000000002</v>
      </c>
      <c r="L71" s="73"/>
      <c r="M71" s="66"/>
      <c r="N71" s="65">
        <f t="shared" si="1"/>
        <v>0.57203333333333328</v>
      </c>
      <c r="O71" s="240"/>
    </row>
    <row r="72" spans="2:15">
      <c r="B72" s="239">
        <v>46227</v>
      </c>
      <c r="C72" s="63" t="s">
        <v>136</v>
      </c>
      <c r="D72" s="73">
        <v>0.3125</v>
      </c>
      <c r="E72" s="64">
        <v>0.54559999999999997</v>
      </c>
      <c r="F72" s="73">
        <v>0.35416666666666669</v>
      </c>
      <c r="G72" s="65">
        <v>0.54059999999999997</v>
      </c>
      <c r="H72" s="73"/>
      <c r="I72" s="66"/>
      <c r="J72" s="73">
        <v>0.39583333333333331</v>
      </c>
      <c r="K72" s="65">
        <v>0.53839999999999999</v>
      </c>
      <c r="L72" s="73"/>
      <c r="M72" s="65"/>
      <c r="N72" s="65">
        <f t="shared" si="1"/>
        <v>0.54153333333333331</v>
      </c>
      <c r="O72" s="240">
        <f>AVERAGE(N72:N74)</f>
        <v>0.55626666666666669</v>
      </c>
    </row>
    <row r="73" spans="2:15">
      <c r="B73" s="239"/>
      <c r="C73" s="63" t="s">
        <v>137</v>
      </c>
      <c r="D73" s="73">
        <v>0.63194444444444442</v>
      </c>
      <c r="E73" s="65">
        <v>0.56869999999999998</v>
      </c>
      <c r="F73" s="73">
        <v>0.67361111111111116</v>
      </c>
      <c r="G73" s="65">
        <v>0.55430000000000001</v>
      </c>
      <c r="H73" s="73"/>
      <c r="I73" s="66"/>
      <c r="J73" s="73">
        <v>0.74305555555555558</v>
      </c>
      <c r="K73" s="66">
        <v>0.54549999999999998</v>
      </c>
      <c r="L73" s="73"/>
      <c r="M73" s="66"/>
      <c r="N73" s="65">
        <f t="shared" si="1"/>
        <v>0.55616666666666659</v>
      </c>
      <c r="O73" s="240"/>
    </row>
    <row r="74" spans="2:15">
      <c r="B74" s="239"/>
      <c r="C74" s="63" t="s">
        <v>104</v>
      </c>
      <c r="D74" s="73">
        <v>0.95833333333333337</v>
      </c>
      <c r="E74" s="65">
        <v>0.57199999999999995</v>
      </c>
      <c r="F74" s="73">
        <v>2.0833333333333332E-2</v>
      </c>
      <c r="G74" s="66">
        <v>0.56840000000000002</v>
      </c>
      <c r="H74" s="73"/>
      <c r="I74" s="66"/>
      <c r="J74" s="73">
        <v>9.0277777777777776E-2</v>
      </c>
      <c r="K74" s="66">
        <v>0.57289999999999996</v>
      </c>
      <c r="L74" s="73"/>
      <c r="M74" s="66"/>
      <c r="N74" s="65">
        <f t="shared" si="1"/>
        <v>0.57110000000000005</v>
      </c>
      <c r="O74" s="240"/>
    </row>
    <row r="75" spans="2:15">
      <c r="B75" s="239">
        <v>46228</v>
      </c>
      <c r="C75" s="63" t="s">
        <v>136</v>
      </c>
      <c r="D75" s="73">
        <v>0.30555555555555558</v>
      </c>
      <c r="E75" s="64">
        <v>0.56179999999999997</v>
      </c>
      <c r="F75" s="73">
        <v>0.375</v>
      </c>
      <c r="G75" s="65">
        <v>0.56269999999999998</v>
      </c>
      <c r="H75" s="73"/>
      <c r="I75" s="66"/>
      <c r="J75" s="73">
        <v>0.47222222222222221</v>
      </c>
      <c r="K75" s="65">
        <v>0.5988</v>
      </c>
      <c r="L75" s="73"/>
      <c r="M75" s="65"/>
      <c r="N75" s="65">
        <f t="shared" si="1"/>
        <v>0.57443333333333324</v>
      </c>
      <c r="O75" s="240">
        <f>AVERAGE(N75:N77)</f>
        <v>0.57628611111111117</v>
      </c>
    </row>
    <row r="76" spans="2:15">
      <c r="B76" s="239"/>
      <c r="C76" s="63" t="s">
        <v>137</v>
      </c>
      <c r="D76" s="73">
        <v>0.64583333333333337</v>
      </c>
      <c r="E76" s="65">
        <v>0.59330000000000005</v>
      </c>
      <c r="F76" s="73">
        <v>0.6875</v>
      </c>
      <c r="G76" s="65">
        <v>0.57069999999999999</v>
      </c>
      <c r="H76" s="73"/>
      <c r="I76" s="66"/>
      <c r="J76" s="73">
        <v>0.74305555555555558</v>
      </c>
      <c r="K76" s="66">
        <v>0.49380000000000002</v>
      </c>
      <c r="L76" s="73">
        <v>0.79166666666666663</v>
      </c>
      <c r="M76" s="66">
        <v>0.63700000000000001</v>
      </c>
      <c r="N76" s="65">
        <f t="shared" si="1"/>
        <v>0.5737000000000001</v>
      </c>
      <c r="O76" s="240"/>
    </row>
    <row r="77" spans="2:15">
      <c r="B77" s="239"/>
      <c r="C77" s="63" t="s">
        <v>104</v>
      </c>
      <c r="D77" s="73">
        <v>0.95833333333333337</v>
      </c>
      <c r="E77" s="65">
        <v>0.58809999999999996</v>
      </c>
      <c r="F77" s="73">
        <v>2.0833333333333332E-2</v>
      </c>
      <c r="G77" s="66">
        <v>0.56189999999999996</v>
      </c>
      <c r="H77" s="73"/>
      <c r="I77" s="66"/>
      <c r="J77" s="73">
        <v>6.25E-2</v>
      </c>
      <c r="K77" s="66">
        <v>0.54310000000000003</v>
      </c>
      <c r="L77" s="73">
        <v>9.0277777777777776E-2</v>
      </c>
      <c r="M77" s="66">
        <v>0.62980000000000003</v>
      </c>
      <c r="N77" s="65">
        <f t="shared" si="1"/>
        <v>0.58072499999999994</v>
      </c>
      <c r="O77" s="240"/>
    </row>
    <row r="78" spans="2:15">
      <c r="B78" s="239">
        <v>46229</v>
      </c>
      <c r="C78" s="63" t="s">
        <v>136</v>
      </c>
      <c r="D78" s="73">
        <v>0.3125</v>
      </c>
      <c r="E78" s="64">
        <v>0.5444</v>
      </c>
      <c r="F78" s="73">
        <v>0.34027777777777779</v>
      </c>
      <c r="G78" s="65">
        <v>0.54790000000000005</v>
      </c>
      <c r="H78" s="73"/>
      <c r="I78" s="66"/>
      <c r="J78" s="73">
        <v>0.375</v>
      </c>
      <c r="K78" s="65">
        <v>0.52449999999999997</v>
      </c>
      <c r="L78" s="73">
        <v>0.40277777777777779</v>
      </c>
      <c r="M78" s="65">
        <v>0.62109999999999999</v>
      </c>
      <c r="N78" s="65">
        <f t="shared" si="1"/>
        <v>0.55947499999999994</v>
      </c>
      <c r="O78" s="240">
        <f>AVERAGE(N78:N80)</f>
        <v>0.59717166666666666</v>
      </c>
    </row>
    <row r="79" spans="2:15">
      <c r="B79" s="239"/>
      <c r="C79" s="63" t="s">
        <v>137</v>
      </c>
      <c r="D79" s="73">
        <v>0.63194444444444442</v>
      </c>
      <c r="E79" s="65">
        <v>0.59370000000000001</v>
      </c>
      <c r="F79" s="73">
        <v>0.66666666666666663</v>
      </c>
      <c r="G79" s="65">
        <v>0.61750000000000005</v>
      </c>
      <c r="H79" s="73">
        <v>0.83333333333333337</v>
      </c>
      <c r="I79" s="66">
        <v>0.65769999999999995</v>
      </c>
      <c r="J79" s="73">
        <v>0.72222222222222221</v>
      </c>
      <c r="K79" s="66">
        <v>0.54279999999999995</v>
      </c>
      <c r="L79" s="73">
        <v>0.75694444444444442</v>
      </c>
      <c r="M79" s="66">
        <v>0.62960000000000005</v>
      </c>
      <c r="N79" s="65">
        <f t="shared" si="1"/>
        <v>0.60825999999999991</v>
      </c>
      <c r="O79" s="240"/>
    </row>
    <row r="80" spans="2:15">
      <c r="B80" s="239"/>
      <c r="C80" s="63" t="s">
        <v>104</v>
      </c>
      <c r="D80" s="73">
        <v>0.95833333333333337</v>
      </c>
      <c r="E80" s="65">
        <v>0.60219999999999996</v>
      </c>
      <c r="F80" s="73">
        <v>0</v>
      </c>
      <c r="G80" s="66">
        <v>0.61729999999999996</v>
      </c>
      <c r="H80" s="73">
        <v>4.1666666666666664E-2</v>
      </c>
      <c r="I80" s="66">
        <v>0.60740000000000005</v>
      </c>
      <c r="J80" s="73">
        <v>8.3333333333333329E-2</v>
      </c>
      <c r="K80" s="66">
        <v>0.60260000000000002</v>
      </c>
      <c r="L80" s="73">
        <v>0.125</v>
      </c>
      <c r="M80" s="66">
        <v>0.68940000000000001</v>
      </c>
      <c r="N80" s="65">
        <f t="shared" si="1"/>
        <v>0.62378</v>
      </c>
      <c r="O80" s="240"/>
    </row>
    <row r="81" spans="2:15">
      <c r="B81" s="239">
        <v>46230</v>
      </c>
      <c r="C81" s="63" t="s">
        <v>136</v>
      </c>
      <c r="D81" s="73">
        <v>0.2986111111111111</v>
      </c>
      <c r="E81" s="64">
        <v>0.62570000000000003</v>
      </c>
      <c r="F81" s="73">
        <v>0.3611111111111111</v>
      </c>
      <c r="G81" s="65">
        <v>0.63470000000000004</v>
      </c>
      <c r="H81" s="73">
        <v>0.3888888888888889</v>
      </c>
      <c r="I81" s="66">
        <v>0.66500000000000004</v>
      </c>
      <c r="J81" s="73">
        <v>0.45833333333333331</v>
      </c>
      <c r="K81" s="65">
        <v>0.61480000000000001</v>
      </c>
      <c r="L81" s="73">
        <v>0.54861111111111116</v>
      </c>
      <c r="M81" s="65">
        <v>0.6522</v>
      </c>
      <c r="N81" s="65">
        <f t="shared" si="1"/>
        <v>0.63848000000000016</v>
      </c>
      <c r="O81" s="240">
        <f>AVERAGE(N81:N83)</f>
        <v>0.62356</v>
      </c>
    </row>
    <row r="82" spans="2:15">
      <c r="B82" s="239"/>
      <c r="C82" s="63" t="s">
        <v>137</v>
      </c>
      <c r="D82" s="73">
        <v>0.63194444444444442</v>
      </c>
      <c r="E82" s="65">
        <v>0.64400000000000002</v>
      </c>
      <c r="F82" s="73">
        <v>0.66666666666666663</v>
      </c>
      <c r="G82" s="65">
        <v>0.62060000000000004</v>
      </c>
      <c r="H82" s="73">
        <v>0.73611111111111116</v>
      </c>
      <c r="I82" s="66">
        <v>0.66469999999999996</v>
      </c>
      <c r="J82" s="73">
        <v>0.70833333333333337</v>
      </c>
      <c r="K82" s="66">
        <v>0.49690000000000001</v>
      </c>
      <c r="L82" s="73">
        <v>0.77083333333333337</v>
      </c>
      <c r="M82" s="66">
        <v>0.64229999999999998</v>
      </c>
      <c r="N82" s="65">
        <f t="shared" si="1"/>
        <v>0.61370000000000002</v>
      </c>
      <c r="O82" s="240"/>
    </row>
    <row r="83" spans="2:15">
      <c r="B83" s="239"/>
      <c r="C83" s="63" t="s">
        <v>104</v>
      </c>
      <c r="D83" s="73">
        <v>0.95833333333333337</v>
      </c>
      <c r="E83" s="65">
        <v>0.64549999999999996</v>
      </c>
      <c r="F83" s="73">
        <v>0</v>
      </c>
      <c r="G83" s="66">
        <v>0.63229999999999997</v>
      </c>
      <c r="H83" s="73">
        <v>4.1666666666666664E-2</v>
      </c>
      <c r="I83" s="66">
        <v>0.66769999999999996</v>
      </c>
      <c r="J83" s="73">
        <v>8.3333333333333329E-2</v>
      </c>
      <c r="K83" s="66">
        <v>0.50109999999999999</v>
      </c>
      <c r="L83" s="73">
        <v>0.125</v>
      </c>
      <c r="M83" s="66">
        <v>0.64590000000000003</v>
      </c>
      <c r="N83" s="65">
        <f t="shared" si="1"/>
        <v>0.61850000000000005</v>
      </c>
      <c r="O83" s="240"/>
    </row>
    <row r="84" spans="2:15">
      <c r="B84" s="239">
        <v>46231</v>
      </c>
      <c r="C84" s="63" t="s">
        <v>136</v>
      </c>
      <c r="D84" s="73">
        <v>0.3125</v>
      </c>
      <c r="E84" s="64">
        <v>0.68679999999999997</v>
      </c>
      <c r="F84" s="73">
        <v>0.36805555555555558</v>
      </c>
      <c r="G84" s="65">
        <v>0.5927</v>
      </c>
      <c r="H84" s="73">
        <v>0.4236111111111111</v>
      </c>
      <c r="I84" s="66">
        <v>0.62760000000000005</v>
      </c>
      <c r="J84" s="73">
        <v>0.49305555555555558</v>
      </c>
      <c r="K84" s="65">
        <v>0.66590000000000005</v>
      </c>
      <c r="L84" s="73">
        <v>0.55555555555555558</v>
      </c>
      <c r="M84" s="65">
        <v>0.63880000000000003</v>
      </c>
      <c r="N84" s="65">
        <f t="shared" si="1"/>
        <v>0.64236000000000004</v>
      </c>
      <c r="O84" s="240">
        <f>AVERAGE(N84:N86)</f>
        <v>0.67535888888888895</v>
      </c>
    </row>
    <row r="85" spans="2:15">
      <c r="B85" s="239"/>
      <c r="C85" s="63" t="s">
        <v>137</v>
      </c>
      <c r="D85" s="73">
        <v>0.64583333333333337</v>
      </c>
      <c r="E85" s="65">
        <v>0.72850000000000004</v>
      </c>
      <c r="F85" s="73"/>
      <c r="G85" s="65"/>
      <c r="H85" s="73">
        <v>0.68055555555555558</v>
      </c>
      <c r="I85" s="66">
        <v>0.68479999999999996</v>
      </c>
      <c r="J85" s="73"/>
      <c r="K85" s="66"/>
      <c r="L85" s="73">
        <v>0.72916666666666663</v>
      </c>
      <c r="M85" s="66">
        <v>0.64580000000000004</v>
      </c>
      <c r="N85" s="65">
        <f t="shared" si="1"/>
        <v>0.68636666666666668</v>
      </c>
      <c r="O85" s="240"/>
    </row>
    <row r="86" spans="2:15">
      <c r="B86" s="239"/>
      <c r="C86" s="63" t="s">
        <v>104</v>
      </c>
      <c r="D86" s="73"/>
      <c r="E86" s="65"/>
      <c r="F86" s="73"/>
      <c r="G86" s="66"/>
      <c r="H86" s="73">
        <v>0.95833333333333337</v>
      </c>
      <c r="I86" s="66">
        <v>0.69010000000000005</v>
      </c>
      <c r="J86" s="73"/>
      <c r="K86" s="66"/>
      <c r="L86" s="73">
        <v>0</v>
      </c>
      <c r="M86" s="66">
        <v>0.7046</v>
      </c>
      <c r="N86" s="65">
        <f t="shared" si="1"/>
        <v>0.69735000000000003</v>
      </c>
      <c r="O86" s="240"/>
    </row>
    <row r="87" spans="2:15">
      <c r="B87" s="239">
        <v>46232</v>
      </c>
      <c r="C87" s="63" t="s">
        <v>136</v>
      </c>
      <c r="D87" s="73"/>
      <c r="E87" s="64"/>
      <c r="F87" s="73"/>
      <c r="G87" s="65"/>
      <c r="H87" s="73">
        <v>0.4236111111111111</v>
      </c>
      <c r="I87" s="66">
        <v>0.69910000000000005</v>
      </c>
      <c r="J87" s="73"/>
      <c r="K87" s="65"/>
      <c r="L87" s="73">
        <v>0.55555555555555558</v>
      </c>
      <c r="M87" s="65">
        <v>0.68740000000000001</v>
      </c>
      <c r="N87" s="65">
        <f t="shared" si="1"/>
        <v>0.69325000000000003</v>
      </c>
      <c r="O87" s="240" t="e">
        <f>AVERAGE(N87:N89)</f>
        <v>#DIV/0!</v>
      </c>
    </row>
    <row r="88" spans="2:15">
      <c r="B88" s="239"/>
      <c r="C88" s="63" t="s">
        <v>137</v>
      </c>
      <c r="D88" s="73"/>
      <c r="E88" s="65"/>
      <c r="F88" s="73"/>
      <c r="G88" s="65"/>
      <c r="H88" s="73"/>
      <c r="I88" s="66"/>
      <c r="J88" s="73"/>
      <c r="K88" s="66"/>
      <c r="L88" s="73"/>
      <c r="M88" s="66"/>
      <c r="N88" s="65" t="e">
        <f t="shared" si="1"/>
        <v>#DIV/0!</v>
      </c>
      <c r="O88" s="240"/>
    </row>
    <row r="89" spans="2:15">
      <c r="B89" s="239"/>
      <c r="C89" s="63" t="s">
        <v>104</v>
      </c>
      <c r="D89" s="73"/>
      <c r="E89" s="65"/>
      <c r="F89" s="73"/>
      <c r="G89" s="66"/>
      <c r="H89" s="73"/>
      <c r="I89" s="66"/>
      <c r="J89" s="73"/>
      <c r="K89" s="66"/>
      <c r="L89" s="73"/>
      <c r="M89" s="66"/>
      <c r="N89" s="65" t="e">
        <f t="shared" si="1"/>
        <v>#DIV/0!</v>
      </c>
      <c r="O89" s="240"/>
    </row>
    <row r="90" spans="2:15">
      <c r="B90" s="239">
        <v>46233</v>
      </c>
      <c r="C90" s="63" t="s">
        <v>136</v>
      </c>
      <c r="D90" s="73">
        <v>0.39583333333333331</v>
      </c>
      <c r="E90" s="64">
        <v>0.53280000000000005</v>
      </c>
      <c r="F90" s="73">
        <v>0.44444444444444442</v>
      </c>
      <c r="G90" s="65">
        <v>0.5585</v>
      </c>
      <c r="H90" s="73"/>
      <c r="I90" s="66"/>
      <c r="J90" s="73">
        <v>0.4861111111111111</v>
      </c>
      <c r="K90" s="65">
        <v>0.53410000000000002</v>
      </c>
      <c r="L90" s="73"/>
      <c r="M90" s="65"/>
      <c r="N90" s="65">
        <f t="shared" si="1"/>
        <v>0.54179999999999995</v>
      </c>
      <c r="O90" s="240">
        <f>AVERAGE(N90:N92)</f>
        <v>0.55976666666666663</v>
      </c>
    </row>
    <row r="91" spans="2:15">
      <c r="B91" s="239"/>
      <c r="C91" s="63" t="s">
        <v>137</v>
      </c>
      <c r="D91" s="73">
        <v>0.625</v>
      </c>
      <c r="E91" s="65">
        <v>0.61660000000000004</v>
      </c>
      <c r="F91" s="73">
        <v>0.66666666666666663</v>
      </c>
      <c r="G91" s="65">
        <v>0.56000000000000005</v>
      </c>
      <c r="H91" s="73"/>
      <c r="I91" s="66"/>
      <c r="J91" s="73">
        <v>0.70833333333333337</v>
      </c>
      <c r="K91" s="66">
        <v>0.5323</v>
      </c>
      <c r="L91" s="73"/>
      <c r="M91" s="66"/>
      <c r="N91" s="65">
        <f t="shared" si="1"/>
        <v>0.56963333333333332</v>
      </c>
      <c r="O91" s="240"/>
    </row>
    <row r="92" spans="2:15">
      <c r="B92" s="239"/>
      <c r="C92" s="63" t="s">
        <v>104</v>
      </c>
      <c r="D92" s="73">
        <v>0.95833333333333337</v>
      </c>
      <c r="E92" s="65">
        <v>0.60260000000000002</v>
      </c>
      <c r="F92" s="73">
        <v>0</v>
      </c>
      <c r="G92" s="66">
        <v>0.55620000000000003</v>
      </c>
      <c r="H92" s="73"/>
      <c r="I92" s="66"/>
      <c r="J92" s="73">
        <v>4.1666666666666664E-2</v>
      </c>
      <c r="K92" s="66">
        <v>0.54479999999999995</v>
      </c>
      <c r="L92" s="73"/>
      <c r="M92" s="66"/>
      <c r="N92" s="65">
        <f t="shared" si="1"/>
        <v>0.56786666666666663</v>
      </c>
      <c r="O92" s="240"/>
    </row>
    <row r="93" spans="2:15">
      <c r="B93" s="239">
        <v>46234</v>
      </c>
      <c r="C93" s="67" t="s">
        <v>136</v>
      </c>
      <c r="D93" s="74">
        <v>0.33333333333333331</v>
      </c>
      <c r="E93" s="65">
        <v>0.50339999999999996</v>
      </c>
      <c r="F93" s="73">
        <v>0.3611111111111111</v>
      </c>
      <c r="G93" s="65">
        <v>0.54020000000000001</v>
      </c>
      <c r="H93" s="73"/>
      <c r="I93" s="68"/>
      <c r="J93" s="73">
        <v>0.41666666666666669</v>
      </c>
      <c r="K93" s="65">
        <v>0.55189999999999995</v>
      </c>
      <c r="L93" s="73"/>
      <c r="M93" s="65"/>
      <c r="N93" s="65">
        <f t="shared" si="1"/>
        <v>0.53183333333333327</v>
      </c>
      <c r="O93" s="240">
        <f>AVERAGE(N93:N95)</f>
        <v>0.50271111111111111</v>
      </c>
    </row>
    <row r="94" spans="2:15">
      <c r="B94" s="239"/>
      <c r="C94" s="67" t="s">
        <v>137</v>
      </c>
      <c r="D94" s="74">
        <v>0.64583333333333337</v>
      </c>
      <c r="E94" s="65">
        <v>0.48849999999999999</v>
      </c>
      <c r="F94" s="73">
        <v>0.68055555555555558</v>
      </c>
      <c r="G94" s="65">
        <v>0.4985</v>
      </c>
      <c r="H94" s="73"/>
      <c r="I94" s="68"/>
      <c r="J94" s="73">
        <v>0.72916666666666663</v>
      </c>
      <c r="K94" s="68">
        <v>0.4824</v>
      </c>
      <c r="L94" s="73"/>
      <c r="M94" s="68"/>
      <c r="N94" s="65">
        <f t="shared" si="1"/>
        <v>0.48980000000000001</v>
      </c>
      <c r="O94" s="240"/>
    </row>
    <row r="95" spans="2:15" ht="18" thickBot="1">
      <c r="B95" s="243"/>
      <c r="C95" s="69" t="s">
        <v>104</v>
      </c>
      <c r="D95" s="75">
        <v>0.92361111111111116</v>
      </c>
      <c r="E95" s="70">
        <v>0.46920000000000001</v>
      </c>
      <c r="F95" s="79">
        <v>2.0833333333333332E-2</v>
      </c>
      <c r="G95" s="71">
        <v>0.52480000000000004</v>
      </c>
      <c r="H95" s="79"/>
      <c r="I95" s="71"/>
      <c r="J95" s="79">
        <v>8.3333333333333329E-2</v>
      </c>
      <c r="K95" s="71">
        <v>0.46550000000000002</v>
      </c>
      <c r="L95" s="79"/>
      <c r="M95" s="71"/>
      <c r="N95" s="65">
        <f t="shared" si="1"/>
        <v>0.48649999999999999</v>
      </c>
      <c r="O95" s="244"/>
    </row>
  </sheetData>
  <mergeCells count="77">
    <mergeCell ref="B93:B95"/>
    <mergeCell ref="O93:O95"/>
    <mergeCell ref="D1:E1"/>
    <mergeCell ref="F1:G1"/>
    <mergeCell ref="H1:I1"/>
    <mergeCell ref="J1:K1"/>
    <mergeCell ref="L1:M1"/>
    <mergeCell ref="C1:C2"/>
    <mergeCell ref="B1:B2"/>
    <mergeCell ref="B90:B92"/>
    <mergeCell ref="B72:B74"/>
    <mergeCell ref="O72:O74"/>
    <mergeCell ref="O90:O92"/>
    <mergeCell ref="B75:B77"/>
    <mergeCell ref="O1:O2"/>
    <mergeCell ref="B69:B71"/>
    <mergeCell ref="N1:N2"/>
    <mergeCell ref="B84:B86"/>
    <mergeCell ref="O84:O86"/>
    <mergeCell ref="B87:B89"/>
    <mergeCell ref="O87:O89"/>
    <mergeCell ref="O60:O62"/>
    <mergeCell ref="O75:O77"/>
    <mergeCell ref="B78:B80"/>
    <mergeCell ref="O78:O80"/>
    <mergeCell ref="B81:B83"/>
    <mergeCell ref="O81:O83"/>
    <mergeCell ref="B63:B65"/>
    <mergeCell ref="O63:O65"/>
    <mergeCell ref="B66:B68"/>
    <mergeCell ref="O66:O68"/>
    <mergeCell ref="B48:B50"/>
    <mergeCell ref="O69:O71"/>
    <mergeCell ref="B54:B56"/>
    <mergeCell ref="O54:O56"/>
    <mergeCell ref="B57:B59"/>
    <mergeCell ref="O57:O59"/>
    <mergeCell ref="B60:B62"/>
    <mergeCell ref="B45:B47"/>
    <mergeCell ref="O45:O47"/>
    <mergeCell ref="O48:O50"/>
    <mergeCell ref="B51:B53"/>
    <mergeCell ref="O51:O53"/>
    <mergeCell ref="B36:B38"/>
    <mergeCell ref="O36:O38"/>
    <mergeCell ref="B39:B41"/>
    <mergeCell ref="O39:O41"/>
    <mergeCell ref="B42:B44"/>
    <mergeCell ref="O42:O44"/>
    <mergeCell ref="B27:B29"/>
    <mergeCell ref="O27:O29"/>
    <mergeCell ref="B30:B32"/>
    <mergeCell ref="O30:O32"/>
    <mergeCell ref="B33:B35"/>
    <mergeCell ref="O33:O35"/>
    <mergeCell ref="B21:B23"/>
    <mergeCell ref="O21:O23"/>
    <mergeCell ref="B24:B26"/>
    <mergeCell ref="O24:O26"/>
    <mergeCell ref="B18:B20"/>
    <mergeCell ref="O18:O20"/>
    <mergeCell ref="A1:A4"/>
    <mergeCell ref="B3:B5"/>
    <mergeCell ref="O3:O5"/>
    <mergeCell ref="A5:A7"/>
    <mergeCell ref="B6:B8"/>
    <mergeCell ref="O6:O8"/>
    <mergeCell ref="A8:A10"/>
    <mergeCell ref="B9:B11"/>
    <mergeCell ref="O9:O11"/>
    <mergeCell ref="A11:A13"/>
    <mergeCell ref="B12:B14"/>
    <mergeCell ref="O12:O14"/>
    <mergeCell ref="A14:A16"/>
    <mergeCell ref="B15:B17"/>
    <mergeCell ref="O15:O17"/>
    <mergeCell ref="A17:A1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34</vt:i4>
      </vt:variant>
    </vt:vector>
  </HeadingPairs>
  <TitlesOfParts>
    <vt:vector size="34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요약(약품)</vt:lpstr>
      <vt:lpstr>요약(그외)</vt:lpstr>
      <vt:lpstr>함수율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봉이도진서진</dc:creator>
  <cp:lastModifiedBy>User</cp:lastModifiedBy>
  <cp:lastPrinted>2020-10-03T21:07:42Z</cp:lastPrinted>
  <dcterms:created xsi:type="dcterms:W3CDTF">2019-07-06T23:33:34Z</dcterms:created>
  <dcterms:modified xsi:type="dcterms:W3CDTF">2026-08-02T23:57:31Z</dcterms:modified>
</cp:coreProperties>
</file>