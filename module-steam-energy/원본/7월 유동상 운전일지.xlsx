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comments/comment2.xml" ContentType="application/vnd.openxmlformats-officedocument.spreadsheetml.comments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416" windowHeight="8688" tabRatio="865" firstSheet="4" activeTab="31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3" sheetId="23" state="visible" r:id="rId23"/>
    <sheet name="24" sheetId="24" state="visible" r:id="rId24"/>
    <sheet name="25" sheetId="25" state="visible" r:id="rId25"/>
    <sheet name="26" sheetId="26" state="visible" r:id="rId26"/>
    <sheet name="27" sheetId="27" state="visible" r:id="rId27"/>
    <sheet name="28" sheetId="28" state="visible" r:id="rId28"/>
    <sheet name="29" sheetId="29" state="visible" r:id="rId29"/>
    <sheet name="30" sheetId="30" state="visible" r:id="rId30"/>
    <sheet name="31" sheetId="31" state="visible" r:id="rId31"/>
    <sheet name="요약(약품)" sheetId="32" state="visible" r:id="rId32"/>
    <sheet name="요약(그외)" sheetId="33" state="visible" r:id="rId33"/>
    <sheet name="함수율" sheetId="34" state="visible" r:id="rId34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0.0_ "/>
    <numFmt numFmtId="165" formatCode="0_ "/>
    <numFmt numFmtId="166" formatCode="mm&quot;월&quot;\ dd&quot;일&quot;"/>
    <numFmt numFmtId="167" formatCode="0.0_);[Red]\(0.0\)"/>
    <numFmt numFmtId="168" formatCode="0_);[Red]\(0\)"/>
    <numFmt numFmtId="169" formatCode="0&quot;대&quot;"/>
    <numFmt numFmtId="170" formatCode="0.0"/>
    <numFmt numFmtId="171" formatCode="0&quot;회&quot;"/>
    <numFmt numFmtId="172" formatCode="h:mm;@"/>
    <numFmt numFmtId="173" formatCode="[$-F800]dddd\,\ mmmm\ dd\,\ yyyy"/>
    <numFmt numFmtId="174" formatCode="0&quot;시&quot;&quot;간&quot;"/>
    <numFmt numFmtId="175" formatCode="0.0&quot;시&quot;&quot;간&quot;"/>
    <numFmt numFmtId="176" formatCode="0.00_ "/>
  </numFmts>
  <fonts count="2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color theme="1"/>
      <sz val="20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color theme="1"/>
      <sz val="16"/>
      <u val="single"/>
      <scheme val="minor"/>
    </font>
    <font>
      <name val="맑은 고딕"/>
      <charset val="129"/>
      <family val="3"/>
      <color theme="1"/>
      <sz val="8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1"/>
      <sz val="9"/>
      <scheme val="minor"/>
    </font>
    <font>
      <name val="맑은 고딕"/>
      <charset val="129"/>
      <family val="3"/>
      <color theme="1"/>
      <sz val="6"/>
      <scheme val="minor"/>
    </font>
    <font>
      <name val="맑은 고딕"/>
      <charset val="129"/>
      <family val="2"/>
      <sz val="11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1"/>
      <sz val="8"/>
      <scheme val="minor"/>
    </font>
    <font>
      <name val="Tahoma"/>
      <family val="2"/>
      <color indexed="81"/>
      <sz val="9"/>
    </font>
    <font>
      <name val="돋움"/>
      <charset val="129"/>
      <family val="3"/>
      <color indexed="81"/>
      <sz val="9"/>
    </font>
    <font>
      <name val="Tahoma"/>
      <family val="2"/>
      <b val="1"/>
      <color indexed="81"/>
      <sz val="9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double">
        <color indexed="64"/>
      </top>
      <bottom style="thin">
        <color auto="1"/>
      </bottom>
      <diagonal/>
    </border>
    <border>
      <left/>
      <right style="thin">
        <color auto="1"/>
      </right>
      <top style="double">
        <color indexed="64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auto="1"/>
      </bottom>
      <diagonal/>
    </border>
    <border>
      <left style="thin">
        <color auto="1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auto="1"/>
      </left>
      <right style="thin">
        <color auto="1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double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 style="double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/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</borders>
  <cellStyleXfs count="7">
    <xf numFmtId="0" fontId="6" fillId="0" borderId="0" applyAlignment="1">
      <alignment vertical="center"/>
    </xf>
    <xf numFmtId="41" fontId="6" fillId="0" borderId="0" applyAlignment="1">
      <alignment vertical="center"/>
    </xf>
    <xf numFmtId="41" fontId="6" fillId="0" borderId="0" applyAlignment="1">
      <alignment vertical="center"/>
    </xf>
    <xf numFmtId="9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1" fontId="6" fillId="0" borderId="0" applyAlignment="1">
      <alignment vertical="center"/>
    </xf>
  </cellStyleXfs>
  <cellXfs count="36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 shrinkToFit="1"/>
    </xf>
    <xf numFmtId="164" fontId="7" fillId="3" borderId="0" applyAlignment="1" pivotButton="0" quotePrefix="0" xfId="0">
      <alignment vertical="center" shrinkToFit="1"/>
    </xf>
    <xf numFmtId="0" fontId="9" fillId="0" borderId="37" applyAlignment="1" pivotButton="0" quotePrefix="0" xfId="0">
      <alignment horizontal="center" vertical="center"/>
    </xf>
    <xf numFmtId="0" fontId="9" fillId="3" borderId="37" applyAlignment="1" pivotButton="0" quotePrefix="0" xfId="0">
      <alignment horizontal="center" vertical="center"/>
    </xf>
    <xf numFmtId="0" fontId="9" fillId="0" borderId="38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vertical="center" shrinkToFit="1"/>
    </xf>
    <xf numFmtId="0" fontId="9" fillId="0" borderId="5" applyAlignment="1" pivotButton="0" quotePrefix="0" xfId="0">
      <alignment horizontal="center" vertical="center" shrinkToFit="1"/>
    </xf>
    <xf numFmtId="165" fontId="9" fillId="0" borderId="40" applyAlignment="1" pivotButton="0" quotePrefix="0" xfId="0">
      <alignment horizontal="center" vertical="center" shrinkToFit="1"/>
    </xf>
    <xf numFmtId="0" fontId="7" fillId="0" borderId="42" applyAlignment="1" pivotButton="0" quotePrefix="0" xfId="0">
      <alignment horizontal="center" vertical="center"/>
    </xf>
    <xf numFmtId="0" fontId="9" fillId="0" borderId="42" applyAlignment="1" pivotButton="0" quotePrefix="0" xfId="1">
      <alignment vertical="center" shrinkToFit="1"/>
    </xf>
    <xf numFmtId="165" fontId="9" fillId="0" borderId="43" applyAlignment="1" pivotButton="0" quotePrefix="0" xfId="0">
      <alignment horizontal="center" vertical="center" shrinkToFit="1"/>
    </xf>
    <xf numFmtId="0" fontId="7" fillId="0" borderId="45" applyAlignment="1" pivotButton="0" quotePrefix="0" xfId="0">
      <alignment horizontal="center" vertical="center"/>
    </xf>
    <xf numFmtId="0" fontId="9" fillId="0" borderId="45" applyAlignment="1" pivotButton="0" quotePrefix="0" xfId="0">
      <alignment horizontal="center" vertical="center" shrinkToFit="1"/>
    </xf>
    <xf numFmtId="0" fontId="9" fillId="0" borderId="42" applyAlignment="1" pivotButton="0" quotePrefix="0" xfId="0">
      <alignment vertical="center" shrinkToFit="1"/>
    </xf>
    <xf numFmtId="165" fontId="9" fillId="0" borderId="46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0" fontId="9" fillId="0" borderId="47" applyAlignment="1" pivotButton="0" quotePrefix="0" xfId="0">
      <alignment vertical="center" shrinkToFit="1"/>
    </xf>
    <xf numFmtId="0" fontId="7" fillId="3" borderId="5" applyAlignment="1" pivotButton="0" quotePrefix="0" xfId="0">
      <alignment horizontal="center" vertical="center"/>
    </xf>
    <xf numFmtId="0" fontId="9" fillId="3" borderId="5" applyAlignment="1" pivotButton="0" quotePrefix="0" xfId="0">
      <alignment horizontal="center" vertical="center" shrinkToFit="1"/>
    </xf>
    <xf numFmtId="0" fontId="7" fillId="3" borderId="0" applyAlignment="1" pivotButton="0" quotePrefix="0" xfId="0">
      <alignment vertical="center"/>
    </xf>
    <xf numFmtId="0" fontId="9" fillId="0" borderId="4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7" fillId="0" borderId="51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51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167" fontId="7" fillId="0" borderId="0" applyAlignment="1" pivotButton="0" quotePrefix="0" xfId="0">
      <alignment vertical="center"/>
    </xf>
    <xf numFmtId="168" fontId="7" fillId="0" borderId="0" applyAlignment="1" pivotButton="0" quotePrefix="0" xfId="0">
      <alignment vertical="center"/>
    </xf>
    <xf numFmtId="0" fontId="7" fillId="0" borderId="55" applyAlignment="1" pivotButton="0" quotePrefix="0" xfId="0">
      <alignment horizontal="center" vertical="center"/>
    </xf>
    <xf numFmtId="0" fontId="9" fillId="0" borderId="55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shrinkToFit="1"/>
    </xf>
    <xf numFmtId="1" fontId="9" fillId="0" borderId="1" applyAlignment="1" pivotButton="0" quotePrefix="0" xfId="0">
      <alignment horizontal="center" vertical="center"/>
    </xf>
    <xf numFmtId="1" fontId="9" fillId="0" borderId="51" applyAlignment="1" pivotButton="0" quotePrefix="0" xfId="0">
      <alignment horizontal="center" vertical="center"/>
    </xf>
    <xf numFmtId="14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65" fontId="9" fillId="0" borderId="57" applyAlignment="1" pivotButton="0" quotePrefix="0" xfId="0">
      <alignment horizontal="center" vertical="center" shrinkToFit="1"/>
    </xf>
    <xf numFmtId="165" fontId="9" fillId="0" borderId="58" applyAlignment="1" pivotButton="0" quotePrefix="0" xfId="0">
      <alignment horizontal="center" vertical="center" shrinkToFit="1"/>
    </xf>
    <xf numFmtId="165" fontId="9" fillId="0" borderId="59" applyAlignment="1" pivotButton="0" quotePrefix="0" xfId="0">
      <alignment horizontal="center" vertical="center" shrinkToFit="1"/>
    </xf>
    <xf numFmtId="0" fontId="9" fillId="0" borderId="60" applyAlignment="1" pivotButton="0" quotePrefix="0" xfId="0">
      <alignment horizontal="center" vertical="center" shrinkToFit="1"/>
    </xf>
    <xf numFmtId="0" fontId="9" fillId="0" borderId="61" applyAlignment="1" pivotButton="0" quotePrefix="0" xfId="0">
      <alignment horizontal="center" vertical="center" shrinkToFit="1"/>
    </xf>
    <xf numFmtId="165" fontId="9" fillId="0" borderId="62" applyAlignment="1" pivotButton="0" quotePrefix="0" xfId="0">
      <alignment horizontal="center" vertical="center" shrinkToFit="1"/>
    </xf>
    <xf numFmtId="0" fontId="9" fillId="0" borderId="62" applyAlignment="1" pivotButton="0" quotePrefix="0" xfId="0">
      <alignment horizontal="center" vertical="center" shrinkToFit="1"/>
    </xf>
    <xf numFmtId="2" fontId="9" fillId="0" borderId="45" applyAlignment="1" pivotButton="0" quotePrefix="0" xfId="0">
      <alignment horizontal="center" vertical="center"/>
    </xf>
    <xf numFmtId="169" fontId="9" fillId="0" borderId="1" applyAlignment="1" pivotButton="0" quotePrefix="0" xfId="0">
      <alignment horizontal="center" vertical="center"/>
    </xf>
    <xf numFmtId="2" fontId="9" fillId="0" borderId="42" applyAlignment="1" pivotButton="0" quotePrefix="0" xfId="0">
      <alignment horizontal="center" vertical="center"/>
    </xf>
    <xf numFmtId="170" fontId="9" fillId="0" borderId="1" applyAlignment="1" pivotButton="0" quotePrefix="0" xfId="0">
      <alignment horizontal="center" vertical="center"/>
    </xf>
    <xf numFmtId="170" fontId="9" fillId="0" borderId="3" applyAlignment="1" pivotButton="0" quotePrefix="0" xfId="0">
      <alignment horizontal="center" vertical="center"/>
    </xf>
    <xf numFmtId="170" fontId="9" fillId="0" borderId="51" applyAlignment="1" pivotButton="0" quotePrefix="0" xfId="0">
      <alignment horizontal="center" vertical="center"/>
    </xf>
    <xf numFmtId="1" fontId="0" fillId="0" borderId="0" applyAlignment="1" pivotButton="0" quotePrefix="0" xfId="0">
      <alignment vertical="center"/>
    </xf>
    <xf numFmtId="0" fontId="7" fillId="0" borderId="3" applyAlignment="1" pivotButton="0" quotePrefix="0" xfId="0">
      <alignment horizontal="center" vertical="center"/>
    </xf>
    <xf numFmtId="171" fontId="9" fillId="0" borderId="5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70" fontId="2" fillId="0" borderId="0" applyAlignment="1" pivotButton="0" quotePrefix="0" xfId="0">
      <alignment horizontal="center" vertical="center"/>
    </xf>
    <xf numFmtId="9" fontId="13" fillId="0" borderId="0" applyAlignment="1" pivotButton="0" quotePrefix="0" xfId="3">
      <alignment horizontal="center" vertical="center"/>
    </xf>
    <xf numFmtId="9" fontId="14" fillId="0" borderId="0" applyAlignment="1" pivotButton="0" quotePrefix="0" xfId="3">
      <alignment horizontal="center" vertical="center"/>
    </xf>
    <xf numFmtId="9" fontId="0" fillId="0" borderId="0" applyAlignment="1" pivotButton="0" quotePrefix="0" xfId="3">
      <alignment horizontal="center" vertical="center"/>
    </xf>
    <xf numFmtId="9" fontId="0" fillId="0" borderId="0" applyAlignment="1" pivotButton="0" quotePrefix="0" xfId="3">
      <alignment vertical="center"/>
    </xf>
    <xf numFmtId="0" fontId="0" fillId="0" borderId="1" applyAlignment="1" pivotButton="0" quotePrefix="0" xfId="0">
      <alignment horizontal="center" vertical="center"/>
    </xf>
    <xf numFmtId="10" fontId="13" fillId="0" borderId="1" applyAlignment="1" pivotButton="0" quotePrefix="0" xfId="4">
      <alignment horizontal="center" vertical="center"/>
    </xf>
    <xf numFmtId="10" fontId="14" fillId="0" borderId="1" applyAlignment="1" pivotButton="0" quotePrefix="0" xfId="4">
      <alignment horizontal="center" vertical="center"/>
    </xf>
    <xf numFmtId="10" fontId="0" fillId="0" borderId="1" applyAlignment="1" pivotButton="0" quotePrefix="0" xfId="4">
      <alignment horizontal="center" vertical="center"/>
    </xf>
    <xf numFmtId="0" fontId="15" fillId="0" borderId="1" applyAlignment="1" pivotButton="0" quotePrefix="0" xfId="0">
      <alignment horizontal="center" vertical="center"/>
    </xf>
    <xf numFmtId="10" fontId="15" fillId="0" borderId="1" applyAlignment="1" pivotButton="0" quotePrefix="0" xfId="4">
      <alignment horizontal="center" vertical="center"/>
    </xf>
    <xf numFmtId="0" fontId="15" fillId="0" borderId="51" applyAlignment="1" pivotButton="0" quotePrefix="0" xfId="0">
      <alignment horizontal="center" vertical="center"/>
    </xf>
    <xf numFmtId="10" fontId="14" fillId="0" borderId="51" applyAlignment="1" pivotButton="0" quotePrefix="0" xfId="4">
      <alignment horizontal="center" vertical="center"/>
    </xf>
    <xf numFmtId="10" fontId="15" fillId="0" borderId="51" applyAlignment="1" pivotButton="0" quotePrefix="0" xfId="4">
      <alignment horizontal="center" vertical="center"/>
    </xf>
    <xf numFmtId="0" fontId="0" fillId="0" borderId="5" applyAlignment="1" pivotButton="0" quotePrefix="0" xfId="0">
      <alignment horizontal="center" vertical="center"/>
    </xf>
    <xf numFmtId="172" fontId="0" fillId="0" borderId="1" applyAlignment="1" pivotButton="0" quotePrefix="0" xfId="0">
      <alignment horizontal="center" vertical="center"/>
    </xf>
    <xf numFmtId="172" fontId="15" fillId="0" borderId="1" applyAlignment="1" pivotButton="0" quotePrefix="0" xfId="0">
      <alignment horizontal="center" vertical="center"/>
    </xf>
    <xf numFmtId="172" fontId="15" fillId="0" borderId="51" applyAlignment="1" pivotButton="0" quotePrefix="0" xfId="0">
      <alignment horizontal="center" vertical="center"/>
    </xf>
    <xf numFmtId="1" fontId="7" fillId="0" borderId="0" applyAlignment="1" pivotButton="0" quotePrefix="0" xfId="0">
      <alignment vertical="center"/>
    </xf>
    <xf numFmtId="0" fontId="9" fillId="0" borderId="4" applyAlignment="1" pivotButton="0" quotePrefix="0" xfId="0">
      <alignment vertical="center" shrinkToFit="1"/>
    </xf>
    <xf numFmtId="0" fontId="9" fillId="0" borderId="45" applyAlignment="1" pivotButton="0" quotePrefix="0" xfId="0">
      <alignment vertical="center" shrinkToFit="1"/>
    </xf>
    <xf numFmtId="172" fontId="0" fillId="0" borderId="51" applyAlignment="1" pivotButton="0" quotePrefix="0" xfId="0">
      <alignment horizontal="center" vertical="center"/>
    </xf>
    <xf numFmtId="0" fontId="9" fillId="0" borderId="51" applyAlignment="1" pivotButton="0" quotePrefix="0" xfId="0">
      <alignment horizontal="center" vertical="center" shrinkToFit="1"/>
    </xf>
    <xf numFmtId="0" fontId="9" fillId="3" borderId="51" applyAlignment="1" pivotButton="0" quotePrefix="0" xfId="0">
      <alignment horizontal="center" vertical="center" shrinkToFit="1"/>
    </xf>
    <xf numFmtId="165" fontId="9" fillId="0" borderId="68" applyAlignment="1" pivotButton="0" quotePrefix="0" xfId="0">
      <alignment horizontal="center" vertical="center" shrinkToFit="1"/>
    </xf>
    <xf numFmtId="165" fontId="9" fillId="0" borderId="65" applyAlignment="1" pivotButton="0" quotePrefix="0" xfId="0">
      <alignment horizontal="center" vertical="center" shrinkToFit="1"/>
    </xf>
    <xf numFmtId="165" fontId="9" fillId="0" borderId="69" applyAlignment="1" pivotButton="0" quotePrefix="0" xfId="0">
      <alignment horizontal="center" vertical="center" shrinkToFit="1"/>
    </xf>
    <xf numFmtId="0" fontId="9" fillId="0" borderId="51" applyAlignment="1" pivotButton="0" quotePrefix="0" xfId="0">
      <alignment vertical="center" shrinkToFit="1"/>
    </xf>
    <xf numFmtId="1" fontId="9" fillId="0" borderId="45" applyAlignment="1" pivotButton="0" quotePrefix="0" xfId="0">
      <alignment vertical="center" shrinkToFit="1"/>
    </xf>
    <xf numFmtId="1" fontId="9" fillId="0" borderId="5" applyAlignment="1" pivotButton="0" quotePrefix="0" xfId="0">
      <alignment vertical="center" shrinkToFit="1"/>
    </xf>
    <xf numFmtId="0" fontId="9" fillId="0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1" fontId="9" fillId="0" borderId="65" applyAlignment="1" pivotButton="0" quotePrefix="0" xfId="0">
      <alignment horizontal="center" vertical="center"/>
    </xf>
    <xf numFmtId="1" fontId="9" fillId="0" borderId="3" applyAlignment="1" pivotButton="0" quotePrefix="0" xfId="0">
      <alignment horizontal="center" vertical="center"/>
    </xf>
    <xf numFmtId="0" fontId="7" fillId="0" borderId="72" applyAlignment="1" pivotButton="0" quotePrefix="0" xfId="0">
      <alignment vertical="center"/>
    </xf>
    <xf numFmtId="0" fontId="7" fillId="3" borderId="72" applyAlignment="1" pivotButton="0" quotePrefix="0" xfId="0">
      <alignment vertical="center"/>
    </xf>
    <xf numFmtId="0" fontId="7" fillId="0" borderId="71" applyAlignment="1" pivotButton="0" quotePrefix="0" xfId="0">
      <alignment horizontal="center" vertical="center" wrapText="1"/>
    </xf>
    <xf numFmtId="0" fontId="7" fillId="0" borderId="72" applyAlignment="1" pivotButton="0" quotePrefix="0" xfId="0">
      <alignment horizontal="center" vertical="center"/>
    </xf>
    <xf numFmtId="0" fontId="7" fillId="0" borderId="70" applyAlignment="1" pivotButton="0" quotePrefix="0" xfId="0">
      <alignment vertical="center"/>
    </xf>
    <xf numFmtId="0" fontId="7" fillId="0" borderId="73" applyAlignment="1" pivotButton="0" quotePrefix="0" xfId="0">
      <alignment vertical="center"/>
    </xf>
    <xf numFmtId="0" fontId="7" fillId="0" borderId="72" applyAlignment="1" pivotButton="0" quotePrefix="0" xfId="0">
      <alignment vertical="center" wrapText="1"/>
    </xf>
    <xf numFmtId="1" fontId="2" fillId="0" borderId="9" applyAlignment="1" pivotButton="0" quotePrefix="0" xfId="0">
      <alignment horizontal="center" vertical="center"/>
    </xf>
    <xf numFmtId="1" fontId="2" fillId="0" borderId="30" applyAlignment="1" pivotButton="0" quotePrefix="0" xfId="0">
      <alignment horizontal="center" vertical="center"/>
    </xf>
    <xf numFmtId="1" fontId="2" fillId="0" borderId="1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30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2" borderId="7" applyAlignment="1" pivotButton="0" quotePrefix="0" xfId="0">
      <alignment horizontal="center" vertical="center"/>
    </xf>
    <xf numFmtId="0" fontId="2" fillId="2" borderId="63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169" fontId="2" fillId="0" borderId="32" applyAlignment="1" pivotButton="0" quotePrefix="0" xfId="0">
      <alignment horizontal="center" vertical="center"/>
    </xf>
    <xf numFmtId="169" fontId="2" fillId="0" borderId="34" applyAlignment="1" pivotButton="0" quotePrefix="0" xfId="0">
      <alignment horizontal="center" vertical="center"/>
    </xf>
    <xf numFmtId="169" fontId="2" fillId="0" borderId="27" applyAlignment="1" pivotButton="0" quotePrefix="0" xfId="0">
      <alignment horizontal="center" vertical="center"/>
    </xf>
    <xf numFmtId="169" fontId="2" fillId="0" borderId="28" applyAlignment="1" pivotButton="0" quotePrefix="0" xfId="0">
      <alignment horizontal="center" vertical="center"/>
    </xf>
    <xf numFmtId="169" fontId="2" fillId="0" borderId="23" applyAlignment="1" pivotButton="0" quotePrefix="0" xfId="0">
      <alignment horizontal="center" vertical="center"/>
    </xf>
    <xf numFmtId="169" fontId="2" fillId="0" borderId="24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173" fontId="4" fillId="0" borderId="13" applyAlignment="1" pivotButton="0" quotePrefix="0" xfId="0">
      <alignment horizontal="center" vertical="center"/>
    </xf>
    <xf numFmtId="173" fontId="4" fillId="0" borderId="14" applyAlignment="1" pivotButton="0" quotePrefix="0" xfId="0">
      <alignment horizontal="center" vertical="center"/>
    </xf>
    <xf numFmtId="173" fontId="4" fillId="0" borderId="15" applyAlignment="1" pivotButton="0" quotePrefix="0" xfId="0">
      <alignment horizontal="center" vertical="center"/>
    </xf>
    <xf numFmtId="0" fontId="2" fillId="0" borderId="64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170" fontId="2" fillId="0" borderId="1" applyAlignment="1" pivotButton="0" quotePrefix="0" xfId="0">
      <alignment horizontal="center" vertical="center"/>
    </xf>
    <xf numFmtId="174" fontId="2" fillId="0" borderId="1" applyAlignment="1" pivotButton="0" quotePrefix="0" xfId="0">
      <alignment horizontal="center" vertical="center"/>
    </xf>
    <xf numFmtId="1" fontId="2" fillId="0" borderId="5" applyAlignment="1" pivotButton="0" quotePrefix="0" xfId="0">
      <alignment horizontal="center" vertical="center"/>
    </xf>
    <xf numFmtId="170" fontId="2" fillId="0" borderId="5" applyAlignment="1" pivotButton="0" quotePrefix="0" xfId="0">
      <alignment horizontal="center" vertical="center"/>
    </xf>
    <xf numFmtId="174" fontId="2" fillId="0" borderId="5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2" fontId="2" fillId="0" borderId="32" applyAlignment="1" pivotButton="0" quotePrefix="0" xfId="0">
      <alignment horizontal="center" vertical="center"/>
    </xf>
    <xf numFmtId="2" fontId="2" fillId="0" borderId="33" applyAlignment="1" pivotButton="0" quotePrefix="0" xfId="0">
      <alignment horizontal="center" vertical="center"/>
    </xf>
    <xf numFmtId="2" fontId="2" fillId="0" borderId="23" applyAlignment="1" pivotButton="0" quotePrefix="0" xfId="0">
      <alignment horizontal="center" vertical="center"/>
    </xf>
    <xf numFmtId="2" fontId="2" fillId="0" borderId="2" applyAlignment="1" pivotButton="0" quotePrefix="0" xfId="0">
      <alignment horizontal="center" vertical="center"/>
    </xf>
    <xf numFmtId="2" fontId="2" fillId="0" borderId="34" applyAlignment="1" pivotButton="0" quotePrefix="0" xfId="0">
      <alignment horizontal="center" vertical="center"/>
    </xf>
    <xf numFmtId="2" fontId="2" fillId="0" borderId="2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169" fontId="2" fillId="0" borderId="22" applyAlignment="1" pivotButton="0" quotePrefix="0" xfId="0">
      <alignment horizontal="center" vertical="center"/>
    </xf>
    <xf numFmtId="169" fontId="2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2" fontId="2" fillId="0" borderId="25" applyAlignment="1" pivotButton="0" quotePrefix="0" xfId="0">
      <alignment horizontal="center" vertical="center"/>
    </xf>
    <xf numFmtId="2" fontId="2" fillId="0" borderId="29" applyAlignment="1" pivotButton="0" quotePrefix="0" xfId="0">
      <alignment horizontal="center" vertical="center"/>
    </xf>
    <xf numFmtId="2" fontId="2" fillId="0" borderId="26" applyAlignment="1" pivotButton="0" quotePrefix="0" xfId="0">
      <alignment horizontal="center" vertical="center"/>
    </xf>
    <xf numFmtId="2" fontId="2" fillId="2" borderId="25" applyAlignment="1" pivotButton="0" quotePrefix="0" xfId="0">
      <alignment horizontal="center" vertical="center"/>
    </xf>
    <xf numFmtId="2" fontId="2" fillId="2" borderId="26" applyAlignment="1" pivotButton="0" quotePrefix="0" xfId="0">
      <alignment horizontal="center" vertical="center"/>
    </xf>
    <xf numFmtId="2" fontId="2" fillId="2" borderId="27" applyAlignment="1" pivotButton="0" quotePrefix="0" xfId="0">
      <alignment horizontal="center" vertical="center"/>
    </xf>
    <xf numFmtId="2" fontId="2" fillId="2" borderId="28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5" applyAlignment="1" pivotButton="0" quotePrefix="0" xfId="0">
      <alignment horizontal="center" vertical="center"/>
    </xf>
    <xf numFmtId="0" fontId="2" fillId="0" borderId="26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 vertical="center"/>
    </xf>
    <xf numFmtId="0" fontId="2" fillId="0" borderId="28" applyAlignment="1" pivotButton="0" quotePrefix="0" xfId="0">
      <alignment horizontal="center" vertical="center"/>
    </xf>
    <xf numFmtId="0" fontId="2" fillId="0" borderId="23" applyAlignment="1" pivotButton="0" quotePrefix="0" xfId="0">
      <alignment horizontal="center" vertical="center"/>
    </xf>
    <xf numFmtId="0" fontId="2" fillId="0" borderId="24" applyAlignment="1" pivotButton="0" quotePrefix="0" xfId="0">
      <alignment horizontal="center" vertical="center"/>
    </xf>
    <xf numFmtId="0" fontId="2" fillId="0" borderId="29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165" fontId="2" fillId="0" borderId="5" applyAlignment="1" pivotButton="0" quotePrefix="0" xfId="0">
      <alignment horizontal="center" vertical="center"/>
    </xf>
    <xf numFmtId="175" fontId="2" fillId="0" borderId="5" applyAlignment="1" pivotButton="0" quotePrefix="0" xfId="0">
      <alignment horizontal="center" vertical="center"/>
    </xf>
    <xf numFmtId="175" fontId="2" fillId="0" borderId="1" applyAlignment="1" pivotButton="0" quotePrefix="0" xfId="0">
      <alignment horizontal="center" vertical="center"/>
    </xf>
    <xf numFmtId="170" fontId="2" fillId="0" borderId="17" applyAlignment="1" pivotButton="0" quotePrefix="0" xfId="0">
      <alignment horizontal="center" vertical="center"/>
    </xf>
    <xf numFmtId="170" fontId="2" fillId="0" borderId="31" applyAlignment="1" pivotButton="0" quotePrefix="0" xfId="0">
      <alignment horizontal="center" vertical="center"/>
    </xf>
    <xf numFmtId="170" fontId="2" fillId="0" borderId="18" applyAlignment="1" pivotButton="0" quotePrefix="0" xfId="0">
      <alignment horizontal="center" vertical="center"/>
    </xf>
    <xf numFmtId="170" fontId="2" fillId="0" borderId="23" applyAlignment="1" pivotButton="0" quotePrefix="0" xfId="0">
      <alignment horizontal="center" vertical="center"/>
    </xf>
    <xf numFmtId="170" fontId="2" fillId="0" borderId="2" applyAlignment="1" pivotButton="0" quotePrefix="0" xfId="0">
      <alignment horizontal="center" vertical="center"/>
    </xf>
    <xf numFmtId="170" fontId="2" fillId="0" borderId="24" applyAlignment="1" pivotButton="0" quotePrefix="0" xfId="0">
      <alignment horizontal="center" vertical="center"/>
    </xf>
    <xf numFmtId="0" fontId="2" fillId="0" borderId="32" applyAlignment="1" pivotButton="0" quotePrefix="0" xfId="0">
      <alignment horizontal="center" vertical="center"/>
    </xf>
    <xf numFmtId="0" fontId="2" fillId="0" borderId="33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/>
    </xf>
    <xf numFmtId="176" fontId="2" fillId="0" borderId="25" applyAlignment="1" pivotButton="0" quotePrefix="0" xfId="0">
      <alignment horizontal="center" vertical="center"/>
    </xf>
    <xf numFmtId="0" fontId="2" fillId="0" borderId="35" applyAlignment="1" pivotButton="0" quotePrefix="0" xfId="0">
      <alignment horizontal="center" vertical="center"/>
    </xf>
    <xf numFmtId="170" fontId="2" fillId="0" borderId="9" applyAlignment="1" pivotButton="0" quotePrefix="0" xfId="0">
      <alignment horizontal="center" vertical="center"/>
    </xf>
    <xf numFmtId="170" fontId="2" fillId="0" borderId="30" applyAlignment="1" pivotButton="0" quotePrefix="0" xfId="0">
      <alignment horizontal="center" vertical="center"/>
    </xf>
    <xf numFmtId="170" fontId="2" fillId="0" borderId="10" applyAlignment="1" pivotButton="0" quotePrefix="0" xfId="0">
      <alignment horizontal="center" vertical="center"/>
    </xf>
    <xf numFmtId="1" fontId="2" fillId="0" borderId="32" applyAlignment="1" pivotButton="0" quotePrefix="0" xfId="0">
      <alignment horizontal="center" vertical="center"/>
    </xf>
    <xf numFmtId="1" fontId="2" fillId="0" borderId="33" applyAlignment="1" pivotButton="0" quotePrefix="0" xfId="0">
      <alignment horizontal="center" vertical="center"/>
    </xf>
    <xf numFmtId="1" fontId="2" fillId="0" borderId="34" applyAlignment="1" pivotButton="0" quotePrefix="0" xfId="0">
      <alignment horizontal="center" vertical="center"/>
    </xf>
    <xf numFmtId="176" fontId="2" fillId="0" borderId="32" applyAlignment="1" pivotButton="0" quotePrefix="0" xfId="0">
      <alignment horizontal="center" vertical="center"/>
    </xf>
    <xf numFmtId="0" fontId="2" fillId="0" borderId="25" applyAlignment="1" pivotButton="0" quotePrefix="0" xfId="0">
      <alignment horizontal="left" vertical="center"/>
    </xf>
    <xf numFmtId="0" fontId="2" fillId="0" borderId="29" applyAlignment="1" pivotButton="0" quotePrefix="0" xfId="0">
      <alignment horizontal="left" vertical="center"/>
    </xf>
    <xf numFmtId="0" fontId="2" fillId="0" borderId="26" applyAlignment="1" pivotButton="0" quotePrefix="0" xfId="0">
      <alignment horizontal="left" vertical="center"/>
    </xf>
    <xf numFmtId="0" fontId="2" fillId="0" borderId="27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28" applyAlignment="1" pivotButton="0" quotePrefix="0" xfId="0">
      <alignment horizontal="left" vertical="center"/>
    </xf>
    <xf numFmtId="0" fontId="2" fillId="0" borderId="23" applyAlignment="1" pivotButton="0" quotePrefix="0" xfId="0">
      <alignment horizontal="left" vertical="center"/>
    </xf>
    <xf numFmtId="0" fontId="2" fillId="0" borderId="24" applyAlignment="1" pivotButton="0" quotePrefix="0" xfId="0">
      <alignment horizontal="left" vertical="center"/>
    </xf>
    <xf numFmtId="1" fontId="2" fillId="0" borderId="17" applyAlignment="1" pivotButton="0" quotePrefix="0" xfId="0">
      <alignment horizontal="center" vertical="center"/>
    </xf>
    <xf numFmtId="1" fontId="2" fillId="0" borderId="31" applyAlignment="1" pivotButton="0" quotePrefix="0" xfId="0">
      <alignment horizontal="center" vertical="center"/>
    </xf>
    <xf numFmtId="1" fontId="2" fillId="0" borderId="18" applyAlignment="1" pivotButton="0" quotePrefix="0" xfId="0">
      <alignment horizontal="center" vertical="center"/>
    </xf>
    <xf numFmtId="0" fontId="2" fillId="0" borderId="25" applyAlignment="1" pivotButton="0" quotePrefix="0" xfId="0">
      <alignment horizontal="left" vertical="center" wrapText="1"/>
    </xf>
    <xf numFmtId="0" fontId="11" fillId="0" borderId="64" applyAlignment="1" pivotButton="0" quotePrefix="0" xfId="0">
      <alignment horizontal="center" vertical="center"/>
    </xf>
    <xf numFmtId="32" fontId="2" fillId="0" borderId="25" applyAlignment="1" pivotButton="0" quotePrefix="0" xfId="0">
      <alignment horizontal="center" vertical="center" wrapText="1"/>
    </xf>
    <xf numFmtId="176" fontId="2" fillId="0" borderId="33" applyAlignment="1" pivotButton="0" quotePrefix="0" xfId="0">
      <alignment horizontal="center" vertical="center"/>
    </xf>
    <xf numFmtId="176" fontId="2" fillId="0" borderId="34" applyAlignment="1" pivotButton="0" quotePrefix="0" xfId="0">
      <alignment horizontal="center" vertical="center"/>
    </xf>
    <xf numFmtId="176" fontId="2" fillId="0" borderId="23" applyAlignment="1" pivotButton="0" quotePrefix="0" xfId="0">
      <alignment horizontal="center" vertical="center"/>
    </xf>
    <xf numFmtId="176" fontId="2" fillId="0" borderId="2" applyAlignment="1" pivotButton="0" quotePrefix="0" xfId="0">
      <alignment horizontal="center" vertical="center"/>
    </xf>
    <xf numFmtId="176" fontId="2" fillId="0" borderId="24" applyAlignment="1" pivotButton="0" quotePrefix="0" xfId="0">
      <alignment horizontal="center" vertical="center"/>
    </xf>
    <xf numFmtId="0" fontId="2" fillId="0" borderId="64" applyAlignment="1" pivotButton="0" quotePrefix="0" xfId="0">
      <alignment horizontal="center" vertical="center" shrinkToFit="1"/>
    </xf>
    <xf numFmtId="0" fontId="2" fillId="0" borderId="5" applyAlignment="1" pivotButton="0" quotePrefix="0" xfId="0">
      <alignment horizontal="center" vertical="center" shrinkToFit="1"/>
    </xf>
    <xf numFmtId="0" fontId="16" fillId="0" borderId="64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7" fillId="0" borderId="44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/>
    </xf>
    <xf numFmtId="0" fontId="7" fillId="0" borderId="4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12" fillId="0" borderId="39" applyAlignment="1" pivotButton="0" quotePrefix="0" xfId="0">
      <alignment horizontal="center" vertical="center" wrapText="1"/>
    </xf>
    <xf numFmtId="0" fontId="12" fillId="0" borderId="39" applyAlignment="1" pivotButton="0" quotePrefix="0" xfId="0">
      <alignment horizontal="center" vertical="center"/>
    </xf>
    <xf numFmtId="0" fontId="12" fillId="0" borderId="41" applyAlignment="1" pivotButton="0" quotePrefix="0" xfId="0">
      <alignment horizontal="center" vertical="center"/>
    </xf>
    <xf numFmtId="0" fontId="7" fillId="0" borderId="44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shrinkToFit="1"/>
    </xf>
    <xf numFmtId="0" fontId="9" fillId="0" borderId="30" applyAlignment="1" pivotButton="0" quotePrefix="0" xfId="0">
      <alignment horizontal="center" vertical="center" shrinkToFit="1"/>
    </xf>
    <xf numFmtId="0" fontId="9" fillId="0" borderId="10" applyAlignment="1" pivotButton="0" quotePrefix="0" xfId="0">
      <alignment horizontal="center" vertical="center" shrinkToFit="1"/>
    </xf>
    <xf numFmtId="0" fontId="7" fillId="0" borderId="49" applyAlignment="1" pivotButton="0" quotePrefix="0" xfId="0">
      <alignment horizontal="center" vertical="center"/>
    </xf>
    <xf numFmtId="0" fontId="7" fillId="0" borderId="53" applyAlignment="1" pivotButton="0" quotePrefix="0" xfId="0">
      <alignment horizontal="center" vertical="center"/>
    </xf>
    <xf numFmtId="0" fontId="7" fillId="0" borderId="54" applyAlignment="1" pivotButton="0" quotePrefix="0" xfId="0">
      <alignment horizontal="center" vertical="center"/>
    </xf>
    <xf numFmtId="0" fontId="7" fillId="0" borderId="52" applyAlignment="1" pivotButton="0" quotePrefix="0" xfId="0">
      <alignment horizontal="center" vertical="center"/>
    </xf>
    <xf numFmtId="0" fontId="7" fillId="0" borderId="5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14" fontId="0" fillId="0" borderId="53" applyAlignment="1" pivotButton="0" quotePrefix="0" xfId="0">
      <alignment horizontal="center" vertical="center"/>
    </xf>
    <xf numFmtId="10" fontId="0" fillId="0" borderId="65" applyAlignment="1" pivotButton="0" quotePrefix="0" xfId="4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14" fontId="0" fillId="0" borderId="50" applyAlignment="1" pivotButton="0" quotePrefix="0" xfId="0">
      <alignment horizontal="center" vertical="center"/>
    </xf>
    <xf numFmtId="10" fontId="0" fillId="0" borderId="43" applyAlignment="1" pivotButton="0" quotePrefix="0" xfId="4">
      <alignment horizontal="center" vertical="center"/>
    </xf>
    <xf numFmtId="0" fontId="0" fillId="0" borderId="56" applyAlignment="1" pivotButton="0" quotePrefix="0" xfId="0">
      <alignment horizontal="center" vertical="center"/>
    </xf>
    <xf numFmtId="0" fontId="0" fillId="0" borderId="66" applyAlignment="1" pivotButton="0" quotePrefix="0" xfId="0">
      <alignment horizontal="center" vertical="center"/>
    </xf>
    <xf numFmtId="0" fontId="0" fillId="0" borderId="44" applyAlignment="1" pivotButton="0" quotePrefix="0" xfId="0">
      <alignment horizontal="center" vertical="center"/>
    </xf>
    <xf numFmtId="0" fontId="0" fillId="0" borderId="49" applyAlignment="1" pivotButton="0" quotePrefix="0" xfId="0">
      <alignment horizontal="center" vertical="center"/>
    </xf>
    <xf numFmtId="0" fontId="0" fillId="0" borderId="67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93" pivotButton="0" quotePrefix="0" xfId="0"/>
    <xf numFmtId="0" fontId="3" fillId="0" borderId="95" applyAlignment="1" pivotButton="0" quotePrefix="0" xfId="0">
      <alignment horizontal="center" vertical="center"/>
    </xf>
    <xf numFmtId="0" fontId="0" fillId="0" borderId="78" pivotButton="0" quotePrefix="0" xfId="0"/>
    <xf numFmtId="0" fontId="2" fillId="0" borderId="94" applyAlignment="1" pivotButton="0" quotePrefix="0" xfId="0">
      <alignment horizontal="center" vertical="center" wrapText="1"/>
    </xf>
    <xf numFmtId="0" fontId="0" fillId="0" borderId="80" pivotButton="0" quotePrefix="0" xfId="0"/>
    <xf numFmtId="0" fontId="2" fillId="0" borderId="97" applyAlignment="1" pivotButton="0" quotePrefix="0" xfId="0">
      <alignment horizontal="center" vertical="center"/>
    </xf>
    <xf numFmtId="0" fontId="0" fillId="0" borderId="99" pivotButton="0" quotePrefix="0" xfId="0"/>
    <xf numFmtId="0" fontId="0" fillId="0" borderId="96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4" pivotButton="0" quotePrefix="0" xfId="0"/>
    <xf numFmtId="0" fontId="0" fillId="0" borderId="19" pivotButton="0" quotePrefix="0" xfId="0"/>
    <xf numFmtId="0" fontId="0" fillId="0" borderId="23" pivotButton="0" quotePrefix="0" xfId="0"/>
    <xf numFmtId="0" fontId="0" fillId="0" borderId="24" pivotButton="0" quotePrefix="0" xfId="0"/>
    <xf numFmtId="173" fontId="4" fillId="0" borderId="97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0" fillId="0" borderId="5" pivotButton="0" quotePrefix="0" xfId="0"/>
    <xf numFmtId="0" fontId="0" fillId="0" borderId="63" pivotButton="0" quotePrefix="0" xfId="0"/>
    <xf numFmtId="0" fontId="0" fillId="0" borderId="8" pivotButton="0" quotePrefix="0" xfId="0"/>
    <xf numFmtId="0" fontId="0" fillId="0" borderId="82" pivotButton="0" quotePrefix="0" xfId="0"/>
    <xf numFmtId="1" fontId="2" fillId="0" borderId="76" applyAlignment="1" pivotButton="0" quotePrefix="0" xfId="0">
      <alignment horizontal="center" vertical="center"/>
    </xf>
    <xf numFmtId="0" fontId="0" fillId="0" borderId="83" pivotButton="0" quotePrefix="0" xfId="0"/>
    <xf numFmtId="0" fontId="0" fillId="0" borderId="10" pivotButton="0" quotePrefix="0" xfId="0"/>
    <xf numFmtId="170" fontId="2" fillId="0" borderId="5" applyAlignment="1" pivotButton="0" quotePrefix="0" xfId="0">
      <alignment horizontal="center" vertical="center"/>
    </xf>
    <xf numFmtId="174" fontId="2" fillId="0" borderId="5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79" pivotButton="0" quotePrefix="0" xfId="0"/>
    <xf numFmtId="170" fontId="2" fillId="0" borderId="1" applyAlignment="1" pivotButton="0" quotePrefix="0" xfId="0">
      <alignment horizontal="center" vertical="center"/>
    </xf>
    <xf numFmtId="174" fontId="2" fillId="0" borderId="1" applyAlignment="1" pivotButton="0" quotePrefix="0" xfId="0">
      <alignment horizontal="center" vertical="center"/>
    </xf>
    <xf numFmtId="0" fontId="2" fillId="2" borderId="88" applyAlignment="1" pivotButton="0" quotePrefix="0" xfId="0">
      <alignment horizontal="center" vertical="center"/>
    </xf>
    <xf numFmtId="0" fontId="0" fillId="0" borderId="18" pivotButton="0" quotePrefix="0" xfId="0"/>
    <xf numFmtId="2" fontId="2" fillId="0" borderId="89" applyAlignment="1" pivotButton="0" quotePrefix="0" xfId="0">
      <alignment horizontal="center" vertical="center"/>
    </xf>
    <xf numFmtId="0" fontId="0" fillId="0" borderId="33" pivotButton="0" quotePrefix="0" xfId="0"/>
    <xf numFmtId="2" fontId="2" fillId="0" borderId="22" applyAlignment="1" pivotButton="0" quotePrefix="0" xfId="0">
      <alignment horizontal="center" vertical="center"/>
    </xf>
    <xf numFmtId="0" fontId="0" fillId="0" borderId="81" pivotButton="0" quotePrefix="0" xfId="0"/>
    <xf numFmtId="0" fontId="2" fillId="0" borderId="76" applyAlignment="1" pivotButton="0" quotePrefix="0" xfId="0">
      <alignment horizontal="center" vertical="center"/>
    </xf>
    <xf numFmtId="0" fontId="0" fillId="0" borderId="90" pivotButton="0" quotePrefix="0" xfId="0"/>
    <xf numFmtId="0" fontId="0" fillId="0" borderId="2" pivotButton="0" quotePrefix="0" xfId="0"/>
    <xf numFmtId="0" fontId="0" fillId="0" borderId="29" pivotButton="0" quotePrefix="0" xfId="0"/>
    <xf numFmtId="0" fontId="0" fillId="0" borderId="26" pivotButton="0" quotePrefix="0" xfId="0"/>
    <xf numFmtId="2" fontId="2" fillId="0" borderId="86" applyAlignment="1" pivotButton="0" quotePrefix="0" xfId="0">
      <alignment horizontal="center" vertical="center"/>
    </xf>
    <xf numFmtId="2" fontId="2" fillId="0" borderId="84" applyAlignment="1" pivotButton="0" quotePrefix="0" xfId="0">
      <alignment horizontal="center" vertical="center"/>
    </xf>
    <xf numFmtId="0" fontId="0" fillId="0" borderId="77" pivotButton="0" quotePrefix="0" xfId="0"/>
    <xf numFmtId="0" fontId="0" fillId="0" borderId="74" pivotButton="0" quotePrefix="0" xfId="0"/>
    <xf numFmtId="0" fontId="0" fillId="0" borderId="75" pivotButton="0" quotePrefix="0" xfId="0"/>
    <xf numFmtId="0" fontId="0" fillId="0" borderId="85" pivotButton="0" quotePrefix="0" xfId="0"/>
    <xf numFmtId="2" fontId="2" fillId="2" borderId="87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169" fontId="0" fillId="0" borderId="0" applyAlignment="1" pivotButton="0" quotePrefix="0" xfId="0">
      <alignment vertical="center"/>
    </xf>
    <xf numFmtId="169" fontId="2" fillId="0" borderId="22" applyAlignment="1" pivotButton="0" quotePrefix="0" xfId="0">
      <alignment horizontal="center" vertical="center"/>
    </xf>
    <xf numFmtId="0" fontId="0" fillId="0" borderId="31" pivotButton="0" quotePrefix="0" xfId="0"/>
    <xf numFmtId="170" fontId="2" fillId="0" borderId="0" applyAlignment="1" pivotButton="0" quotePrefix="0" xfId="0">
      <alignment horizontal="center" vertical="center"/>
    </xf>
    <xf numFmtId="0" fontId="2" fillId="0" borderId="84" applyAlignment="1" pivotButton="0" quotePrefix="0" xfId="0">
      <alignment horizontal="center" vertical="center"/>
    </xf>
    <xf numFmtId="170" fontId="2" fillId="0" borderId="22" applyAlignment="1" pivotButton="0" quotePrefix="0" xfId="0">
      <alignment horizontal="center" vertical="center"/>
    </xf>
    <xf numFmtId="175" fontId="2" fillId="0" borderId="5" applyAlignment="1" pivotButton="0" quotePrefix="0" xfId="0">
      <alignment horizontal="center" vertical="center"/>
    </xf>
    <xf numFmtId="175" fontId="2" fillId="0" borderId="1" applyAlignment="1" pivotButton="0" quotePrefix="0" xfId="0">
      <alignment horizontal="center" vertical="center"/>
    </xf>
    <xf numFmtId="165" fontId="2" fillId="0" borderId="5" applyAlignment="1" pivotButton="0" quotePrefix="0" xfId="0">
      <alignment horizontal="center" vertical="center"/>
    </xf>
    <xf numFmtId="176" fontId="2" fillId="0" borderId="84" applyAlignment="1" pivotButton="0" quotePrefix="0" xfId="0">
      <alignment horizontal="center" vertical="center"/>
    </xf>
    <xf numFmtId="0" fontId="2" fillId="0" borderId="101" applyAlignment="1" pivotButton="0" quotePrefix="0" xfId="0">
      <alignment horizontal="center" vertical="center"/>
    </xf>
    <xf numFmtId="0" fontId="0" fillId="0" borderId="34" pivotButton="0" quotePrefix="0" xfId="0"/>
    <xf numFmtId="0" fontId="2" fillId="0" borderId="87" applyAlignment="1" pivotButton="0" quotePrefix="0" xfId="0">
      <alignment horizontal="center" vertical="center"/>
    </xf>
    <xf numFmtId="0" fontId="2" fillId="0" borderId="100" applyAlignment="1" pivotButton="0" quotePrefix="0" xfId="0">
      <alignment horizontal="center" vertical="center"/>
    </xf>
    <xf numFmtId="170" fontId="2" fillId="0" borderId="76" applyAlignment="1" pivotButton="0" quotePrefix="0" xfId="0">
      <alignment horizontal="center" vertical="center"/>
    </xf>
    <xf numFmtId="1" fontId="2" fillId="0" borderId="101" applyAlignment="1" pivotButton="0" quotePrefix="0" xfId="0">
      <alignment horizontal="center" vertical="center"/>
    </xf>
    <xf numFmtId="176" fontId="2" fillId="0" borderId="22" applyAlignment="1" pivotButton="0" quotePrefix="0" xfId="0">
      <alignment horizontal="center" vertical="center"/>
    </xf>
    <xf numFmtId="0" fontId="2" fillId="0" borderId="84" applyAlignment="1" pivotButton="0" quotePrefix="0" xfId="0">
      <alignment horizontal="left" vertical="center"/>
    </xf>
    <xf numFmtId="1" fontId="2" fillId="0" borderId="22" applyAlignment="1" pivotButton="0" quotePrefix="0" xfId="0">
      <alignment horizontal="center" vertical="center"/>
    </xf>
    <xf numFmtId="0" fontId="2" fillId="0" borderId="84" applyAlignment="1" pivotButton="0" quotePrefix="0" xfId="0">
      <alignment horizontal="left" vertical="center" wrapText="1"/>
    </xf>
    <xf numFmtId="0" fontId="11" fillId="0" borderId="97" applyAlignment="1" pivotButton="0" quotePrefix="0" xfId="0">
      <alignment horizontal="center" vertical="center"/>
    </xf>
    <xf numFmtId="32" fontId="2" fillId="0" borderId="84" applyAlignment="1" pivotButton="0" quotePrefix="0" xfId="0">
      <alignment horizontal="center" vertical="center" wrapText="1"/>
    </xf>
    <xf numFmtId="0" fontId="2" fillId="0" borderId="97" applyAlignment="1" pivotButton="0" quotePrefix="0" xfId="0">
      <alignment horizontal="center" vertical="center" shrinkToFit="1"/>
    </xf>
    <xf numFmtId="0" fontId="16" fillId="0" borderId="97" applyAlignment="1" pivotButton="0" quotePrefix="0" xfId="0">
      <alignment horizontal="center" vertical="center"/>
    </xf>
    <xf numFmtId="164" fontId="7" fillId="0" borderId="0" applyAlignment="1" pivotButton="0" quotePrefix="0" xfId="0">
      <alignment vertical="center" shrinkToFit="1"/>
    </xf>
    <xf numFmtId="164" fontId="7" fillId="3" borderId="0" applyAlignment="1" pivotButton="0" quotePrefix="0" xfId="0">
      <alignment vertical="center" shrinkToFit="1"/>
    </xf>
    <xf numFmtId="0" fontId="0" fillId="0" borderId="105" pivotButton="0" quotePrefix="0" xfId="0"/>
    <xf numFmtId="0" fontId="12" fillId="0" borderId="41" applyAlignment="1" pivotButton="0" quotePrefix="0" xfId="0">
      <alignment horizontal="center" vertical="center" wrapText="1"/>
    </xf>
    <xf numFmtId="165" fontId="9" fillId="0" borderId="69" applyAlignment="1" pivotButton="0" quotePrefix="0" xfId="0">
      <alignment horizontal="center" vertical="center" shrinkToFit="1"/>
    </xf>
    <xf numFmtId="0" fontId="0" fillId="0" borderId="39" pivotButton="0" quotePrefix="0" xfId="0"/>
    <xf numFmtId="165" fontId="9" fillId="0" borderId="40" applyAlignment="1" pivotButton="0" quotePrefix="0" xfId="0">
      <alignment horizontal="center" vertical="center" shrinkToFit="1"/>
    </xf>
    <xf numFmtId="0" fontId="0" fillId="0" borderId="41" pivotButton="0" quotePrefix="0" xfId="0"/>
    <xf numFmtId="165" fontId="9" fillId="0" borderId="68" applyAlignment="1" pivotButton="0" quotePrefix="0" xfId="0">
      <alignment horizontal="center" vertical="center" shrinkToFit="1"/>
    </xf>
    <xf numFmtId="165" fontId="9" fillId="0" borderId="46" applyAlignment="1" pivotButton="0" quotePrefix="0" xfId="0">
      <alignment horizontal="center" vertical="center" shrinkToFit="1"/>
    </xf>
    <xf numFmtId="165" fontId="9" fillId="0" borderId="65" applyAlignment="1" pivotButton="0" quotePrefix="0" xfId="0">
      <alignment horizontal="center" vertical="center" shrinkToFit="1"/>
    </xf>
    <xf numFmtId="0" fontId="7" fillId="0" borderId="71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0" fontId="9" fillId="0" borderId="76" applyAlignment="1" pivotButton="0" quotePrefix="0" xfId="0">
      <alignment horizontal="center" vertical="center" shrinkToFit="1"/>
    </xf>
    <xf numFmtId="165" fontId="9" fillId="0" borderId="43" applyAlignment="1" pivotButton="0" quotePrefix="0" xfId="0">
      <alignment horizontal="center" vertical="center" shrinkToFit="1"/>
    </xf>
    <xf numFmtId="0" fontId="7" fillId="0" borderId="106" applyAlignment="1" pivotButton="0" quotePrefix="0" xfId="0">
      <alignment horizontal="center" vertical="center"/>
    </xf>
    <xf numFmtId="0" fontId="0" fillId="0" borderId="107" pivotButton="0" quotePrefix="0" xfId="0"/>
    <xf numFmtId="165" fontId="9" fillId="0" borderId="62" applyAlignment="1" pivotButton="0" quotePrefix="0" xfId="0">
      <alignment horizontal="center" vertical="center" shrinkToFit="1"/>
    </xf>
    <xf numFmtId="165" fontId="9" fillId="0" borderId="57" applyAlignment="1" pivotButton="0" quotePrefix="0" xfId="0">
      <alignment horizontal="center" vertical="center" shrinkToFit="1"/>
    </xf>
    <xf numFmtId="171" fontId="9" fillId="0" borderId="51" applyAlignment="1" pivotButton="0" quotePrefix="0" xfId="0">
      <alignment horizontal="center" vertical="center"/>
    </xf>
    <xf numFmtId="165" fontId="9" fillId="0" borderId="58" applyAlignment="1" pivotButton="0" quotePrefix="0" xfId="0">
      <alignment horizontal="center" vertical="center" shrinkToFit="1"/>
    </xf>
    <xf numFmtId="165" fontId="9" fillId="0" borderId="59" applyAlignment="1" pivotButton="0" quotePrefix="0" xfId="0">
      <alignment horizontal="center" vertical="center" shrinkToFit="1"/>
    </xf>
    <xf numFmtId="170" fontId="9" fillId="0" borderId="1" applyAlignment="1" pivotButton="0" quotePrefix="0" xfId="0">
      <alignment horizontal="center" vertical="center"/>
    </xf>
    <xf numFmtId="170" fontId="9" fillId="0" borderId="3" applyAlignment="1" pivotButton="0" quotePrefix="0" xfId="0">
      <alignment horizontal="center" vertical="center"/>
    </xf>
    <xf numFmtId="170" fontId="9" fillId="0" borderId="51" applyAlignment="1" pivotButton="0" quotePrefix="0" xfId="0">
      <alignment horizontal="center" vertical="center"/>
    </xf>
    <xf numFmtId="169" fontId="9" fillId="0" borderId="1" applyAlignment="1" pivotButton="0" quotePrefix="0" xfId="0">
      <alignment horizontal="center" vertical="center"/>
    </xf>
    <xf numFmtId="167" fontId="7" fillId="0" borderId="0" applyAlignment="1" pivotButton="0" quotePrefix="0" xfId="0">
      <alignment vertical="center"/>
    </xf>
    <xf numFmtId="168" fontId="7" fillId="0" borderId="0" applyAlignment="1" pivotButton="0" quotePrefix="0" xfId="0">
      <alignment vertical="center"/>
    </xf>
    <xf numFmtId="0" fontId="0" fillId="0" borderId="49" pivotButton="0" quotePrefix="0" xfId="0"/>
    <xf numFmtId="0" fontId="0" fillId="0" borderId="52" applyAlignment="1" pivotButton="0" quotePrefix="0" xfId="0">
      <alignment horizontal="center" vertical="center"/>
    </xf>
    <xf numFmtId="0" fontId="0" fillId="0" borderId="109" applyAlignment="1" pivotButton="0" quotePrefix="0" xfId="0">
      <alignment horizontal="center" vertical="center"/>
    </xf>
    <xf numFmtId="0" fontId="0" fillId="0" borderId="45" applyAlignment="1" pivotButton="0" quotePrefix="0" xfId="0">
      <alignment horizontal="center" vertical="center"/>
    </xf>
    <xf numFmtId="0" fontId="0" fillId="0" borderId="66" pivotButton="0" quotePrefix="0" xfId="0"/>
    <xf numFmtId="0" fontId="0" fillId="0" borderId="46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40" pivotButton="0" quotePrefix="0" xfId="0"/>
    <xf numFmtId="172" fontId="0" fillId="0" borderId="1" applyAlignment="1" pivotButton="0" quotePrefix="0" xfId="0">
      <alignment horizontal="center" vertical="center"/>
    </xf>
    <xf numFmtId="0" fontId="0" fillId="0" borderId="108" pivotButton="0" quotePrefix="0" xfId="0"/>
    <xf numFmtId="172" fontId="15" fillId="0" borderId="1" applyAlignment="1" pivotButton="0" quotePrefix="0" xfId="0">
      <alignment horizontal="center" vertical="center"/>
    </xf>
    <xf numFmtId="172" fontId="15" fillId="0" borderId="51" applyAlignment="1" pivotButton="0" quotePrefix="0" xfId="0">
      <alignment horizontal="center" vertical="center"/>
    </xf>
    <xf numFmtId="172" fontId="0" fillId="0" borderId="51" applyAlignment="1" pivotButton="0" quotePrefix="0" xfId="0">
      <alignment horizontal="center" vertical="center"/>
    </xf>
  </cellXfs>
  <cellStyles count="7">
    <cellStyle name="표준" xfId="0" builtinId="0"/>
    <cellStyle name="쉼표 [0]" xfId="1" builtinId="6"/>
    <cellStyle name="쉼표 [0] 2" xfId="2"/>
    <cellStyle name="백분율 2" xfId="3"/>
    <cellStyle name="백분율" xfId="4" builtinId="5"/>
    <cellStyle name="쉼표 [0] 3" xfId="5"/>
    <cellStyle name="쉼표 [0] 2 2" xfId="6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7"/>
          <order val="0"/>
          <tx>
            <v>SFR사용</v>
          </tx>
          <spPr>
            <a:solidFill>
              <a:schemeClr val="accent2">
                <a:lumMod val="60000"/>
              </a:schemeClr>
            </a:solidFill>
            <a:ln>
              <a:noFill/>
              <a:prstDash val="solid"/>
            </a:ln>
          </spPr>
          <invertIfNegative val="0"/>
          <val>
            <numRef>
              <f>'요약(약품)'!$C$29:$AF$29</f>
              <numCache>
                <formatCode>General</formatCode>
                <ptCount val="30"/>
                <pt idx="0">
                  <v>70549</v>
                </pt>
                <pt idx="1">
                  <v>63525</v>
                </pt>
                <pt idx="2">
                  <v>63380</v>
                </pt>
                <pt idx="3">
                  <v>59627</v>
                </pt>
                <pt idx="4">
                  <v>65675</v>
                </pt>
                <pt idx="5">
                  <v>73379</v>
                </pt>
                <pt idx="6">
                  <v>78842</v>
                </pt>
                <pt idx="7">
                  <v>81006</v>
                </pt>
                <pt idx="8">
                  <v>78799</v>
                </pt>
                <pt idx="9">
                  <v>80936</v>
                </pt>
                <pt idx="10">
                  <v>73131</v>
                </pt>
                <pt idx="11">
                  <v>72830</v>
                </pt>
                <pt idx="12">
                  <v>76475</v>
                </pt>
                <pt idx="13">
                  <v>69312</v>
                </pt>
                <pt idx="14">
                  <v>61510</v>
                </pt>
                <pt idx="15">
                  <v>67599</v>
                </pt>
                <pt idx="16">
                  <formatCode>0</formatCode>
                  <v>77111</v>
                </pt>
                <pt idx="17">
                  <formatCode>0</formatCode>
                  <v>68297</v>
                </pt>
                <pt idx="18">
                  <v>84977</v>
                </pt>
                <pt idx="19">
                  <v>90268</v>
                </pt>
                <pt idx="20">
                  <v>81962</v>
                </pt>
                <pt idx="21">
                  <v>90783</v>
                </pt>
                <pt idx="22">
                  <v>72610</v>
                </pt>
                <pt idx="23">
                  <v>74316</v>
                </pt>
                <pt idx="24">
                  <v>64897</v>
                </pt>
                <pt idx="25">
                  <v>71161</v>
                </pt>
                <pt idx="26">
                  <v>78087</v>
                </pt>
                <pt idx="27">
                  <v>73304</v>
                </pt>
                <pt idx="28">
                  <v>74612</v>
                </pt>
                <pt idx="29">
                  <v>66673</v>
                </pt>
              </numCache>
            </numRef>
          </val>
        </ser>
        <ser>
          <idx val="8"/>
          <order val="1"/>
          <tx>
            <v>SRF반입</v>
          </tx>
          <spPr>
            <a:solidFill>
              <a:schemeClr val="accent3">
                <a:lumMod val="60000"/>
              </a:schemeClr>
            </a:solidFill>
            <a:ln>
              <a:noFill/>
              <a:prstDash val="solid"/>
            </a:ln>
          </spPr>
          <invertIfNegative val="0"/>
          <val>
            <numRef>
              <f>'요약(약품)'!$C$28:$AF$28</f>
              <numCache>
                <formatCode>General</formatCode>
                <ptCount val="30"/>
                <pt idx="0">
                  <v>70150</v>
                </pt>
                <pt idx="1">
                  <v>66230</v>
                </pt>
                <pt idx="2">
                  <v>64150</v>
                </pt>
                <pt idx="3">
                  <v>62100</v>
                </pt>
                <pt idx="4">
                  <v>45930</v>
                </pt>
                <pt idx="5">
                  <v>70810</v>
                </pt>
                <pt idx="6">
                  <v>66070</v>
                </pt>
                <pt idx="7">
                  <v>71350</v>
                </pt>
                <pt idx="8">
                  <v>70800</v>
                </pt>
                <pt idx="9">
                  <v>65350</v>
                </pt>
                <pt idx="10">
                  <v>98650</v>
                </pt>
                <pt idx="11">
                  <v>68680</v>
                </pt>
                <pt idx="12">
                  <v>74790</v>
                </pt>
                <pt idx="13">
                  <v>67100</v>
                </pt>
                <pt idx="14">
                  <v>94630</v>
                </pt>
                <pt idx="15">
                  <v>48570</v>
                </pt>
                <pt idx="16">
                  <formatCode>0</formatCode>
                  <v>62710</v>
                </pt>
                <pt idx="17">
                  <formatCode>0</formatCode>
                  <v>89060</v>
                </pt>
                <pt idx="18">
                  <v>65600</v>
                </pt>
                <pt idx="19">
                  <v>97000</v>
                </pt>
                <pt idx="20">
                  <v>84770</v>
                </pt>
                <pt idx="21">
                  <v>91250</v>
                </pt>
                <pt idx="22">
                  <v>96960</v>
                </pt>
                <pt idx="23">
                  <v>65600</v>
                </pt>
                <pt idx="24">
                  <v>88810</v>
                </pt>
                <pt idx="25">
                  <v>64810</v>
                </pt>
                <pt idx="26">
                  <v>72610</v>
                </pt>
                <pt idx="27">
                  <v>86990</v>
                </pt>
                <pt idx="28">
                  <v>44760</v>
                </pt>
                <pt idx="29">
                  <v>90300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901060575"/>
        <axId val="1701552335"/>
      </barChart>
      <catAx>
        <axId val="1901060575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1701552335"/>
        <crosses val="autoZero"/>
        <auto val="1"/>
        <lblAlgn val="ctr"/>
        <lblOffset val="100"/>
        <noMultiLvlLbl val="0"/>
      </catAx>
      <valAx>
        <axId val="1701552335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1901060575"/>
        <crosses val="autoZero"/>
        <crossBetween val="between"/>
      </valAx>
    </plotArea>
    <legend>
      <legendPos val="b"/>
      <layout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pc</author>
  </authors>
  <commentList>
    <comment ref="E14" authorId="0" shapeId="0">
      <text>
        <t xml:space="preserve">신규소각로 재고 입고
</t>
      </text>
    </comment>
  </commentList>
</comments>
</file>

<file path=xl/comments/comment2.xml><?xml version="1.0" encoding="utf-8"?>
<comments xmlns="http://schemas.openxmlformats.org/spreadsheetml/2006/main">
  <authors>
    <author>pc</author>
  </authors>
  <commentList>
    <comment ref="H10" authorId="0" shapeId="0">
      <text>
        <t>pc:
신설 소각로 입고(김정호)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31</row>
      <rowOff>14355</rowOff>
    </from>
    <to>
      <col>35</col>
      <colOff>11044</colOff>
      <row>55</row>
      <rowOff>46935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33"/>
  <sheetViews>
    <sheetView zoomScaleNormal="100" zoomScaleSheetLayoutView="100" workbookViewId="0">
      <selection activeCell="I15" sqref="I15:J15"/>
    </sheetView>
  </sheetViews>
  <sheetFormatPr baseColWidth="8" defaultRowHeight="17.4"/>
  <cols>
    <col width="2.8984375" customWidth="1" style="251" min="1" max="1"/>
    <col width="5.59765625" customWidth="1" style="251" min="2" max="14"/>
    <col width="3.59765625" customWidth="1" style="251" min="15" max="15"/>
    <col width="4.59765625" customWidth="1" style="251" min="16" max="20"/>
    <col width="5.59765625" customWidth="1" style="251" min="21" max="26"/>
    <col width="4.59765625" customWidth="1" style="251" min="29" max="29"/>
  </cols>
  <sheetData>
    <row r="1" ht="18.75" customHeight="1" s="251">
      <c r="A1" s="122" t="inlineStr">
        <is>
          <t>근
무
자</t>
        </is>
      </c>
      <c r="B1" s="120" t="inlineStr">
        <is>
          <t>오  전</t>
        </is>
      </c>
      <c r="C1" s="252" t="n"/>
      <c r="D1" s="120" t="inlineStr">
        <is>
          <t>오  후</t>
        </is>
      </c>
      <c r="E1" s="252" t="n"/>
      <c r="F1" s="120" t="inlineStr">
        <is>
          <t>야  간</t>
        </is>
      </c>
      <c r="G1" s="252" t="n"/>
      <c r="H1" s="253" t="inlineStr">
        <is>
          <t>유동상소각로 운전일지</t>
        </is>
      </c>
      <c r="S1" s="254" t="n"/>
      <c r="T1" s="255" t="inlineStr">
        <is>
          <t>결
재</t>
        </is>
      </c>
      <c r="U1" s="120" t="inlineStr">
        <is>
          <t>반장</t>
        </is>
      </c>
      <c r="V1" s="252" t="n"/>
      <c r="W1" s="120" t="inlineStr">
        <is>
          <t>대리</t>
        </is>
      </c>
      <c r="X1" s="252" t="n"/>
      <c r="Y1" s="120" t="inlineStr">
        <is>
          <t>팀장</t>
        </is>
      </c>
      <c r="Z1" s="252" t="n"/>
    </row>
    <row r="2" ht="14.25" customHeight="1" s="251">
      <c r="A2" s="256" t="n"/>
      <c r="B2" s="257" t="inlineStr">
        <is>
          <t>권정민</t>
        </is>
      </c>
      <c r="C2" s="258" t="n"/>
      <c r="D2" s="257" t="inlineStr">
        <is>
          <t>김문한</t>
        </is>
      </c>
      <c r="E2" s="258" t="n"/>
      <c r="F2" s="257" t="inlineStr">
        <is>
          <t>임종민</t>
        </is>
      </c>
      <c r="G2" s="258" t="n"/>
      <c r="H2" s="259" t="n"/>
      <c r="I2" s="260" t="n"/>
      <c r="J2" s="260" t="n"/>
      <c r="K2" s="260" t="n"/>
      <c r="L2" s="260" t="n"/>
      <c r="M2" s="260" t="n"/>
      <c r="N2" s="260" t="n"/>
      <c r="O2" s="260" t="n"/>
      <c r="P2" s="260" t="n"/>
      <c r="Q2" s="260" t="n"/>
      <c r="R2" s="260" t="n"/>
      <c r="S2" s="261" t="n"/>
      <c r="T2" s="262" t="n"/>
      <c r="U2" s="105" t="n"/>
      <c r="V2" s="254" t="n"/>
      <c r="W2" s="105" t="n"/>
      <c r="X2" s="254" t="n"/>
      <c r="Y2" s="105" t="n"/>
      <c r="Z2" s="254" t="n"/>
    </row>
    <row r="3" ht="37.5" customHeight="1" s="251">
      <c r="A3" s="263" t="n"/>
      <c r="B3" s="264" t="n"/>
      <c r="C3" s="265" t="n"/>
      <c r="D3" s="264" t="n"/>
      <c r="E3" s="265" t="n"/>
      <c r="F3" s="264" t="n"/>
      <c r="G3" s="265" t="n"/>
      <c r="H3" s="266" t="n">
        <v>46204</v>
      </c>
      <c r="I3" s="267" t="n"/>
      <c r="J3" s="267" t="n"/>
      <c r="K3" s="267" t="n"/>
      <c r="L3" s="267" t="n"/>
      <c r="M3" s="267" t="n"/>
      <c r="N3" s="267" t="n"/>
      <c r="O3" s="267" t="n"/>
      <c r="P3" s="267" t="n"/>
      <c r="Q3" s="267" t="n"/>
      <c r="R3" s="267" t="n"/>
      <c r="S3" s="268" t="n"/>
      <c r="T3" s="269" t="n"/>
      <c r="U3" s="264" t="n"/>
      <c r="V3" s="265" t="n"/>
      <c r="W3" s="264" t="n"/>
      <c r="X3" s="265" t="n"/>
      <c r="Y3" s="264" t="n"/>
      <c r="Z3" s="265" t="n"/>
    </row>
    <row r="4" ht="13.5" customHeight="1" s="25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s="251">
      <c r="A5" s="1" t="inlineStr">
        <is>
          <t>1. 소각현황(KG)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inlineStr">
        <is>
          <t>2. BOILER 운전현황(TON, HR)</t>
        </is>
      </c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2.5" customHeight="1" s="251" thickBot="1">
      <c r="A6" s="136" t="inlineStr">
        <is>
          <t>구 분</t>
        </is>
      </c>
      <c r="B6" s="270" t="n"/>
      <c r="C6" s="271" t="n"/>
      <c r="D6" s="136" t="inlineStr">
        <is>
          <t>SRF소각량</t>
        </is>
      </c>
      <c r="E6" s="270" t="n"/>
      <c r="F6" s="271" t="n"/>
      <c r="G6" s="136" t="inlineStr">
        <is>
          <t>SLUDGE 소각량</t>
        </is>
      </c>
      <c r="H6" s="270" t="n"/>
      <c r="I6" s="271" t="n"/>
      <c r="J6" s="136" t="inlineStr">
        <is>
          <t>합 계</t>
        </is>
      </c>
      <c r="K6" s="270" t="n"/>
      <c r="L6" s="271" t="n"/>
      <c r="M6" s="1" t="n"/>
      <c r="N6" s="1" t="n"/>
      <c r="O6" s="1" t="n"/>
      <c r="P6" s="136" t="inlineStr">
        <is>
          <t>구 분</t>
        </is>
      </c>
      <c r="Q6" s="271" t="n"/>
      <c r="R6" s="136" t="inlineStr">
        <is>
          <t>스팀 생산량</t>
        </is>
      </c>
      <c r="S6" s="270" t="n"/>
      <c r="T6" s="271" t="n"/>
      <c r="U6" s="136" t="inlineStr">
        <is>
          <t>스팀 송기량</t>
        </is>
      </c>
      <c r="V6" s="270" t="n"/>
      <c r="W6" s="271" t="n"/>
      <c r="X6" s="136" t="inlineStr">
        <is>
          <t>가동시간</t>
        </is>
      </c>
      <c r="Y6" s="270" t="n"/>
      <c r="Z6" s="271" t="n"/>
    </row>
    <row r="7" ht="30" customHeight="1" s="251" thickTop="1">
      <c r="A7" s="105" t="inlineStr">
        <is>
          <t>금 일</t>
        </is>
      </c>
      <c r="B7" s="272" t="n"/>
      <c r="C7" s="265" t="n"/>
      <c r="D7" s="139" t="n">
        <v>70549</v>
      </c>
      <c r="E7" s="272" t="n"/>
      <c r="F7" s="265" t="n"/>
      <c r="G7" s="139" t="n">
        <v>170800</v>
      </c>
      <c r="H7" s="272" t="n"/>
      <c r="I7" s="265" t="n"/>
      <c r="J7" s="273">
        <f>D7+G7</f>
        <v/>
      </c>
      <c r="K7" s="274" t="n"/>
      <c r="L7" s="275" t="n"/>
      <c r="M7" s="1" t="n"/>
      <c r="N7" s="1" t="n"/>
      <c r="O7" s="1" t="n"/>
      <c r="P7" s="105" t="inlineStr">
        <is>
          <t>금 일</t>
        </is>
      </c>
      <c r="Q7" s="265" t="n"/>
      <c r="R7" s="276" t="n">
        <v>475.7</v>
      </c>
      <c r="S7" s="272" t="n"/>
      <c r="T7" s="265" t="n"/>
      <c r="U7" s="276" t="n">
        <v>277.8</v>
      </c>
      <c r="V7" s="272" t="n"/>
      <c r="W7" s="265" t="n"/>
      <c r="X7" s="277" t="n">
        <v>24</v>
      </c>
      <c r="Y7" s="272" t="n"/>
      <c r="Z7" s="265" t="n"/>
    </row>
    <row r="8" ht="30" customHeight="1" s="251">
      <c r="A8" s="104" t="inlineStr">
        <is>
          <t>누 계</t>
        </is>
      </c>
      <c r="B8" s="278" t="n"/>
      <c r="C8" s="279" t="n"/>
      <c r="D8" s="273">
        <f>D7</f>
        <v/>
      </c>
      <c r="E8" s="274" t="n"/>
      <c r="F8" s="275" t="n"/>
      <c r="G8" s="273">
        <f>G7</f>
        <v/>
      </c>
      <c r="H8" s="274" t="n"/>
      <c r="I8" s="275" t="n"/>
      <c r="J8" s="273">
        <f>D8+G8</f>
        <v/>
      </c>
      <c r="K8" s="274" t="n"/>
      <c r="L8" s="275" t="n"/>
      <c r="M8" s="1" t="n"/>
      <c r="N8" s="1" t="n"/>
      <c r="O8" s="1" t="n"/>
      <c r="P8" s="104" t="inlineStr">
        <is>
          <t>누 계</t>
        </is>
      </c>
      <c r="Q8" s="279" t="n"/>
      <c r="R8" s="280">
        <f>R7</f>
        <v/>
      </c>
      <c r="S8" s="278" t="n"/>
      <c r="T8" s="279" t="n"/>
      <c r="U8" s="280">
        <f>U7</f>
        <v/>
      </c>
      <c r="V8" s="278" t="n"/>
      <c r="W8" s="279" t="n"/>
      <c r="X8" s="281">
        <f>X7</f>
        <v/>
      </c>
      <c r="Y8" s="278" t="n"/>
      <c r="Z8" s="279" t="n"/>
    </row>
    <row r="9" ht="12" customHeight="1" s="25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s="251">
      <c r="A10" s="1" t="inlineStr">
        <is>
          <t>3. 약품 사용현황 (KG)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inlineStr">
        <is>
          <t>4. 소각재 발생량 (TON, 대)</t>
        </is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30.75" customHeight="1" s="251" thickBot="1">
      <c r="A11" s="136" t="inlineStr">
        <is>
          <t>품 명</t>
        </is>
      </c>
      <c r="B11" s="271" t="n"/>
      <c r="C11" s="150" t="inlineStr">
        <is>
          <t>전일 
재고량</t>
        </is>
      </c>
      <c r="D11" s="271" t="n"/>
      <c r="E11" s="136" t="inlineStr">
        <is>
          <t>입고량</t>
        </is>
      </c>
      <c r="F11" s="271" t="n"/>
      <c r="G11" s="136" t="inlineStr">
        <is>
          <t>사용량</t>
        </is>
      </c>
      <c r="H11" s="271" t="n"/>
      <c r="I11" s="282" t="inlineStr">
        <is>
          <t>재고량</t>
        </is>
      </c>
      <c r="J11" s="271" t="n"/>
      <c r="K11" s="150" t="inlineStr">
        <is>
          <t>입고량 
누계</t>
        </is>
      </c>
      <c r="L11" s="271" t="n"/>
      <c r="M11" s="150" t="inlineStr">
        <is>
          <t>사용량 
누계</t>
        </is>
      </c>
      <c r="N11" s="271" t="n"/>
      <c r="O11" s="1" t="n"/>
      <c r="P11" s="136" t="inlineStr">
        <is>
          <t xml:space="preserve"> 구 분</t>
        </is>
      </c>
      <c r="Q11" s="270" t="n"/>
      <c r="R11" s="271" t="n"/>
      <c r="S11" s="282" t="inlineStr">
        <is>
          <t>반출량</t>
        </is>
      </c>
      <c r="T11" s="270" t="n"/>
      <c r="U11" s="270" t="n"/>
      <c r="V11" s="271" t="n"/>
      <c r="W11" s="282" t="inlineStr">
        <is>
          <t>누계</t>
        </is>
      </c>
      <c r="X11" s="270" t="n"/>
      <c r="Y11" s="270" t="n"/>
      <c r="Z11" s="271" t="n"/>
    </row>
    <row r="12" ht="21.9" customHeight="1" s="251" thickTop="1">
      <c r="A12" s="142" t="inlineStr">
        <is>
          <t>탄산암모늄</t>
        </is>
      </c>
      <c r="B12" s="265" t="n"/>
      <c r="C12" s="164" t="n">
        <v>14914</v>
      </c>
      <c r="D12" s="283" t="n"/>
      <c r="E12" s="164" t="n">
        <v>0</v>
      </c>
      <c r="F12" s="283" t="n"/>
      <c r="G12" s="105" t="n">
        <v>3339</v>
      </c>
      <c r="H12" s="265" t="n"/>
      <c r="I12" s="164">
        <f>C12+E12-G12</f>
        <v/>
      </c>
      <c r="J12" s="283" t="n"/>
      <c r="K12" s="105">
        <f>E12</f>
        <v/>
      </c>
      <c r="L12" s="265" t="n"/>
      <c r="M12" s="105">
        <f>G12</f>
        <v/>
      </c>
      <c r="N12" s="265" t="n"/>
      <c r="O12" s="1" t="n"/>
      <c r="P12" s="149" t="inlineStr">
        <is>
          <t xml:space="preserve">
비산재
</t>
        </is>
      </c>
      <c r="R12" s="254" t="n"/>
      <c r="S12" s="284" t="n">
        <v>54.12</v>
      </c>
      <c r="T12" s="285" t="n"/>
      <c r="U12" s="285" t="n"/>
      <c r="V12" s="285" t="n"/>
      <c r="W12" s="286">
        <f>S12</f>
        <v/>
      </c>
      <c r="X12" s="285" t="n"/>
      <c r="Y12" s="285" t="n"/>
      <c r="Z12" s="287" t="n"/>
    </row>
    <row r="13" ht="21.9" customHeight="1" s="251">
      <c r="A13" s="104" t="inlineStr">
        <is>
          <t>청관제</t>
        </is>
      </c>
      <c r="B13" s="279" t="n"/>
      <c r="C13" s="288" t="n">
        <v>590</v>
      </c>
      <c r="D13" s="275" t="n"/>
      <c r="E13" s="288" t="n">
        <v>0</v>
      </c>
      <c r="F13" s="275" t="n"/>
      <c r="G13" s="104" t="n">
        <v>90</v>
      </c>
      <c r="H13" s="279" t="n"/>
      <c r="I13" s="288">
        <f>C13+E13-G13</f>
        <v/>
      </c>
      <c r="J13" s="275" t="n"/>
      <c r="K13" s="105">
        <f>E13</f>
        <v/>
      </c>
      <c r="L13" s="265" t="n"/>
      <c r="M13" s="105">
        <f>G13</f>
        <v/>
      </c>
      <c r="N13" s="265" t="n"/>
      <c r="O13" s="1" t="n"/>
      <c r="P13" s="264" t="n"/>
      <c r="Q13" s="272" t="n"/>
      <c r="R13" s="265" t="n"/>
      <c r="S13" s="289" t="n"/>
      <c r="T13" s="290" t="n"/>
      <c r="U13" s="290" t="n"/>
      <c r="V13" s="290" t="n"/>
      <c r="W13" s="264" t="n"/>
      <c r="X13" s="272" t="n"/>
      <c r="Y13" s="272" t="n"/>
      <c r="Z13" s="265" t="n"/>
    </row>
    <row r="14" ht="21.9" customHeight="1" s="251">
      <c r="A14" s="104" t="inlineStr">
        <is>
          <t>활성탄</t>
        </is>
      </c>
      <c r="B14" s="279" t="n"/>
      <c r="C14" s="288" t="n">
        <v>600</v>
      </c>
      <c r="D14" s="275" t="n"/>
      <c r="E14" s="288" t="n">
        <v>0</v>
      </c>
      <c r="F14" s="275" t="n"/>
      <c r="G14" s="104" t="n">
        <v>120</v>
      </c>
      <c r="H14" s="279" t="n"/>
      <c r="I14" s="288">
        <f>C14+E14-G14</f>
        <v/>
      </c>
      <c r="J14" s="275" t="n"/>
      <c r="K14" s="105">
        <f>E14</f>
        <v/>
      </c>
      <c r="L14" s="265" t="n"/>
      <c r="M14" s="105">
        <f>G14</f>
        <v/>
      </c>
      <c r="N14" s="265" t="n"/>
      <c r="O14" s="1" t="n"/>
      <c r="P14" s="104" t="inlineStr">
        <is>
          <t>바닥재</t>
        </is>
      </c>
      <c r="Q14" s="291" t="n"/>
      <c r="R14" s="292" t="n"/>
      <c r="S14" s="293" t="n">
        <v>24.1</v>
      </c>
      <c r="T14" s="291" t="n"/>
      <c r="U14" s="291" t="n"/>
      <c r="V14" s="291" t="n"/>
      <c r="W14" s="294">
        <f>S14</f>
        <v/>
      </c>
      <c r="X14" s="291" t="n"/>
      <c r="Y14" s="291" t="n"/>
      <c r="Z14" s="295" t="n"/>
    </row>
    <row r="15" ht="21.9" customHeight="1" s="251">
      <c r="A15" s="104" t="inlineStr">
        <is>
          <t>가성소다</t>
        </is>
      </c>
      <c r="B15" s="279" t="n"/>
      <c r="C15" s="288" t="n">
        <v>1299</v>
      </c>
      <c r="D15" s="275" t="n"/>
      <c r="E15" s="288" t="n">
        <v>0</v>
      </c>
      <c r="F15" s="275" t="n"/>
      <c r="G15" s="104" t="n">
        <v>33</v>
      </c>
      <c r="H15" s="279" t="n"/>
      <c r="I15" s="288">
        <f>C15+E15-G15</f>
        <v/>
      </c>
      <c r="J15" s="275" t="n"/>
      <c r="K15" s="105">
        <f>E15</f>
        <v/>
      </c>
      <c r="L15" s="265" t="n"/>
      <c r="M15" s="105">
        <f>G15</f>
        <v/>
      </c>
      <c r="N15" s="265" t="n"/>
      <c r="O15" s="1" t="n"/>
      <c r="P15" s="296" t="n"/>
      <c r="Q15" s="290" t="n"/>
      <c r="R15" s="297" t="n"/>
      <c r="S15" s="296" t="n"/>
      <c r="T15" s="290" t="n"/>
      <c r="U15" s="290" t="n"/>
      <c r="V15" s="290" t="n"/>
      <c r="W15" s="298" t="n"/>
      <c r="X15" s="272" t="n"/>
      <c r="Y15" s="272" t="n"/>
      <c r="Z15" s="265" t="n"/>
    </row>
    <row r="16" ht="21.9" customHeight="1" s="251">
      <c r="A16" s="104" t="inlineStr">
        <is>
          <t>소석회</t>
        </is>
      </c>
      <c r="B16" s="279" t="n"/>
      <c r="C16" s="288" t="n">
        <v>2350</v>
      </c>
      <c r="D16" s="275" t="n"/>
      <c r="E16" s="288" t="n">
        <v>0</v>
      </c>
      <c r="F16" s="275" t="n"/>
      <c r="G16" s="104" t="n">
        <v>20</v>
      </c>
      <c r="H16" s="279" t="n"/>
      <c r="I16" s="288">
        <f>C16+E16-G16</f>
        <v/>
      </c>
      <c r="J16" s="275" t="n"/>
      <c r="K16" s="105">
        <f>E16</f>
        <v/>
      </c>
      <c r="L16" s="265" t="n"/>
      <c r="M16" s="105">
        <f>G16</f>
        <v/>
      </c>
      <c r="N16" s="265" t="n"/>
      <c r="O16" s="1" t="n"/>
      <c r="P16" s="162" t="inlineStr">
        <is>
          <t>구분</t>
        </is>
      </c>
      <c r="Q16" s="291" t="n"/>
      <c r="R16" s="292" t="n"/>
      <c r="S16" s="299" t="inlineStr">
        <is>
          <t>주간</t>
        </is>
      </c>
      <c r="T16" s="292" t="n"/>
      <c r="U16" s="299" t="inlineStr">
        <is>
          <t>야간</t>
        </is>
      </c>
      <c r="V16" s="292" t="n"/>
      <c r="W16" s="299" t="inlineStr">
        <is>
          <t>합계</t>
        </is>
      </c>
      <c r="X16" s="292" t="n"/>
      <c r="Y16" s="299" t="inlineStr">
        <is>
          <t>누계</t>
        </is>
      </c>
      <c r="Z16" s="292" t="n"/>
    </row>
    <row r="17" ht="21.9" customHeight="1" s="251" thickBot="1">
      <c r="A17" s="104" t="inlineStr">
        <is>
          <t>소 금</t>
        </is>
      </c>
      <c r="B17" s="279" t="n"/>
      <c r="C17" s="288" t="n">
        <v>1850</v>
      </c>
      <c r="D17" s="275" t="n"/>
      <c r="E17" s="288" t="n">
        <v>0</v>
      </c>
      <c r="F17" s="275" t="n"/>
      <c r="G17" s="104" t="n">
        <v>200</v>
      </c>
      <c r="H17" s="279" t="n"/>
      <c r="I17" s="288">
        <f>C17+E17-G17</f>
        <v/>
      </c>
      <c r="J17" s="275" t="n"/>
      <c r="K17" s="105">
        <f>E17</f>
        <v/>
      </c>
      <c r="L17" s="265" t="n"/>
      <c r="M17" s="105">
        <f>G17</f>
        <v/>
      </c>
      <c r="N17" s="265" t="n"/>
      <c r="O17" s="1" t="n"/>
      <c r="P17" s="296" t="n"/>
      <c r="Q17" s="290" t="n"/>
      <c r="R17" s="297" t="n"/>
      <c r="S17" s="300" t="n"/>
      <c r="T17" s="301" t="n"/>
      <c r="U17" s="300" t="n"/>
      <c r="V17" s="301" t="n"/>
      <c r="W17" s="300" t="n"/>
      <c r="X17" s="301" t="n"/>
      <c r="Y17" s="300" t="n"/>
      <c r="Z17" s="301" t="n"/>
      <c r="AE17" s="302" t="n"/>
    </row>
    <row r="18" ht="21.9" customHeight="1" s="251" thickTop="1">
      <c r="A18" s="104" t="inlineStr">
        <is>
          <t>경 유</t>
        </is>
      </c>
      <c r="B18" s="279" t="n"/>
      <c r="C18" s="288" t="n">
        <v>5340</v>
      </c>
      <c r="D18" s="275" t="n"/>
      <c r="E18" s="288" t="n">
        <v>0</v>
      </c>
      <c r="F18" s="275" t="n"/>
      <c r="G18" s="104" t="n">
        <v>0</v>
      </c>
      <c r="H18" s="279" t="n"/>
      <c r="I18" s="288">
        <f>C18+E18-G18</f>
        <v/>
      </c>
      <c r="J18" s="275" t="n"/>
      <c r="K18" s="105">
        <f>E18</f>
        <v/>
      </c>
      <c r="L18" s="265" t="n"/>
      <c r="M18" s="105">
        <f>G18</f>
        <v/>
      </c>
      <c r="N18" s="265" t="n"/>
      <c r="O18" s="1" t="n"/>
      <c r="P18" s="164" t="inlineStr">
        <is>
          <t>불연물</t>
        </is>
      </c>
      <c r="Q18" s="285" t="n"/>
      <c r="R18" s="287" t="n"/>
      <c r="S18" s="303" t="n">
        <v>2</v>
      </c>
      <c r="T18" s="287" t="n"/>
      <c r="U18" s="303" t="n">
        <v>1</v>
      </c>
      <c r="V18" s="287" t="n"/>
      <c r="W18" s="303">
        <f>S18+U18</f>
        <v/>
      </c>
      <c r="X18" s="287" t="n"/>
      <c r="Y18" s="303">
        <f>W18</f>
        <v/>
      </c>
      <c r="Z18" s="287" t="n"/>
    </row>
    <row r="19" ht="21.9" customHeight="1" s="251">
      <c r="A19" s="153" t="inlineStr">
        <is>
          <t>SRF</t>
        </is>
      </c>
      <c r="B19" s="279" t="n"/>
      <c r="C19" s="273" t="n">
        <v>110000</v>
      </c>
      <c r="D19" s="275" t="n"/>
      <c r="E19" s="273" t="n">
        <v>70150</v>
      </c>
      <c r="F19" s="275" t="n"/>
      <c r="G19" s="154">
        <f>D7</f>
        <v/>
      </c>
      <c r="H19" s="279" t="n"/>
      <c r="I19" s="273">
        <f>C19+E19-G19</f>
        <v/>
      </c>
      <c r="J19" s="275" t="n"/>
      <c r="K19" s="139">
        <f>E19</f>
        <v/>
      </c>
      <c r="L19" s="265" t="n"/>
      <c r="M19" s="139">
        <f>G19</f>
        <v/>
      </c>
      <c r="N19" s="265" t="n"/>
      <c r="O19" s="1" t="n"/>
      <c r="P19" s="256" t="n"/>
      <c r="R19" s="254" t="n"/>
      <c r="S19" s="256" t="n"/>
      <c r="T19" s="254" t="n"/>
      <c r="U19" s="256" t="n"/>
      <c r="V19" s="254" t="n"/>
      <c r="W19" s="256" t="n"/>
      <c r="X19" s="254" t="n"/>
      <c r="Y19" s="256" t="n"/>
      <c r="Z19" s="254" t="n"/>
    </row>
    <row r="20" ht="21.9" customHeight="1" s="251">
      <c r="A20" s="104" t="inlineStr">
        <is>
          <t>규 사</t>
        </is>
      </c>
      <c r="B20" s="279" t="n"/>
      <c r="C20" s="288" t="n"/>
      <c r="D20" s="275" t="n"/>
      <c r="E20" s="288" t="n"/>
      <c r="F20" s="275" t="n"/>
      <c r="G20" s="104" t="n"/>
      <c r="H20" s="279" t="n"/>
      <c r="I20" s="288" t="inlineStr">
        <is>
          <t>-</t>
        </is>
      </c>
      <c r="J20" s="275" t="n"/>
      <c r="K20" s="105">
        <f>E20</f>
        <v/>
      </c>
      <c r="L20" s="265" t="n"/>
      <c r="M20" s="105">
        <f>G20</f>
        <v/>
      </c>
      <c r="N20" s="265" t="n"/>
      <c r="O20" s="1" t="n"/>
      <c r="P20" s="264" t="n"/>
      <c r="Q20" s="272" t="n"/>
      <c r="R20" s="265" t="n"/>
      <c r="S20" s="264" t="n"/>
      <c r="T20" s="265" t="n"/>
      <c r="U20" s="264" t="n"/>
      <c r="V20" s="265" t="n"/>
      <c r="W20" s="264" t="n"/>
      <c r="X20" s="265" t="n"/>
      <c r="Y20" s="264" t="n"/>
      <c r="Z20" s="265" t="n"/>
    </row>
    <row r="21" ht="12" customHeight="1" s="25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C21" s="1" t="n"/>
    </row>
    <row r="22" s="251">
      <c r="A22" s="1" t="inlineStr">
        <is>
          <t>5. 전력 사용량 (KWH)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10" t="inlineStr">
        <is>
          <t>6. 유틸리티 사용현황 (㎥)</t>
        </is>
      </c>
      <c r="Q22" s="290" t="n"/>
      <c r="R22" s="290" t="n"/>
      <c r="S22" s="290" t="n"/>
      <c r="T22" s="290" t="n"/>
      <c r="U22" s="290" t="n"/>
      <c r="V22" s="1" t="n"/>
      <c r="W22" s="1" t="n"/>
      <c r="X22" s="1" t="n"/>
      <c r="Y22" s="1" t="n"/>
      <c r="Z22" s="1" t="n"/>
      <c r="AC22" s="1" t="n"/>
    </row>
    <row r="23" ht="28.5" customHeight="1" s="251" thickBot="1">
      <c r="A23" s="136" t="inlineStr">
        <is>
          <t>구 분</t>
        </is>
      </c>
      <c r="B23" s="270" t="n"/>
      <c r="C23" s="271" t="n"/>
      <c r="D23" s="136" t="inlineStr">
        <is>
          <t>전일지침</t>
        </is>
      </c>
      <c r="E23" s="270" t="n"/>
      <c r="F23" s="271" t="n"/>
      <c r="G23" s="136" t="inlineStr">
        <is>
          <t>금일지침</t>
        </is>
      </c>
      <c r="H23" s="270" t="n"/>
      <c r="I23" s="271" t="n"/>
      <c r="J23" s="136" t="inlineStr">
        <is>
          <t>사용량</t>
        </is>
      </c>
      <c r="K23" s="270" t="n"/>
      <c r="L23" s="271" t="n"/>
      <c r="M23" s="136" t="inlineStr">
        <is>
          <t>누 계</t>
        </is>
      </c>
      <c r="N23" s="271" t="n"/>
      <c r="P23" s="136" t="inlineStr">
        <is>
          <t>구 분</t>
        </is>
      </c>
      <c r="Q23" s="270" t="n"/>
      <c r="R23" s="271" t="n"/>
      <c r="S23" s="136" t="inlineStr">
        <is>
          <t>전일 사용량</t>
        </is>
      </c>
      <c r="T23" s="270" t="n"/>
      <c r="U23" s="271" t="n"/>
      <c r="V23" s="136" t="inlineStr">
        <is>
          <t>금일 사용량</t>
        </is>
      </c>
      <c r="W23" s="270" t="n"/>
      <c r="X23" s="271" t="n"/>
      <c r="Y23" s="136" t="inlineStr">
        <is>
          <t>누 계</t>
        </is>
      </c>
      <c r="Z23" s="271" t="n"/>
    </row>
    <row r="24" ht="21.9" customHeight="1" s="251" thickTop="1">
      <c r="A24" s="105" t="inlineStr">
        <is>
          <t>MAIN</t>
        </is>
      </c>
      <c r="B24" s="272" t="n"/>
      <c r="C24" s="265" t="n"/>
      <c r="D24" s="164" t="n">
        <v>3671568</v>
      </c>
      <c r="E24" s="304" t="n"/>
      <c r="F24" s="283" t="n"/>
      <c r="G24" s="164" t="n">
        <v>3714008</v>
      </c>
      <c r="H24" s="304" t="n"/>
      <c r="I24" s="283" t="n"/>
      <c r="J24" s="164">
        <f>G24-D24</f>
        <v/>
      </c>
      <c r="K24" s="304" t="n"/>
      <c r="L24" s="283" t="n"/>
      <c r="M24" s="164">
        <f>J24</f>
        <v/>
      </c>
      <c r="N24" s="283" t="n"/>
      <c r="P24" s="105" t="inlineStr">
        <is>
          <t>재이용수</t>
        </is>
      </c>
      <c r="Q24" s="272" t="n"/>
      <c r="R24" s="265" t="n"/>
      <c r="S24" s="276" t="n"/>
      <c r="T24" s="272" t="n"/>
      <c r="U24" s="265" t="n"/>
      <c r="V24" s="164" t="n">
        <v>432.2</v>
      </c>
      <c r="W24" s="304" t="n"/>
      <c r="X24" s="283" t="n"/>
      <c r="Y24" s="105">
        <f>V24</f>
        <v/>
      </c>
      <c r="Z24" s="265" t="n"/>
    </row>
    <row r="25" ht="21.9" customHeight="1" s="251">
      <c r="A25" s="104" t="inlineStr">
        <is>
          <t>ASH 저장조</t>
        </is>
      </c>
      <c r="B25" s="278" t="n"/>
      <c r="C25" s="279" t="n"/>
      <c r="D25" s="104" t="n">
        <v>32764.1</v>
      </c>
      <c r="E25" s="278" t="n"/>
      <c r="F25" s="279" t="n"/>
      <c r="G25" s="288" t="n">
        <v>32826.1</v>
      </c>
      <c r="H25" s="274" t="n"/>
      <c r="I25" s="275" t="n"/>
      <c r="J25" s="288">
        <f>G25-D25</f>
        <v/>
      </c>
      <c r="K25" s="274" t="n"/>
      <c r="L25" s="275" t="n"/>
      <c r="M25" s="288">
        <f>J25</f>
        <v/>
      </c>
      <c r="N25" s="275" t="n"/>
      <c r="P25" s="104" t="inlineStr">
        <is>
          <t>복류수</t>
        </is>
      </c>
      <c r="Q25" s="278" t="n"/>
      <c r="R25" s="279" t="n"/>
      <c r="S25" s="280" t="n"/>
      <c r="T25" s="278" t="n"/>
      <c r="U25" s="279" t="n"/>
      <c r="V25" s="288" t="n">
        <v>56.4</v>
      </c>
      <c r="W25" s="274" t="n"/>
      <c r="X25" s="275" t="n"/>
      <c r="Y25" s="104">
        <f>V25</f>
        <v/>
      </c>
      <c r="Z25" s="279" t="n"/>
    </row>
    <row r="26" ht="21.9" customHeight="1" s="251">
      <c r="A26" s="104" t="inlineStr">
        <is>
          <t>BAG FILTER</t>
        </is>
      </c>
      <c r="B26" s="278" t="n"/>
      <c r="C26" s="279" t="n"/>
      <c r="D26" s="104" t="n">
        <v>24300</v>
      </c>
      <c r="E26" s="278" t="n"/>
      <c r="F26" s="279" t="n"/>
      <c r="G26" s="288" t="n">
        <v>24340</v>
      </c>
      <c r="H26" s="274" t="n"/>
      <c r="I26" s="275" t="n"/>
      <c r="J26" s="288">
        <f>G26-D26</f>
        <v/>
      </c>
      <c r="K26" s="274" t="n"/>
      <c r="L26" s="275" t="n"/>
      <c r="M26" s="288">
        <f>J26</f>
        <v/>
      </c>
      <c r="N26" s="275" t="n"/>
      <c r="P26" s="104" t="inlineStr">
        <is>
          <t>응축수</t>
        </is>
      </c>
      <c r="Q26" s="278" t="n"/>
      <c r="R26" s="279" t="n"/>
      <c r="S26" s="280" t="n"/>
      <c r="T26" s="278" t="n"/>
      <c r="U26" s="279" t="n"/>
      <c r="V26" s="288" t="n">
        <v>477.8</v>
      </c>
      <c r="W26" s="274" t="n"/>
      <c r="X26" s="275" t="n"/>
      <c r="Y26" s="104">
        <f>V26</f>
        <v/>
      </c>
      <c r="Z26" s="279" t="n"/>
    </row>
    <row r="27" ht="21.9" customHeight="1" s="251">
      <c r="A27" s="104" t="inlineStr">
        <is>
          <t>SCRUBBER</t>
        </is>
      </c>
      <c r="B27" s="278" t="n"/>
      <c r="C27" s="279" t="n"/>
      <c r="D27" s="104" t="n">
        <v>1339000</v>
      </c>
      <c r="E27" s="278" t="n"/>
      <c r="F27" s="279" t="n"/>
      <c r="G27" s="288" t="n">
        <v>1346000</v>
      </c>
      <c r="H27" s="274" t="n"/>
      <c r="I27" s="275" t="n"/>
      <c r="J27" s="288">
        <f>G27-D27</f>
        <v/>
      </c>
      <c r="K27" s="274" t="n"/>
      <c r="L27" s="275" t="n"/>
      <c r="M27" s="288">
        <f>J27</f>
        <v/>
      </c>
      <c r="N27" s="275" t="n"/>
      <c r="P27" s="104" t="inlineStr">
        <is>
          <t>보일러 급수</t>
        </is>
      </c>
      <c r="Q27" s="278" t="n"/>
      <c r="R27" s="279" t="n"/>
      <c r="S27" s="280" t="n"/>
      <c r="T27" s="278" t="n"/>
      <c r="U27" s="279" t="n"/>
      <c r="V27" s="288" t="n">
        <v>500.3</v>
      </c>
      <c r="W27" s="274" t="n"/>
      <c r="X27" s="275" t="n"/>
      <c r="Y27" s="104">
        <f>V27</f>
        <v/>
      </c>
      <c r="Z27" s="279" t="n"/>
    </row>
    <row r="28" ht="21.9" customHeight="1" s="251">
      <c r="A28" s="104" t="inlineStr">
        <is>
          <t>활성탄 공급</t>
        </is>
      </c>
      <c r="B28" s="278" t="n"/>
      <c r="C28" s="279" t="n"/>
      <c r="D28" s="104" t="n">
        <v>4938</v>
      </c>
      <c r="E28" s="278" t="n"/>
      <c r="F28" s="279" t="n"/>
      <c r="G28" s="288" t="n">
        <v>5045</v>
      </c>
      <c r="H28" s="274" t="n"/>
      <c r="I28" s="275" t="n"/>
      <c r="J28" s="288">
        <f>G28-D28</f>
        <v/>
      </c>
      <c r="K28" s="274" t="n"/>
      <c r="L28" s="275" t="n"/>
      <c r="M28" s="288">
        <f>J28</f>
        <v/>
      </c>
      <c r="N28" s="275" t="n"/>
      <c r="P28" s="104" t="inlineStr">
        <is>
          <t>폐 수</t>
        </is>
      </c>
      <c r="Q28" s="278" t="n"/>
      <c r="R28" s="279" t="n"/>
      <c r="S28" s="280" t="n"/>
      <c r="T28" s="278" t="n"/>
      <c r="U28" s="279" t="n"/>
      <c r="V28" s="288" t="n">
        <v>0</v>
      </c>
      <c r="W28" s="274" t="n"/>
      <c r="X28" s="275" t="n"/>
      <c r="Y28" s="104">
        <f>V28</f>
        <v/>
      </c>
      <c r="Z28" s="279" t="n"/>
    </row>
    <row r="29" ht="21.9" customHeight="1" s="251">
      <c r="A29" s="104" t="inlineStr">
        <is>
          <t>소석회 공급</t>
        </is>
      </c>
      <c r="B29" s="278" t="n"/>
      <c r="C29" s="279" t="n"/>
      <c r="D29" s="104" t="n">
        <v>66180</v>
      </c>
      <c r="E29" s="278" t="n"/>
      <c r="F29" s="279" t="n"/>
      <c r="G29" s="288" t="n">
        <v>66190</v>
      </c>
      <c r="H29" s="274" t="n"/>
      <c r="I29" s="275" t="n"/>
      <c r="J29" s="288">
        <f>G29-D29</f>
        <v/>
      </c>
      <c r="K29" s="274" t="n"/>
      <c r="L29" s="275" t="n"/>
      <c r="M29" s="288">
        <f>J29</f>
        <v/>
      </c>
      <c r="N29" s="275" t="n"/>
      <c r="P29" s="104" t="inlineStr">
        <is>
          <t>연 수</t>
        </is>
      </c>
      <c r="Q29" s="278" t="n"/>
      <c r="R29" s="279" t="n"/>
      <c r="S29" s="280" t="n"/>
      <c r="T29" s="278" t="n"/>
      <c r="U29" s="279" t="n"/>
      <c r="V29" s="288" t="n">
        <v>61.6</v>
      </c>
      <c r="W29" s="274" t="n"/>
      <c r="X29" s="275" t="n"/>
      <c r="Y29" s="104">
        <f>V29</f>
        <v/>
      </c>
      <c r="Z29" s="279" t="n"/>
    </row>
    <row r="30" ht="21.9" customHeight="1" s="251">
      <c r="A30" s="104" t="inlineStr">
        <is>
          <t>요소수 공급</t>
        </is>
      </c>
      <c r="B30" s="278" t="n"/>
      <c r="C30" s="279" t="n"/>
      <c r="D30" s="104" t="n">
        <v>53220</v>
      </c>
      <c r="E30" s="278" t="n"/>
      <c r="F30" s="279" t="n"/>
      <c r="G30" s="288" t="n">
        <v>53250</v>
      </c>
      <c r="H30" s="274" t="n"/>
      <c r="I30" s="275" t="n"/>
      <c r="J30" s="288">
        <f>G30-D30</f>
        <v/>
      </c>
      <c r="K30" s="274" t="n"/>
      <c r="L30" s="275" t="n"/>
      <c r="M30" s="288">
        <f>J30</f>
        <v/>
      </c>
      <c r="N30" s="275" t="n"/>
      <c r="P30" s="104" t="inlineStr">
        <is>
          <t>계</t>
        </is>
      </c>
      <c r="Q30" s="278" t="n"/>
      <c r="R30" s="279" t="n"/>
      <c r="S30" s="280" t="n"/>
      <c r="T30" s="278" t="n"/>
      <c r="U30" s="279" t="n"/>
      <c r="V30" s="288" t="n">
        <v>0</v>
      </c>
      <c r="W30" s="274" t="n"/>
      <c r="X30" s="275" t="n"/>
      <c r="Y30" s="104">
        <f>SUM(Y24:Z29)</f>
        <v/>
      </c>
      <c r="Z30" s="279" t="n"/>
    </row>
    <row r="31" ht="21.9" customHeight="1" s="251">
      <c r="A31" s="104" t="inlineStr">
        <is>
          <t xml:space="preserve">F.D </t>
        </is>
      </c>
      <c r="B31" s="278" t="n"/>
      <c r="C31" s="279" t="n"/>
      <c r="D31" s="288" t="n">
        <v>6202095</v>
      </c>
      <c r="E31" s="274" t="n"/>
      <c r="F31" s="275" t="n"/>
      <c r="G31" s="288" t="n">
        <v>6216379</v>
      </c>
      <c r="H31" s="274" t="n"/>
      <c r="I31" s="275" t="n"/>
      <c r="J31" s="288">
        <f>G31-D31</f>
        <v/>
      </c>
      <c r="K31" s="274" t="n"/>
      <c r="L31" s="275" t="n"/>
      <c r="M31" s="288">
        <f>J31</f>
        <v/>
      </c>
      <c r="N31" s="275" t="n"/>
      <c r="P31" s="172" t="n"/>
      <c r="Q31" s="172" t="n"/>
      <c r="R31" s="172" t="n"/>
      <c r="S31" s="305" t="n"/>
      <c r="T31" s="305" t="n"/>
      <c r="U31" s="305" t="n"/>
      <c r="V31" s="172" t="n"/>
      <c r="W31" s="172" t="n"/>
      <c r="X31" s="172" t="n"/>
      <c r="Y31" s="172" t="n"/>
      <c r="Z31" s="172" t="n"/>
    </row>
    <row r="32" ht="21.9" customHeight="1" s="251">
      <c r="A32" s="104" t="inlineStr">
        <is>
          <t>활성탄 BAG</t>
        </is>
      </c>
      <c r="B32" s="278" t="n"/>
      <c r="C32" s="279" t="n"/>
      <c r="D32" s="288" t="n">
        <v>1.6</v>
      </c>
      <c r="E32" s="274" t="n"/>
      <c r="F32" s="275" t="n"/>
      <c r="G32" s="288" t="n">
        <v>1.6</v>
      </c>
      <c r="H32" s="274" t="n"/>
      <c r="I32" s="275" t="n"/>
      <c r="J32" s="288">
        <f>G32-D32</f>
        <v/>
      </c>
      <c r="K32" s="274" t="n"/>
      <c r="L32" s="275" t="n"/>
      <c r="M32" s="288">
        <f>J32</f>
        <v/>
      </c>
      <c r="N32" s="275" t="n"/>
      <c r="P32" s="172" t="n"/>
      <c r="Q32" s="172" t="n"/>
      <c r="R32" s="172" t="n"/>
      <c r="S32" s="305" t="n"/>
      <c r="T32" s="305" t="n"/>
      <c r="U32" s="305" t="n"/>
      <c r="V32" s="172" t="n"/>
      <c r="W32" s="172" t="n"/>
      <c r="X32" s="172" t="n"/>
      <c r="Y32" s="172" t="n"/>
      <c r="Z32" s="172" t="n"/>
    </row>
    <row r="33" ht="21.9" customHeight="1" s="251">
      <c r="A33" s="104" t="inlineStr">
        <is>
          <t>소석회 BAG</t>
        </is>
      </c>
      <c r="B33" s="278" t="n"/>
      <c r="C33" s="279" t="n"/>
      <c r="D33" s="288" t="n">
        <v>0</v>
      </c>
      <c r="E33" s="274" t="n"/>
      <c r="F33" s="275" t="n"/>
      <c r="G33" s="288" t="n">
        <v>0</v>
      </c>
      <c r="H33" s="274" t="n"/>
      <c r="I33" s="275" t="n"/>
      <c r="J33" s="288">
        <f>G33-D33</f>
        <v/>
      </c>
      <c r="K33" s="274" t="n"/>
      <c r="L33" s="275" t="n"/>
      <c r="M33" s="288">
        <f>J33</f>
        <v/>
      </c>
      <c r="N33" s="275" t="n"/>
      <c r="P33" s="172" t="n"/>
      <c r="Q33" s="172" t="n"/>
      <c r="R33" s="172" t="n"/>
      <c r="S33" s="305" t="n"/>
      <c r="T33" s="305" t="n"/>
      <c r="U33" s="305" t="n"/>
      <c r="V33" s="172" t="n"/>
      <c r="W33" s="172" t="n"/>
      <c r="X33" s="172" t="n"/>
      <c r="Y33" s="172" t="n"/>
      <c r="Z33" s="172" t="n"/>
    </row>
  </sheetData>
  <mergeCells count="217">
    <mergeCell ref="V24:X24"/>
    <mergeCell ref="A15:B15"/>
    <mergeCell ref="P27:R27"/>
    <mergeCell ref="C15:D15"/>
    <mergeCell ref="S23:U23"/>
    <mergeCell ref="J27:L27"/>
    <mergeCell ref="S14:V15"/>
    <mergeCell ref="Y24:Z24"/>
    <mergeCell ref="U7:W7"/>
    <mergeCell ref="A26:C26"/>
    <mergeCell ref="G24:I24"/>
    <mergeCell ref="J25:L25"/>
    <mergeCell ref="D28:F28"/>
    <mergeCell ref="I16:J16"/>
    <mergeCell ref="A23:C23"/>
    <mergeCell ref="S24:U24"/>
    <mergeCell ref="P6:Q6"/>
    <mergeCell ref="P28:R28"/>
    <mergeCell ref="W1:X1"/>
    <mergeCell ref="Y1:Z1"/>
    <mergeCell ref="G26:I26"/>
    <mergeCell ref="S16:T17"/>
    <mergeCell ref="D30:F30"/>
    <mergeCell ref="G18:H18"/>
    <mergeCell ref="U8:W8"/>
    <mergeCell ref="B1:C1"/>
    <mergeCell ref="I18:J18"/>
    <mergeCell ref="H3:S3"/>
    <mergeCell ref="M16:N16"/>
    <mergeCell ref="P30:R30"/>
    <mergeCell ref="M25:N25"/>
    <mergeCell ref="D29:F29"/>
    <mergeCell ref="D23:F23"/>
    <mergeCell ref="Y25:Z25"/>
    <mergeCell ref="M18:N18"/>
    <mergeCell ref="M33:N33"/>
    <mergeCell ref="A17:B17"/>
    <mergeCell ref="C17:D17"/>
    <mergeCell ref="S25:U25"/>
    <mergeCell ref="U18:V20"/>
    <mergeCell ref="J29:L29"/>
    <mergeCell ref="M17:N17"/>
    <mergeCell ref="W18:X20"/>
    <mergeCell ref="G20:H20"/>
    <mergeCell ref="I20:J20"/>
    <mergeCell ref="S27:U27"/>
    <mergeCell ref="V23:X23"/>
    <mergeCell ref="A19:B19"/>
    <mergeCell ref="C19:D19"/>
    <mergeCell ref="A6:C6"/>
    <mergeCell ref="Y2:Z3"/>
    <mergeCell ref="Y18:Z20"/>
    <mergeCell ref="M19:N19"/>
    <mergeCell ref="P22:U22"/>
    <mergeCell ref="I13:J13"/>
    <mergeCell ref="K13:L13"/>
    <mergeCell ref="X7:Z7"/>
    <mergeCell ref="E12:F12"/>
    <mergeCell ref="J24:L24"/>
    <mergeCell ref="G12:H12"/>
    <mergeCell ref="G28:I28"/>
    <mergeCell ref="D27:F27"/>
    <mergeCell ref="G6:I6"/>
    <mergeCell ref="I15:J15"/>
    <mergeCell ref="A11:B11"/>
    <mergeCell ref="K15:L15"/>
    <mergeCell ref="S28:U28"/>
    <mergeCell ref="C14:D14"/>
    <mergeCell ref="E14:F14"/>
    <mergeCell ref="J26:L26"/>
    <mergeCell ref="G30:I30"/>
    <mergeCell ref="J7:L7"/>
    <mergeCell ref="V27:X27"/>
    <mergeCell ref="A32:C32"/>
    <mergeCell ref="A29:C29"/>
    <mergeCell ref="D25:F25"/>
    <mergeCell ref="Y26:Z26"/>
    <mergeCell ref="V25:X25"/>
    <mergeCell ref="M13:N13"/>
    <mergeCell ref="G32:I32"/>
    <mergeCell ref="J33:L33"/>
    <mergeCell ref="W14:Z15"/>
    <mergeCell ref="A31:C31"/>
    <mergeCell ref="S26:U26"/>
    <mergeCell ref="M27:N27"/>
    <mergeCell ref="I17:J17"/>
    <mergeCell ref="A24:C24"/>
    <mergeCell ref="Y27:Z27"/>
    <mergeCell ref="K17:L17"/>
    <mergeCell ref="P29:R29"/>
    <mergeCell ref="M24:N24"/>
    <mergeCell ref="E16:F16"/>
    <mergeCell ref="J28:L28"/>
    <mergeCell ref="G27:I27"/>
    <mergeCell ref="G16:H16"/>
    <mergeCell ref="D31:F31"/>
    <mergeCell ref="U2:V3"/>
    <mergeCell ref="I19:J19"/>
    <mergeCell ref="U1:V1"/>
    <mergeCell ref="G8:I8"/>
    <mergeCell ref="K19:L19"/>
    <mergeCell ref="C18:D18"/>
    <mergeCell ref="A7:C7"/>
    <mergeCell ref="E18:F18"/>
    <mergeCell ref="V29:X29"/>
    <mergeCell ref="J30:L30"/>
    <mergeCell ref="R6:T6"/>
    <mergeCell ref="K16:L16"/>
    <mergeCell ref="A25:C25"/>
    <mergeCell ref="J6:L6"/>
    <mergeCell ref="D1:E1"/>
    <mergeCell ref="D32:F32"/>
    <mergeCell ref="G11:H11"/>
    <mergeCell ref="I11:J11"/>
    <mergeCell ref="P23:R23"/>
    <mergeCell ref="W11:Z11"/>
    <mergeCell ref="D7:F7"/>
    <mergeCell ref="Y16:Z17"/>
    <mergeCell ref="S18:T20"/>
    <mergeCell ref="Y30:Z30"/>
    <mergeCell ref="C20:D20"/>
    <mergeCell ref="K11:L11"/>
    <mergeCell ref="E20:F20"/>
    <mergeCell ref="J32:L32"/>
    <mergeCell ref="M11:N11"/>
    <mergeCell ref="Y29:Z29"/>
    <mergeCell ref="H1:S2"/>
    <mergeCell ref="V26:X26"/>
    <mergeCell ref="E13:F13"/>
    <mergeCell ref="S30:U30"/>
    <mergeCell ref="G13:H13"/>
    <mergeCell ref="G29:I29"/>
    <mergeCell ref="M31:N31"/>
    <mergeCell ref="D8:F8"/>
    <mergeCell ref="D33:F33"/>
    <mergeCell ref="W12:Z13"/>
    <mergeCell ref="A12:B12"/>
    <mergeCell ref="A28:C28"/>
    <mergeCell ref="S29:U29"/>
    <mergeCell ref="C12:D12"/>
    <mergeCell ref="A1:A3"/>
    <mergeCell ref="M15:N15"/>
    <mergeCell ref="E15:F15"/>
    <mergeCell ref="M12:N12"/>
    <mergeCell ref="G15:H15"/>
    <mergeCell ref="G31:I31"/>
    <mergeCell ref="P18:R20"/>
    <mergeCell ref="Y28:Z28"/>
    <mergeCell ref="A14:B14"/>
    <mergeCell ref="J8:L8"/>
    <mergeCell ref="A30:C30"/>
    <mergeCell ref="M26:N26"/>
    <mergeCell ref="U6:W6"/>
    <mergeCell ref="P25:R25"/>
    <mergeCell ref="M29:N29"/>
    <mergeCell ref="M23:N23"/>
    <mergeCell ref="F2:G3"/>
    <mergeCell ref="G23:I23"/>
    <mergeCell ref="Y23:Z23"/>
    <mergeCell ref="U16:V17"/>
    <mergeCell ref="W16:X17"/>
    <mergeCell ref="D6:F6"/>
    <mergeCell ref="K18:L18"/>
    <mergeCell ref="P12:R13"/>
    <mergeCell ref="G7:I7"/>
    <mergeCell ref="F1:G1"/>
    <mergeCell ref="T1:T3"/>
    <mergeCell ref="V28:X28"/>
    <mergeCell ref="P11:R11"/>
    <mergeCell ref="P14:R15"/>
    <mergeCell ref="A27:C27"/>
    <mergeCell ref="W2:X3"/>
    <mergeCell ref="V30:X30"/>
    <mergeCell ref="E17:F17"/>
    <mergeCell ref="G17:H17"/>
    <mergeCell ref="G33:I33"/>
    <mergeCell ref="X6:Z6"/>
    <mergeCell ref="A33:C33"/>
    <mergeCell ref="A16:B16"/>
    <mergeCell ref="K20:L20"/>
    <mergeCell ref="C16:D16"/>
    <mergeCell ref="M20:N20"/>
    <mergeCell ref="A8:C8"/>
    <mergeCell ref="E19:F19"/>
    <mergeCell ref="P8:Q8"/>
    <mergeCell ref="J31:L31"/>
    <mergeCell ref="G19:H19"/>
    <mergeCell ref="A18:B18"/>
    <mergeCell ref="D24:F24"/>
    <mergeCell ref="G25:I25"/>
    <mergeCell ref="M30:N30"/>
    <mergeCell ref="I12:J12"/>
    <mergeCell ref="K12:L12"/>
    <mergeCell ref="P24:R24"/>
    <mergeCell ref="P7:Q7"/>
    <mergeCell ref="C11:D11"/>
    <mergeCell ref="M28:N28"/>
    <mergeCell ref="E11:F11"/>
    <mergeCell ref="J23:L23"/>
    <mergeCell ref="D26:F26"/>
    <mergeCell ref="S11:V11"/>
    <mergeCell ref="G14:H14"/>
    <mergeCell ref="R8:T8"/>
    <mergeCell ref="I14:J14"/>
    <mergeCell ref="K14:L14"/>
    <mergeCell ref="P26:R26"/>
    <mergeCell ref="P16:R17"/>
    <mergeCell ref="A20:B20"/>
    <mergeCell ref="B2:C3"/>
    <mergeCell ref="D2:E3"/>
    <mergeCell ref="M32:N32"/>
    <mergeCell ref="M14:N14"/>
    <mergeCell ref="X8:Z8"/>
    <mergeCell ref="A13:B13"/>
    <mergeCell ref="C13:D13"/>
    <mergeCell ref="R7:T7"/>
    <mergeCell ref="S12:V13"/>
  </mergeCells>
  <pageMargins left="0.7086614173228347" right="0.7086614173228347" top="0.7480314960629921" bottom="0.7480314960629921" header="0.3149606299212598" footer="0.3149606299212598"/>
  <pageSetup orientation="portrait" paperSize="9" scale="58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E33"/>
  <sheetViews>
    <sheetView topLeftCell="A10" zoomScaleNormal="100" zoomScaleSheetLayoutView="100" workbookViewId="0">
      <selection activeCell="D30" sqref="D30:F30"/>
    </sheetView>
  </sheetViews>
  <sheetFormatPr baseColWidth="8" defaultRowHeight="17.4"/>
  <cols>
    <col width="2.8984375" customWidth="1" style="251" min="1" max="1"/>
    <col width="5.59765625" customWidth="1" style="251" min="2" max="14"/>
    <col width="3.59765625" customWidth="1" style="251" min="15" max="15"/>
    <col width="4.59765625" customWidth="1" style="251" min="16" max="22"/>
    <col width="5.59765625" customWidth="1" style="251" min="23" max="26"/>
  </cols>
  <sheetData>
    <row r="1" ht="18.75" customHeight="1" s="251">
      <c r="A1" s="122" t="inlineStr">
        <is>
          <t>근
무
자</t>
        </is>
      </c>
      <c r="B1" s="120" t="inlineStr">
        <is>
          <t>오  전</t>
        </is>
      </c>
      <c r="C1" s="252" t="n"/>
      <c r="D1" s="120" t="inlineStr">
        <is>
          <t>오  후</t>
        </is>
      </c>
      <c r="E1" s="252" t="n"/>
      <c r="F1" s="120" t="inlineStr">
        <is>
          <t>야  간</t>
        </is>
      </c>
      <c r="G1" s="252" t="n"/>
      <c r="H1" s="253" t="inlineStr">
        <is>
          <t>유동상소각로 운전일지</t>
        </is>
      </c>
      <c r="S1" s="254" t="n"/>
      <c r="T1" s="255" t="inlineStr">
        <is>
          <t>결
재</t>
        </is>
      </c>
      <c r="U1" s="120" t="inlineStr">
        <is>
          <t>반장</t>
        </is>
      </c>
      <c r="V1" s="252" t="n"/>
      <c r="W1" s="120" t="inlineStr">
        <is>
          <t>대리</t>
        </is>
      </c>
      <c r="X1" s="252" t="n"/>
      <c r="Y1" s="120" t="inlineStr">
        <is>
          <t>팀장</t>
        </is>
      </c>
      <c r="Z1" s="252" t="n"/>
    </row>
    <row r="2" ht="14.25" customHeight="1" s="251">
      <c r="A2" s="256" t="n"/>
      <c r="B2" s="257" t="inlineStr">
        <is>
          <t xml:space="preserve">권정민 </t>
        </is>
      </c>
      <c r="C2" s="258" t="n"/>
      <c r="D2" s="257" t="inlineStr">
        <is>
          <t>김문한</t>
        </is>
      </c>
      <c r="E2" s="258" t="n"/>
      <c r="F2" s="257" t="inlineStr">
        <is>
          <t>임종민</t>
        </is>
      </c>
      <c r="G2" s="258" t="n"/>
      <c r="H2" s="259" t="n"/>
      <c r="I2" s="260" t="n"/>
      <c r="J2" s="260" t="n"/>
      <c r="K2" s="260" t="n"/>
      <c r="L2" s="260" t="n"/>
      <c r="M2" s="260" t="n"/>
      <c r="N2" s="260" t="n"/>
      <c r="O2" s="260" t="n"/>
      <c r="P2" s="260" t="n"/>
      <c r="Q2" s="260" t="n"/>
      <c r="R2" s="260" t="n"/>
      <c r="S2" s="261" t="n"/>
      <c r="T2" s="262" t="n"/>
      <c r="U2" s="105" t="n"/>
      <c r="V2" s="254" t="n"/>
      <c r="W2" s="105" t="n"/>
      <c r="X2" s="254" t="n"/>
      <c r="Y2" s="105" t="n"/>
      <c r="Z2" s="254" t="n"/>
    </row>
    <row r="3" ht="37.5" customHeight="1" s="251">
      <c r="A3" s="263" t="n"/>
      <c r="B3" s="264" t="n"/>
      <c r="C3" s="265" t="n"/>
      <c r="D3" s="264" t="n"/>
      <c r="E3" s="265" t="n"/>
      <c r="F3" s="264" t="n"/>
      <c r="G3" s="265" t="n"/>
      <c r="H3" s="266" t="n">
        <v>46205</v>
      </c>
      <c r="I3" s="267" t="n"/>
      <c r="J3" s="267" t="n"/>
      <c r="K3" s="267" t="n"/>
      <c r="L3" s="267" t="n"/>
      <c r="M3" s="267" t="n"/>
      <c r="N3" s="267" t="n"/>
      <c r="O3" s="267" t="n"/>
      <c r="P3" s="267" t="n"/>
      <c r="Q3" s="267" t="n"/>
      <c r="R3" s="267" t="n"/>
      <c r="S3" s="268" t="n"/>
      <c r="T3" s="269" t="n"/>
      <c r="U3" s="264" t="n"/>
      <c r="V3" s="265" t="n"/>
      <c r="W3" s="264" t="n"/>
      <c r="X3" s="265" t="n"/>
      <c r="Y3" s="264" t="n"/>
      <c r="Z3" s="265" t="n"/>
    </row>
    <row r="4" ht="13.5" customHeight="1" s="25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inlineStr">
        <is>
          <t>1. 소각현황(KG)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inlineStr">
        <is>
          <t>2. BOILER 운전현황(TON, HR)</t>
        </is>
      </c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2.5" customHeight="1" s="251" thickBot="1">
      <c r="A6" s="136" t="inlineStr">
        <is>
          <t>구 분</t>
        </is>
      </c>
      <c r="B6" s="270" t="n"/>
      <c r="C6" s="271" t="n"/>
      <c r="D6" s="136" t="inlineStr">
        <is>
          <t>SRF소각량</t>
        </is>
      </c>
      <c r="E6" s="270" t="n"/>
      <c r="F6" s="271" t="n"/>
      <c r="G6" s="136" t="inlineStr">
        <is>
          <t>SLUDGE 소각량</t>
        </is>
      </c>
      <c r="H6" s="270" t="n"/>
      <c r="I6" s="271" t="n"/>
      <c r="J6" s="136" t="inlineStr">
        <is>
          <t>합 계</t>
        </is>
      </c>
      <c r="K6" s="270" t="n"/>
      <c r="L6" s="271" t="n"/>
      <c r="M6" s="1" t="n"/>
      <c r="N6" s="1" t="n"/>
      <c r="O6" s="1" t="n"/>
      <c r="P6" s="136" t="inlineStr">
        <is>
          <t>구 분</t>
        </is>
      </c>
      <c r="Q6" s="271" t="n"/>
      <c r="R6" s="136" t="inlineStr">
        <is>
          <t>스팀 생산량</t>
        </is>
      </c>
      <c r="S6" s="270" t="n"/>
      <c r="T6" s="271" t="n"/>
      <c r="U6" s="136" t="inlineStr">
        <is>
          <t>스팀 송기량</t>
        </is>
      </c>
      <c r="V6" s="270" t="n"/>
      <c r="W6" s="271" t="n"/>
      <c r="X6" s="136" t="inlineStr">
        <is>
          <t>가동시간</t>
        </is>
      </c>
      <c r="Y6" s="270" t="n"/>
      <c r="Z6" s="271" t="n"/>
    </row>
    <row r="7" ht="30" customHeight="1" s="251" thickTop="1">
      <c r="A7" s="105" t="inlineStr">
        <is>
          <t>금 일</t>
        </is>
      </c>
      <c r="B7" s="272" t="n"/>
      <c r="C7" s="265" t="n"/>
      <c r="D7" s="139" t="n">
        <v>63525</v>
      </c>
      <c r="E7" s="272" t="n"/>
      <c r="F7" s="265" t="n"/>
      <c r="G7" s="139" t="n">
        <v>178400</v>
      </c>
      <c r="H7" s="272" t="n"/>
      <c r="I7" s="265" t="n"/>
      <c r="J7" s="139">
        <f>D7+G7</f>
        <v/>
      </c>
      <c r="K7" s="272" t="n"/>
      <c r="L7" s="265" t="n"/>
      <c r="M7" s="1" t="n"/>
      <c r="N7" s="1" t="n"/>
      <c r="O7" s="1" t="n"/>
      <c r="P7" s="105" t="inlineStr">
        <is>
          <t>금 일</t>
        </is>
      </c>
      <c r="Q7" s="265" t="n"/>
      <c r="R7" s="307" t="n">
        <v>481.2</v>
      </c>
      <c r="S7" s="304" t="n"/>
      <c r="T7" s="283" t="n"/>
      <c r="U7" s="276" t="n">
        <v>327.4</v>
      </c>
      <c r="V7" s="272" t="n"/>
      <c r="W7" s="265" t="n"/>
      <c r="X7" s="308" t="n">
        <v>24</v>
      </c>
      <c r="Y7" s="272" t="n"/>
      <c r="Z7" s="265" t="n"/>
    </row>
    <row r="8" ht="30" customHeight="1" s="251">
      <c r="A8" s="104" t="inlineStr">
        <is>
          <t>누 계</t>
        </is>
      </c>
      <c r="B8" s="278" t="n"/>
      <c r="C8" s="279" t="n"/>
      <c r="D8" s="154">
        <f>'1'!D8+D7</f>
        <v/>
      </c>
      <c r="E8" s="278" t="n"/>
      <c r="F8" s="279" t="n"/>
      <c r="G8" s="273">
        <f>'1'!G8+'2'!G7</f>
        <v/>
      </c>
      <c r="H8" s="274" t="n"/>
      <c r="I8" s="275" t="n"/>
      <c r="J8" s="154">
        <f>D8+G8</f>
        <v/>
      </c>
      <c r="K8" s="278" t="n"/>
      <c r="L8" s="279" t="n"/>
      <c r="M8" s="1" t="n"/>
      <c r="N8" s="1" t="n"/>
      <c r="O8" s="1" t="n"/>
      <c r="P8" s="104" t="inlineStr">
        <is>
          <t>누 계</t>
        </is>
      </c>
      <c r="Q8" s="279" t="n"/>
      <c r="R8" s="276">
        <f>'1'!R8+R7</f>
        <v/>
      </c>
      <c r="S8" s="272" t="n"/>
      <c r="T8" s="265" t="n"/>
      <c r="U8" s="280">
        <f>'1'!U8+U7</f>
        <v/>
      </c>
      <c r="V8" s="278" t="n"/>
      <c r="W8" s="279" t="n"/>
      <c r="X8" s="309">
        <f>'1'!X8+'2'!X7</f>
        <v/>
      </c>
      <c r="Y8" s="278" t="n"/>
      <c r="Z8" s="279" t="n"/>
    </row>
    <row r="9" ht="12" customHeight="1" s="25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inlineStr">
        <is>
          <t>3. 약품 사용현황 (KG)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inlineStr">
        <is>
          <t>4. 소각재 발생량 (TON, 대)</t>
        </is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30.75" customHeight="1" s="251" thickBot="1">
      <c r="A11" s="136" t="inlineStr">
        <is>
          <t>품 명</t>
        </is>
      </c>
      <c r="B11" s="271" t="n"/>
      <c r="C11" s="150" t="inlineStr">
        <is>
          <t>전일 
재고량</t>
        </is>
      </c>
      <c r="D11" s="271" t="n"/>
      <c r="E11" s="136" t="inlineStr">
        <is>
          <t>입고량</t>
        </is>
      </c>
      <c r="F11" s="271" t="n"/>
      <c r="G11" s="136" t="inlineStr">
        <is>
          <t>사용량</t>
        </is>
      </c>
      <c r="H11" s="271" t="n"/>
      <c r="I11" s="282" t="inlineStr">
        <is>
          <t>재고량</t>
        </is>
      </c>
      <c r="J11" s="271" t="n"/>
      <c r="K11" s="150" t="inlineStr">
        <is>
          <t>입고량 
누계</t>
        </is>
      </c>
      <c r="L11" s="271" t="n"/>
      <c r="M11" s="150" t="inlineStr">
        <is>
          <t>사용량 
누계</t>
        </is>
      </c>
      <c r="N11" s="271" t="n"/>
      <c r="O11" s="1" t="n"/>
      <c r="P11" s="136" t="inlineStr">
        <is>
          <t xml:space="preserve"> 구 분</t>
        </is>
      </c>
      <c r="Q11" s="270" t="n"/>
      <c r="R11" s="271" t="n"/>
      <c r="S11" s="282" t="inlineStr">
        <is>
          <t>반출량</t>
        </is>
      </c>
      <c r="T11" s="270" t="n"/>
      <c r="U11" s="270" t="n"/>
      <c r="V11" s="271" t="n"/>
      <c r="W11" s="282" t="inlineStr">
        <is>
          <t>누계</t>
        </is>
      </c>
      <c r="X11" s="270" t="n"/>
      <c r="Y11" s="270" t="n"/>
      <c r="Z11" s="271" t="n"/>
    </row>
    <row r="12" ht="21.9" customHeight="1" s="251" thickTop="1">
      <c r="A12" s="142" t="inlineStr">
        <is>
          <t>탄산암모늄</t>
        </is>
      </c>
      <c r="B12" s="265" t="n"/>
      <c r="C12" s="310">
        <f>'1'!I12</f>
        <v/>
      </c>
      <c r="D12" s="265" t="n"/>
      <c r="E12" s="105" t="n">
        <v>0</v>
      </c>
      <c r="F12" s="265" t="n"/>
      <c r="G12" s="105" t="n">
        <v>3812</v>
      </c>
      <c r="H12" s="265" t="n"/>
      <c r="I12" s="164">
        <f>C12+E12-G12</f>
        <v/>
      </c>
      <c r="J12" s="283" t="n"/>
      <c r="K12" s="105">
        <f>'1'!K12+E12</f>
        <v/>
      </c>
      <c r="L12" s="265" t="n"/>
      <c r="M12" s="105">
        <f>'1'!M12+G12</f>
        <v/>
      </c>
      <c r="N12" s="265" t="n"/>
      <c r="O12" s="1" t="n"/>
      <c r="P12" s="149" t="inlineStr">
        <is>
          <t xml:space="preserve">
비산재
</t>
        </is>
      </c>
      <c r="R12" s="254" t="n"/>
      <c r="S12" s="284" t="n">
        <v>55.53</v>
      </c>
      <c r="T12" s="285" t="n"/>
      <c r="U12" s="285" t="n"/>
      <c r="V12" s="285" t="n"/>
      <c r="W12" s="286">
        <f>'1'!W12+'2'!S12</f>
        <v/>
      </c>
      <c r="X12" s="285" t="n"/>
      <c r="Y12" s="285" t="n"/>
      <c r="Z12" s="287" t="n"/>
    </row>
    <row r="13" ht="21.9" customHeight="1" s="251">
      <c r="A13" s="104" t="inlineStr">
        <is>
          <t>청관제</t>
        </is>
      </c>
      <c r="B13" s="279" t="n"/>
      <c r="C13" s="310">
        <f>'1'!I13</f>
        <v/>
      </c>
      <c r="D13" s="265" t="n"/>
      <c r="E13" s="104" t="n">
        <v>0</v>
      </c>
      <c r="F13" s="279" t="n"/>
      <c r="G13" s="104" t="n">
        <v>100</v>
      </c>
      <c r="H13" s="279" t="n"/>
      <c r="I13" s="288">
        <f>C13+E13-G13</f>
        <v/>
      </c>
      <c r="J13" s="275" t="n"/>
      <c r="K13" s="288">
        <f>'1'!K13+E13</f>
        <v/>
      </c>
      <c r="L13" s="275" t="n"/>
      <c r="M13" s="288">
        <f>'1'!M13+G13</f>
        <v/>
      </c>
      <c r="N13" s="275" t="n"/>
      <c r="O13" s="1" t="n"/>
      <c r="P13" s="264" t="n"/>
      <c r="Q13" s="272" t="n"/>
      <c r="R13" s="265" t="n"/>
      <c r="S13" s="289" t="n"/>
      <c r="T13" s="290" t="n"/>
      <c r="U13" s="290" t="n"/>
      <c r="V13" s="290" t="n"/>
      <c r="W13" s="264" t="n"/>
      <c r="X13" s="272" t="n"/>
      <c r="Y13" s="272" t="n"/>
      <c r="Z13" s="265" t="n"/>
    </row>
    <row r="14" ht="21.9" customHeight="1" s="251">
      <c r="A14" s="104" t="inlineStr">
        <is>
          <t>활성탄</t>
        </is>
      </c>
      <c r="B14" s="279" t="n"/>
      <c r="C14" s="310">
        <f>'1'!I14</f>
        <v/>
      </c>
      <c r="D14" s="265" t="n"/>
      <c r="E14" s="104" t="n">
        <v>0</v>
      </c>
      <c r="F14" s="279" t="n"/>
      <c r="G14" s="104" t="n">
        <v>120</v>
      </c>
      <c r="H14" s="279" t="n"/>
      <c r="I14" s="288">
        <f>C14+E14-G14</f>
        <v/>
      </c>
      <c r="J14" s="275" t="n"/>
      <c r="K14" s="288">
        <f>'1'!K14+E14</f>
        <v/>
      </c>
      <c r="L14" s="275" t="n"/>
      <c r="M14" s="288">
        <f>'1'!M14+G14</f>
        <v/>
      </c>
      <c r="N14" s="275" t="n"/>
      <c r="O14" s="1" t="n"/>
      <c r="P14" s="104" t="inlineStr">
        <is>
          <t>바닥재</t>
        </is>
      </c>
      <c r="Q14" s="291" t="n"/>
      <c r="R14" s="292" t="n"/>
      <c r="S14" s="293" t="n">
        <v>0</v>
      </c>
      <c r="T14" s="291" t="n"/>
      <c r="U14" s="291" t="n"/>
      <c r="V14" s="291" t="n"/>
      <c r="W14" s="311">
        <f>'1'!W14+'2'!S14</f>
        <v/>
      </c>
      <c r="X14" s="291" t="n"/>
      <c r="Y14" s="291" t="n"/>
      <c r="Z14" s="295" t="n"/>
    </row>
    <row r="15" ht="21.9" customHeight="1" s="251">
      <c r="A15" s="104" t="inlineStr">
        <is>
          <t>가성소다</t>
        </is>
      </c>
      <c r="B15" s="279" t="n"/>
      <c r="C15" s="310">
        <f>'1'!I15</f>
        <v/>
      </c>
      <c r="D15" s="265" t="n"/>
      <c r="E15" s="104" t="n">
        <v>0</v>
      </c>
      <c r="F15" s="279" t="n"/>
      <c r="G15" s="104" t="n">
        <v>31</v>
      </c>
      <c r="H15" s="279" t="n"/>
      <c r="I15" s="288">
        <f>C15+E15-G15</f>
        <v/>
      </c>
      <c r="J15" s="275" t="n"/>
      <c r="K15" s="288">
        <f>'1'!K15+E15</f>
        <v/>
      </c>
      <c r="L15" s="275" t="n"/>
      <c r="M15" s="288">
        <f>'1'!M15+G15</f>
        <v/>
      </c>
      <c r="N15" s="275" t="n"/>
      <c r="O15" s="1" t="n"/>
      <c r="P15" s="296" t="n"/>
      <c r="Q15" s="290" t="n"/>
      <c r="R15" s="297" t="n"/>
      <c r="S15" s="296" t="n"/>
      <c r="T15" s="290" t="n"/>
      <c r="U15" s="290" t="n"/>
      <c r="V15" s="290" t="n"/>
      <c r="W15" s="298" t="n"/>
      <c r="X15" s="272" t="n"/>
      <c r="Y15" s="272" t="n"/>
      <c r="Z15" s="265" t="n"/>
    </row>
    <row r="16" ht="21.9" customHeight="1" s="251">
      <c r="A16" s="104" t="inlineStr">
        <is>
          <t>소석회</t>
        </is>
      </c>
      <c r="B16" s="279" t="n"/>
      <c r="C16" s="310">
        <f>'1'!I16</f>
        <v/>
      </c>
      <c r="D16" s="265" t="n"/>
      <c r="E16" s="104" t="n">
        <v>0</v>
      </c>
      <c r="F16" s="279" t="n"/>
      <c r="G16" s="104" t="n">
        <v>20</v>
      </c>
      <c r="H16" s="279" t="n"/>
      <c r="I16" s="288">
        <f>C16+E16-G16</f>
        <v/>
      </c>
      <c r="J16" s="275" t="n"/>
      <c r="K16" s="288">
        <f>'1'!K16+E16</f>
        <v/>
      </c>
      <c r="L16" s="275" t="n"/>
      <c r="M16" s="288">
        <f>'1'!M16+G16</f>
        <v/>
      </c>
      <c r="N16" s="275" t="n"/>
      <c r="O16" s="1" t="n"/>
      <c r="P16" s="162" t="inlineStr">
        <is>
          <t>구분</t>
        </is>
      </c>
      <c r="Q16" s="291" t="n"/>
      <c r="R16" s="292" t="n"/>
      <c r="S16" s="299" t="inlineStr">
        <is>
          <t>주간</t>
        </is>
      </c>
      <c r="T16" s="292" t="n"/>
      <c r="U16" s="299" t="inlineStr">
        <is>
          <t>야간</t>
        </is>
      </c>
      <c r="V16" s="292" t="n"/>
      <c r="W16" s="299" t="inlineStr">
        <is>
          <t>합계</t>
        </is>
      </c>
      <c r="X16" s="292" t="n"/>
      <c r="Y16" s="299" t="inlineStr">
        <is>
          <t>누계</t>
        </is>
      </c>
      <c r="Z16" s="292" t="n"/>
    </row>
    <row r="17" ht="21.9" customHeight="1" s="251" thickBot="1">
      <c r="A17" s="104" t="inlineStr">
        <is>
          <t>소 금</t>
        </is>
      </c>
      <c r="B17" s="279" t="n"/>
      <c r="C17" s="310">
        <f>'1'!I17</f>
        <v/>
      </c>
      <c r="D17" s="265" t="n"/>
      <c r="E17" s="104" t="n">
        <v>0</v>
      </c>
      <c r="F17" s="279" t="n"/>
      <c r="G17" s="104" t="n">
        <v>200</v>
      </c>
      <c r="H17" s="279" t="n"/>
      <c r="I17" s="288">
        <f>C17+E17-G17</f>
        <v/>
      </c>
      <c r="J17" s="275" t="n"/>
      <c r="K17" s="288">
        <f>'1'!K17+E17</f>
        <v/>
      </c>
      <c r="L17" s="275" t="n"/>
      <c r="M17" s="288">
        <f>'1'!M17+G17</f>
        <v/>
      </c>
      <c r="N17" s="275" t="n"/>
      <c r="O17" s="1" t="n"/>
      <c r="P17" s="296" t="n"/>
      <c r="Q17" s="290" t="n"/>
      <c r="R17" s="297" t="n"/>
      <c r="S17" s="300" t="n"/>
      <c r="T17" s="301" t="n"/>
      <c r="U17" s="300" t="n"/>
      <c r="V17" s="301" t="n"/>
      <c r="W17" s="300" t="n"/>
      <c r="X17" s="301" t="n"/>
      <c r="Y17" s="300" t="n"/>
      <c r="Z17" s="301" t="n"/>
      <c r="AE17" s="302" t="n"/>
    </row>
    <row r="18" ht="21.9" customHeight="1" s="251" thickTop="1">
      <c r="A18" s="104" t="inlineStr">
        <is>
          <t>경 유</t>
        </is>
      </c>
      <c r="B18" s="279" t="n"/>
      <c r="C18" s="310">
        <f>'1'!I18</f>
        <v/>
      </c>
      <c r="D18" s="265" t="n"/>
      <c r="E18" s="104" t="n">
        <v>0</v>
      </c>
      <c r="F18" s="279" t="n"/>
      <c r="G18" s="104" t="n">
        <v>0</v>
      </c>
      <c r="H18" s="279" t="n"/>
      <c r="I18" s="288">
        <f>C18+E18-G18</f>
        <v/>
      </c>
      <c r="J18" s="275" t="n"/>
      <c r="K18" s="288">
        <f>'1'!K18+E18</f>
        <v/>
      </c>
      <c r="L18" s="275" t="n"/>
      <c r="M18" s="288">
        <f>'1'!M18+G18</f>
        <v/>
      </c>
      <c r="N18" s="275" t="n"/>
      <c r="O18" s="1" t="n"/>
      <c r="P18" s="164" t="inlineStr">
        <is>
          <t>불연물</t>
        </is>
      </c>
      <c r="Q18" s="285" t="n"/>
      <c r="R18" s="287" t="n"/>
      <c r="S18" s="303" t="n">
        <v>3</v>
      </c>
      <c r="T18" s="287" t="n"/>
      <c r="U18" s="303" t="n">
        <v>2</v>
      </c>
      <c r="V18" s="287" t="n"/>
      <c r="W18" s="303">
        <f>S18+U18</f>
        <v/>
      </c>
      <c r="X18" s="287" t="n"/>
      <c r="Y18" s="303">
        <f>'1'!Y18+W18</f>
        <v/>
      </c>
      <c r="Z18" s="287" t="n"/>
    </row>
    <row r="19" ht="21.9" customHeight="1" s="251">
      <c r="A19" s="153" t="inlineStr">
        <is>
          <t>SRF</t>
        </is>
      </c>
      <c r="B19" s="279" t="n"/>
      <c r="C19" s="310">
        <f>'1'!I19</f>
        <v/>
      </c>
      <c r="D19" s="265" t="n"/>
      <c r="E19" s="154" t="n">
        <v>66230</v>
      </c>
      <c r="F19" s="279" t="n"/>
      <c r="G19" s="154">
        <f>D7</f>
        <v/>
      </c>
      <c r="H19" s="279" t="n"/>
      <c r="I19" s="273">
        <f>C19+E19-G19</f>
        <v/>
      </c>
      <c r="J19" s="275" t="n"/>
      <c r="K19" s="273">
        <f>'1'!K19+E19</f>
        <v/>
      </c>
      <c r="L19" s="275" t="n"/>
      <c r="M19" s="273">
        <f>'1'!M19+G19</f>
        <v/>
      </c>
      <c r="N19" s="275" t="n"/>
      <c r="O19" s="1" t="n"/>
      <c r="P19" s="256" t="n"/>
      <c r="R19" s="254" t="n"/>
      <c r="S19" s="256" t="n"/>
      <c r="T19" s="254" t="n"/>
      <c r="U19" s="256" t="n"/>
      <c r="V19" s="254" t="n"/>
      <c r="W19" s="256" t="n"/>
      <c r="X19" s="254" t="n"/>
      <c r="Y19" s="256" t="n"/>
      <c r="Z19" s="254" t="n"/>
    </row>
    <row r="20" ht="21.9" customHeight="1" s="251">
      <c r="A20" s="104" t="inlineStr">
        <is>
          <t>규 사</t>
        </is>
      </c>
      <c r="B20" s="279" t="n"/>
      <c r="C20" s="310">
        <f>'1'!I20</f>
        <v/>
      </c>
      <c r="D20" s="265" t="n"/>
      <c r="E20" s="288" t="n"/>
      <c r="F20" s="275" t="n"/>
      <c r="G20" s="104" t="n"/>
      <c r="H20" s="279" t="n"/>
      <c r="I20" s="288" t="inlineStr">
        <is>
          <t>-</t>
        </is>
      </c>
      <c r="J20" s="275" t="n"/>
      <c r="K20" s="105">
        <f>'1'!K20+'2'!E20</f>
        <v/>
      </c>
      <c r="L20" s="265" t="n"/>
      <c r="M20" s="105">
        <f>G20</f>
        <v/>
      </c>
      <c r="N20" s="265" t="n"/>
      <c r="O20" s="1" t="n"/>
      <c r="P20" s="264" t="n"/>
      <c r="Q20" s="272" t="n"/>
      <c r="R20" s="265" t="n"/>
      <c r="S20" s="264" t="n"/>
      <c r="T20" s="265" t="n"/>
      <c r="U20" s="264" t="n"/>
      <c r="V20" s="265" t="n"/>
      <c r="W20" s="264" t="n"/>
      <c r="X20" s="265" t="n"/>
      <c r="Y20" s="264" t="n"/>
      <c r="Z20" s="265" t="n"/>
    </row>
    <row r="21" ht="12" customHeight="1" s="25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 t="inlineStr">
        <is>
          <t>5. 전력 사용량 (KWH)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10" t="inlineStr">
        <is>
          <t>6. 유틸리티 사용현황 (㎥)</t>
        </is>
      </c>
      <c r="Q22" s="290" t="n"/>
      <c r="R22" s="290" t="n"/>
      <c r="S22" s="290" t="n"/>
      <c r="T22" s="290" t="n"/>
      <c r="U22" s="290" t="n"/>
      <c r="V22" s="1" t="n"/>
      <c r="W22" s="1" t="n"/>
      <c r="X22" s="1" t="n"/>
      <c r="Y22" s="1" t="n"/>
      <c r="Z22" s="1" t="n"/>
    </row>
    <row r="23" ht="28.5" customHeight="1" s="251" thickBot="1">
      <c r="A23" s="136" t="inlineStr">
        <is>
          <t>구 분</t>
        </is>
      </c>
      <c r="B23" s="270" t="n"/>
      <c r="C23" s="271" t="n"/>
      <c r="D23" s="136" t="inlineStr">
        <is>
          <t>전일지침</t>
        </is>
      </c>
      <c r="E23" s="270" t="n"/>
      <c r="F23" s="271" t="n"/>
      <c r="G23" s="136" t="inlineStr">
        <is>
          <t>금일지침</t>
        </is>
      </c>
      <c r="H23" s="270" t="n"/>
      <c r="I23" s="271" t="n"/>
      <c r="J23" s="136" t="inlineStr">
        <is>
          <t>사용량</t>
        </is>
      </c>
      <c r="K23" s="270" t="n"/>
      <c r="L23" s="271" t="n"/>
      <c r="M23" s="136" t="inlineStr">
        <is>
          <t>누 계</t>
        </is>
      </c>
      <c r="N23" s="271" t="n"/>
      <c r="P23" s="136" t="inlineStr">
        <is>
          <t>구 분</t>
        </is>
      </c>
      <c r="Q23" s="270" t="n"/>
      <c r="R23" s="271" t="n"/>
      <c r="S23" s="136" t="inlineStr">
        <is>
          <t>전일 사용량</t>
        </is>
      </c>
      <c r="T23" s="270" t="n"/>
      <c r="U23" s="271" t="n"/>
      <c r="V23" s="136" t="inlineStr">
        <is>
          <t>금일 사용량</t>
        </is>
      </c>
      <c r="W23" s="270" t="n"/>
      <c r="X23" s="271" t="n"/>
      <c r="Y23" s="136" t="inlineStr">
        <is>
          <t>누 계</t>
        </is>
      </c>
      <c r="Z23" s="271" t="n"/>
    </row>
    <row r="24" ht="21.9" customHeight="1" s="251" thickTop="1">
      <c r="A24" s="105" t="inlineStr">
        <is>
          <t>MAIN</t>
        </is>
      </c>
      <c r="B24" s="272" t="n"/>
      <c r="C24" s="265" t="n"/>
      <c r="D24" s="187">
        <f>'1'!G24</f>
        <v/>
      </c>
      <c r="E24" s="285" t="n"/>
      <c r="F24" s="287" t="n"/>
      <c r="G24" s="164" t="n">
        <v>3735314</v>
      </c>
      <c r="H24" s="304" t="n"/>
      <c r="I24" s="283" t="n"/>
      <c r="J24" s="164">
        <f>G24-D24</f>
        <v/>
      </c>
      <c r="K24" s="304" t="n"/>
      <c r="L24" s="283" t="n"/>
      <c r="M24" s="164">
        <f>'1'!$J24+$J24</f>
        <v/>
      </c>
      <c r="N24" s="283" t="n"/>
      <c r="P24" s="105" t="inlineStr">
        <is>
          <t>재이용수</t>
        </is>
      </c>
      <c r="Q24" s="272" t="n"/>
      <c r="R24" s="265" t="n"/>
      <c r="S24" s="164">
        <f>'1'!V24</f>
        <v/>
      </c>
      <c r="T24" s="304" t="n"/>
      <c r="U24" s="283" t="n"/>
      <c r="V24" s="312" t="n">
        <v>429.1</v>
      </c>
      <c r="W24" s="285" t="n"/>
      <c r="X24" s="313" t="n"/>
      <c r="Y24" s="276">
        <f>'1'!Y24+'2'!V24</f>
        <v/>
      </c>
      <c r="Z24" s="265" t="n"/>
    </row>
    <row r="25" ht="21.9" customHeight="1" s="251">
      <c r="A25" s="104" t="inlineStr">
        <is>
          <t>ASH 저장조</t>
        </is>
      </c>
      <c r="B25" s="278" t="n"/>
      <c r="C25" s="279" t="n"/>
      <c r="D25" s="104">
        <f>'1'!G25</f>
        <v/>
      </c>
      <c r="E25" s="278" t="n"/>
      <c r="F25" s="279" t="n"/>
      <c r="G25" s="104" t="n">
        <v>32858.2</v>
      </c>
      <c r="H25" s="278" t="n"/>
      <c r="I25" s="279" t="n"/>
      <c r="J25" s="104">
        <f>G25-D25</f>
        <v/>
      </c>
      <c r="K25" s="278" t="n"/>
      <c r="L25" s="279" t="n"/>
      <c r="M25" s="288">
        <f>'1'!$J25+$J25</f>
        <v/>
      </c>
      <c r="N25" s="275" t="n"/>
      <c r="P25" s="104" t="inlineStr">
        <is>
          <t>복류수</t>
        </is>
      </c>
      <c r="Q25" s="278" t="n"/>
      <c r="R25" s="279" t="n"/>
      <c r="S25" s="288">
        <f>'1'!V25</f>
        <v/>
      </c>
      <c r="T25" s="274" t="n"/>
      <c r="U25" s="275" t="n"/>
      <c r="V25" s="314" t="n">
        <v>55.3</v>
      </c>
      <c r="W25" s="291" t="n"/>
      <c r="X25" s="292" t="n"/>
      <c r="Y25" s="288">
        <f>'1'!Y25+'2'!V25</f>
        <v/>
      </c>
      <c r="Z25" s="275" t="n"/>
    </row>
    <row r="26" ht="21.9" customHeight="1" s="251">
      <c r="A26" s="104" t="inlineStr">
        <is>
          <t>BAG FILTER</t>
        </is>
      </c>
      <c r="B26" s="278" t="n"/>
      <c r="C26" s="279" t="n"/>
      <c r="D26" s="104">
        <f>'1'!G26</f>
        <v/>
      </c>
      <c r="E26" s="278" t="n"/>
      <c r="F26" s="279" t="n"/>
      <c r="G26" s="104" t="n">
        <v>24360</v>
      </c>
      <c r="H26" s="278" t="n"/>
      <c r="I26" s="279" t="n"/>
      <c r="J26" s="104">
        <f>G26-D26</f>
        <v/>
      </c>
      <c r="K26" s="278" t="n"/>
      <c r="L26" s="279" t="n"/>
      <c r="M26" s="288">
        <f>'1'!$J26+$J26</f>
        <v/>
      </c>
      <c r="N26" s="275" t="n"/>
      <c r="P26" s="104" t="inlineStr">
        <is>
          <t>응축수</t>
        </is>
      </c>
      <c r="Q26" s="278" t="n"/>
      <c r="R26" s="279" t="n"/>
      <c r="S26" s="288">
        <f>'1'!V26</f>
        <v/>
      </c>
      <c r="T26" s="274" t="n"/>
      <c r="U26" s="275" t="n"/>
      <c r="V26" s="288" t="n">
        <v>499.6</v>
      </c>
      <c r="W26" s="274" t="n"/>
      <c r="X26" s="275" t="n"/>
      <c r="Y26" s="288">
        <f>'1'!Y26+'2'!V26</f>
        <v/>
      </c>
      <c r="Z26" s="275" t="n"/>
    </row>
    <row r="27" ht="21.9" customHeight="1" s="251">
      <c r="A27" s="104" t="inlineStr">
        <is>
          <t>SCRUBBER</t>
        </is>
      </c>
      <c r="B27" s="278" t="n"/>
      <c r="C27" s="279" t="n"/>
      <c r="D27" s="104">
        <f>'1'!G27</f>
        <v/>
      </c>
      <c r="E27" s="278" t="n"/>
      <c r="F27" s="279" t="n"/>
      <c r="G27" s="104" t="n">
        <v>1349000</v>
      </c>
      <c r="H27" s="278" t="n"/>
      <c r="I27" s="279" t="n"/>
      <c r="J27" s="104">
        <f>G27-D27</f>
        <v/>
      </c>
      <c r="K27" s="278" t="n"/>
      <c r="L27" s="279" t="n"/>
      <c r="M27" s="288">
        <f>'1'!$J27+$J27</f>
        <v/>
      </c>
      <c r="N27" s="275" t="n"/>
      <c r="P27" s="104" t="inlineStr">
        <is>
          <t>보일러 급수</t>
        </is>
      </c>
      <c r="Q27" s="278" t="n"/>
      <c r="R27" s="279" t="n"/>
      <c r="S27" s="288">
        <f>'1'!V27</f>
        <v/>
      </c>
      <c r="T27" s="274" t="n"/>
      <c r="U27" s="275" t="n"/>
      <c r="V27" s="315" t="n">
        <v>514.9</v>
      </c>
      <c r="X27" s="301" t="n"/>
      <c r="Y27" s="288">
        <f>'1'!Y27+'2'!V27</f>
        <v/>
      </c>
      <c r="Z27" s="275" t="n"/>
    </row>
    <row r="28" ht="21.9" customHeight="1" s="251">
      <c r="A28" s="104" t="inlineStr">
        <is>
          <t>활성탄 공급</t>
        </is>
      </c>
      <c r="B28" s="278" t="n"/>
      <c r="C28" s="279" t="n"/>
      <c r="D28" s="104">
        <f>'1'!G28</f>
        <v/>
      </c>
      <c r="E28" s="278" t="n"/>
      <c r="F28" s="279" t="n"/>
      <c r="G28" s="104" t="n">
        <v>5099</v>
      </c>
      <c r="H28" s="278" t="n"/>
      <c r="I28" s="279" t="n"/>
      <c r="J28" s="104">
        <f>G28-D28</f>
        <v/>
      </c>
      <c r="K28" s="278" t="n"/>
      <c r="L28" s="279" t="n"/>
      <c r="M28" s="288">
        <f>'1'!$J28+$J28</f>
        <v/>
      </c>
      <c r="N28" s="275" t="n"/>
      <c r="P28" s="104" t="inlineStr">
        <is>
          <t>폐 수</t>
        </is>
      </c>
      <c r="Q28" s="278" t="n"/>
      <c r="R28" s="279" t="n"/>
      <c r="S28" s="288">
        <f>'1'!V28</f>
        <v/>
      </c>
      <c r="T28" s="274" t="n"/>
      <c r="U28" s="275" t="n"/>
      <c r="V28" s="314" t="n">
        <v>0</v>
      </c>
      <c r="W28" s="291" t="n"/>
      <c r="X28" s="292" t="n"/>
      <c r="Y28" s="288">
        <f>'1'!Y28+'2'!V28</f>
        <v/>
      </c>
      <c r="Z28" s="275" t="n"/>
    </row>
    <row r="29" ht="21.9" customHeight="1" s="251">
      <c r="A29" s="104" t="inlineStr">
        <is>
          <t>소석회 공급</t>
        </is>
      </c>
      <c r="B29" s="278" t="n"/>
      <c r="C29" s="279" t="n"/>
      <c r="D29" s="104">
        <f>'1'!G29</f>
        <v/>
      </c>
      <c r="E29" s="278" t="n"/>
      <c r="F29" s="279" t="n"/>
      <c r="G29" s="104" t="n">
        <v>66190</v>
      </c>
      <c r="H29" s="278" t="n"/>
      <c r="I29" s="279" t="n"/>
      <c r="J29" s="104">
        <f>G29-D29</f>
        <v/>
      </c>
      <c r="K29" s="278" t="n"/>
      <c r="L29" s="279" t="n"/>
      <c r="M29" s="288">
        <f>'1'!$J29+$J29</f>
        <v/>
      </c>
      <c r="N29" s="275" t="n"/>
      <c r="P29" s="104" t="inlineStr">
        <is>
          <t>연 수</t>
        </is>
      </c>
      <c r="Q29" s="278" t="n"/>
      <c r="R29" s="279" t="n"/>
      <c r="S29" s="288">
        <f>'1'!V29</f>
        <v/>
      </c>
      <c r="T29" s="274" t="n"/>
      <c r="U29" s="275" t="n"/>
      <c r="V29" s="316" t="n">
        <v>59.7</v>
      </c>
      <c r="W29" s="274" t="n"/>
      <c r="X29" s="275" t="n"/>
      <c r="Y29" s="288">
        <f>'1'!Y29+'2'!V29</f>
        <v/>
      </c>
      <c r="Z29" s="275" t="n"/>
    </row>
    <row r="30" ht="21.9" customHeight="1" s="251">
      <c r="A30" s="104" t="inlineStr">
        <is>
          <t>요소수 공급</t>
        </is>
      </c>
      <c r="B30" s="278" t="n"/>
      <c r="C30" s="279" t="n"/>
      <c r="D30" s="104">
        <f>'1'!G30</f>
        <v/>
      </c>
      <c r="E30" s="278" t="n"/>
      <c r="F30" s="279" t="n"/>
      <c r="G30" s="104" t="n">
        <v>53260</v>
      </c>
      <c r="H30" s="278" t="n"/>
      <c r="I30" s="279" t="n"/>
      <c r="J30" s="104">
        <f>G30-D30</f>
        <v/>
      </c>
      <c r="K30" s="278" t="n"/>
      <c r="L30" s="279" t="n"/>
      <c r="M30" s="288">
        <f>'1'!$J30+$J30</f>
        <v/>
      </c>
      <c r="N30" s="275" t="n"/>
      <c r="P30" s="104" t="inlineStr">
        <is>
          <t>계</t>
        </is>
      </c>
      <c r="Q30" s="278" t="n"/>
      <c r="R30" s="279" t="n"/>
      <c r="S30" s="104">
        <f>SUM(S24:U29)</f>
        <v/>
      </c>
      <c r="T30" s="278" t="n"/>
      <c r="U30" s="279" t="n"/>
      <c r="V30" s="104" t="n">
        <v>0</v>
      </c>
      <c r="W30" s="278" t="n"/>
      <c r="X30" s="279" t="n"/>
      <c r="Y30" s="288">
        <f>'1'!Y30+'2'!V30</f>
        <v/>
      </c>
      <c r="Z30" s="275" t="n"/>
    </row>
    <row r="31" ht="21.9" customHeight="1" s="251">
      <c r="A31" s="104" t="inlineStr">
        <is>
          <t xml:space="preserve">F.D </t>
        </is>
      </c>
      <c r="B31" s="278" t="n"/>
      <c r="C31" s="279" t="n"/>
      <c r="D31" s="104">
        <f>'1'!G31</f>
        <v/>
      </c>
      <c r="E31" s="278" t="n"/>
      <c r="F31" s="279" t="n"/>
      <c r="G31" s="288" t="n">
        <v>6223530</v>
      </c>
      <c r="H31" s="274" t="n"/>
      <c r="I31" s="275" t="n"/>
      <c r="J31" s="288">
        <f>G31-D31</f>
        <v/>
      </c>
      <c r="K31" s="274" t="n"/>
      <c r="L31" s="275" t="n"/>
      <c r="M31" s="288">
        <f>'1'!M31+J31</f>
        <v/>
      </c>
      <c r="N31" s="275" t="n"/>
      <c r="P31" s="172" t="n"/>
      <c r="Q31" s="172" t="n"/>
      <c r="R31" s="172" t="n"/>
      <c r="S31" s="172" t="n"/>
      <c r="T31" s="172" t="n"/>
      <c r="U31" s="172" t="n"/>
      <c r="V31" s="172" t="n"/>
      <c r="W31" s="172" t="n"/>
      <c r="X31" s="172" t="n"/>
      <c r="Y31" s="172" t="n"/>
      <c r="Z31" s="172" t="n"/>
    </row>
    <row r="32" ht="21.9" customHeight="1" s="251">
      <c r="A32" s="104" t="inlineStr">
        <is>
          <t>활성탄 BAG</t>
        </is>
      </c>
      <c r="B32" s="278" t="n"/>
      <c r="C32" s="279" t="n"/>
      <c r="D32" s="104">
        <f>'1'!G32</f>
        <v/>
      </c>
      <c r="E32" s="278" t="n"/>
      <c r="F32" s="279" t="n"/>
      <c r="G32" s="288" t="n">
        <v>1.6</v>
      </c>
      <c r="H32" s="274" t="n"/>
      <c r="I32" s="275" t="n"/>
      <c r="J32" s="288">
        <f>G32-D32</f>
        <v/>
      </c>
      <c r="K32" s="274" t="n"/>
      <c r="L32" s="275" t="n"/>
      <c r="M32" s="288">
        <f>'1'!M32+J32</f>
        <v/>
      </c>
      <c r="N32" s="275" t="n"/>
      <c r="P32" s="172" t="n"/>
      <c r="Q32" s="172" t="n"/>
      <c r="R32" s="172" t="n"/>
      <c r="S32" s="172" t="n"/>
      <c r="T32" s="172" t="n"/>
      <c r="U32" s="172" t="n"/>
      <c r="V32" s="172" t="n"/>
      <c r="W32" s="172" t="n"/>
      <c r="X32" s="172" t="n"/>
      <c r="Y32" s="172" t="n"/>
      <c r="Z32" s="172" t="n"/>
    </row>
    <row r="33" ht="21.9" customHeight="1" s="251">
      <c r="A33" s="104" t="inlineStr">
        <is>
          <t>소석회 BAG</t>
        </is>
      </c>
      <c r="B33" s="278" t="n"/>
      <c r="C33" s="279" t="n"/>
      <c r="D33" s="104">
        <f>'1'!G33</f>
        <v/>
      </c>
      <c r="E33" s="278" t="n"/>
      <c r="F33" s="279" t="n"/>
      <c r="G33" s="288" t="n">
        <v>0</v>
      </c>
      <c r="H33" s="274" t="n"/>
      <c r="I33" s="275" t="n"/>
      <c r="J33" s="288">
        <f>G33-D33</f>
        <v/>
      </c>
      <c r="K33" s="274" t="n"/>
      <c r="L33" s="275" t="n"/>
      <c r="M33" s="288">
        <f>'1'!M33+J33</f>
        <v/>
      </c>
      <c r="N33" s="275" t="n"/>
      <c r="P33" s="172" t="n"/>
      <c r="Q33" s="172" t="n"/>
      <c r="R33" s="172" t="n"/>
      <c r="S33" s="172" t="n"/>
      <c r="T33" s="172" t="n"/>
      <c r="U33" s="172" t="n"/>
      <c r="V33" s="172" t="n"/>
      <c r="W33" s="172" t="n"/>
      <c r="X33" s="172" t="n"/>
      <c r="Y33" s="172" t="n"/>
      <c r="Z33" s="172" t="n"/>
    </row>
  </sheetData>
  <mergeCells count="217">
    <mergeCell ref="V24:X24"/>
    <mergeCell ref="A15:B15"/>
    <mergeCell ref="P27:R27"/>
    <mergeCell ref="S23:U23"/>
    <mergeCell ref="C15:D15"/>
    <mergeCell ref="J27:L27"/>
    <mergeCell ref="S14:V15"/>
    <mergeCell ref="Y24:Z24"/>
    <mergeCell ref="U7:W7"/>
    <mergeCell ref="A26:C26"/>
    <mergeCell ref="J25:L25"/>
    <mergeCell ref="G24:I24"/>
    <mergeCell ref="D28:F28"/>
    <mergeCell ref="I16:J16"/>
    <mergeCell ref="A23:C23"/>
    <mergeCell ref="S24:U24"/>
    <mergeCell ref="P6:Q6"/>
    <mergeCell ref="P28:R28"/>
    <mergeCell ref="W1:X1"/>
    <mergeCell ref="Y1:Z1"/>
    <mergeCell ref="G26:I26"/>
    <mergeCell ref="S16:T17"/>
    <mergeCell ref="D30:F30"/>
    <mergeCell ref="G18:H18"/>
    <mergeCell ref="U8:W8"/>
    <mergeCell ref="B1:C1"/>
    <mergeCell ref="I18:J18"/>
    <mergeCell ref="H3:S3"/>
    <mergeCell ref="M16:N16"/>
    <mergeCell ref="P30:R30"/>
    <mergeCell ref="M25:N25"/>
    <mergeCell ref="D29:F29"/>
    <mergeCell ref="D23:F23"/>
    <mergeCell ref="Y25:Z25"/>
    <mergeCell ref="M18:N18"/>
    <mergeCell ref="M33:N33"/>
    <mergeCell ref="A17:B17"/>
    <mergeCell ref="S25:U25"/>
    <mergeCell ref="C17:D17"/>
    <mergeCell ref="U18:V20"/>
    <mergeCell ref="J29:L29"/>
    <mergeCell ref="W18:X20"/>
    <mergeCell ref="M17:N17"/>
    <mergeCell ref="G20:H20"/>
    <mergeCell ref="I20:J20"/>
    <mergeCell ref="S27:U27"/>
    <mergeCell ref="V23:X23"/>
    <mergeCell ref="A19:B19"/>
    <mergeCell ref="A6:C6"/>
    <mergeCell ref="Y2:Z3"/>
    <mergeCell ref="C19:D19"/>
    <mergeCell ref="Y18:Z20"/>
    <mergeCell ref="M19:N19"/>
    <mergeCell ref="P22:U22"/>
    <mergeCell ref="I13:J13"/>
    <mergeCell ref="K13:L13"/>
    <mergeCell ref="X7:Z7"/>
    <mergeCell ref="E12:F12"/>
    <mergeCell ref="J24:L24"/>
    <mergeCell ref="G12:H12"/>
    <mergeCell ref="D27:F27"/>
    <mergeCell ref="G28:I28"/>
    <mergeCell ref="G6:I6"/>
    <mergeCell ref="I15:J15"/>
    <mergeCell ref="A11:B11"/>
    <mergeCell ref="K15:L15"/>
    <mergeCell ref="S28:U28"/>
    <mergeCell ref="C14:D14"/>
    <mergeCell ref="E14:F14"/>
    <mergeCell ref="J26:L26"/>
    <mergeCell ref="G30:I30"/>
    <mergeCell ref="J7:L7"/>
    <mergeCell ref="V27:X27"/>
    <mergeCell ref="A32:C32"/>
    <mergeCell ref="A29:C29"/>
    <mergeCell ref="D25:F25"/>
    <mergeCell ref="V25:X25"/>
    <mergeCell ref="Y26:Z26"/>
    <mergeCell ref="M13:N13"/>
    <mergeCell ref="J33:L33"/>
    <mergeCell ref="G32:I32"/>
    <mergeCell ref="W14:Z15"/>
    <mergeCell ref="A31:C31"/>
    <mergeCell ref="S26:U26"/>
    <mergeCell ref="M27:N27"/>
    <mergeCell ref="I17:J17"/>
    <mergeCell ref="A24:C24"/>
    <mergeCell ref="Y27:Z27"/>
    <mergeCell ref="K17:L17"/>
    <mergeCell ref="P29:R29"/>
    <mergeCell ref="M24:N24"/>
    <mergeCell ref="E16:F16"/>
    <mergeCell ref="G27:I27"/>
    <mergeCell ref="G16:H16"/>
    <mergeCell ref="U2:V3"/>
    <mergeCell ref="D31:F31"/>
    <mergeCell ref="J28:L28"/>
    <mergeCell ref="I19:J19"/>
    <mergeCell ref="U1:V1"/>
    <mergeCell ref="G8:I8"/>
    <mergeCell ref="K19:L19"/>
    <mergeCell ref="C18:D18"/>
    <mergeCell ref="A7:C7"/>
    <mergeCell ref="V29:X29"/>
    <mergeCell ref="E18:F18"/>
    <mergeCell ref="J30:L30"/>
    <mergeCell ref="R6:T6"/>
    <mergeCell ref="K16:L16"/>
    <mergeCell ref="A25:C25"/>
    <mergeCell ref="J6:L6"/>
    <mergeCell ref="D1:E1"/>
    <mergeCell ref="D32:F32"/>
    <mergeCell ref="G11:H11"/>
    <mergeCell ref="I11:J11"/>
    <mergeCell ref="P23:R23"/>
    <mergeCell ref="W11:Z11"/>
    <mergeCell ref="D7:F7"/>
    <mergeCell ref="Y16:Z17"/>
    <mergeCell ref="S18:T20"/>
    <mergeCell ref="Y30:Z30"/>
    <mergeCell ref="C20:D20"/>
    <mergeCell ref="E20:F20"/>
    <mergeCell ref="K11:L11"/>
    <mergeCell ref="J32:L32"/>
    <mergeCell ref="M11:N11"/>
    <mergeCell ref="Y29:Z29"/>
    <mergeCell ref="H1:S2"/>
    <mergeCell ref="V26:X26"/>
    <mergeCell ref="E13:F13"/>
    <mergeCell ref="S30:U30"/>
    <mergeCell ref="G13:H13"/>
    <mergeCell ref="M31:N31"/>
    <mergeCell ref="D8:F8"/>
    <mergeCell ref="G29:I29"/>
    <mergeCell ref="D33:F33"/>
    <mergeCell ref="W12:Z13"/>
    <mergeCell ref="A12:B12"/>
    <mergeCell ref="A28:C28"/>
    <mergeCell ref="S29:U29"/>
    <mergeCell ref="A1:A3"/>
    <mergeCell ref="C12:D12"/>
    <mergeCell ref="M15:N15"/>
    <mergeCell ref="M12:N12"/>
    <mergeCell ref="E15:F15"/>
    <mergeCell ref="G15:H15"/>
    <mergeCell ref="G31:I31"/>
    <mergeCell ref="Y28:Z28"/>
    <mergeCell ref="P18:R20"/>
    <mergeCell ref="J8:L8"/>
    <mergeCell ref="A14:B14"/>
    <mergeCell ref="A30:C30"/>
    <mergeCell ref="M26:N26"/>
    <mergeCell ref="U6:W6"/>
    <mergeCell ref="P25:R25"/>
    <mergeCell ref="M29:N29"/>
    <mergeCell ref="M23:N23"/>
    <mergeCell ref="F2:G3"/>
    <mergeCell ref="G23:I23"/>
    <mergeCell ref="Y23:Z23"/>
    <mergeCell ref="U16:V17"/>
    <mergeCell ref="W16:X17"/>
    <mergeCell ref="D6:F6"/>
    <mergeCell ref="K18:L18"/>
    <mergeCell ref="P12:R13"/>
    <mergeCell ref="G7:I7"/>
    <mergeCell ref="F1:G1"/>
    <mergeCell ref="T1:T3"/>
    <mergeCell ref="V28:X28"/>
    <mergeCell ref="P11:R11"/>
    <mergeCell ref="P14:R15"/>
    <mergeCell ref="A27:C27"/>
    <mergeCell ref="V30:X30"/>
    <mergeCell ref="W2:X3"/>
    <mergeCell ref="E17:F17"/>
    <mergeCell ref="G17:H17"/>
    <mergeCell ref="G33:I33"/>
    <mergeCell ref="X6:Z6"/>
    <mergeCell ref="A33:C33"/>
    <mergeCell ref="A16:B16"/>
    <mergeCell ref="K20:L20"/>
    <mergeCell ref="C16:D16"/>
    <mergeCell ref="M20:N20"/>
    <mergeCell ref="A8:C8"/>
    <mergeCell ref="E19:F19"/>
    <mergeCell ref="P8:Q8"/>
    <mergeCell ref="J31:L31"/>
    <mergeCell ref="G19:H19"/>
    <mergeCell ref="A18:B18"/>
    <mergeCell ref="D24:F24"/>
    <mergeCell ref="G25:I25"/>
    <mergeCell ref="M30:N30"/>
    <mergeCell ref="I12:J12"/>
    <mergeCell ref="K12:L12"/>
    <mergeCell ref="P24:R24"/>
    <mergeCell ref="P7:Q7"/>
    <mergeCell ref="C11:D11"/>
    <mergeCell ref="M28:N28"/>
    <mergeCell ref="E11:F11"/>
    <mergeCell ref="J23:L23"/>
    <mergeCell ref="S11:V11"/>
    <mergeCell ref="G14:H14"/>
    <mergeCell ref="D26:F26"/>
    <mergeCell ref="I14:J14"/>
    <mergeCell ref="R8:T8"/>
    <mergeCell ref="K14:L14"/>
    <mergeCell ref="P26:R26"/>
    <mergeCell ref="P16:R17"/>
    <mergeCell ref="A20:B20"/>
    <mergeCell ref="B2:C3"/>
    <mergeCell ref="D2:E3"/>
    <mergeCell ref="M32:N32"/>
    <mergeCell ref="M14:N14"/>
    <mergeCell ref="X8:Z8"/>
    <mergeCell ref="A13:B13"/>
    <mergeCell ref="C13:D13"/>
    <mergeCell ref="R7:T7"/>
    <mergeCell ref="S12:V13"/>
  </mergeCells>
  <pageMargins left="0.7086614173228347" right="0.7086614173228347" top="0.7480314960629921" bottom="0.7480314960629921" header="0.3149606299212598" footer="0.3149606299212598"/>
  <pageSetup orientation="portrait" paperSize="9" scale="5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E33"/>
  <sheetViews>
    <sheetView topLeftCell="A4" zoomScaleNormal="100" zoomScaleSheetLayoutView="100" workbookViewId="0">
      <selection activeCell="I15" sqref="I15:J15"/>
    </sheetView>
  </sheetViews>
  <sheetFormatPr baseColWidth="8" defaultRowHeight="17.4"/>
  <cols>
    <col width="2.8984375" customWidth="1" style="251" min="1" max="1"/>
    <col width="5.59765625" customWidth="1" style="251" min="2" max="14"/>
    <col width="3.59765625" customWidth="1" style="251" min="15" max="15"/>
    <col width="4.59765625" customWidth="1" style="251" min="16" max="22"/>
    <col width="5.59765625" customWidth="1" style="251" min="23" max="26"/>
  </cols>
  <sheetData>
    <row r="1" ht="18.75" customHeight="1" s="251">
      <c r="A1" s="122" t="inlineStr">
        <is>
          <t>근
무
자</t>
        </is>
      </c>
      <c r="B1" s="120" t="inlineStr">
        <is>
          <t>오  전</t>
        </is>
      </c>
      <c r="C1" s="252" t="n"/>
      <c r="D1" s="120" t="inlineStr">
        <is>
          <t>오  후</t>
        </is>
      </c>
      <c r="E1" s="252" t="n"/>
      <c r="F1" s="120" t="inlineStr">
        <is>
          <t>야  간</t>
        </is>
      </c>
      <c r="G1" s="252" t="n"/>
      <c r="H1" s="253" t="inlineStr">
        <is>
          <t>유동상소각로 운전일지</t>
        </is>
      </c>
      <c r="S1" s="254" t="n"/>
      <c r="T1" s="255" t="inlineStr">
        <is>
          <t>결
재</t>
        </is>
      </c>
      <c r="U1" s="120" t="inlineStr">
        <is>
          <t>반장</t>
        </is>
      </c>
      <c r="V1" s="252" t="n"/>
      <c r="W1" s="120" t="inlineStr">
        <is>
          <t>대리</t>
        </is>
      </c>
      <c r="X1" s="252" t="n"/>
      <c r="Y1" s="120" t="inlineStr">
        <is>
          <t>팀장</t>
        </is>
      </c>
      <c r="Z1" s="252" t="n"/>
    </row>
    <row r="2" ht="14.25" customHeight="1" s="251">
      <c r="A2" s="256" t="n"/>
      <c r="B2" s="257" t="inlineStr">
        <is>
          <t xml:space="preserve">권정민 </t>
        </is>
      </c>
      <c r="C2" s="258" t="n"/>
      <c r="D2" s="257" t="inlineStr">
        <is>
          <t>김동욱</t>
        </is>
      </c>
      <c r="E2" s="258" t="n"/>
      <c r="F2" s="257" t="inlineStr">
        <is>
          <t>임종민</t>
        </is>
      </c>
      <c r="G2" s="258" t="n"/>
      <c r="H2" s="259" t="n"/>
      <c r="I2" s="260" t="n"/>
      <c r="J2" s="260" t="n"/>
      <c r="K2" s="260" t="n"/>
      <c r="L2" s="260" t="n"/>
      <c r="M2" s="260" t="n"/>
      <c r="N2" s="260" t="n"/>
      <c r="O2" s="260" t="n"/>
      <c r="P2" s="260" t="n"/>
      <c r="Q2" s="260" t="n"/>
      <c r="R2" s="260" t="n"/>
      <c r="S2" s="261" t="n"/>
      <c r="T2" s="262" t="n"/>
      <c r="U2" s="105" t="n"/>
      <c r="V2" s="254" t="n"/>
      <c r="W2" s="105" t="n"/>
      <c r="X2" s="254" t="n"/>
      <c r="Y2" s="105" t="n"/>
      <c r="Z2" s="254" t="n"/>
    </row>
    <row r="3" ht="37.5" customHeight="1" s="251">
      <c r="A3" s="263" t="n"/>
      <c r="B3" s="264" t="n"/>
      <c r="C3" s="265" t="n"/>
      <c r="D3" s="264" t="n"/>
      <c r="E3" s="265" t="n"/>
      <c r="F3" s="264" t="n"/>
      <c r="G3" s="265" t="n"/>
      <c r="H3" s="266" t="n">
        <v>46206</v>
      </c>
      <c r="I3" s="267" t="n"/>
      <c r="J3" s="267" t="n"/>
      <c r="K3" s="267" t="n"/>
      <c r="L3" s="267" t="n"/>
      <c r="M3" s="267" t="n"/>
      <c r="N3" s="267" t="n"/>
      <c r="O3" s="267" t="n"/>
      <c r="P3" s="267" t="n"/>
      <c r="Q3" s="267" t="n"/>
      <c r="R3" s="267" t="n"/>
      <c r="S3" s="268" t="n"/>
      <c r="T3" s="269" t="n"/>
      <c r="U3" s="264" t="n"/>
      <c r="V3" s="265" t="n"/>
      <c r="W3" s="264" t="n"/>
      <c r="X3" s="265" t="n"/>
      <c r="Y3" s="264" t="n"/>
      <c r="Z3" s="265" t="n"/>
    </row>
    <row r="4" ht="13.5" customHeight="1" s="25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inlineStr">
        <is>
          <t>1. 소각현황(KG)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inlineStr">
        <is>
          <t>2. BOILER 운전현황(TON, HR)</t>
        </is>
      </c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2.5" customHeight="1" s="251" thickBot="1">
      <c r="A6" s="136" t="inlineStr">
        <is>
          <t>구 분</t>
        </is>
      </c>
      <c r="B6" s="270" t="n"/>
      <c r="C6" s="271" t="n"/>
      <c r="D6" s="136" t="inlineStr">
        <is>
          <t>SRF소각량</t>
        </is>
      </c>
      <c r="E6" s="270" t="n"/>
      <c r="F6" s="271" t="n"/>
      <c r="G6" s="136" t="inlineStr">
        <is>
          <t>SLUDGE 소각량</t>
        </is>
      </c>
      <c r="H6" s="270" t="n"/>
      <c r="I6" s="271" t="n"/>
      <c r="J6" s="136" t="inlineStr">
        <is>
          <t>합 계</t>
        </is>
      </c>
      <c r="K6" s="270" t="n"/>
      <c r="L6" s="271" t="n"/>
      <c r="M6" s="1" t="n"/>
      <c r="N6" s="1" t="n"/>
      <c r="O6" s="1" t="n"/>
      <c r="P6" s="136" t="inlineStr">
        <is>
          <t>구 분</t>
        </is>
      </c>
      <c r="Q6" s="271" t="n"/>
      <c r="R6" s="136" t="inlineStr">
        <is>
          <t>스팀 생산량</t>
        </is>
      </c>
      <c r="S6" s="270" t="n"/>
      <c r="T6" s="271" t="n"/>
      <c r="U6" s="136" t="inlineStr">
        <is>
          <t>스팀 송기량</t>
        </is>
      </c>
      <c r="V6" s="270" t="n"/>
      <c r="W6" s="271" t="n"/>
      <c r="X6" s="136" t="inlineStr">
        <is>
          <t>가동시간</t>
        </is>
      </c>
      <c r="Y6" s="270" t="n"/>
      <c r="Z6" s="271" t="n"/>
    </row>
    <row r="7" ht="30" customHeight="1" s="251" thickTop="1">
      <c r="A7" s="105" t="inlineStr">
        <is>
          <t>금 일</t>
        </is>
      </c>
      <c r="B7" s="272" t="n"/>
      <c r="C7" s="265" t="n"/>
      <c r="D7" s="139" t="n">
        <v>63380</v>
      </c>
      <c r="E7" s="272" t="n"/>
      <c r="F7" s="265" t="n"/>
      <c r="G7" s="317" t="n">
        <v>157600</v>
      </c>
      <c r="H7" s="285" t="n"/>
      <c r="I7" s="313" t="n"/>
      <c r="J7" s="139">
        <f>D7+G7</f>
        <v/>
      </c>
      <c r="K7" s="272" t="n"/>
      <c r="L7" s="265" t="n"/>
      <c r="M7" s="1" t="n"/>
      <c r="N7" s="1" t="n"/>
      <c r="O7" s="1" t="n"/>
      <c r="P7" s="105" t="inlineStr">
        <is>
          <t>금 일</t>
        </is>
      </c>
      <c r="Q7" s="265" t="n"/>
      <c r="R7" s="307" t="n">
        <v>478</v>
      </c>
      <c r="S7" s="304" t="n"/>
      <c r="T7" s="283" t="n"/>
      <c r="U7" s="276" t="n">
        <v>390.8</v>
      </c>
      <c r="V7" s="272" t="n"/>
      <c r="W7" s="265" t="n"/>
      <c r="X7" s="277" t="n">
        <v>24</v>
      </c>
      <c r="Y7" s="272" t="n"/>
      <c r="Z7" s="265" t="n"/>
    </row>
    <row r="8" ht="30" customHeight="1" s="251">
      <c r="A8" s="104" t="inlineStr">
        <is>
          <t>누 계</t>
        </is>
      </c>
      <c r="B8" s="278" t="n"/>
      <c r="C8" s="279" t="n"/>
      <c r="D8" s="154">
        <f>'2'!D8+D7</f>
        <v/>
      </c>
      <c r="E8" s="278" t="n"/>
      <c r="F8" s="279" t="n"/>
      <c r="G8" s="273">
        <f>'2'!G8+'3'!G7</f>
        <v/>
      </c>
      <c r="H8" s="274" t="n"/>
      <c r="I8" s="275" t="n"/>
      <c r="J8" s="154">
        <f>D8+G8</f>
        <v/>
      </c>
      <c r="K8" s="278" t="n"/>
      <c r="L8" s="279" t="n"/>
      <c r="M8" s="1" t="n"/>
      <c r="N8" s="1" t="n"/>
      <c r="O8" s="1" t="n"/>
      <c r="P8" s="104" t="inlineStr">
        <is>
          <t>누 계</t>
        </is>
      </c>
      <c r="Q8" s="279" t="n"/>
      <c r="R8" s="276">
        <f>'2'!R8+'3'!R7</f>
        <v/>
      </c>
      <c r="S8" s="272" t="n"/>
      <c r="T8" s="265" t="n"/>
      <c r="U8" s="280">
        <f>'2'!U8+U7</f>
        <v/>
      </c>
      <c r="V8" s="278" t="n"/>
      <c r="W8" s="279" t="n"/>
      <c r="X8" s="281">
        <f>'2'!X8+'3'!X7</f>
        <v/>
      </c>
      <c r="Y8" s="278" t="n"/>
      <c r="Z8" s="279" t="n"/>
    </row>
    <row r="9" ht="12" customHeight="1" s="25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inlineStr">
        <is>
          <t>3. 약품 사용현황 (KG)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inlineStr">
        <is>
          <t>4. 소각재 발생량 (TON, 대)</t>
        </is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30.75" customHeight="1" s="251" thickBot="1">
      <c r="A11" s="136" t="inlineStr">
        <is>
          <t>품 명</t>
        </is>
      </c>
      <c r="B11" s="271" t="n"/>
      <c r="C11" s="150" t="inlineStr">
        <is>
          <t>전일 
재고량</t>
        </is>
      </c>
      <c r="D11" s="271" t="n"/>
      <c r="E11" s="136" t="inlineStr">
        <is>
          <t>입고량</t>
        </is>
      </c>
      <c r="F11" s="271" t="n"/>
      <c r="G11" s="136" t="inlineStr">
        <is>
          <t>사용량</t>
        </is>
      </c>
      <c r="H11" s="271" t="n"/>
      <c r="I11" s="282" t="inlineStr">
        <is>
          <t>재고량</t>
        </is>
      </c>
      <c r="J11" s="271" t="n"/>
      <c r="K11" s="150" t="inlineStr">
        <is>
          <t>입고량 
누계</t>
        </is>
      </c>
      <c r="L11" s="271" t="n"/>
      <c r="M11" s="150" t="inlineStr">
        <is>
          <t>사용량 
누계</t>
        </is>
      </c>
      <c r="N11" s="271" t="n"/>
      <c r="O11" s="1" t="n"/>
      <c r="P11" s="136" t="inlineStr">
        <is>
          <t xml:space="preserve"> 구 분</t>
        </is>
      </c>
      <c r="Q11" s="270" t="n"/>
      <c r="R11" s="271" t="n"/>
      <c r="S11" s="282" t="inlineStr">
        <is>
          <t>반출량</t>
        </is>
      </c>
      <c r="T11" s="270" t="n"/>
      <c r="U11" s="270" t="n"/>
      <c r="V11" s="271" t="n"/>
      <c r="W11" s="282" t="inlineStr">
        <is>
          <t>누계</t>
        </is>
      </c>
      <c r="X11" s="270" t="n"/>
      <c r="Y11" s="270" t="n"/>
      <c r="Z11" s="271" t="n"/>
    </row>
    <row r="12" ht="21.9" customHeight="1" s="251" thickTop="1">
      <c r="A12" s="142" t="inlineStr">
        <is>
          <t>탄산암모늄</t>
        </is>
      </c>
      <c r="B12" s="265" t="n"/>
      <c r="C12" s="310">
        <f>'2'!I12</f>
        <v/>
      </c>
      <c r="D12" s="265" t="n"/>
      <c r="E12" s="105" t="n">
        <v>15450</v>
      </c>
      <c r="F12" s="265" t="n"/>
      <c r="G12" s="105" t="n">
        <v>3638</v>
      </c>
      <c r="H12" s="265" t="n"/>
      <c r="I12" s="164">
        <f>C12+E12-G12</f>
        <v/>
      </c>
      <c r="J12" s="283" t="n"/>
      <c r="K12" s="105">
        <f>'2'!K12+E12</f>
        <v/>
      </c>
      <c r="L12" s="265" t="n"/>
      <c r="M12" s="105">
        <f>'2'!M12+G12</f>
        <v/>
      </c>
      <c r="N12" s="265" t="n"/>
      <c r="O12" s="1" t="n"/>
      <c r="P12" s="149" t="inlineStr">
        <is>
          <t xml:space="preserve">
비산재
</t>
        </is>
      </c>
      <c r="R12" s="254" t="n"/>
      <c r="S12" s="284" t="n">
        <v>58.74</v>
      </c>
      <c r="T12" s="285" t="n"/>
      <c r="U12" s="285" t="n"/>
      <c r="V12" s="285" t="n"/>
      <c r="W12" s="318">
        <f>'2'!W12+'3'!S12</f>
        <v/>
      </c>
      <c r="X12" s="285" t="n"/>
      <c r="Y12" s="285" t="n"/>
      <c r="Z12" s="287" t="n"/>
    </row>
    <row r="13" ht="21.9" customHeight="1" s="251">
      <c r="A13" s="104" t="inlineStr">
        <is>
          <t>청관제</t>
        </is>
      </c>
      <c r="B13" s="279" t="n"/>
      <c r="C13" s="310">
        <f>'2'!I13</f>
        <v/>
      </c>
      <c r="D13" s="265" t="n"/>
      <c r="E13" s="104" t="n">
        <v>710</v>
      </c>
      <c r="F13" s="279" t="n"/>
      <c r="G13" s="104" t="n">
        <v>100</v>
      </c>
      <c r="H13" s="279" t="n"/>
      <c r="I13" s="288">
        <f>C13+E13-G13</f>
        <v/>
      </c>
      <c r="J13" s="275" t="n"/>
      <c r="K13" s="288">
        <f>'2'!K13+E13</f>
        <v/>
      </c>
      <c r="L13" s="275" t="n"/>
      <c r="M13" s="288">
        <f>'2'!M13+G13</f>
        <v/>
      </c>
      <c r="N13" s="275" t="n"/>
      <c r="O13" s="1" t="n"/>
      <c r="P13" s="264" t="n"/>
      <c r="Q13" s="272" t="n"/>
      <c r="R13" s="265" t="n"/>
      <c r="S13" s="289" t="n"/>
      <c r="T13" s="290" t="n"/>
      <c r="U13" s="290" t="n"/>
      <c r="V13" s="290" t="n"/>
      <c r="W13" s="264" t="n"/>
      <c r="X13" s="272" t="n"/>
      <c r="Y13" s="272" t="n"/>
      <c r="Z13" s="265" t="n"/>
    </row>
    <row r="14" ht="21.9" customHeight="1" s="251">
      <c r="A14" s="104" t="inlineStr">
        <is>
          <t>활성탄</t>
        </is>
      </c>
      <c r="B14" s="279" t="n"/>
      <c r="C14" s="310">
        <f>'2'!I14</f>
        <v/>
      </c>
      <c r="D14" s="265" t="n"/>
      <c r="E14" s="104" t="n">
        <v>0</v>
      </c>
      <c r="F14" s="279" t="n"/>
      <c r="G14" s="104" t="n">
        <v>120</v>
      </c>
      <c r="H14" s="279" t="n"/>
      <c r="I14" s="288">
        <f>C14+E14-G14</f>
        <v/>
      </c>
      <c r="J14" s="275" t="n"/>
      <c r="K14" s="288">
        <f>'2'!K14+E14</f>
        <v/>
      </c>
      <c r="L14" s="275" t="n"/>
      <c r="M14" s="288">
        <f>'2'!M14+G14</f>
        <v/>
      </c>
      <c r="N14" s="275" t="n"/>
      <c r="O14" s="1" t="n"/>
      <c r="P14" s="104" t="inlineStr">
        <is>
          <t>바닥재</t>
        </is>
      </c>
      <c r="Q14" s="291" t="n"/>
      <c r="R14" s="292" t="n"/>
      <c r="S14" s="293" t="n">
        <v>0</v>
      </c>
      <c r="T14" s="291" t="n"/>
      <c r="U14" s="291" t="n"/>
      <c r="V14" s="291" t="n"/>
      <c r="W14" s="311">
        <f>'2'!W14+'3'!S14</f>
        <v/>
      </c>
      <c r="X14" s="291" t="n"/>
      <c r="Y14" s="291" t="n"/>
      <c r="Z14" s="295" t="n"/>
    </row>
    <row r="15" ht="21.9" customHeight="1" s="251">
      <c r="A15" s="104" t="inlineStr">
        <is>
          <t>가성소다</t>
        </is>
      </c>
      <c r="B15" s="279" t="n"/>
      <c r="C15" s="310">
        <f>'2'!I15</f>
        <v/>
      </c>
      <c r="D15" s="265" t="n"/>
      <c r="E15" s="104" t="n">
        <v>0</v>
      </c>
      <c r="F15" s="279" t="n"/>
      <c r="G15" s="104" t="n">
        <v>24</v>
      </c>
      <c r="H15" s="279" t="n"/>
      <c r="I15" s="288">
        <f>C15+E15-G15</f>
        <v/>
      </c>
      <c r="J15" s="275" t="n"/>
      <c r="K15" s="288">
        <f>'2'!K15+E15</f>
        <v/>
      </c>
      <c r="L15" s="275" t="n"/>
      <c r="M15" s="288">
        <f>'2'!M15+G15</f>
        <v/>
      </c>
      <c r="N15" s="275" t="n"/>
      <c r="O15" s="1" t="n"/>
      <c r="P15" s="296" t="n"/>
      <c r="Q15" s="290" t="n"/>
      <c r="R15" s="297" t="n"/>
      <c r="S15" s="296" t="n"/>
      <c r="T15" s="290" t="n"/>
      <c r="U15" s="290" t="n"/>
      <c r="V15" s="290" t="n"/>
      <c r="W15" s="298" t="n"/>
      <c r="X15" s="272" t="n"/>
      <c r="Y15" s="272" t="n"/>
      <c r="Z15" s="265" t="n"/>
    </row>
    <row r="16" ht="21.9" customHeight="1" s="251">
      <c r="A16" s="104" t="inlineStr">
        <is>
          <t>소석회</t>
        </is>
      </c>
      <c r="B16" s="279" t="n"/>
      <c r="C16" s="310">
        <f>'2'!I16</f>
        <v/>
      </c>
      <c r="D16" s="265" t="n"/>
      <c r="E16" s="104" t="n">
        <v>0</v>
      </c>
      <c r="F16" s="279" t="n"/>
      <c r="G16" s="104" t="n">
        <v>20</v>
      </c>
      <c r="H16" s="279" t="n"/>
      <c r="I16" s="288">
        <f>C16+E16-G16</f>
        <v/>
      </c>
      <c r="J16" s="275" t="n"/>
      <c r="K16" s="288">
        <f>'2'!K16+E16</f>
        <v/>
      </c>
      <c r="L16" s="275" t="n"/>
      <c r="M16" s="288">
        <f>'2'!M16+G16</f>
        <v/>
      </c>
      <c r="N16" s="275" t="n"/>
      <c r="O16" s="1" t="n"/>
      <c r="P16" s="162" t="inlineStr">
        <is>
          <t>구분</t>
        </is>
      </c>
      <c r="Q16" s="291" t="n"/>
      <c r="R16" s="292" t="n"/>
      <c r="S16" s="299" t="inlineStr">
        <is>
          <t>주간</t>
        </is>
      </c>
      <c r="T16" s="292" t="n"/>
      <c r="U16" s="299" t="inlineStr">
        <is>
          <t>야간</t>
        </is>
      </c>
      <c r="V16" s="292" t="n"/>
      <c r="W16" s="299" t="inlineStr">
        <is>
          <t>합계</t>
        </is>
      </c>
      <c r="X16" s="292" t="n"/>
      <c r="Y16" s="299" t="inlineStr">
        <is>
          <t>누계</t>
        </is>
      </c>
      <c r="Z16" s="292" t="n"/>
    </row>
    <row r="17" ht="21.9" customHeight="1" s="251" thickBot="1">
      <c r="A17" s="104" t="inlineStr">
        <is>
          <t>소 금</t>
        </is>
      </c>
      <c r="B17" s="279" t="n"/>
      <c r="C17" s="310">
        <f>'2'!I17</f>
        <v/>
      </c>
      <c r="D17" s="265" t="n"/>
      <c r="E17" s="104" t="n">
        <v>0</v>
      </c>
      <c r="F17" s="279" t="n"/>
      <c r="G17" s="104" t="n">
        <v>200</v>
      </c>
      <c r="H17" s="279" t="n"/>
      <c r="I17" s="288">
        <f>C17+E17-G17</f>
        <v/>
      </c>
      <c r="J17" s="275" t="n"/>
      <c r="K17" s="288">
        <f>'2'!K17+E17</f>
        <v/>
      </c>
      <c r="L17" s="275" t="n"/>
      <c r="M17" s="288">
        <f>'2'!M17+G17</f>
        <v/>
      </c>
      <c r="N17" s="275" t="n"/>
      <c r="O17" s="1" t="n"/>
      <c r="P17" s="296" t="n"/>
      <c r="Q17" s="290" t="n"/>
      <c r="R17" s="297" t="n"/>
      <c r="S17" s="300" t="n"/>
      <c r="T17" s="301" t="n"/>
      <c r="U17" s="300" t="n"/>
      <c r="V17" s="301" t="n"/>
      <c r="W17" s="300" t="n"/>
      <c r="X17" s="301" t="n"/>
      <c r="Y17" s="300" t="n"/>
      <c r="Z17" s="301" t="n"/>
      <c r="AE17" s="302" t="n"/>
    </row>
    <row r="18" ht="21.9" customHeight="1" s="251" thickTop="1">
      <c r="A18" s="104" t="inlineStr">
        <is>
          <t>경 유</t>
        </is>
      </c>
      <c r="B18" s="279" t="n"/>
      <c r="C18" s="310">
        <f>'2'!I18</f>
        <v/>
      </c>
      <c r="D18" s="265" t="n"/>
      <c r="E18" s="104" t="n">
        <v>0</v>
      </c>
      <c r="F18" s="279" t="n"/>
      <c r="G18" s="104" t="n">
        <v>0</v>
      </c>
      <c r="H18" s="279" t="n"/>
      <c r="I18" s="288">
        <f>C18+E18-G18</f>
        <v/>
      </c>
      <c r="J18" s="275" t="n"/>
      <c r="K18" s="288">
        <f>'2'!K18+E18</f>
        <v/>
      </c>
      <c r="L18" s="275" t="n"/>
      <c r="M18" s="288">
        <f>'2'!M18+G18</f>
        <v/>
      </c>
      <c r="N18" s="275" t="n"/>
      <c r="O18" s="1" t="n"/>
      <c r="P18" s="164" t="inlineStr">
        <is>
          <t>불연물</t>
        </is>
      </c>
      <c r="Q18" s="285" t="n"/>
      <c r="R18" s="287" t="n"/>
      <c r="S18" s="303" t="n">
        <v>2</v>
      </c>
      <c r="T18" s="287" t="n"/>
      <c r="U18" s="303" t="n">
        <v>2</v>
      </c>
      <c r="V18" s="287" t="n"/>
      <c r="W18" s="303">
        <f>S18+U18</f>
        <v/>
      </c>
      <c r="X18" s="287" t="n"/>
      <c r="Y18" s="303">
        <f>'2'!Y18+'3'!W18</f>
        <v/>
      </c>
      <c r="Z18" s="287" t="n"/>
    </row>
    <row r="19" ht="21.9" customHeight="1" s="251">
      <c r="A19" s="153" t="inlineStr">
        <is>
          <t>SRF</t>
        </is>
      </c>
      <c r="B19" s="279" t="n"/>
      <c r="C19" s="310">
        <f>'2'!I19</f>
        <v/>
      </c>
      <c r="D19" s="265" t="n"/>
      <c r="E19" s="154" t="n">
        <v>64150</v>
      </c>
      <c r="F19" s="279" t="n"/>
      <c r="G19" s="154">
        <f>D7</f>
        <v/>
      </c>
      <c r="H19" s="279" t="n"/>
      <c r="I19" s="273">
        <f>C19+E19-G19</f>
        <v/>
      </c>
      <c r="J19" s="275" t="n"/>
      <c r="K19" s="273">
        <f>'2'!K19+E19</f>
        <v/>
      </c>
      <c r="L19" s="275" t="n"/>
      <c r="M19" s="273">
        <f>'2'!M19+G19</f>
        <v/>
      </c>
      <c r="N19" s="275" t="n"/>
      <c r="O19" s="1" t="n"/>
      <c r="P19" s="256" t="n"/>
      <c r="R19" s="254" t="n"/>
      <c r="S19" s="256" t="n"/>
      <c r="T19" s="254" t="n"/>
      <c r="U19" s="256" t="n"/>
      <c r="V19" s="254" t="n"/>
      <c r="W19" s="256" t="n"/>
      <c r="X19" s="254" t="n"/>
      <c r="Y19" s="256" t="n"/>
      <c r="Z19" s="254" t="n"/>
    </row>
    <row r="20" ht="21.9" customHeight="1" s="251">
      <c r="A20" s="104" t="inlineStr">
        <is>
          <t>규 사</t>
        </is>
      </c>
      <c r="B20" s="279" t="n"/>
      <c r="C20" s="310">
        <f>'2'!I20</f>
        <v/>
      </c>
      <c r="D20" s="265" t="n"/>
      <c r="E20" s="288" t="n"/>
      <c r="F20" s="275" t="n"/>
      <c r="G20" s="104" t="n"/>
      <c r="H20" s="279" t="n"/>
      <c r="I20" s="288" t="inlineStr">
        <is>
          <t>-</t>
        </is>
      </c>
      <c r="J20" s="275" t="n"/>
      <c r="K20" s="105">
        <f>'2'!K20+'3'!E20</f>
        <v/>
      </c>
      <c r="L20" s="265" t="n"/>
      <c r="M20" s="105">
        <f>G20</f>
        <v/>
      </c>
      <c r="N20" s="265" t="n"/>
      <c r="O20" s="1" t="n"/>
      <c r="P20" s="264" t="n"/>
      <c r="Q20" s="272" t="n"/>
      <c r="R20" s="265" t="n"/>
      <c r="S20" s="264" t="n"/>
      <c r="T20" s="265" t="n"/>
      <c r="U20" s="264" t="n"/>
      <c r="V20" s="265" t="n"/>
      <c r="W20" s="264" t="n"/>
      <c r="X20" s="265" t="n"/>
      <c r="Y20" s="264" t="n"/>
      <c r="Z20" s="265" t="n"/>
    </row>
    <row r="21" ht="12" customHeight="1" s="25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 t="inlineStr">
        <is>
          <t>5. 전력 사용량 (KWH)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10" t="inlineStr">
        <is>
          <t>6. 유틸리티 사용현황 (㎥)</t>
        </is>
      </c>
      <c r="Q22" s="290" t="n"/>
      <c r="R22" s="290" t="n"/>
      <c r="S22" s="290" t="n"/>
      <c r="T22" s="290" t="n"/>
      <c r="U22" s="290" t="n"/>
      <c r="V22" s="1" t="n"/>
      <c r="W22" s="1" t="n"/>
      <c r="X22" s="1" t="n"/>
      <c r="Y22" s="1" t="n"/>
      <c r="Z22" s="1" t="n"/>
    </row>
    <row r="23" ht="28.5" customHeight="1" s="251" thickBot="1">
      <c r="A23" s="136" t="inlineStr">
        <is>
          <t>구 분</t>
        </is>
      </c>
      <c r="B23" s="270" t="n"/>
      <c r="C23" s="271" t="n"/>
      <c r="D23" s="136" t="inlineStr">
        <is>
          <t>전일지침</t>
        </is>
      </c>
      <c r="E23" s="270" t="n"/>
      <c r="F23" s="271" t="n"/>
      <c r="G23" s="136" t="inlineStr">
        <is>
          <t>금일지침</t>
        </is>
      </c>
      <c r="H23" s="270" t="n"/>
      <c r="I23" s="271" t="n"/>
      <c r="J23" s="136" t="inlineStr">
        <is>
          <t>사용량</t>
        </is>
      </c>
      <c r="K23" s="270" t="n"/>
      <c r="L23" s="271" t="n"/>
      <c r="M23" s="136" t="inlineStr">
        <is>
          <t>누 계</t>
        </is>
      </c>
      <c r="N23" s="271" t="n"/>
      <c r="P23" s="136" t="inlineStr">
        <is>
          <t>구 분</t>
        </is>
      </c>
      <c r="Q23" s="270" t="n"/>
      <c r="R23" s="271" t="n"/>
      <c r="S23" s="136" t="inlineStr">
        <is>
          <t>전일 사용량</t>
        </is>
      </c>
      <c r="T23" s="270" t="n"/>
      <c r="U23" s="271" t="n"/>
      <c r="V23" s="136" t="inlineStr">
        <is>
          <t>금일 사용량</t>
        </is>
      </c>
      <c r="W23" s="270" t="n"/>
      <c r="X23" s="271" t="n"/>
      <c r="Y23" s="136" t="inlineStr">
        <is>
          <t>누 계</t>
        </is>
      </c>
      <c r="Z23" s="271" t="n"/>
    </row>
    <row r="24" ht="21.9" customHeight="1" s="251" thickTop="1">
      <c r="A24" s="105" t="inlineStr">
        <is>
          <t>MAIN</t>
        </is>
      </c>
      <c r="B24" s="272" t="n"/>
      <c r="C24" s="265" t="n"/>
      <c r="D24" s="187">
        <f>'2'!G24</f>
        <v/>
      </c>
      <c r="E24" s="285" t="n"/>
      <c r="F24" s="287" t="n"/>
      <c r="G24" s="164" t="n">
        <v>3756081</v>
      </c>
      <c r="H24" s="304" t="n"/>
      <c r="I24" s="283" t="n"/>
      <c r="J24" s="164">
        <f>G24-D24</f>
        <v/>
      </c>
      <c r="K24" s="304" t="n"/>
      <c r="L24" s="283" t="n"/>
      <c r="M24" s="164">
        <f>'2'!M24+J24</f>
        <v/>
      </c>
      <c r="N24" s="283" t="n"/>
      <c r="P24" s="105" t="inlineStr">
        <is>
          <t>재이용수</t>
        </is>
      </c>
      <c r="Q24" s="272" t="n"/>
      <c r="R24" s="265" t="n"/>
      <c r="S24" s="164">
        <f>'2'!V24</f>
        <v/>
      </c>
      <c r="T24" s="304" t="n"/>
      <c r="U24" s="283" t="n"/>
      <c r="V24" s="312" t="n">
        <v>427.2</v>
      </c>
      <c r="W24" s="285" t="n"/>
      <c r="X24" s="313" t="n"/>
      <c r="Y24" s="105">
        <f>'2'!Y24+'3'!V24</f>
        <v/>
      </c>
      <c r="Z24" s="265" t="n"/>
    </row>
    <row r="25" ht="21.9" customHeight="1" s="251">
      <c r="A25" s="104" t="inlineStr">
        <is>
          <t>ASH 저장조</t>
        </is>
      </c>
      <c r="B25" s="278" t="n"/>
      <c r="C25" s="279" t="n"/>
      <c r="D25" s="104">
        <f>'2'!G25</f>
        <v/>
      </c>
      <c r="E25" s="278" t="n"/>
      <c r="F25" s="279" t="n"/>
      <c r="G25" s="104" t="n">
        <v>32889.9</v>
      </c>
      <c r="H25" s="278" t="n"/>
      <c r="I25" s="279" t="n"/>
      <c r="J25" s="104">
        <f>G25-D25</f>
        <v/>
      </c>
      <c r="K25" s="278" t="n"/>
      <c r="L25" s="279" t="n"/>
      <c r="M25" s="288">
        <f>'2'!M25+J25</f>
        <v/>
      </c>
      <c r="N25" s="275" t="n"/>
      <c r="P25" s="104" t="inlineStr">
        <is>
          <t>복류수</t>
        </is>
      </c>
      <c r="Q25" s="278" t="n"/>
      <c r="R25" s="279" t="n"/>
      <c r="S25" s="288">
        <f>'2'!V25</f>
        <v/>
      </c>
      <c r="T25" s="274" t="n"/>
      <c r="U25" s="275" t="n"/>
      <c r="V25" s="288" t="n">
        <v>56.1</v>
      </c>
      <c r="W25" s="274" t="n"/>
      <c r="X25" s="275" t="n"/>
      <c r="Y25" s="288">
        <f>'2'!Y25+'3'!V25</f>
        <v/>
      </c>
      <c r="Z25" s="275" t="n"/>
    </row>
    <row r="26" ht="21.9" customHeight="1" s="251">
      <c r="A26" s="104" t="inlineStr">
        <is>
          <t>BAG FILTER</t>
        </is>
      </c>
      <c r="B26" s="278" t="n"/>
      <c r="C26" s="279" t="n"/>
      <c r="D26" s="104">
        <f>'2'!G26</f>
        <v/>
      </c>
      <c r="E26" s="278" t="n"/>
      <c r="F26" s="279" t="n"/>
      <c r="G26" s="104" t="n">
        <v>24370</v>
      </c>
      <c r="H26" s="278" t="n"/>
      <c r="I26" s="279" t="n"/>
      <c r="J26" s="104">
        <f>G26-D26</f>
        <v/>
      </c>
      <c r="K26" s="278" t="n"/>
      <c r="L26" s="279" t="n"/>
      <c r="M26" s="288">
        <f>'2'!M26+J26</f>
        <v/>
      </c>
      <c r="N26" s="275" t="n"/>
      <c r="P26" s="104" t="inlineStr">
        <is>
          <t>응축수</t>
        </is>
      </c>
      <c r="Q26" s="278" t="n"/>
      <c r="R26" s="279" t="n"/>
      <c r="S26" s="288">
        <f>'2'!V26</f>
        <v/>
      </c>
      <c r="T26" s="274" t="n"/>
      <c r="U26" s="275" t="n"/>
      <c r="V26" s="288" t="n">
        <v>429.7</v>
      </c>
      <c r="W26" s="274" t="n"/>
      <c r="X26" s="275" t="n"/>
      <c r="Y26" s="288">
        <f>'2'!Y26+'3'!V26</f>
        <v/>
      </c>
      <c r="Z26" s="275" t="n"/>
    </row>
    <row r="27" ht="21.9" customHeight="1" s="251">
      <c r="A27" s="104" t="inlineStr">
        <is>
          <t>SCRUBBER</t>
        </is>
      </c>
      <c r="B27" s="278" t="n"/>
      <c r="C27" s="279" t="n"/>
      <c r="D27" s="104">
        <f>'2'!G27</f>
        <v/>
      </c>
      <c r="E27" s="278" t="n"/>
      <c r="F27" s="279" t="n"/>
      <c r="G27" s="104" t="n">
        <v>1352000</v>
      </c>
      <c r="H27" s="278" t="n"/>
      <c r="I27" s="279" t="n"/>
      <c r="J27" s="104">
        <f>G27-D27</f>
        <v/>
      </c>
      <c r="K27" s="278" t="n"/>
      <c r="L27" s="279" t="n"/>
      <c r="M27" s="288">
        <f>'2'!M27+J27</f>
        <v/>
      </c>
      <c r="N27" s="275" t="n"/>
      <c r="P27" s="104" t="inlineStr">
        <is>
          <t>보일러 급수</t>
        </is>
      </c>
      <c r="Q27" s="278" t="n"/>
      <c r="R27" s="279" t="n"/>
      <c r="S27" s="288">
        <f>'2'!V27</f>
        <v/>
      </c>
      <c r="T27" s="274" t="n"/>
      <c r="U27" s="275" t="n"/>
      <c r="V27" s="288" t="n">
        <v>481.3</v>
      </c>
      <c r="W27" s="274" t="n"/>
      <c r="X27" s="275" t="n"/>
      <c r="Y27" s="316">
        <f>'2'!Y27+'3'!V27</f>
        <v/>
      </c>
      <c r="Z27" s="275" t="n"/>
    </row>
    <row r="28" ht="21.9" customHeight="1" s="251">
      <c r="A28" s="104" t="inlineStr">
        <is>
          <t>활성탄 공급</t>
        </is>
      </c>
      <c r="B28" s="278" t="n"/>
      <c r="C28" s="279" t="n"/>
      <c r="D28" s="104">
        <f>'2'!G28</f>
        <v/>
      </c>
      <c r="E28" s="278" t="n"/>
      <c r="F28" s="279" t="n"/>
      <c r="G28" s="104" t="n">
        <v>5151</v>
      </c>
      <c r="H28" s="278" t="n"/>
      <c r="I28" s="279" t="n"/>
      <c r="J28" s="104">
        <f>G28-D28</f>
        <v/>
      </c>
      <c r="K28" s="278" t="n"/>
      <c r="L28" s="279" t="n"/>
      <c r="M28" s="288">
        <f>'2'!M28+J28</f>
        <v/>
      </c>
      <c r="N28" s="275" t="n"/>
      <c r="P28" s="104" t="inlineStr">
        <is>
          <t>폐 수</t>
        </is>
      </c>
      <c r="Q28" s="278" t="n"/>
      <c r="R28" s="279" t="n"/>
      <c r="S28" s="288">
        <f>'2'!V28</f>
        <v/>
      </c>
      <c r="T28" s="274" t="n"/>
      <c r="U28" s="275" t="n"/>
      <c r="V28" s="288" t="n">
        <v>0</v>
      </c>
      <c r="W28" s="274" t="n"/>
      <c r="X28" s="275" t="n"/>
      <c r="Y28" s="288">
        <f>'2'!Y28+'3'!V28</f>
        <v/>
      </c>
      <c r="Z28" s="275" t="n"/>
    </row>
    <row r="29" ht="21.9" customHeight="1" s="251">
      <c r="A29" s="104" t="inlineStr">
        <is>
          <t>소석회 공급</t>
        </is>
      </c>
      <c r="B29" s="278" t="n"/>
      <c r="C29" s="279" t="n"/>
      <c r="D29" s="104">
        <f>'2'!G29</f>
        <v/>
      </c>
      <c r="E29" s="278" t="n"/>
      <c r="F29" s="279" t="n"/>
      <c r="G29" s="104" t="n">
        <v>66190</v>
      </c>
      <c r="H29" s="278" t="n"/>
      <c r="I29" s="279" t="n"/>
      <c r="J29" s="104">
        <f>G29-D29</f>
        <v/>
      </c>
      <c r="K29" s="278" t="n"/>
      <c r="L29" s="279" t="n"/>
      <c r="M29" s="288">
        <f>'2'!M29+J29</f>
        <v/>
      </c>
      <c r="N29" s="275" t="n"/>
      <c r="P29" s="104" t="inlineStr">
        <is>
          <t>연 수</t>
        </is>
      </c>
      <c r="Q29" s="278" t="n"/>
      <c r="R29" s="279" t="n"/>
      <c r="S29" s="288">
        <f>'2'!V29</f>
        <v/>
      </c>
      <c r="T29" s="274" t="n"/>
      <c r="U29" s="275" t="n"/>
      <c r="V29" s="288" t="n">
        <v>65.09999999999999</v>
      </c>
      <c r="W29" s="274" t="n"/>
      <c r="X29" s="275" t="n"/>
      <c r="Y29" s="288">
        <f>'2'!Y29+'3'!V29</f>
        <v/>
      </c>
      <c r="Z29" s="275" t="n"/>
      <c r="AC29" s="0" t="inlineStr">
        <is>
          <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30" ht="21.9" customHeight="1" s="251">
      <c r="A30" s="104" t="inlineStr">
        <is>
          <t>요소수 공급</t>
        </is>
      </c>
      <c r="B30" s="278" t="n"/>
      <c r="C30" s="279" t="n"/>
      <c r="D30" s="104">
        <f>'2'!G30</f>
        <v/>
      </c>
      <c r="E30" s="278" t="n"/>
      <c r="F30" s="279" t="n"/>
      <c r="G30" s="154" t="n">
        <v>53270</v>
      </c>
      <c r="H30" s="278" t="n"/>
      <c r="I30" s="279" t="n"/>
      <c r="J30" s="154">
        <f>G30-D30</f>
        <v/>
      </c>
      <c r="K30" s="278" t="n"/>
      <c r="L30" s="279" t="n"/>
      <c r="M30" s="288">
        <f>'2'!M30+J30</f>
        <v/>
      </c>
      <c r="N30" s="275" t="n"/>
      <c r="P30" s="104" t="inlineStr">
        <is>
          <t>계</t>
        </is>
      </c>
      <c r="Q30" s="278" t="n"/>
      <c r="R30" s="279" t="n"/>
      <c r="S30" s="104">
        <f>SUM(S24:U29)</f>
        <v/>
      </c>
      <c r="T30" s="278" t="n"/>
      <c r="U30" s="279" t="n"/>
      <c r="V30" s="288" t="n"/>
      <c r="W30" s="274" t="n"/>
      <c r="X30" s="275" t="n"/>
      <c r="Y30" s="288">
        <f>'2'!Y30+'3'!V30</f>
        <v/>
      </c>
      <c r="Z30" s="275" t="n"/>
    </row>
    <row r="31" ht="21.9" customHeight="1" s="251">
      <c r="A31" s="104" t="inlineStr">
        <is>
          <t xml:space="preserve">F.D </t>
        </is>
      </c>
      <c r="B31" s="278" t="n"/>
      <c r="C31" s="279" t="n"/>
      <c r="D31" s="104">
        <f>'2'!G31</f>
        <v/>
      </c>
      <c r="E31" s="278" t="n"/>
      <c r="F31" s="279" t="n"/>
      <c r="G31" s="288" t="n">
        <v>6230623</v>
      </c>
      <c r="H31" s="274" t="n"/>
      <c r="I31" s="275" t="n"/>
      <c r="J31" s="288">
        <f>G31-D31</f>
        <v/>
      </c>
      <c r="K31" s="274" t="n"/>
      <c r="L31" s="275" t="n"/>
      <c r="M31" s="288">
        <f>'2'!M31+J31</f>
        <v/>
      </c>
      <c r="N31" s="275" t="n"/>
      <c r="P31" s="172" t="n"/>
      <c r="Q31" s="172" t="n"/>
      <c r="R31" s="172" t="n"/>
      <c r="S31" s="172" t="n"/>
      <c r="T31" s="172" t="n"/>
      <c r="U31" s="172" t="n"/>
      <c r="V31" s="172" t="n"/>
      <c r="W31" s="172" t="n"/>
      <c r="X31" s="172" t="n"/>
      <c r="Y31" s="172" t="n"/>
      <c r="Z31" s="172" t="n"/>
    </row>
    <row r="32" ht="21.9" customHeight="1" s="251">
      <c r="A32" s="104" t="inlineStr">
        <is>
          <t>활성탄 BAG</t>
        </is>
      </c>
      <c r="B32" s="278" t="n"/>
      <c r="C32" s="279" t="n"/>
      <c r="D32" s="104">
        <f>'2'!G32</f>
        <v/>
      </c>
      <c r="E32" s="278" t="n"/>
      <c r="F32" s="279" t="n"/>
      <c r="G32" s="288" t="n">
        <v>1.6</v>
      </c>
      <c r="H32" s="274" t="n"/>
      <c r="I32" s="275" t="n"/>
      <c r="J32" s="288">
        <f>G32-D32</f>
        <v/>
      </c>
      <c r="K32" s="274" t="n"/>
      <c r="L32" s="275" t="n"/>
      <c r="M32" s="288">
        <f>'2'!M32+J32</f>
        <v/>
      </c>
      <c r="N32" s="275" t="n"/>
      <c r="P32" s="172" t="n"/>
      <c r="Q32" s="172" t="n"/>
      <c r="R32" s="172" t="n"/>
      <c r="S32" s="172" t="n"/>
      <c r="T32" s="172" t="n"/>
      <c r="U32" s="172" t="n"/>
      <c r="V32" s="172" t="n"/>
      <c r="W32" s="172" t="n"/>
      <c r="X32" s="172" t="n"/>
      <c r="Y32" s="172" t="n"/>
      <c r="Z32" s="172" t="n"/>
    </row>
    <row r="33" ht="21.9" customHeight="1" s="251">
      <c r="A33" s="104" t="inlineStr">
        <is>
          <t>소석회 BAG</t>
        </is>
      </c>
      <c r="B33" s="278" t="n"/>
      <c r="C33" s="279" t="n"/>
      <c r="D33" s="104">
        <f>'2'!G33</f>
        <v/>
      </c>
      <c r="E33" s="278" t="n"/>
      <c r="F33" s="279" t="n"/>
      <c r="G33" s="288" t="n">
        <v>0</v>
      </c>
      <c r="H33" s="274" t="n"/>
      <c r="I33" s="275" t="n"/>
      <c r="J33" s="288">
        <f>G33-D33</f>
        <v/>
      </c>
      <c r="K33" s="274" t="n"/>
      <c r="L33" s="275" t="n"/>
      <c r="M33" s="288">
        <f>'2'!M33+J33</f>
        <v/>
      </c>
      <c r="N33" s="275" t="n"/>
      <c r="P33" s="172" t="n"/>
      <c r="Q33" s="172" t="n"/>
      <c r="R33" s="172" t="n"/>
      <c r="S33" s="172" t="n"/>
      <c r="T33" s="172" t="n"/>
      <c r="U33" s="172" t="n"/>
      <c r="V33" s="172" t="n"/>
      <c r="W33" s="172" t="n"/>
      <c r="X33" s="172" t="n"/>
      <c r="Y33" s="172" t="n"/>
      <c r="Z33" s="172" t="n"/>
    </row>
  </sheetData>
  <mergeCells count="217">
    <mergeCell ref="V24:X24"/>
    <mergeCell ref="A15:B15"/>
    <mergeCell ref="P27:R27"/>
    <mergeCell ref="S23:U23"/>
    <mergeCell ref="C15:D15"/>
    <mergeCell ref="J27:L27"/>
    <mergeCell ref="S14:V15"/>
    <mergeCell ref="Y24:Z24"/>
    <mergeCell ref="U7:W7"/>
    <mergeCell ref="A26:C26"/>
    <mergeCell ref="G24:I24"/>
    <mergeCell ref="J25:L25"/>
    <mergeCell ref="D28:F28"/>
    <mergeCell ref="I16:J16"/>
    <mergeCell ref="A23:C23"/>
    <mergeCell ref="S24:U24"/>
    <mergeCell ref="P6:Q6"/>
    <mergeCell ref="P28:R28"/>
    <mergeCell ref="W1:X1"/>
    <mergeCell ref="Y1:Z1"/>
    <mergeCell ref="G26:I26"/>
    <mergeCell ref="S16:T17"/>
    <mergeCell ref="D30:F30"/>
    <mergeCell ref="G18:H18"/>
    <mergeCell ref="U8:W8"/>
    <mergeCell ref="B1:C1"/>
    <mergeCell ref="I18:J18"/>
    <mergeCell ref="H3:S3"/>
    <mergeCell ref="M16:N16"/>
    <mergeCell ref="P30:R30"/>
    <mergeCell ref="M25:N25"/>
    <mergeCell ref="D29:F29"/>
    <mergeCell ref="D23:F23"/>
    <mergeCell ref="Y25:Z25"/>
    <mergeCell ref="M18:N18"/>
    <mergeCell ref="M33:N33"/>
    <mergeCell ref="A17:B17"/>
    <mergeCell ref="S25:U25"/>
    <mergeCell ref="C17:D17"/>
    <mergeCell ref="U18:V20"/>
    <mergeCell ref="J29:L29"/>
    <mergeCell ref="W18:X20"/>
    <mergeCell ref="M17:N17"/>
    <mergeCell ref="G20:H20"/>
    <mergeCell ref="I20:J20"/>
    <mergeCell ref="S27:U27"/>
    <mergeCell ref="V23:X23"/>
    <mergeCell ref="A19:B19"/>
    <mergeCell ref="C19:D19"/>
    <mergeCell ref="Y2:Z3"/>
    <mergeCell ref="A6:C6"/>
    <mergeCell ref="Y18:Z20"/>
    <mergeCell ref="P22:U22"/>
    <mergeCell ref="M19:N19"/>
    <mergeCell ref="I13:J13"/>
    <mergeCell ref="K13:L13"/>
    <mergeCell ref="X7:Z7"/>
    <mergeCell ref="E12:F12"/>
    <mergeCell ref="J24:L24"/>
    <mergeCell ref="G12:H12"/>
    <mergeCell ref="G28:I28"/>
    <mergeCell ref="D27:F27"/>
    <mergeCell ref="G6:I6"/>
    <mergeCell ref="I15:J15"/>
    <mergeCell ref="A11:B11"/>
    <mergeCell ref="K15:L15"/>
    <mergeCell ref="S28:U28"/>
    <mergeCell ref="C14:D14"/>
    <mergeCell ref="E14:F14"/>
    <mergeCell ref="J26:L26"/>
    <mergeCell ref="G30:I30"/>
    <mergeCell ref="J7:L7"/>
    <mergeCell ref="V27:X27"/>
    <mergeCell ref="A32:C32"/>
    <mergeCell ref="A29:C29"/>
    <mergeCell ref="D25:F25"/>
    <mergeCell ref="V25:X25"/>
    <mergeCell ref="Y26:Z26"/>
    <mergeCell ref="M13:N13"/>
    <mergeCell ref="G32:I32"/>
    <mergeCell ref="J33:L33"/>
    <mergeCell ref="W14:Z15"/>
    <mergeCell ref="A31:C31"/>
    <mergeCell ref="S26:U26"/>
    <mergeCell ref="M27:N27"/>
    <mergeCell ref="I17:J17"/>
    <mergeCell ref="A24:C24"/>
    <mergeCell ref="Y27:Z27"/>
    <mergeCell ref="K17:L17"/>
    <mergeCell ref="P29:R29"/>
    <mergeCell ref="M24:N24"/>
    <mergeCell ref="E16:F16"/>
    <mergeCell ref="J28:L28"/>
    <mergeCell ref="G27:I27"/>
    <mergeCell ref="G16:H16"/>
    <mergeCell ref="D31:F31"/>
    <mergeCell ref="U2:V3"/>
    <mergeCell ref="I19:J19"/>
    <mergeCell ref="U1:V1"/>
    <mergeCell ref="G8:I8"/>
    <mergeCell ref="K19:L19"/>
    <mergeCell ref="C18:D18"/>
    <mergeCell ref="A7:C7"/>
    <mergeCell ref="V29:X29"/>
    <mergeCell ref="E18:F18"/>
    <mergeCell ref="J30:L30"/>
    <mergeCell ref="R6:T6"/>
    <mergeCell ref="K16:L16"/>
    <mergeCell ref="A25:C25"/>
    <mergeCell ref="J6:L6"/>
    <mergeCell ref="D1:E1"/>
    <mergeCell ref="D32:F32"/>
    <mergeCell ref="G11:H11"/>
    <mergeCell ref="I11:J11"/>
    <mergeCell ref="P23:R23"/>
    <mergeCell ref="W11:Z11"/>
    <mergeCell ref="D7:F7"/>
    <mergeCell ref="Y16:Z17"/>
    <mergeCell ref="S18:T20"/>
    <mergeCell ref="Y30:Z30"/>
    <mergeCell ref="C20:D20"/>
    <mergeCell ref="E20:F20"/>
    <mergeCell ref="K11:L11"/>
    <mergeCell ref="J32:L32"/>
    <mergeCell ref="M11:N11"/>
    <mergeCell ref="Y29:Z29"/>
    <mergeCell ref="H1:S2"/>
    <mergeCell ref="V26:X26"/>
    <mergeCell ref="E13:F13"/>
    <mergeCell ref="S30:U30"/>
    <mergeCell ref="G13:H13"/>
    <mergeCell ref="M31:N31"/>
    <mergeCell ref="G29:I29"/>
    <mergeCell ref="D8:F8"/>
    <mergeCell ref="D33:F33"/>
    <mergeCell ref="W12:Z13"/>
    <mergeCell ref="A12:B12"/>
    <mergeCell ref="A28:C28"/>
    <mergeCell ref="S29:U29"/>
    <mergeCell ref="A1:A3"/>
    <mergeCell ref="C12:D12"/>
    <mergeCell ref="M15:N15"/>
    <mergeCell ref="E15:F15"/>
    <mergeCell ref="M12:N12"/>
    <mergeCell ref="G15:H15"/>
    <mergeCell ref="G31:I31"/>
    <mergeCell ref="Y28:Z28"/>
    <mergeCell ref="P18:R20"/>
    <mergeCell ref="A14:B14"/>
    <mergeCell ref="J8:L8"/>
    <mergeCell ref="A30:C30"/>
    <mergeCell ref="M26:N26"/>
    <mergeCell ref="U6:W6"/>
    <mergeCell ref="P25:R25"/>
    <mergeCell ref="M29:N29"/>
    <mergeCell ref="M23:N23"/>
    <mergeCell ref="F2:G3"/>
    <mergeCell ref="G23:I23"/>
    <mergeCell ref="Y23:Z23"/>
    <mergeCell ref="U16:V17"/>
    <mergeCell ref="W16:X17"/>
    <mergeCell ref="D6:F6"/>
    <mergeCell ref="K18:L18"/>
    <mergeCell ref="P12:R13"/>
    <mergeCell ref="F1:G1"/>
    <mergeCell ref="G7:I7"/>
    <mergeCell ref="T1:T3"/>
    <mergeCell ref="V28:X28"/>
    <mergeCell ref="P11:R11"/>
    <mergeCell ref="P14:R15"/>
    <mergeCell ref="A27:C27"/>
    <mergeCell ref="V30:X30"/>
    <mergeCell ref="W2:X3"/>
    <mergeCell ref="E17:F17"/>
    <mergeCell ref="G17:H17"/>
    <mergeCell ref="G33:I33"/>
    <mergeCell ref="X6:Z6"/>
    <mergeCell ref="A33:C33"/>
    <mergeCell ref="K20:L20"/>
    <mergeCell ref="A16:B16"/>
    <mergeCell ref="C16:D16"/>
    <mergeCell ref="M20:N20"/>
    <mergeCell ref="A8:C8"/>
    <mergeCell ref="E19:F19"/>
    <mergeCell ref="P8:Q8"/>
    <mergeCell ref="J31:L31"/>
    <mergeCell ref="G19:H19"/>
    <mergeCell ref="A18:B18"/>
    <mergeCell ref="D24:F24"/>
    <mergeCell ref="G25:I25"/>
    <mergeCell ref="M30:N30"/>
    <mergeCell ref="I12:J12"/>
    <mergeCell ref="K12:L12"/>
    <mergeCell ref="P24:R24"/>
    <mergeCell ref="P7:Q7"/>
    <mergeCell ref="C11:D11"/>
    <mergeCell ref="M28:N28"/>
    <mergeCell ref="E11:F11"/>
    <mergeCell ref="J23:L23"/>
    <mergeCell ref="D26:F26"/>
    <mergeCell ref="G14:H14"/>
    <mergeCell ref="S11:V11"/>
    <mergeCell ref="I14:J14"/>
    <mergeCell ref="R8:T8"/>
    <mergeCell ref="K14:L14"/>
    <mergeCell ref="P26:R26"/>
    <mergeCell ref="P16:R17"/>
    <mergeCell ref="A20:B20"/>
    <mergeCell ref="B2:C3"/>
    <mergeCell ref="D2:E3"/>
    <mergeCell ref="M32:N32"/>
    <mergeCell ref="M14:N14"/>
    <mergeCell ref="X8:Z8"/>
    <mergeCell ref="A13:B13"/>
    <mergeCell ref="C13:D13"/>
    <mergeCell ref="R7:T7"/>
    <mergeCell ref="S12:V13"/>
  </mergeCells>
  <pageMargins left="0.7086614173228347" right="0.7086614173228347" top="0.7480314960629921" bottom="0.7480314960629921" header="0.3149606299212598" footer="0.3149606299212598"/>
  <pageSetup orientation="portrait" paperSize="9" scale="5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E33"/>
  <sheetViews>
    <sheetView zoomScaleNormal="100" zoomScaleSheetLayoutView="100" workbookViewId="0">
      <selection activeCell="G16" sqref="G16:H16"/>
    </sheetView>
  </sheetViews>
  <sheetFormatPr baseColWidth="8" defaultRowHeight="17.4"/>
  <cols>
    <col width="2.8984375" customWidth="1" style="251" min="1" max="1"/>
    <col width="5.59765625" customWidth="1" style="251" min="2" max="14"/>
    <col width="3.59765625" customWidth="1" style="251" min="15" max="15"/>
    <col width="4.59765625" customWidth="1" style="251" min="16" max="22"/>
    <col width="5.59765625" customWidth="1" style="251" min="23" max="26"/>
  </cols>
  <sheetData>
    <row r="1" ht="18.75" customHeight="1" s="251">
      <c r="A1" s="122" t="inlineStr">
        <is>
          <t>근
무
자</t>
        </is>
      </c>
      <c r="B1" s="120" t="inlineStr">
        <is>
          <t>오  전</t>
        </is>
      </c>
      <c r="C1" s="252" t="n"/>
      <c r="D1" s="120" t="inlineStr">
        <is>
          <t>오  후</t>
        </is>
      </c>
      <c r="E1" s="252" t="n"/>
      <c r="F1" s="120" t="inlineStr">
        <is>
          <t>야  간</t>
        </is>
      </c>
      <c r="G1" s="252" t="n"/>
      <c r="H1" s="253" t="inlineStr">
        <is>
          <t>유동상소각로 운전일지</t>
        </is>
      </c>
      <c r="S1" s="254" t="n"/>
      <c r="T1" s="255" t="inlineStr">
        <is>
          <t>결
재</t>
        </is>
      </c>
      <c r="U1" s="120" t="inlineStr">
        <is>
          <t>반장</t>
        </is>
      </c>
      <c r="V1" s="252" t="n"/>
      <c r="W1" s="120" t="inlineStr">
        <is>
          <t>대리</t>
        </is>
      </c>
      <c r="X1" s="252" t="n"/>
      <c r="Y1" s="120" t="inlineStr">
        <is>
          <t>팀장</t>
        </is>
      </c>
      <c r="Z1" s="252" t="n"/>
    </row>
    <row r="2" ht="14.25" customHeight="1" s="251">
      <c r="A2" s="256" t="n"/>
      <c r="B2" s="257" t="inlineStr">
        <is>
          <t xml:space="preserve">권정민 </t>
        </is>
      </c>
      <c r="C2" s="258" t="n"/>
      <c r="D2" s="257" t="inlineStr">
        <is>
          <t>김동욱</t>
        </is>
      </c>
      <c r="E2" s="258" t="n"/>
      <c r="F2" s="257" t="inlineStr">
        <is>
          <t>임종민</t>
        </is>
      </c>
      <c r="G2" s="258" t="n"/>
      <c r="H2" s="259" t="n"/>
      <c r="I2" s="260" t="n"/>
      <c r="J2" s="260" t="n"/>
      <c r="K2" s="260" t="n"/>
      <c r="L2" s="260" t="n"/>
      <c r="M2" s="260" t="n"/>
      <c r="N2" s="260" t="n"/>
      <c r="O2" s="260" t="n"/>
      <c r="P2" s="260" t="n"/>
      <c r="Q2" s="260" t="n"/>
      <c r="R2" s="260" t="n"/>
      <c r="S2" s="261" t="n"/>
      <c r="T2" s="262" t="n"/>
      <c r="U2" s="105" t="n"/>
      <c r="V2" s="254" t="n"/>
      <c r="W2" s="105" t="n"/>
      <c r="X2" s="254" t="n"/>
      <c r="Y2" s="105" t="n"/>
      <c r="Z2" s="254" t="n"/>
    </row>
    <row r="3" ht="37.5" customHeight="1" s="251">
      <c r="A3" s="263" t="n"/>
      <c r="B3" s="264" t="n"/>
      <c r="C3" s="265" t="n"/>
      <c r="D3" s="264" t="n"/>
      <c r="E3" s="265" t="n"/>
      <c r="F3" s="264" t="n"/>
      <c r="G3" s="265" t="n"/>
      <c r="H3" s="266" t="n">
        <v>46207</v>
      </c>
      <c r="I3" s="267" t="n"/>
      <c r="J3" s="267" t="n"/>
      <c r="K3" s="267" t="n"/>
      <c r="L3" s="267" t="n"/>
      <c r="M3" s="267" t="n"/>
      <c r="N3" s="267" t="n"/>
      <c r="O3" s="267" t="n"/>
      <c r="P3" s="267" t="n"/>
      <c r="Q3" s="267" t="n"/>
      <c r="R3" s="267" t="n"/>
      <c r="S3" s="268" t="n"/>
      <c r="T3" s="269" t="n"/>
      <c r="U3" s="264" t="n"/>
      <c r="V3" s="265" t="n"/>
      <c r="W3" s="264" t="n"/>
      <c r="X3" s="265" t="n"/>
      <c r="Y3" s="264" t="n"/>
      <c r="Z3" s="265" t="n"/>
    </row>
    <row r="4" ht="13.5" customHeight="1" s="25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inlineStr">
        <is>
          <t>1. 소각현황(KG)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inlineStr">
        <is>
          <t>2. BOILER 운전현황(TON, HR)</t>
        </is>
      </c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2.5" customHeight="1" s="251" thickBot="1">
      <c r="A6" s="136" t="inlineStr">
        <is>
          <t>구 분</t>
        </is>
      </c>
      <c r="B6" s="270" t="n"/>
      <c r="C6" s="271" t="n"/>
      <c r="D6" s="136" t="inlineStr">
        <is>
          <t>SRF소각량</t>
        </is>
      </c>
      <c r="E6" s="270" t="n"/>
      <c r="F6" s="271" t="n"/>
      <c r="G6" s="136" t="inlineStr">
        <is>
          <t>SLUDGE 소각량</t>
        </is>
      </c>
      <c r="H6" s="270" t="n"/>
      <c r="I6" s="271" t="n"/>
      <c r="J6" s="136" t="inlineStr">
        <is>
          <t>합 계</t>
        </is>
      </c>
      <c r="K6" s="270" t="n"/>
      <c r="L6" s="271" t="n"/>
      <c r="M6" s="1" t="n"/>
      <c r="N6" s="1" t="n"/>
      <c r="O6" s="1" t="n"/>
      <c r="P6" s="136" t="inlineStr">
        <is>
          <t>구 분</t>
        </is>
      </c>
      <c r="Q6" s="271" t="n"/>
      <c r="R6" s="136" t="inlineStr">
        <is>
          <t>스팀 생산량</t>
        </is>
      </c>
      <c r="S6" s="270" t="n"/>
      <c r="T6" s="271" t="n"/>
      <c r="U6" s="136" t="inlineStr">
        <is>
          <t>스팀 송기량</t>
        </is>
      </c>
      <c r="V6" s="270" t="n"/>
      <c r="W6" s="271" t="n"/>
      <c r="X6" s="136" t="inlineStr">
        <is>
          <t>가동시간</t>
        </is>
      </c>
      <c r="Y6" s="270" t="n"/>
      <c r="Z6" s="271" t="n"/>
    </row>
    <row r="7" ht="30" customHeight="1" s="251" thickTop="1">
      <c r="A7" s="105" t="inlineStr">
        <is>
          <t>금 일</t>
        </is>
      </c>
      <c r="B7" s="272" t="n"/>
      <c r="C7" s="265" t="n"/>
      <c r="D7" s="139" t="n">
        <v>59627</v>
      </c>
      <c r="E7" s="272" t="n"/>
      <c r="F7" s="265" t="n"/>
      <c r="G7" s="317" t="n">
        <v>159400</v>
      </c>
      <c r="H7" s="285" t="n"/>
      <c r="I7" s="313" t="n"/>
      <c r="J7" s="139">
        <f>D7+G7</f>
        <v/>
      </c>
      <c r="K7" s="272" t="n"/>
      <c r="L7" s="265" t="n"/>
      <c r="M7" s="1" t="n"/>
      <c r="N7" s="1" t="n"/>
      <c r="O7" s="1" t="n"/>
      <c r="P7" s="105" t="inlineStr">
        <is>
          <t>금 일</t>
        </is>
      </c>
      <c r="Q7" s="265" t="n"/>
      <c r="R7" s="307" t="n">
        <v>477.1</v>
      </c>
      <c r="S7" s="304" t="n"/>
      <c r="T7" s="283" t="n"/>
      <c r="U7" s="276" t="n">
        <v>388.4</v>
      </c>
      <c r="V7" s="272" t="n"/>
      <c r="W7" s="265" t="n"/>
      <c r="X7" s="277" t="n">
        <v>24</v>
      </c>
      <c r="Y7" s="272" t="n"/>
      <c r="Z7" s="265" t="n"/>
    </row>
    <row r="8" ht="30" customHeight="1" s="251">
      <c r="A8" s="104" t="inlineStr">
        <is>
          <t>누 계</t>
        </is>
      </c>
      <c r="B8" s="278" t="n"/>
      <c r="C8" s="279" t="n"/>
      <c r="D8" s="154">
        <f>'3'!D8+D7</f>
        <v/>
      </c>
      <c r="E8" s="278" t="n"/>
      <c r="F8" s="279" t="n"/>
      <c r="G8" s="273">
        <f>'3'!G8+'4'!G7</f>
        <v/>
      </c>
      <c r="H8" s="274" t="n"/>
      <c r="I8" s="275" t="n"/>
      <c r="J8" s="154">
        <f>D8+G8</f>
        <v/>
      </c>
      <c r="K8" s="278" t="n"/>
      <c r="L8" s="279" t="n"/>
      <c r="M8" s="1" t="n"/>
      <c r="N8" s="1" t="n"/>
      <c r="O8" s="1" t="n"/>
      <c r="P8" s="104" t="inlineStr">
        <is>
          <t>누 계</t>
        </is>
      </c>
      <c r="Q8" s="279" t="n"/>
      <c r="R8" s="276">
        <f>'3'!R8+R7</f>
        <v/>
      </c>
      <c r="S8" s="272" t="n"/>
      <c r="T8" s="265" t="n"/>
      <c r="U8" s="280">
        <f>'3'!U8+'4'!U7</f>
        <v/>
      </c>
      <c r="V8" s="278" t="n"/>
      <c r="W8" s="279" t="n"/>
      <c r="X8" s="281">
        <f>'3'!X8+X7</f>
        <v/>
      </c>
      <c r="Y8" s="278" t="n"/>
      <c r="Z8" s="279" t="n"/>
    </row>
    <row r="9" ht="12" customHeight="1" s="25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inlineStr">
        <is>
          <t>3. 약품 사용현황 (KG)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inlineStr">
        <is>
          <t>4. 소각재 발생량 (TON, 대)</t>
        </is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30.75" customHeight="1" s="251" thickBot="1">
      <c r="A11" s="136" t="inlineStr">
        <is>
          <t>품 명</t>
        </is>
      </c>
      <c r="B11" s="271" t="n"/>
      <c r="C11" s="150" t="inlineStr">
        <is>
          <t>전일 
재고량</t>
        </is>
      </c>
      <c r="D11" s="271" t="n"/>
      <c r="E11" s="136" t="inlineStr">
        <is>
          <t>입고량</t>
        </is>
      </c>
      <c r="F11" s="271" t="n"/>
      <c r="G11" s="136" t="inlineStr">
        <is>
          <t>사용량</t>
        </is>
      </c>
      <c r="H11" s="271" t="n"/>
      <c r="I11" s="282" t="inlineStr">
        <is>
          <t>재고량</t>
        </is>
      </c>
      <c r="J11" s="271" t="n"/>
      <c r="K11" s="150" t="inlineStr">
        <is>
          <t>입고량 
누계</t>
        </is>
      </c>
      <c r="L11" s="271" t="n"/>
      <c r="M11" s="150" t="inlineStr">
        <is>
          <t>사용량 
누계</t>
        </is>
      </c>
      <c r="N11" s="271" t="n"/>
      <c r="O11" s="1" t="n"/>
      <c r="P11" s="136" t="inlineStr">
        <is>
          <t xml:space="preserve"> 구 분</t>
        </is>
      </c>
      <c r="Q11" s="270" t="n"/>
      <c r="R11" s="271" t="n"/>
      <c r="S11" s="282" t="inlineStr">
        <is>
          <t>반출량</t>
        </is>
      </c>
      <c r="T11" s="270" t="n"/>
      <c r="U11" s="270" t="n"/>
      <c r="V11" s="271" t="n"/>
      <c r="W11" s="282" t="inlineStr">
        <is>
          <t>누계</t>
        </is>
      </c>
      <c r="X11" s="270" t="n"/>
      <c r="Y11" s="270" t="n"/>
      <c r="Z11" s="271" t="n"/>
    </row>
    <row r="12" ht="21.9" customHeight="1" s="251" thickTop="1">
      <c r="A12" s="142" t="inlineStr">
        <is>
          <t>탄산암모늄</t>
        </is>
      </c>
      <c r="B12" s="265" t="n"/>
      <c r="C12" s="310">
        <f>'3'!I12</f>
        <v/>
      </c>
      <c r="D12" s="265" t="n"/>
      <c r="E12" s="105" t="n">
        <v>0</v>
      </c>
      <c r="F12" s="265" t="n"/>
      <c r="G12" s="105" t="n">
        <v>4682</v>
      </c>
      <c r="H12" s="265" t="n"/>
      <c r="I12" s="164">
        <f>C12+E12-G12</f>
        <v/>
      </c>
      <c r="J12" s="283" t="n"/>
      <c r="K12" s="105">
        <f>'3'!K12+E12</f>
        <v/>
      </c>
      <c r="L12" s="265" t="n"/>
      <c r="M12" s="105">
        <f>'3'!M12+'4'!G12</f>
        <v/>
      </c>
      <c r="N12" s="265" t="n"/>
      <c r="O12" s="1" t="n"/>
      <c r="P12" s="149" t="inlineStr">
        <is>
          <t xml:space="preserve">
비산재
</t>
        </is>
      </c>
      <c r="R12" s="254" t="n"/>
      <c r="S12" s="284" t="n">
        <v>26.29</v>
      </c>
      <c r="T12" s="285" t="n"/>
      <c r="U12" s="285" t="n"/>
      <c r="V12" s="285" t="n"/>
      <c r="W12" s="286">
        <f>'3'!W12+'4'!S12</f>
        <v/>
      </c>
      <c r="X12" s="285" t="n"/>
      <c r="Y12" s="285" t="n"/>
      <c r="Z12" s="287" t="n"/>
    </row>
    <row r="13" ht="21.9" customHeight="1" s="251">
      <c r="A13" s="104" t="inlineStr">
        <is>
          <t>청관제</t>
        </is>
      </c>
      <c r="B13" s="279" t="n"/>
      <c r="C13" s="310">
        <f>'3'!I13</f>
        <v/>
      </c>
      <c r="D13" s="265" t="n"/>
      <c r="E13" s="104" t="n">
        <v>0</v>
      </c>
      <c r="F13" s="279" t="n"/>
      <c r="G13" s="104" t="n">
        <v>80</v>
      </c>
      <c r="H13" s="279" t="n"/>
      <c r="I13" s="288">
        <f>C13+E13-G13</f>
        <v/>
      </c>
      <c r="J13" s="275" t="n"/>
      <c r="K13" s="288">
        <f>'3'!K13+E13</f>
        <v/>
      </c>
      <c r="L13" s="275" t="n"/>
      <c r="M13" s="288">
        <f>'3'!M13+'4'!G13</f>
        <v/>
      </c>
      <c r="N13" s="275" t="n"/>
      <c r="O13" s="1" t="n"/>
      <c r="P13" s="264" t="n"/>
      <c r="Q13" s="272" t="n"/>
      <c r="R13" s="265" t="n"/>
      <c r="S13" s="289" t="n"/>
      <c r="T13" s="290" t="n"/>
      <c r="U13" s="290" t="n"/>
      <c r="V13" s="290" t="n"/>
      <c r="W13" s="264" t="n"/>
      <c r="X13" s="272" t="n"/>
      <c r="Y13" s="272" t="n"/>
      <c r="Z13" s="265" t="n"/>
    </row>
    <row r="14" ht="21.9" customHeight="1" s="251">
      <c r="A14" s="104" t="inlineStr">
        <is>
          <t>활성탄</t>
        </is>
      </c>
      <c r="B14" s="279" t="n"/>
      <c r="C14" s="310">
        <f>'3'!I14</f>
        <v/>
      </c>
      <c r="D14" s="265" t="n"/>
      <c r="E14" s="104" t="n">
        <v>0</v>
      </c>
      <c r="F14" s="279" t="n"/>
      <c r="G14" s="104" t="n">
        <v>120</v>
      </c>
      <c r="H14" s="279" t="n"/>
      <c r="I14" s="288">
        <f>C14+E14-G14</f>
        <v/>
      </c>
      <c r="J14" s="275" t="n"/>
      <c r="K14" s="288">
        <f>'3'!K14+E14</f>
        <v/>
      </c>
      <c r="L14" s="275" t="n"/>
      <c r="M14" s="288">
        <f>'3'!M14+'4'!G14</f>
        <v/>
      </c>
      <c r="N14" s="275" t="n"/>
      <c r="O14" s="1" t="n"/>
      <c r="P14" s="104" t="inlineStr">
        <is>
          <t>바닥재</t>
        </is>
      </c>
      <c r="Q14" s="291" t="n"/>
      <c r="R14" s="292" t="n"/>
      <c r="S14" s="293" t="n">
        <v>22.74</v>
      </c>
      <c r="T14" s="291" t="n"/>
      <c r="U14" s="291" t="n"/>
      <c r="V14" s="291" t="n"/>
      <c r="W14" s="311">
        <f>'3'!W14+'4'!S14</f>
        <v/>
      </c>
      <c r="X14" s="291" t="n"/>
      <c r="Y14" s="291" t="n"/>
      <c r="Z14" s="295" t="n"/>
    </row>
    <row r="15" ht="21.9" customHeight="1" s="251">
      <c r="A15" s="104" t="inlineStr">
        <is>
          <t>가성소다</t>
        </is>
      </c>
      <c r="B15" s="279" t="n"/>
      <c r="C15" s="310">
        <f>'3'!I15</f>
        <v/>
      </c>
      <c r="D15" s="265" t="n"/>
      <c r="E15" s="104" t="n">
        <v>0</v>
      </c>
      <c r="F15" s="279" t="n"/>
      <c r="G15" s="104" t="n">
        <v>35</v>
      </c>
      <c r="H15" s="279" t="n"/>
      <c r="I15" s="288">
        <f>C15+E15-G15</f>
        <v/>
      </c>
      <c r="J15" s="275" t="n"/>
      <c r="K15" s="288">
        <f>'3'!K15+E15</f>
        <v/>
      </c>
      <c r="L15" s="275" t="n"/>
      <c r="M15" s="288">
        <f>'3'!M15+'4'!G15</f>
        <v/>
      </c>
      <c r="N15" s="275" t="n"/>
      <c r="O15" s="1" t="n"/>
      <c r="P15" s="296" t="n"/>
      <c r="Q15" s="290" t="n"/>
      <c r="R15" s="297" t="n"/>
      <c r="S15" s="296" t="n"/>
      <c r="T15" s="290" t="n"/>
      <c r="U15" s="290" t="n"/>
      <c r="V15" s="290" t="n"/>
      <c r="W15" s="298" t="n"/>
      <c r="X15" s="272" t="n"/>
      <c r="Y15" s="272" t="n"/>
      <c r="Z15" s="265" t="n"/>
    </row>
    <row r="16" ht="21.9" customHeight="1" s="251">
      <c r="A16" s="104" t="inlineStr">
        <is>
          <t>소석회</t>
        </is>
      </c>
      <c r="B16" s="279" t="n"/>
      <c r="C16" s="310">
        <f>'3'!I16</f>
        <v/>
      </c>
      <c r="D16" s="265" t="n"/>
      <c r="E16" s="104" t="n">
        <v>0</v>
      </c>
      <c r="F16" s="279" t="n"/>
      <c r="G16" s="104" t="n">
        <v>20</v>
      </c>
      <c r="H16" s="279" t="n"/>
      <c r="I16" s="288">
        <f>C16+E16-G16</f>
        <v/>
      </c>
      <c r="J16" s="275" t="n"/>
      <c r="K16" s="288">
        <f>'3'!K16+E16</f>
        <v/>
      </c>
      <c r="L16" s="275" t="n"/>
      <c r="M16" s="288">
        <f>'3'!M16+'4'!G16</f>
        <v/>
      </c>
      <c r="N16" s="275" t="n"/>
      <c r="O16" s="1" t="n"/>
      <c r="P16" s="162" t="inlineStr">
        <is>
          <t>구분</t>
        </is>
      </c>
      <c r="Q16" s="291" t="n"/>
      <c r="R16" s="292" t="n"/>
      <c r="S16" s="299" t="inlineStr">
        <is>
          <t>주간</t>
        </is>
      </c>
      <c r="T16" s="292" t="n"/>
      <c r="U16" s="299" t="inlineStr">
        <is>
          <t>야간</t>
        </is>
      </c>
      <c r="V16" s="292" t="n"/>
      <c r="W16" s="299" t="inlineStr">
        <is>
          <t>합계</t>
        </is>
      </c>
      <c r="X16" s="292" t="n"/>
      <c r="Y16" s="299" t="inlineStr">
        <is>
          <t>누계</t>
        </is>
      </c>
      <c r="Z16" s="292" t="n"/>
    </row>
    <row r="17" ht="21.9" customHeight="1" s="251" thickBot="1">
      <c r="A17" s="104" t="inlineStr">
        <is>
          <t>소 금</t>
        </is>
      </c>
      <c r="B17" s="279" t="n"/>
      <c r="C17" s="310">
        <f>'3'!I17</f>
        <v/>
      </c>
      <c r="D17" s="265" t="n"/>
      <c r="E17" s="104" t="n">
        <v>0</v>
      </c>
      <c r="F17" s="279" t="n"/>
      <c r="G17" s="104" t="n">
        <v>200</v>
      </c>
      <c r="H17" s="279" t="n"/>
      <c r="I17" s="288">
        <f>C17+E17-G17</f>
        <v/>
      </c>
      <c r="J17" s="275" t="n"/>
      <c r="K17" s="288">
        <f>'3'!K17+E17</f>
        <v/>
      </c>
      <c r="L17" s="275" t="n"/>
      <c r="M17" s="288">
        <f>'3'!M17+'4'!G17</f>
        <v/>
      </c>
      <c r="N17" s="275" t="n"/>
      <c r="O17" s="1" t="n"/>
      <c r="P17" s="296" t="n"/>
      <c r="Q17" s="290" t="n"/>
      <c r="R17" s="297" t="n"/>
      <c r="S17" s="300" t="n"/>
      <c r="T17" s="301" t="n"/>
      <c r="U17" s="300" t="n"/>
      <c r="V17" s="301" t="n"/>
      <c r="W17" s="300" t="n"/>
      <c r="X17" s="301" t="n"/>
      <c r="Y17" s="300" t="n"/>
      <c r="Z17" s="301" t="n"/>
      <c r="AE17" s="302" t="n"/>
    </row>
    <row r="18" ht="21.9" customHeight="1" s="251" thickTop="1">
      <c r="A18" s="104" t="inlineStr">
        <is>
          <t>경 유</t>
        </is>
      </c>
      <c r="B18" s="279" t="n"/>
      <c r="C18" s="310">
        <f>'3'!I18</f>
        <v/>
      </c>
      <c r="D18" s="265" t="n"/>
      <c r="E18" s="104" t="n">
        <v>0</v>
      </c>
      <c r="F18" s="279" t="n"/>
      <c r="G18" s="104" t="n">
        <v>0</v>
      </c>
      <c r="H18" s="279" t="n"/>
      <c r="I18" s="288">
        <f>C18+E18-G18</f>
        <v/>
      </c>
      <c r="J18" s="275" t="n"/>
      <c r="K18" s="288">
        <f>'3'!K18+E18</f>
        <v/>
      </c>
      <c r="L18" s="275" t="n"/>
      <c r="M18" s="288">
        <f>'3'!M18+'4'!G18</f>
        <v/>
      </c>
      <c r="N18" s="275" t="n"/>
      <c r="O18" s="1" t="n"/>
      <c r="P18" s="164" t="inlineStr">
        <is>
          <t>불연물</t>
        </is>
      </c>
      <c r="Q18" s="285" t="n"/>
      <c r="R18" s="287" t="n"/>
      <c r="S18" s="303" t="n">
        <v>1</v>
      </c>
      <c r="T18" s="287" t="n"/>
      <c r="U18" s="303" t="n">
        <v>2</v>
      </c>
      <c r="V18" s="287" t="n"/>
      <c r="W18" s="303">
        <f>S18+U18</f>
        <v/>
      </c>
      <c r="X18" s="287" t="n"/>
      <c r="Y18" s="303">
        <f>'3'!Y18+'4'!W18</f>
        <v/>
      </c>
      <c r="Z18" s="287" t="n"/>
    </row>
    <row r="19" ht="21.9" customHeight="1" s="251">
      <c r="A19" s="153" t="inlineStr">
        <is>
          <t>SRF</t>
        </is>
      </c>
      <c r="B19" s="279" t="n"/>
      <c r="C19" s="310">
        <f>'3'!I19</f>
        <v/>
      </c>
      <c r="D19" s="265" t="n"/>
      <c r="E19" s="154" t="n">
        <v>62100</v>
      </c>
      <c r="F19" s="279" t="n"/>
      <c r="G19" s="154">
        <f>D7</f>
        <v/>
      </c>
      <c r="H19" s="279" t="n"/>
      <c r="I19" s="273">
        <f>C19+E19-G19</f>
        <v/>
      </c>
      <c r="J19" s="275" t="n"/>
      <c r="K19" s="273">
        <f>'3'!K19+E19</f>
        <v/>
      </c>
      <c r="L19" s="275" t="n"/>
      <c r="M19" s="273">
        <f>'3'!M19+'4'!G19</f>
        <v/>
      </c>
      <c r="N19" s="275" t="n"/>
      <c r="O19" s="1" t="n"/>
      <c r="P19" s="256" t="n"/>
      <c r="R19" s="254" t="n"/>
      <c r="S19" s="256" t="n"/>
      <c r="T19" s="254" t="n"/>
      <c r="U19" s="256" t="n"/>
      <c r="V19" s="254" t="n"/>
      <c r="W19" s="256" t="n"/>
      <c r="X19" s="254" t="n"/>
      <c r="Y19" s="256" t="n"/>
      <c r="Z19" s="254" t="n"/>
    </row>
    <row r="20" ht="21.9" customHeight="1" s="251">
      <c r="A20" s="104" t="inlineStr">
        <is>
          <t>규 사</t>
        </is>
      </c>
      <c r="B20" s="279" t="n"/>
      <c r="C20" s="310">
        <f>'3'!I20</f>
        <v/>
      </c>
      <c r="D20" s="265" t="n"/>
      <c r="E20" s="288" t="n"/>
      <c r="F20" s="275" t="n"/>
      <c r="G20" s="104" t="n"/>
      <c r="H20" s="279" t="n"/>
      <c r="I20" s="288" t="inlineStr">
        <is>
          <t>-</t>
        </is>
      </c>
      <c r="J20" s="275" t="n"/>
      <c r="K20" s="105">
        <f>'3'!K20+E20</f>
        <v/>
      </c>
      <c r="L20" s="265" t="n"/>
      <c r="M20" s="105">
        <f>G20</f>
        <v/>
      </c>
      <c r="N20" s="265" t="n"/>
      <c r="O20" s="1" t="n"/>
      <c r="P20" s="264" t="n"/>
      <c r="Q20" s="272" t="n"/>
      <c r="R20" s="265" t="n"/>
      <c r="S20" s="264" t="n"/>
      <c r="T20" s="265" t="n"/>
      <c r="U20" s="264" t="n"/>
      <c r="V20" s="265" t="n"/>
      <c r="W20" s="264" t="n"/>
      <c r="X20" s="265" t="n"/>
      <c r="Y20" s="264" t="n"/>
      <c r="Z20" s="265" t="n"/>
    </row>
    <row r="21" ht="12" customHeight="1" s="25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 t="inlineStr">
        <is>
          <t>5. 전력 사용량 (KWH)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10" t="inlineStr">
        <is>
          <t>6. 유틸리티 사용현황 (㎥)</t>
        </is>
      </c>
      <c r="Q22" s="290" t="n"/>
      <c r="R22" s="290" t="n"/>
      <c r="S22" s="290" t="n"/>
      <c r="T22" s="290" t="n"/>
      <c r="U22" s="290" t="n"/>
      <c r="V22" s="1" t="n"/>
      <c r="W22" s="1" t="n"/>
      <c r="X22" s="1" t="n"/>
      <c r="Y22" s="1" t="n"/>
      <c r="Z22" s="1" t="n"/>
    </row>
    <row r="23" ht="28.5" customHeight="1" s="251" thickBot="1">
      <c r="A23" s="136" t="inlineStr">
        <is>
          <t>구 분</t>
        </is>
      </c>
      <c r="B23" s="270" t="n"/>
      <c r="C23" s="271" t="n"/>
      <c r="D23" s="136" t="inlineStr">
        <is>
          <t>전일지침</t>
        </is>
      </c>
      <c r="E23" s="270" t="n"/>
      <c r="F23" s="271" t="n"/>
      <c r="G23" s="136" t="inlineStr">
        <is>
          <t>금일지침</t>
        </is>
      </c>
      <c r="H23" s="270" t="n"/>
      <c r="I23" s="271" t="n"/>
      <c r="J23" s="136" t="inlineStr">
        <is>
          <t>사용량</t>
        </is>
      </c>
      <c r="K23" s="270" t="n"/>
      <c r="L23" s="271" t="n"/>
      <c r="M23" s="136" t="inlineStr">
        <is>
          <t>누 계</t>
        </is>
      </c>
      <c r="N23" s="271" t="n"/>
      <c r="P23" s="136" t="inlineStr">
        <is>
          <t>구 분</t>
        </is>
      </c>
      <c r="Q23" s="270" t="n"/>
      <c r="R23" s="271" t="n"/>
      <c r="S23" s="136" t="inlineStr">
        <is>
          <t>전일 사용량</t>
        </is>
      </c>
      <c r="T23" s="270" t="n"/>
      <c r="U23" s="271" t="n"/>
      <c r="V23" s="136" t="inlineStr">
        <is>
          <t>금일 사용량</t>
        </is>
      </c>
      <c r="W23" s="270" t="n"/>
      <c r="X23" s="271" t="n"/>
      <c r="Y23" s="136" t="inlineStr">
        <is>
          <t>누 계</t>
        </is>
      </c>
      <c r="Z23" s="271" t="n"/>
    </row>
    <row r="24" ht="21.9" customHeight="1" s="251" thickTop="1">
      <c r="A24" s="105" t="inlineStr">
        <is>
          <t>MAIN</t>
        </is>
      </c>
      <c r="B24" s="272" t="n"/>
      <c r="C24" s="265" t="n"/>
      <c r="D24" s="288">
        <f>'3'!G24</f>
        <v/>
      </c>
      <c r="E24" s="274" t="n"/>
      <c r="F24" s="275" t="n"/>
      <c r="G24" s="164" t="n">
        <v>3777062</v>
      </c>
      <c r="H24" s="304" t="n"/>
      <c r="I24" s="283" t="n"/>
      <c r="J24" s="164">
        <f>G24-D24</f>
        <v/>
      </c>
      <c r="K24" s="304" t="n"/>
      <c r="L24" s="283" t="n"/>
      <c r="M24" s="164">
        <f>'3'!M24+'4'!J24</f>
        <v/>
      </c>
      <c r="N24" s="283" t="n"/>
      <c r="P24" s="105" t="inlineStr">
        <is>
          <t>재이용수</t>
        </is>
      </c>
      <c r="Q24" s="272" t="n"/>
      <c r="R24" s="265" t="n"/>
      <c r="S24" s="164">
        <f>'3'!V24</f>
        <v/>
      </c>
      <c r="T24" s="304" t="n"/>
      <c r="U24" s="283" t="n"/>
      <c r="V24" s="312" t="n">
        <v>428.1</v>
      </c>
      <c r="W24" s="285" t="n"/>
      <c r="X24" s="313" t="n"/>
      <c r="Y24" s="105">
        <f>'3'!Y24+V24</f>
        <v/>
      </c>
      <c r="Z24" s="265" t="n"/>
    </row>
    <row r="25" ht="21.9" customHeight="1" s="251">
      <c r="A25" s="104" t="inlineStr">
        <is>
          <t>ASH 저장조</t>
        </is>
      </c>
      <c r="B25" s="278" t="n"/>
      <c r="C25" s="279" t="n"/>
      <c r="D25" s="288">
        <f>'3'!G25</f>
        <v/>
      </c>
      <c r="E25" s="274" t="n"/>
      <c r="F25" s="275" t="n"/>
      <c r="G25" s="104" t="n">
        <v>32922.4</v>
      </c>
      <c r="H25" s="278" t="n"/>
      <c r="I25" s="279" t="n"/>
      <c r="J25" s="104">
        <f>G25-D25</f>
        <v/>
      </c>
      <c r="K25" s="278" t="n"/>
      <c r="L25" s="279" t="n"/>
      <c r="M25" s="288">
        <f>'3'!M25+'4'!J25</f>
        <v/>
      </c>
      <c r="N25" s="275" t="n"/>
      <c r="P25" s="104" t="inlineStr">
        <is>
          <t>복류수</t>
        </is>
      </c>
      <c r="Q25" s="278" t="n"/>
      <c r="R25" s="279" t="n"/>
      <c r="S25" s="288">
        <f>'3'!V25</f>
        <v/>
      </c>
      <c r="T25" s="274" t="n"/>
      <c r="U25" s="275" t="n"/>
      <c r="V25" s="314" t="n">
        <v>57.3</v>
      </c>
      <c r="W25" s="291" t="n"/>
      <c r="X25" s="292" t="n"/>
      <c r="Y25" s="316">
        <f>'3'!Y25+V25</f>
        <v/>
      </c>
      <c r="Z25" s="275" t="n"/>
    </row>
    <row r="26" ht="21.9" customHeight="1" s="251">
      <c r="A26" s="104" t="inlineStr">
        <is>
          <t>BAG FILTER</t>
        </is>
      </c>
      <c r="B26" s="278" t="n"/>
      <c r="C26" s="279" t="n"/>
      <c r="D26" s="288">
        <f>'3'!G26</f>
        <v/>
      </c>
      <c r="E26" s="274" t="n"/>
      <c r="F26" s="275" t="n"/>
      <c r="G26" s="104" t="n">
        <v>24390</v>
      </c>
      <c r="H26" s="278" t="n"/>
      <c r="I26" s="279" t="n"/>
      <c r="J26" s="104">
        <f>G26-D26</f>
        <v/>
      </c>
      <c r="K26" s="278" t="n"/>
      <c r="L26" s="279" t="n"/>
      <c r="M26" s="288">
        <f>'3'!M26+'4'!J26</f>
        <v/>
      </c>
      <c r="N26" s="275" t="n"/>
      <c r="P26" s="104" t="inlineStr">
        <is>
          <t>응축수</t>
        </is>
      </c>
      <c r="Q26" s="278" t="n"/>
      <c r="R26" s="279" t="n"/>
      <c r="S26" s="288">
        <f>'3'!V26</f>
        <v/>
      </c>
      <c r="T26" s="274" t="n"/>
      <c r="U26" s="275" t="n"/>
      <c r="V26" s="288" t="n">
        <v>430.3</v>
      </c>
      <c r="W26" s="274" t="n"/>
      <c r="X26" s="275" t="n"/>
      <c r="Y26" s="288">
        <f>'3'!Y26+V26</f>
        <v/>
      </c>
      <c r="Z26" s="275" t="n"/>
    </row>
    <row r="27" ht="21.9" customHeight="1" s="251">
      <c r="A27" s="104" t="inlineStr">
        <is>
          <t>SCRUBBER</t>
        </is>
      </c>
      <c r="B27" s="278" t="n"/>
      <c r="C27" s="279" t="n"/>
      <c r="D27" s="288">
        <f>'3'!G27</f>
        <v/>
      </c>
      <c r="E27" s="274" t="n"/>
      <c r="F27" s="275" t="n"/>
      <c r="G27" s="104" t="n">
        <v>1356000</v>
      </c>
      <c r="H27" s="278" t="n"/>
      <c r="I27" s="279" t="n"/>
      <c r="J27" s="104">
        <f>G27-D27</f>
        <v/>
      </c>
      <c r="K27" s="278" t="n"/>
      <c r="L27" s="279" t="n"/>
      <c r="M27" s="288">
        <f>'3'!M27+'4'!J27</f>
        <v/>
      </c>
      <c r="N27" s="275" t="n"/>
      <c r="P27" s="104" t="inlineStr">
        <is>
          <t>보일러 급수</t>
        </is>
      </c>
      <c r="Q27" s="278" t="n"/>
      <c r="R27" s="279" t="n"/>
      <c r="S27" s="288">
        <f>'3'!V27</f>
        <v/>
      </c>
      <c r="T27" s="274" t="n"/>
      <c r="U27" s="275" t="n"/>
      <c r="V27" s="315" t="n">
        <v>480.1</v>
      </c>
      <c r="X27" s="301" t="n"/>
      <c r="Y27" s="288">
        <f>'3'!Y27+V27</f>
        <v/>
      </c>
      <c r="Z27" s="275" t="n"/>
    </row>
    <row r="28" ht="21.9" customHeight="1" s="251">
      <c r="A28" s="104" t="inlineStr">
        <is>
          <t>활성탄 공급</t>
        </is>
      </c>
      <c r="B28" s="278" t="n"/>
      <c r="C28" s="279" t="n"/>
      <c r="D28" s="288">
        <f>'3'!G28</f>
        <v/>
      </c>
      <c r="E28" s="274" t="n"/>
      <c r="F28" s="275" t="n"/>
      <c r="G28" s="104" t="n">
        <v>5204</v>
      </c>
      <c r="H28" s="278" t="n"/>
      <c r="I28" s="279" t="n"/>
      <c r="J28" s="104">
        <f>G28-D28</f>
        <v/>
      </c>
      <c r="K28" s="278" t="n"/>
      <c r="L28" s="279" t="n"/>
      <c r="M28" s="288">
        <f>'3'!M28+'4'!J28</f>
        <v/>
      </c>
      <c r="N28" s="275" t="n"/>
      <c r="P28" s="104" t="inlineStr">
        <is>
          <t>폐 수</t>
        </is>
      </c>
      <c r="Q28" s="278" t="n"/>
      <c r="R28" s="279" t="n"/>
      <c r="S28" s="288">
        <f>'3'!V28</f>
        <v/>
      </c>
      <c r="T28" s="274" t="n"/>
      <c r="U28" s="275" t="n"/>
      <c r="V28" s="314" t="n">
        <v>0</v>
      </c>
      <c r="W28" s="291" t="n"/>
      <c r="X28" s="292" t="n"/>
      <c r="Y28" s="288">
        <f>'3'!Y28+V28</f>
        <v/>
      </c>
      <c r="Z28" s="275" t="n"/>
    </row>
    <row r="29" ht="21.9" customHeight="1" s="251">
      <c r="A29" s="104" t="inlineStr">
        <is>
          <t>소석회 공급</t>
        </is>
      </c>
      <c r="B29" s="278" t="n"/>
      <c r="C29" s="279" t="n"/>
      <c r="D29" s="288">
        <f>'3'!G29</f>
        <v/>
      </c>
      <c r="E29" s="274" t="n"/>
      <c r="F29" s="275" t="n"/>
      <c r="G29" s="104" t="n">
        <v>66200</v>
      </c>
      <c r="H29" s="278" t="n"/>
      <c r="I29" s="279" t="n"/>
      <c r="J29" s="104">
        <f>G29-D29</f>
        <v/>
      </c>
      <c r="K29" s="278" t="n"/>
      <c r="L29" s="279" t="n"/>
      <c r="M29" s="288">
        <f>'3'!M29+'4'!J29</f>
        <v/>
      </c>
      <c r="N29" s="275" t="n"/>
      <c r="P29" s="104" t="inlineStr">
        <is>
          <t>연 수</t>
        </is>
      </c>
      <c r="Q29" s="278" t="n"/>
      <c r="R29" s="279" t="n"/>
      <c r="S29" s="288">
        <f>'3'!V29</f>
        <v/>
      </c>
      <c r="T29" s="274" t="n"/>
      <c r="U29" s="275" t="n"/>
      <c r="V29" s="288" t="n">
        <v>60.8</v>
      </c>
      <c r="W29" s="274" t="n"/>
      <c r="X29" s="275" t="n"/>
      <c r="Y29" s="288">
        <f>'3'!Y29+V29</f>
        <v/>
      </c>
      <c r="Z29" s="275" t="n"/>
    </row>
    <row r="30" ht="21.9" customHeight="1" s="251">
      <c r="A30" s="104" t="inlineStr">
        <is>
          <t>요소수 공급</t>
        </is>
      </c>
      <c r="B30" s="278" t="n"/>
      <c r="C30" s="279" t="n"/>
      <c r="D30" s="288">
        <f>'3'!G30</f>
        <v/>
      </c>
      <c r="E30" s="274" t="n"/>
      <c r="F30" s="275" t="n"/>
      <c r="G30" s="104" t="n">
        <v>53280</v>
      </c>
      <c r="H30" s="278" t="n"/>
      <c r="I30" s="279" t="n"/>
      <c r="J30" s="104">
        <f>G30-D30</f>
        <v/>
      </c>
      <c r="K30" s="278" t="n"/>
      <c r="L30" s="279" t="n"/>
      <c r="M30" s="288">
        <f>'3'!M30+'4'!J30</f>
        <v/>
      </c>
      <c r="N30" s="275" t="n"/>
      <c r="P30" s="104" t="inlineStr">
        <is>
          <t>계</t>
        </is>
      </c>
      <c r="Q30" s="278" t="n"/>
      <c r="R30" s="279" t="n"/>
      <c r="S30" s="104">
        <f>SUM(S24:U29)</f>
        <v/>
      </c>
      <c r="T30" s="278" t="n"/>
      <c r="U30" s="279" t="n"/>
      <c r="V30" s="288" t="n"/>
      <c r="W30" s="274" t="n"/>
      <c r="X30" s="275" t="n"/>
      <c r="Y30" s="288">
        <f>'3'!Y30+V30</f>
        <v/>
      </c>
      <c r="Z30" s="275" t="n"/>
    </row>
    <row r="31" ht="21.9" customHeight="1" s="251">
      <c r="A31" s="104" t="inlineStr">
        <is>
          <t xml:space="preserve">F.D </t>
        </is>
      </c>
      <c r="B31" s="278" t="n"/>
      <c r="C31" s="279" t="n"/>
      <c r="D31" s="288">
        <f>'3'!G31</f>
        <v/>
      </c>
      <c r="E31" s="274" t="n"/>
      <c r="F31" s="275" t="n"/>
      <c r="G31" s="288" t="n">
        <v>6237766</v>
      </c>
      <c r="H31" s="274" t="n"/>
      <c r="I31" s="275" t="n"/>
      <c r="J31" s="288">
        <f>G31-D31</f>
        <v/>
      </c>
      <c r="K31" s="274" t="n"/>
      <c r="L31" s="275" t="n"/>
      <c r="M31" s="288">
        <f>'3'!M31+'4'!J31</f>
        <v/>
      </c>
      <c r="N31" s="275" t="n"/>
      <c r="P31" s="172" t="n"/>
      <c r="Q31" s="172" t="n"/>
      <c r="R31" s="172" t="n"/>
      <c r="S31" s="172" t="n"/>
      <c r="T31" s="172" t="n"/>
      <c r="U31" s="172" t="n"/>
      <c r="V31" s="172" t="n"/>
      <c r="W31" s="172" t="n"/>
      <c r="X31" s="172" t="n"/>
      <c r="Y31" s="172" t="n"/>
      <c r="Z31" s="172" t="n"/>
    </row>
    <row r="32" ht="21.9" customHeight="1" s="251">
      <c r="A32" s="104" t="inlineStr">
        <is>
          <t>활성탄 BAG</t>
        </is>
      </c>
      <c r="B32" s="278" t="n"/>
      <c r="C32" s="279" t="n"/>
      <c r="D32" s="288">
        <f>'3'!G32</f>
        <v/>
      </c>
      <c r="E32" s="274" t="n"/>
      <c r="F32" s="275" t="n"/>
      <c r="G32" s="288" t="n">
        <v>1.6</v>
      </c>
      <c r="H32" s="274" t="n"/>
      <c r="I32" s="275" t="n"/>
      <c r="J32" s="288">
        <f>G32-D32</f>
        <v/>
      </c>
      <c r="K32" s="274" t="n"/>
      <c r="L32" s="275" t="n"/>
      <c r="M32" s="288">
        <f>'3'!M32+'4'!J32</f>
        <v/>
      </c>
      <c r="N32" s="275" t="n"/>
      <c r="P32" s="172" t="n"/>
      <c r="Q32" s="172" t="n"/>
      <c r="R32" s="172" t="n"/>
      <c r="S32" s="172" t="n"/>
      <c r="T32" s="172" t="n"/>
      <c r="U32" s="172" t="n"/>
      <c r="V32" s="172" t="n"/>
      <c r="W32" s="172" t="n"/>
      <c r="X32" s="172" t="n"/>
      <c r="Y32" s="172" t="n"/>
      <c r="Z32" s="172" t="n"/>
    </row>
    <row r="33" ht="21.9" customHeight="1" s="251">
      <c r="A33" s="104" t="inlineStr">
        <is>
          <t>소석회 BAG</t>
        </is>
      </c>
      <c r="B33" s="278" t="n"/>
      <c r="C33" s="279" t="n"/>
      <c r="D33" s="288">
        <f>'3'!G33</f>
        <v/>
      </c>
      <c r="E33" s="274" t="n"/>
      <c r="F33" s="275" t="n"/>
      <c r="G33" s="288" t="n">
        <v>0</v>
      </c>
      <c r="H33" s="274" t="n"/>
      <c r="I33" s="275" t="n"/>
      <c r="J33" s="288">
        <f>G33-D33</f>
        <v/>
      </c>
      <c r="K33" s="274" t="n"/>
      <c r="L33" s="275" t="n"/>
      <c r="M33" s="288">
        <f>'3'!M33+'4'!J33</f>
        <v/>
      </c>
      <c r="N33" s="275" t="n"/>
      <c r="P33" s="172" t="n"/>
      <c r="Q33" s="172" t="n"/>
      <c r="R33" s="172" t="n"/>
      <c r="S33" s="172" t="n"/>
      <c r="T33" s="172" t="n"/>
      <c r="U33" s="172" t="n"/>
      <c r="V33" s="172" t="n"/>
      <c r="W33" s="172" t="n"/>
      <c r="X33" s="172" t="n"/>
      <c r="Y33" s="172" t="n"/>
      <c r="Z33" s="172" t="n"/>
    </row>
  </sheetData>
  <mergeCells count="217">
    <mergeCell ref="V24:X24"/>
    <mergeCell ref="A15:B15"/>
    <mergeCell ref="P27:R27"/>
    <mergeCell ref="S23:U23"/>
    <mergeCell ref="C15:D15"/>
    <mergeCell ref="J27:L27"/>
    <mergeCell ref="S14:V15"/>
    <mergeCell ref="Y24:Z24"/>
    <mergeCell ref="U7:W7"/>
    <mergeCell ref="A26:C26"/>
    <mergeCell ref="G24:I24"/>
    <mergeCell ref="J25:L25"/>
    <mergeCell ref="D28:F28"/>
    <mergeCell ref="I16:J16"/>
    <mergeCell ref="A23:C23"/>
    <mergeCell ref="S24:U24"/>
    <mergeCell ref="P6:Q6"/>
    <mergeCell ref="P28:R28"/>
    <mergeCell ref="W1:X1"/>
    <mergeCell ref="Y1:Z1"/>
    <mergeCell ref="G26:I26"/>
    <mergeCell ref="S16:T17"/>
    <mergeCell ref="D30:F30"/>
    <mergeCell ref="G18:H18"/>
    <mergeCell ref="U8:W8"/>
    <mergeCell ref="B1:C1"/>
    <mergeCell ref="I18:J18"/>
    <mergeCell ref="H3:S3"/>
    <mergeCell ref="M16:N16"/>
    <mergeCell ref="P30:R30"/>
    <mergeCell ref="M25:N25"/>
    <mergeCell ref="D29:F29"/>
    <mergeCell ref="D23:F23"/>
    <mergeCell ref="Y25:Z25"/>
    <mergeCell ref="M18:N18"/>
    <mergeCell ref="M33:N33"/>
    <mergeCell ref="A17:B17"/>
    <mergeCell ref="S25:U25"/>
    <mergeCell ref="C17:D17"/>
    <mergeCell ref="U18:V20"/>
    <mergeCell ref="J29:L29"/>
    <mergeCell ref="W18:X20"/>
    <mergeCell ref="M17:N17"/>
    <mergeCell ref="G20:H20"/>
    <mergeCell ref="I20:J20"/>
    <mergeCell ref="S27:U27"/>
    <mergeCell ref="V23:X23"/>
    <mergeCell ref="A19:B19"/>
    <mergeCell ref="C19:D19"/>
    <mergeCell ref="Y2:Z3"/>
    <mergeCell ref="A6:C6"/>
    <mergeCell ref="Y18:Z20"/>
    <mergeCell ref="P22:U22"/>
    <mergeCell ref="M19:N19"/>
    <mergeCell ref="I13:J13"/>
    <mergeCell ref="K13:L13"/>
    <mergeCell ref="X7:Z7"/>
    <mergeCell ref="E12:F12"/>
    <mergeCell ref="J24:L24"/>
    <mergeCell ref="G12:H12"/>
    <mergeCell ref="G28:I28"/>
    <mergeCell ref="D27:F27"/>
    <mergeCell ref="G6:I6"/>
    <mergeCell ref="I15:J15"/>
    <mergeCell ref="A11:B11"/>
    <mergeCell ref="K15:L15"/>
    <mergeCell ref="S28:U28"/>
    <mergeCell ref="C14:D14"/>
    <mergeCell ref="E14:F14"/>
    <mergeCell ref="J26:L26"/>
    <mergeCell ref="G30:I30"/>
    <mergeCell ref="J7:L7"/>
    <mergeCell ref="V27:X27"/>
    <mergeCell ref="A32:C32"/>
    <mergeCell ref="A29:C29"/>
    <mergeCell ref="D25:F25"/>
    <mergeCell ref="V25:X25"/>
    <mergeCell ref="Y26:Z26"/>
    <mergeCell ref="M13:N13"/>
    <mergeCell ref="G32:I32"/>
    <mergeCell ref="J33:L33"/>
    <mergeCell ref="W14:Z15"/>
    <mergeCell ref="A31:C31"/>
    <mergeCell ref="S26:U26"/>
    <mergeCell ref="M27:N27"/>
    <mergeCell ref="I17:J17"/>
    <mergeCell ref="A24:C24"/>
    <mergeCell ref="Y27:Z27"/>
    <mergeCell ref="K17:L17"/>
    <mergeCell ref="P29:R29"/>
    <mergeCell ref="M24:N24"/>
    <mergeCell ref="E16:F16"/>
    <mergeCell ref="J28:L28"/>
    <mergeCell ref="G27:I27"/>
    <mergeCell ref="G16:H16"/>
    <mergeCell ref="D31:F31"/>
    <mergeCell ref="U2:V3"/>
    <mergeCell ref="I19:J19"/>
    <mergeCell ref="U1:V1"/>
    <mergeCell ref="G8:I8"/>
    <mergeCell ref="K19:L19"/>
    <mergeCell ref="C18:D18"/>
    <mergeCell ref="A7:C7"/>
    <mergeCell ref="V29:X29"/>
    <mergeCell ref="E18:F18"/>
    <mergeCell ref="J30:L30"/>
    <mergeCell ref="R6:T6"/>
    <mergeCell ref="K16:L16"/>
    <mergeCell ref="A25:C25"/>
    <mergeCell ref="J6:L6"/>
    <mergeCell ref="D1:E1"/>
    <mergeCell ref="D32:F32"/>
    <mergeCell ref="G11:H11"/>
    <mergeCell ref="I11:J11"/>
    <mergeCell ref="P23:R23"/>
    <mergeCell ref="W11:Z11"/>
    <mergeCell ref="D7:F7"/>
    <mergeCell ref="Y16:Z17"/>
    <mergeCell ref="S18:T20"/>
    <mergeCell ref="Y30:Z30"/>
    <mergeCell ref="C20:D20"/>
    <mergeCell ref="E20:F20"/>
    <mergeCell ref="K11:L11"/>
    <mergeCell ref="J32:L32"/>
    <mergeCell ref="M11:N11"/>
    <mergeCell ref="Y29:Z29"/>
    <mergeCell ref="H1:S2"/>
    <mergeCell ref="V26:X26"/>
    <mergeCell ref="E13:F13"/>
    <mergeCell ref="S30:U30"/>
    <mergeCell ref="G13:H13"/>
    <mergeCell ref="M31:N31"/>
    <mergeCell ref="G29:I29"/>
    <mergeCell ref="D8:F8"/>
    <mergeCell ref="D33:F33"/>
    <mergeCell ref="W12:Z13"/>
    <mergeCell ref="A12:B12"/>
    <mergeCell ref="A28:C28"/>
    <mergeCell ref="S29:U29"/>
    <mergeCell ref="A1:A3"/>
    <mergeCell ref="C12:D12"/>
    <mergeCell ref="M15:N15"/>
    <mergeCell ref="E15:F15"/>
    <mergeCell ref="M12:N12"/>
    <mergeCell ref="G15:H15"/>
    <mergeCell ref="G31:I31"/>
    <mergeCell ref="Y28:Z28"/>
    <mergeCell ref="P18:R20"/>
    <mergeCell ref="A14:B14"/>
    <mergeCell ref="J8:L8"/>
    <mergeCell ref="A30:C30"/>
    <mergeCell ref="M26:N26"/>
    <mergeCell ref="U6:W6"/>
    <mergeCell ref="P25:R25"/>
    <mergeCell ref="M29:N29"/>
    <mergeCell ref="M23:N23"/>
    <mergeCell ref="F2:G3"/>
    <mergeCell ref="G23:I23"/>
    <mergeCell ref="Y23:Z23"/>
    <mergeCell ref="U16:V17"/>
    <mergeCell ref="W16:X17"/>
    <mergeCell ref="D6:F6"/>
    <mergeCell ref="K18:L18"/>
    <mergeCell ref="P12:R13"/>
    <mergeCell ref="F1:G1"/>
    <mergeCell ref="G7:I7"/>
    <mergeCell ref="T1:T3"/>
    <mergeCell ref="V28:X28"/>
    <mergeCell ref="P11:R11"/>
    <mergeCell ref="P14:R15"/>
    <mergeCell ref="A27:C27"/>
    <mergeCell ref="V30:X30"/>
    <mergeCell ref="W2:X3"/>
    <mergeCell ref="E17:F17"/>
    <mergeCell ref="G17:H17"/>
    <mergeCell ref="G33:I33"/>
    <mergeCell ref="X6:Z6"/>
    <mergeCell ref="A33:C33"/>
    <mergeCell ref="K20:L20"/>
    <mergeCell ref="A16:B16"/>
    <mergeCell ref="C16:D16"/>
    <mergeCell ref="M20:N20"/>
    <mergeCell ref="A8:C8"/>
    <mergeCell ref="E19:F19"/>
    <mergeCell ref="P8:Q8"/>
    <mergeCell ref="J31:L31"/>
    <mergeCell ref="G19:H19"/>
    <mergeCell ref="A18:B18"/>
    <mergeCell ref="D24:F24"/>
    <mergeCell ref="G25:I25"/>
    <mergeCell ref="M30:N30"/>
    <mergeCell ref="I12:J12"/>
    <mergeCell ref="K12:L12"/>
    <mergeCell ref="P24:R24"/>
    <mergeCell ref="P7:Q7"/>
    <mergeCell ref="C11:D11"/>
    <mergeCell ref="M28:N28"/>
    <mergeCell ref="E11:F11"/>
    <mergeCell ref="J23:L23"/>
    <mergeCell ref="D26:F26"/>
    <mergeCell ref="G14:H14"/>
    <mergeCell ref="S11:V11"/>
    <mergeCell ref="I14:J14"/>
    <mergeCell ref="R8:T8"/>
    <mergeCell ref="K14:L14"/>
    <mergeCell ref="P26:R26"/>
    <mergeCell ref="P16:R17"/>
    <mergeCell ref="A20:B20"/>
    <mergeCell ref="B2:C3"/>
    <mergeCell ref="D2:E3"/>
    <mergeCell ref="M32:N32"/>
    <mergeCell ref="M14:N14"/>
    <mergeCell ref="X8:Z8"/>
    <mergeCell ref="A13:B13"/>
    <mergeCell ref="C13:D13"/>
    <mergeCell ref="R7:T7"/>
    <mergeCell ref="S12:V13"/>
  </mergeCells>
  <pageMargins left="0.7086614173228347" right="0.7086614173228347" top="0.7480314960629921" bottom="0.7480314960629921" header="0.3149606299212598" footer="0.3149606299212598"/>
  <pageSetup orientation="portrait" paperSize="9" scale="59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E33"/>
  <sheetViews>
    <sheetView zoomScaleNormal="100" zoomScaleSheetLayoutView="100" workbookViewId="0">
      <selection activeCell="AD13" sqref="AD13"/>
    </sheetView>
  </sheetViews>
  <sheetFormatPr baseColWidth="8" defaultRowHeight="17.4"/>
  <cols>
    <col width="2.8984375" customWidth="1" style="251" min="1" max="1"/>
    <col width="5.59765625" customWidth="1" style="251" min="2" max="14"/>
    <col width="3.59765625" customWidth="1" style="251" min="15" max="15"/>
    <col width="4.59765625" customWidth="1" style="251" min="16" max="22"/>
    <col width="5.59765625" customWidth="1" style="251" min="23" max="26"/>
  </cols>
  <sheetData>
    <row r="1" ht="18.75" customHeight="1" s="251">
      <c r="A1" s="122" t="inlineStr">
        <is>
          <t>근
무
자</t>
        </is>
      </c>
      <c r="B1" s="120" t="inlineStr">
        <is>
          <t>오  전</t>
        </is>
      </c>
      <c r="C1" s="252" t="n"/>
      <c r="D1" s="120" t="inlineStr">
        <is>
          <t>오  후</t>
        </is>
      </c>
      <c r="E1" s="252" t="n"/>
      <c r="F1" s="120" t="inlineStr">
        <is>
          <t>야  간</t>
        </is>
      </c>
      <c r="G1" s="252" t="n"/>
      <c r="H1" s="253" t="inlineStr">
        <is>
          <t>유동상소각로 운전일지</t>
        </is>
      </c>
      <c r="S1" s="254" t="n"/>
      <c r="T1" s="255" t="inlineStr">
        <is>
          <t>결
재</t>
        </is>
      </c>
      <c r="U1" s="120" t="inlineStr">
        <is>
          <t>반장</t>
        </is>
      </c>
      <c r="V1" s="252" t="n"/>
      <c r="W1" s="120" t="inlineStr">
        <is>
          <t>대리</t>
        </is>
      </c>
      <c r="X1" s="252" t="n"/>
      <c r="Y1" s="120" t="inlineStr">
        <is>
          <t>팀장</t>
        </is>
      </c>
      <c r="Z1" s="252" t="n"/>
    </row>
    <row r="2" ht="14.25" customHeight="1" s="251">
      <c r="A2" s="256" t="n"/>
      <c r="B2" s="257" t="inlineStr">
        <is>
          <t>김문한</t>
        </is>
      </c>
      <c r="C2" s="258" t="n"/>
      <c r="D2" s="257" t="inlineStr">
        <is>
          <t>김동욱</t>
        </is>
      </c>
      <c r="E2" s="258" t="n"/>
      <c r="F2" s="257" t="inlineStr">
        <is>
          <t>임종민</t>
        </is>
      </c>
      <c r="G2" s="258" t="n"/>
      <c r="H2" s="259" t="n"/>
      <c r="I2" s="260" t="n"/>
      <c r="J2" s="260" t="n"/>
      <c r="K2" s="260" t="n"/>
      <c r="L2" s="260" t="n"/>
      <c r="M2" s="260" t="n"/>
      <c r="N2" s="260" t="n"/>
      <c r="O2" s="260" t="n"/>
      <c r="P2" s="260" t="n"/>
      <c r="Q2" s="260" t="n"/>
      <c r="R2" s="260" t="n"/>
      <c r="S2" s="261" t="n"/>
      <c r="T2" s="262" t="n"/>
      <c r="U2" s="105" t="n"/>
      <c r="V2" s="254" t="n"/>
      <c r="W2" s="105" t="n"/>
      <c r="X2" s="254" t="n"/>
      <c r="Y2" s="105" t="n"/>
      <c r="Z2" s="254" t="n"/>
    </row>
    <row r="3" ht="37.5" customHeight="1" s="251">
      <c r="A3" s="263" t="n"/>
      <c r="B3" s="264" t="n"/>
      <c r="C3" s="265" t="n"/>
      <c r="D3" s="264" t="n"/>
      <c r="E3" s="265" t="n"/>
      <c r="F3" s="264" t="n"/>
      <c r="G3" s="265" t="n"/>
      <c r="H3" s="266" t="n">
        <v>46208</v>
      </c>
      <c r="I3" s="267" t="n"/>
      <c r="J3" s="267" t="n"/>
      <c r="K3" s="267" t="n"/>
      <c r="L3" s="267" t="n"/>
      <c r="M3" s="267" t="n"/>
      <c r="N3" s="267" t="n"/>
      <c r="O3" s="267" t="n"/>
      <c r="P3" s="267" t="n"/>
      <c r="Q3" s="267" t="n"/>
      <c r="R3" s="267" t="n"/>
      <c r="S3" s="268" t="n"/>
      <c r="T3" s="269" t="n"/>
      <c r="U3" s="264" t="n"/>
      <c r="V3" s="265" t="n"/>
      <c r="W3" s="264" t="n"/>
      <c r="X3" s="265" t="n"/>
      <c r="Y3" s="264" t="n"/>
      <c r="Z3" s="265" t="n"/>
    </row>
    <row r="4" ht="13.5" customHeight="1" s="25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inlineStr">
        <is>
          <t>1. 소각현황(KG)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inlineStr">
        <is>
          <t>2. BOILER 운전현황(TON, HR)</t>
        </is>
      </c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2.5" customHeight="1" s="251" thickBot="1">
      <c r="A6" s="136" t="inlineStr">
        <is>
          <t>구 분</t>
        </is>
      </c>
      <c r="B6" s="270" t="n"/>
      <c r="C6" s="271" t="n"/>
      <c r="D6" s="136" t="inlineStr">
        <is>
          <t>SRF소각량</t>
        </is>
      </c>
      <c r="E6" s="270" t="n"/>
      <c r="F6" s="271" t="n"/>
      <c r="G6" s="136" t="inlineStr">
        <is>
          <t>SLUDGE 소각량</t>
        </is>
      </c>
      <c r="H6" s="270" t="n"/>
      <c r="I6" s="271" t="n"/>
      <c r="J6" s="136" t="inlineStr">
        <is>
          <t>합 계</t>
        </is>
      </c>
      <c r="K6" s="270" t="n"/>
      <c r="L6" s="271" t="n"/>
      <c r="M6" s="1" t="n"/>
      <c r="N6" s="1" t="n"/>
      <c r="O6" s="1" t="n"/>
      <c r="P6" s="136" t="inlineStr">
        <is>
          <t>구 분</t>
        </is>
      </c>
      <c r="Q6" s="271" t="n"/>
      <c r="R6" s="136" t="inlineStr">
        <is>
          <t>스팀 생산량</t>
        </is>
      </c>
      <c r="S6" s="270" t="n"/>
      <c r="T6" s="271" t="n"/>
      <c r="U6" s="136" t="inlineStr">
        <is>
          <t>스팀 송기량</t>
        </is>
      </c>
      <c r="V6" s="270" t="n"/>
      <c r="W6" s="271" t="n"/>
      <c r="X6" s="136" t="inlineStr">
        <is>
          <t>가동시간</t>
        </is>
      </c>
      <c r="Y6" s="270" t="n"/>
      <c r="Z6" s="271" t="n"/>
    </row>
    <row r="7" ht="30" customHeight="1" s="251" thickTop="1">
      <c r="A7" s="105" t="inlineStr">
        <is>
          <t>금 일</t>
        </is>
      </c>
      <c r="B7" s="272" t="n"/>
      <c r="C7" s="265" t="n"/>
      <c r="D7" s="139" t="n">
        <v>65675</v>
      </c>
      <c r="E7" s="272" t="n"/>
      <c r="F7" s="265" t="n"/>
      <c r="G7" s="317" t="n">
        <v>158700</v>
      </c>
      <c r="H7" s="285" t="n"/>
      <c r="I7" s="313" t="n"/>
      <c r="J7" s="154">
        <f>D7+G7</f>
        <v/>
      </c>
      <c r="K7" s="278" t="n"/>
      <c r="L7" s="279" t="n"/>
      <c r="M7" s="1" t="n"/>
      <c r="N7" s="1" t="n"/>
      <c r="O7" s="1" t="n"/>
      <c r="P7" s="105" t="inlineStr">
        <is>
          <t>금 일</t>
        </is>
      </c>
      <c r="Q7" s="265" t="n"/>
      <c r="R7" s="307" t="n">
        <v>474</v>
      </c>
      <c r="S7" s="304" t="n"/>
      <c r="T7" s="283" t="n"/>
      <c r="U7" s="276" t="n">
        <v>344</v>
      </c>
      <c r="V7" s="272" t="n"/>
      <c r="W7" s="265" t="n"/>
      <c r="X7" s="277" t="n">
        <v>24</v>
      </c>
      <c r="Y7" s="272" t="n"/>
      <c r="Z7" s="265" t="n"/>
    </row>
    <row r="8" ht="30" customHeight="1" s="251">
      <c r="A8" s="104" t="inlineStr">
        <is>
          <t>누 계</t>
        </is>
      </c>
      <c r="B8" s="278" t="n"/>
      <c r="C8" s="279" t="n"/>
      <c r="D8" s="154">
        <f>'4'!D8+D7</f>
        <v/>
      </c>
      <c r="E8" s="278" t="n"/>
      <c r="F8" s="279" t="n"/>
      <c r="G8" s="273">
        <f>'4'!G8+'5'!G7</f>
        <v/>
      </c>
      <c r="H8" s="274" t="n"/>
      <c r="I8" s="275" t="n"/>
      <c r="J8" s="154">
        <f>D8+G8</f>
        <v/>
      </c>
      <c r="K8" s="278" t="n"/>
      <c r="L8" s="279" t="n"/>
      <c r="M8" s="1" t="n"/>
      <c r="N8" s="1" t="n"/>
      <c r="O8" s="1" t="n"/>
      <c r="P8" s="104" t="inlineStr">
        <is>
          <t>누 계</t>
        </is>
      </c>
      <c r="Q8" s="279" t="n"/>
      <c r="R8" s="276">
        <f>'4'!R8+'5'!R7</f>
        <v/>
      </c>
      <c r="S8" s="272" t="n"/>
      <c r="T8" s="265" t="n"/>
      <c r="U8" s="280">
        <f>'4'!U8+U7</f>
        <v/>
      </c>
      <c r="V8" s="278" t="n"/>
      <c r="W8" s="279" t="n"/>
      <c r="X8" s="281">
        <f>'4'!X8+'5'!X7</f>
        <v/>
      </c>
      <c r="Y8" s="278" t="n"/>
      <c r="Z8" s="279" t="n"/>
    </row>
    <row r="9" ht="12" customHeight="1" s="25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inlineStr">
        <is>
          <t>3. 약품 사용현황 (KG)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inlineStr">
        <is>
          <t>4. 소각재 발생량 (TON, 대)</t>
        </is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30.75" customHeight="1" s="251" thickBot="1">
      <c r="A11" s="136" t="inlineStr">
        <is>
          <t>품 명</t>
        </is>
      </c>
      <c r="B11" s="271" t="n"/>
      <c r="C11" s="150" t="inlineStr">
        <is>
          <t>전일 
재고량</t>
        </is>
      </c>
      <c r="D11" s="271" t="n"/>
      <c r="E11" s="136" t="inlineStr">
        <is>
          <t>입고량</t>
        </is>
      </c>
      <c r="F11" s="271" t="n"/>
      <c r="G11" s="136" t="inlineStr">
        <is>
          <t>사용량</t>
        </is>
      </c>
      <c r="H11" s="271" t="n"/>
      <c r="I11" s="282" t="inlineStr">
        <is>
          <t>재고량</t>
        </is>
      </c>
      <c r="J11" s="271" t="n"/>
      <c r="K11" s="150" t="inlineStr">
        <is>
          <t>입고량 
누계</t>
        </is>
      </c>
      <c r="L11" s="271" t="n"/>
      <c r="M11" s="150" t="inlineStr">
        <is>
          <t>사용량 
누계</t>
        </is>
      </c>
      <c r="N11" s="271" t="n"/>
      <c r="O11" s="1" t="n"/>
      <c r="P11" s="136" t="inlineStr">
        <is>
          <t xml:space="preserve"> 구 분</t>
        </is>
      </c>
      <c r="Q11" s="270" t="n"/>
      <c r="R11" s="271" t="n"/>
      <c r="S11" s="282" t="inlineStr">
        <is>
          <t>반출량</t>
        </is>
      </c>
      <c r="T11" s="270" t="n"/>
      <c r="U11" s="270" t="n"/>
      <c r="V11" s="271" t="n"/>
      <c r="W11" s="282" t="inlineStr">
        <is>
          <t>누계</t>
        </is>
      </c>
      <c r="X11" s="270" t="n"/>
      <c r="Y11" s="270" t="n"/>
      <c r="Z11" s="271" t="n"/>
    </row>
    <row r="12" ht="21.9" customHeight="1" s="251" thickTop="1">
      <c r="A12" s="142" t="inlineStr">
        <is>
          <t>탄산암모늄</t>
        </is>
      </c>
      <c r="B12" s="265" t="n"/>
      <c r="C12" s="310">
        <f>'4'!I12</f>
        <v/>
      </c>
      <c r="D12" s="265" t="n"/>
      <c r="E12" s="105" t="n">
        <v>0</v>
      </c>
      <c r="F12" s="265" t="n"/>
      <c r="G12" s="105" t="n">
        <v>3767</v>
      </c>
      <c r="H12" s="265" t="n"/>
      <c r="I12" s="164">
        <f>C12+E12-G12</f>
        <v/>
      </c>
      <c r="J12" s="283" t="n"/>
      <c r="K12" s="105">
        <f>'4'!K12+E12</f>
        <v/>
      </c>
      <c r="L12" s="265" t="n"/>
      <c r="M12" s="105">
        <f>'4'!M12+G12</f>
        <v/>
      </c>
      <c r="N12" s="265" t="n"/>
      <c r="O12" s="1" t="n"/>
      <c r="P12" s="149" t="inlineStr">
        <is>
          <t xml:space="preserve">
비산재
</t>
        </is>
      </c>
      <c r="R12" s="254" t="n"/>
      <c r="S12" s="284" t="n">
        <v>0</v>
      </c>
      <c r="T12" s="285" t="n"/>
      <c r="U12" s="285" t="n"/>
      <c r="V12" s="285" t="n"/>
      <c r="W12" s="318">
        <f>'4'!W12+'5'!S12</f>
        <v/>
      </c>
      <c r="X12" s="285" t="n"/>
      <c r="Y12" s="285" t="n"/>
      <c r="Z12" s="287" t="n"/>
    </row>
    <row r="13" ht="21.9" customHeight="1" s="251">
      <c r="A13" s="104" t="inlineStr">
        <is>
          <t>청관제</t>
        </is>
      </c>
      <c r="B13" s="279" t="n"/>
      <c r="C13" s="310">
        <f>'4'!I13</f>
        <v/>
      </c>
      <c r="D13" s="265" t="n"/>
      <c r="E13" s="104" t="n">
        <v>0</v>
      </c>
      <c r="F13" s="279" t="n"/>
      <c r="G13" s="104" t="n">
        <v>110</v>
      </c>
      <c r="H13" s="279" t="n"/>
      <c r="I13" s="288">
        <f>C13+E13-G13</f>
        <v/>
      </c>
      <c r="J13" s="275" t="n"/>
      <c r="K13" s="288">
        <f>'4'!K13+E13</f>
        <v/>
      </c>
      <c r="L13" s="275" t="n"/>
      <c r="M13" s="288">
        <f>'4'!M13+G13</f>
        <v/>
      </c>
      <c r="N13" s="275" t="n"/>
      <c r="O13" s="1" t="n"/>
      <c r="P13" s="264" t="n"/>
      <c r="Q13" s="272" t="n"/>
      <c r="R13" s="265" t="n"/>
      <c r="S13" s="289" t="n"/>
      <c r="T13" s="290" t="n"/>
      <c r="U13" s="290" t="n"/>
      <c r="V13" s="290" t="n"/>
      <c r="W13" s="264" t="n"/>
      <c r="X13" s="272" t="n"/>
      <c r="Y13" s="272" t="n"/>
      <c r="Z13" s="265" t="n"/>
    </row>
    <row r="14" ht="21.9" customHeight="1" s="251">
      <c r="A14" s="104" t="inlineStr">
        <is>
          <t>활성탄</t>
        </is>
      </c>
      <c r="B14" s="279" t="n"/>
      <c r="C14" s="310">
        <f>'4'!I14</f>
        <v/>
      </c>
      <c r="D14" s="265" t="n"/>
      <c r="E14" s="104" t="n">
        <v>0</v>
      </c>
      <c r="F14" s="279" t="n"/>
      <c r="G14" s="104" t="n">
        <v>120</v>
      </c>
      <c r="H14" s="279" t="n"/>
      <c r="I14" s="288">
        <f>C14+E14-G14</f>
        <v/>
      </c>
      <c r="J14" s="275" t="n"/>
      <c r="K14" s="288">
        <f>'4'!K14+E14</f>
        <v/>
      </c>
      <c r="L14" s="275" t="n"/>
      <c r="M14" s="288">
        <f>'4'!M14+G14</f>
        <v/>
      </c>
      <c r="N14" s="275" t="n"/>
      <c r="O14" s="1" t="n"/>
      <c r="P14" s="104" t="inlineStr">
        <is>
          <t>바닥재</t>
        </is>
      </c>
      <c r="Q14" s="291" t="n"/>
      <c r="R14" s="292" t="n"/>
      <c r="S14" s="293" t="n">
        <v>0</v>
      </c>
      <c r="T14" s="291" t="n"/>
      <c r="U14" s="291" t="n"/>
      <c r="V14" s="291" t="n"/>
      <c r="W14" s="294">
        <f>'4'!W14+'5'!S14</f>
        <v/>
      </c>
      <c r="X14" s="291" t="n"/>
      <c r="Y14" s="291" t="n"/>
      <c r="Z14" s="295" t="n"/>
    </row>
    <row r="15" ht="21.9" customHeight="1" s="251">
      <c r="A15" s="104" t="inlineStr">
        <is>
          <t>가성소다</t>
        </is>
      </c>
      <c r="B15" s="279" t="n"/>
      <c r="C15" s="310">
        <f>'4'!I15</f>
        <v/>
      </c>
      <c r="D15" s="265" t="n"/>
      <c r="E15" s="104" t="n">
        <v>0</v>
      </c>
      <c r="F15" s="279" t="n"/>
      <c r="G15" s="104" t="n">
        <v>29</v>
      </c>
      <c r="H15" s="279" t="n"/>
      <c r="I15" s="288">
        <f>C15+E15-G15</f>
        <v/>
      </c>
      <c r="J15" s="275" t="n"/>
      <c r="K15" s="288">
        <f>'4'!K15+E15</f>
        <v/>
      </c>
      <c r="L15" s="275" t="n"/>
      <c r="M15" s="288">
        <f>'4'!M15+G15</f>
        <v/>
      </c>
      <c r="N15" s="275" t="n"/>
      <c r="O15" s="1" t="n"/>
      <c r="P15" s="296" t="n"/>
      <c r="Q15" s="290" t="n"/>
      <c r="R15" s="297" t="n"/>
      <c r="S15" s="296" t="n"/>
      <c r="T15" s="290" t="n"/>
      <c r="U15" s="290" t="n"/>
      <c r="V15" s="290" t="n"/>
      <c r="W15" s="298" t="n"/>
      <c r="X15" s="272" t="n"/>
      <c r="Y15" s="272" t="n"/>
      <c r="Z15" s="265" t="n"/>
    </row>
    <row r="16" ht="21.9" customHeight="1" s="251">
      <c r="A16" s="104" t="inlineStr">
        <is>
          <t>소석회</t>
        </is>
      </c>
      <c r="B16" s="279" t="n"/>
      <c r="C16" s="310">
        <f>'4'!I16</f>
        <v/>
      </c>
      <c r="D16" s="265" t="n"/>
      <c r="E16" s="104" t="n">
        <v>0</v>
      </c>
      <c r="F16" s="279" t="n"/>
      <c r="G16" s="104" t="n">
        <v>20</v>
      </c>
      <c r="H16" s="279" t="n"/>
      <c r="I16" s="288">
        <f>C16+E16-G16</f>
        <v/>
      </c>
      <c r="J16" s="275" t="n"/>
      <c r="K16" s="288">
        <f>'4'!K16+E16</f>
        <v/>
      </c>
      <c r="L16" s="275" t="n"/>
      <c r="M16" s="288">
        <f>'4'!M16+G16</f>
        <v/>
      </c>
      <c r="N16" s="275" t="n"/>
      <c r="O16" s="1" t="n"/>
      <c r="P16" s="162" t="inlineStr">
        <is>
          <t>구분</t>
        </is>
      </c>
      <c r="Q16" s="291" t="n"/>
      <c r="R16" s="292" t="n"/>
      <c r="S16" s="299" t="inlineStr">
        <is>
          <t>주간</t>
        </is>
      </c>
      <c r="T16" s="292" t="n"/>
      <c r="U16" s="299" t="inlineStr">
        <is>
          <t>야간</t>
        </is>
      </c>
      <c r="V16" s="292" t="n"/>
      <c r="W16" s="299" t="inlineStr">
        <is>
          <t>합계</t>
        </is>
      </c>
      <c r="X16" s="292" t="n"/>
      <c r="Y16" s="299" t="inlineStr">
        <is>
          <t>누계</t>
        </is>
      </c>
      <c r="Z16" s="292" t="n"/>
    </row>
    <row r="17" ht="21.9" customHeight="1" s="251" thickBot="1">
      <c r="A17" s="104" t="inlineStr">
        <is>
          <t>소 금</t>
        </is>
      </c>
      <c r="B17" s="279" t="n"/>
      <c r="C17" s="310">
        <f>'4'!I17</f>
        <v/>
      </c>
      <c r="D17" s="265" t="n"/>
      <c r="E17" s="104" t="n">
        <v>1440</v>
      </c>
      <c r="F17" s="279" t="n"/>
      <c r="G17" s="104" t="n">
        <v>200</v>
      </c>
      <c r="H17" s="279" t="n"/>
      <c r="I17" s="288">
        <f>C17+E17-G17</f>
        <v/>
      </c>
      <c r="J17" s="275" t="n"/>
      <c r="K17" s="288">
        <f>'4'!K17+E17</f>
        <v/>
      </c>
      <c r="L17" s="275" t="n"/>
      <c r="M17" s="288">
        <f>'4'!M17+'5'!G17</f>
        <v/>
      </c>
      <c r="N17" s="275" t="n"/>
      <c r="O17" s="1" t="n"/>
      <c r="P17" s="296" t="n"/>
      <c r="Q17" s="290" t="n"/>
      <c r="R17" s="297" t="n"/>
      <c r="S17" s="300" t="n"/>
      <c r="T17" s="301" t="n"/>
      <c r="U17" s="300" t="n"/>
      <c r="V17" s="301" t="n"/>
      <c r="W17" s="300" t="n"/>
      <c r="X17" s="301" t="n"/>
      <c r="Y17" s="300" t="n"/>
      <c r="Z17" s="301" t="n"/>
      <c r="AE17" s="302" t="n"/>
    </row>
    <row r="18" ht="21.9" customHeight="1" s="251" thickTop="1">
      <c r="A18" s="104" t="inlineStr">
        <is>
          <t>경 유</t>
        </is>
      </c>
      <c r="B18" s="279" t="n"/>
      <c r="C18" s="310">
        <f>'4'!I18</f>
        <v/>
      </c>
      <c r="D18" s="265" t="n"/>
      <c r="E18" s="104" t="n">
        <v>0</v>
      </c>
      <c r="F18" s="279" t="n"/>
      <c r="G18" s="104" t="n">
        <v>0</v>
      </c>
      <c r="H18" s="279" t="n"/>
      <c r="I18" s="288">
        <f>C18+E18-G18</f>
        <v/>
      </c>
      <c r="J18" s="275" t="n"/>
      <c r="K18" s="288">
        <f>'4'!K18+E18</f>
        <v/>
      </c>
      <c r="L18" s="275" t="n"/>
      <c r="M18" s="288">
        <f>'4'!M18+G18</f>
        <v/>
      </c>
      <c r="N18" s="275" t="n"/>
      <c r="O18" s="1" t="n"/>
      <c r="P18" s="164" t="inlineStr">
        <is>
          <t>불연물</t>
        </is>
      </c>
      <c r="Q18" s="285" t="n"/>
      <c r="R18" s="287" t="n"/>
      <c r="S18" s="303" t="n">
        <v>3</v>
      </c>
      <c r="T18" s="287" t="n"/>
      <c r="U18" s="303" t="n">
        <v>2</v>
      </c>
      <c r="V18" s="287" t="n"/>
      <c r="W18" s="303">
        <f>S18+U18</f>
        <v/>
      </c>
      <c r="X18" s="287" t="n"/>
      <c r="Y18" s="303">
        <f>'4'!Y18+'5'!W18</f>
        <v/>
      </c>
      <c r="Z18" s="287" t="n"/>
    </row>
    <row r="19" ht="21.9" customHeight="1" s="251">
      <c r="A19" s="153" t="inlineStr">
        <is>
          <t>SRF</t>
        </is>
      </c>
      <c r="B19" s="279" t="n"/>
      <c r="C19" s="310">
        <f>'4'!I19</f>
        <v/>
      </c>
      <c r="D19" s="265" t="n"/>
      <c r="E19" s="154" t="n">
        <v>45930</v>
      </c>
      <c r="F19" s="279" t="n"/>
      <c r="G19" s="154">
        <f>D7</f>
        <v/>
      </c>
      <c r="H19" s="279" t="n"/>
      <c r="I19" s="273">
        <f>C19+E19-G19</f>
        <v/>
      </c>
      <c r="J19" s="275" t="n"/>
      <c r="K19" s="273">
        <f>'4'!K19+E19</f>
        <v/>
      </c>
      <c r="L19" s="275" t="n"/>
      <c r="M19" s="273">
        <f>'4'!M19+G19</f>
        <v/>
      </c>
      <c r="N19" s="275" t="n"/>
      <c r="O19" s="1" t="n"/>
      <c r="P19" s="256" t="n"/>
      <c r="R19" s="254" t="n"/>
      <c r="S19" s="256" t="n"/>
      <c r="T19" s="254" t="n"/>
      <c r="U19" s="256" t="n"/>
      <c r="V19" s="254" t="n"/>
      <c r="W19" s="256" t="n"/>
      <c r="X19" s="254" t="n"/>
      <c r="Y19" s="256" t="n"/>
      <c r="Z19" s="254" t="n"/>
    </row>
    <row r="20" ht="21.9" customHeight="1" s="251">
      <c r="A20" s="104" t="inlineStr">
        <is>
          <t>규 사</t>
        </is>
      </c>
      <c r="B20" s="279" t="n"/>
      <c r="C20" s="310">
        <f>'4'!I20</f>
        <v/>
      </c>
      <c r="D20" s="265" t="n"/>
      <c r="E20" s="288" t="n"/>
      <c r="F20" s="275" t="n"/>
      <c r="G20" s="104" t="n"/>
      <c r="H20" s="279" t="n"/>
      <c r="I20" s="288" t="inlineStr">
        <is>
          <t>-</t>
        </is>
      </c>
      <c r="J20" s="275" t="n"/>
      <c r="K20" s="105">
        <f>'4'!K20+'5'!E20</f>
        <v/>
      </c>
      <c r="L20" s="265" t="n"/>
      <c r="M20" s="273">
        <f>'4'!M20+G20</f>
        <v/>
      </c>
      <c r="N20" s="275" t="n"/>
      <c r="O20" s="1" t="n"/>
      <c r="P20" s="264" t="n"/>
      <c r="Q20" s="272" t="n"/>
      <c r="R20" s="265" t="n"/>
      <c r="S20" s="264" t="n"/>
      <c r="T20" s="265" t="n"/>
      <c r="U20" s="264" t="n"/>
      <c r="V20" s="265" t="n"/>
      <c r="W20" s="264" t="n"/>
      <c r="X20" s="265" t="n"/>
      <c r="Y20" s="264" t="n"/>
      <c r="Z20" s="265" t="n"/>
    </row>
    <row r="21" ht="12" customHeight="1" s="25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 t="inlineStr">
        <is>
          <t>5. 전력 사용량 (KWH)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10" t="inlineStr">
        <is>
          <t>6. 유틸리티 사용현황 (㎥)</t>
        </is>
      </c>
      <c r="Q22" s="290" t="n"/>
      <c r="R22" s="290" t="n"/>
      <c r="S22" s="290" t="n"/>
      <c r="T22" s="290" t="n"/>
      <c r="U22" s="290" t="n"/>
      <c r="V22" s="1" t="n"/>
      <c r="W22" s="1" t="n"/>
      <c r="X22" s="1" t="n"/>
      <c r="Y22" s="1" t="n"/>
      <c r="Z22" s="1" t="n"/>
    </row>
    <row r="23" ht="28.5" customHeight="1" s="251" thickBot="1">
      <c r="A23" s="136" t="inlineStr">
        <is>
          <t>구 분</t>
        </is>
      </c>
      <c r="B23" s="270" t="n"/>
      <c r="C23" s="271" t="n"/>
      <c r="D23" s="136" t="inlineStr">
        <is>
          <t>전일지침</t>
        </is>
      </c>
      <c r="E23" s="270" t="n"/>
      <c r="F23" s="271" t="n"/>
      <c r="G23" s="136" t="inlineStr">
        <is>
          <t>금일지침</t>
        </is>
      </c>
      <c r="H23" s="270" t="n"/>
      <c r="I23" s="271" t="n"/>
      <c r="J23" s="136" t="inlineStr">
        <is>
          <t>사용량</t>
        </is>
      </c>
      <c r="K23" s="270" t="n"/>
      <c r="L23" s="271" t="n"/>
      <c r="M23" s="136" t="inlineStr">
        <is>
          <t>누 계</t>
        </is>
      </c>
      <c r="N23" s="271" t="n"/>
      <c r="P23" s="136" t="inlineStr">
        <is>
          <t>구 분</t>
        </is>
      </c>
      <c r="Q23" s="270" t="n"/>
      <c r="R23" s="271" t="n"/>
      <c r="S23" s="136" t="inlineStr">
        <is>
          <t>전일 사용량</t>
        </is>
      </c>
      <c r="T23" s="270" t="n"/>
      <c r="U23" s="271" t="n"/>
      <c r="V23" s="136" t="inlineStr">
        <is>
          <t>금일 사용량</t>
        </is>
      </c>
      <c r="W23" s="270" t="n"/>
      <c r="X23" s="271" t="n"/>
      <c r="Y23" s="136" t="inlineStr">
        <is>
          <t>누 계</t>
        </is>
      </c>
      <c r="Z23" s="271" t="n"/>
    </row>
    <row r="24" ht="21.9" customHeight="1" s="251" thickTop="1">
      <c r="A24" s="105" t="inlineStr">
        <is>
          <t>MAIN</t>
        </is>
      </c>
      <c r="B24" s="272" t="n"/>
      <c r="C24" s="265" t="n"/>
      <c r="D24" s="187">
        <f>'4'!G24</f>
        <v/>
      </c>
      <c r="E24" s="285" t="n"/>
      <c r="F24" s="287" t="n"/>
      <c r="G24" s="164" t="n">
        <v>3798128</v>
      </c>
      <c r="H24" s="304" t="n"/>
      <c r="I24" s="283" t="n"/>
      <c r="J24" s="164">
        <f>G24-D24</f>
        <v/>
      </c>
      <c r="K24" s="304" t="n"/>
      <c r="L24" s="283" t="n"/>
      <c r="M24" s="164">
        <f>'4'!M24+'5'!J24</f>
        <v/>
      </c>
      <c r="N24" s="283" t="n"/>
      <c r="P24" s="105" t="inlineStr">
        <is>
          <t>재이용수</t>
        </is>
      </c>
      <c r="Q24" s="272" t="n"/>
      <c r="R24" s="265" t="n"/>
      <c r="S24" s="183">
        <f>'4'!V24</f>
        <v/>
      </c>
      <c r="T24" s="285" t="n"/>
      <c r="U24" s="285" t="n"/>
      <c r="V24" s="164" t="n">
        <v>424.3</v>
      </c>
      <c r="W24" s="304" t="n"/>
      <c r="X24" s="283" t="n"/>
      <c r="Y24" s="121">
        <f>'4'!Y24+'5'!V24</f>
        <v/>
      </c>
      <c r="Z24" s="254" t="n"/>
    </row>
    <row r="25" ht="21.9" customHeight="1" s="251">
      <c r="A25" s="104" t="inlineStr">
        <is>
          <t>ASH 저장조</t>
        </is>
      </c>
      <c r="B25" s="278" t="n"/>
      <c r="C25" s="279" t="n"/>
      <c r="D25" s="288">
        <f>'4'!G25</f>
        <v/>
      </c>
      <c r="E25" s="274" t="n"/>
      <c r="F25" s="275" t="n"/>
      <c r="G25" s="104" t="n">
        <v>32955.5</v>
      </c>
      <c r="H25" s="278" t="n"/>
      <c r="I25" s="279" t="n"/>
      <c r="J25" s="104">
        <f>G25-D25</f>
        <v/>
      </c>
      <c r="K25" s="278" t="n"/>
      <c r="L25" s="279" t="n"/>
      <c r="M25" s="288">
        <f>'4'!M25+'5'!J25</f>
        <v/>
      </c>
      <c r="N25" s="275" t="n"/>
      <c r="P25" s="104" t="inlineStr">
        <is>
          <t>복류수</t>
        </is>
      </c>
      <c r="Q25" s="278" t="n"/>
      <c r="R25" s="279" t="n"/>
      <c r="S25" s="288">
        <f>'4'!V25</f>
        <v/>
      </c>
      <c r="T25" s="274" t="n"/>
      <c r="U25" s="275" t="n"/>
      <c r="V25" s="104" t="n">
        <v>55</v>
      </c>
      <c r="W25" s="278" t="n"/>
      <c r="X25" s="279" t="n"/>
      <c r="Y25" s="288">
        <f>'4'!Y25+'5'!V25</f>
        <v/>
      </c>
      <c r="Z25" s="275" t="n"/>
    </row>
    <row r="26" ht="21.9" customHeight="1" s="251">
      <c r="A26" s="104" t="inlineStr">
        <is>
          <t>BAG FILTER</t>
        </is>
      </c>
      <c r="B26" s="278" t="n"/>
      <c r="C26" s="279" t="n"/>
      <c r="D26" s="288">
        <f>'4'!G26</f>
        <v/>
      </c>
      <c r="E26" s="274" t="n"/>
      <c r="F26" s="275" t="n"/>
      <c r="G26" s="104" t="n">
        <v>24410</v>
      </c>
      <c r="H26" s="278" t="n"/>
      <c r="I26" s="279" t="n"/>
      <c r="J26" s="104">
        <f>G26-D26</f>
        <v/>
      </c>
      <c r="K26" s="278" t="n"/>
      <c r="L26" s="279" t="n"/>
      <c r="M26" s="288">
        <f>'4'!M26+'5'!J26</f>
        <v/>
      </c>
      <c r="N26" s="275" t="n"/>
      <c r="P26" s="104" t="inlineStr">
        <is>
          <t>응축수</t>
        </is>
      </c>
      <c r="Q26" s="278" t="n"/>
      <c r="R26" s="279" t="n"/>
      <c r="S26" s="288">
        <f>'4'!V26</f>
        <v/>
      </c>
      <c r="T26" s="274" t="n"/>
      <c r="U26" s="275" t="n"/>
      <c r="V26" s="104" t="n">
        <v>454.9</v>
      </c>
      <c r="W26" s="278" t="n"/>
      <c r="X26" s="279" t="n"/>
      <c r="Y26" s="316">
        <f>'4'!Y26+'5'!V26</f>
        <v/>
      </c>
      <c r="Z26" s="275" t="n"/>
    </row>
    <row r="27" ht="21.9" customHeight="1" s="251">
      <c r="A27" s="104" t="inlineStr">
        <is>
          <t>SCRUBBER</t>
        </is>
      </c>
      <c r="B27" s="278" t="n"/>
      <c r="C27" s="279" t="n"/>
      <c r="D27" s="288">
        <f>'4'!G27</f>
        <v/>
      </c>
      <c r="E27" s="274" t="n"/>
      <c r="F27" s="275" t="n"/>
      <c r="G27" s="104" t="n">
        <v>1359000</v>
      </c>
      <c r="H27" s="278" t="n"/>
      <c r="I27" s="279" t="n"/>
      <c r="J27" s="104">
        <f>G27-D27</f>
        <v/>
      </c>
      <c r="K27" s="278" t="n"/>
      <c r="L27" s="279" t="n"/>
      <c r="M27" s="288">
        <f>'4'!M27+'5'!J27</f>
        <v/>
      </c>
      <c r="N27" s="275" t="n"/>
      <c r="P27" s="104" t="inlineStr">
        <is>
          <t>보일러 급수</t>
        </is>
      </c>
      <c r="Q27" s="278" t="n"/>
      <c r="R27" s="279" t="n"/>
      <c r="S27" s="288">
        <f>'4'!V27</f>
        <v/>
      </c>
      <c r="T27" s="274" t="n"/>
      <c r="U27" s="275" t="n"/>
      <c r="V27" s="104" t="n">
        <v>491</v>
      </c>
      <c r="W27" s="278" t="n"/>
      <c r="X27" s="279" t="n"/>
      <c r="Y27" s="316">
        <f>'4'!Y27+'5'!V27</f>
        <v/>
      </c>
      <c r="Z27" s="275" t="n"/>
    </row>
    <row r="28" ht="21.9" customHeight="1" s="251">
      <c r="A28" s="104" t="inlineStr">
        <is>
          <t>활성탄 공급</t>
        </is>
      </c>
      <c r="B28" s="278" t="n"/>
      <c r="C28" s="279" t="n"/>
      <c r="D28" s="288">
        <f>'4'!G28</f>
        <v/>
      </c>
      <c r="E28" s="274" t="n"/>
      <c r="F28" s="275" t="n"/>
      <c r="G28" s="104" t="n">
        <v>5257</v>
      </c>
      <c r="H28" s="278" t="n"/>
      <c r="I28" s="279" t="n"/>
      <c r="J28" s="104">
        <f>G28-D28</f>
        <v/>
      </c>
      <c r="K28" s="278" t="n"/>
      <c r="L28" s="279" t="n"/>
      <c r="M28" s="288">
        <f>'4'!M28+'5'!J28</f>
        <v/>
      </c>
      <c r="N28" s="275" t="n"/>
      <c r="P28" s="104" t="inlineStr">
        <is>
          <t>폐 수</t>
        </is>
      </c>
      <c r="Q28" s="278" t="n"/>
      <c r="R28" s="279" t="n"/>
      <c r="S28" s="288">
        <f>'4'!V28</f>
        <v/>
      </c>
      <c r="T28" s="274" t="n"/>
      <c r="U28" s="275" t="n"/>
      <c r="V28" s="104" t="n">
        <v>0</v>
      </c>
      <c r="W28" s="278" t="n"/>
      <c r="X28" s="279" t="n"/>
      <c r="Y28" s="288">
        <f>'4'!Y28+'5'!V28</f>
        <v/>
      </c>
      <c r="Z28" s="275" t="n"/>
    </row>
    <row r="29" ht="21.9" customHeight="1" s="251">
      <c r="A29" s="104" t="inlineStr">
        <is>
          <t>소석회 공급</t>
        </is>
      </c>
      <c r="B29" s="278" t="n"/>
      <c r="C29" s="279" t="n"/>
      <c r="D29" s="288">
        <f>'4'!G29</f>
        <v/>
      </c>
      <c r="E29" s="274" t="n"/>
      <c r="F29" s="275" t="n"/>
      <c r="G29" s="104" t="n">
        <v>66200</v>
      </c>
      <c r="H29" s="278" t="n"/>
      <c r="I29" s="279" t="n"/>
      <c r="J29" s="104">
        <f>G29-D29</f>
        <v/>
      </c>
      <c r="K29" s="278" t="n"/>
      <c r="L29" s="279" t="n"/>
      <c r="M29" s="288">
        <f>'4'!M29+'5'!J29</f>
        <v/>
      </c>
      <c r="N29" s="275" t="n"/>
      <c r="P29" s="104" t="inlineStr">
        <is>
          <t>연 수</t>
        </is>
      </c>
      <c r="Q29" s="278" t="n"/>
      <c r="R29" s="279" t="n"/>
      <c r="S29" s="288">
        <f>'4'!V29</f>
        <v/>
      </c>
      <c r="T29" s="274" t="n"/>
      <c r="U29" s="275" t="n"/>
      <c r="V29" s="104" t="n">
        <v>61.2</v>
      </c>
      <c r="W29" s="278" t="n"/>
      <c r="X29" s="279" t="n"/>
      <c r="Y29" s="288">
        <f>'4'!Y29+'5'!V29</f>
        <v/>
      </c>
      <c r="Z29" s="275" t="n"/>
    </row>
    <row r="30" ht="21.9" customHeight="1" s="251">
      <c r="A30" s="104" t="inlineStr">
        <is>
          <t>요소수 공급</t>
        </is>
      </c>
      <c r="B30" s="278" t="n"/>
      <c r="C30" s="279" t="n"/>
      <c r="D30" s="288">
        <f>'4'!G30</f>
        <v/>
      </c>
      <c r="E30" s="274" t="n"/>
      <c r="F30" s="275" t="n"/>
      <c r="G30" s="104" t="n">
        <v>53290</v>
      </c>
      <c r="H30" s="278" t="n"/>
      <c r="I30" s="279" t="n"/>
      <c r="J30" s="104">
        <f>G30-D30</f>
        <v/>
      </c>
      <c r="K30" s="278" t="n"/>
      <c r="L30" s="279" t="n"/>
      <c r="M30" s="288">
        <f>'4'!M30+'5'!J30</f>
        <v/>
      </c>
      <c r="N30" s="275" t="n"/>
      <c r="P30" s="104" t="inlineStr">
        <is>
          <t>계</t>
        </is>
      </c>
      <c r="Q30" s="278" t="n"/>
      <c r="R30" s="279" t="n"/>
      <c r="S30" s="104">
        <f>SUM(S24:U29)</f>
        <v/>
      </c>
      <c r="T30" s="278" t="n"/>
      <c r="U30" s="279" t="n"/>
      <c r="V30" s="288" t="n"/>
      <c r="W30" s="274" t="n"/>
      <c r="X30" s="275" t="n"/>
      <c r="Y30" s="288">
        <f>'4'!Y30+'5'!V30</f>
        <v/>
      </c>
      <c r="Z30" s="275" t="n"/>
    </row>
    <row r="31" ht="21.9" customHeight="1" s="251">
      <c r="A31" s="104" t="inlineStr">
        <is>
          <t xml:space="preserve">F.D </t>
        </is>
      </c>
      <c r="B31" s="278" t="n"/>
      <c r="C31" s="279" t="n"/>
      <c r="D31" s="288">
        <f>'4'!G31</f>
        <v/>
      </c>
      <c r="E31" s="274" t="n"/>
      <c r="F31" s="275" t="n"/>
      <c r="G31" s="288" t="n">
        <v>6244869</v>
      </c>
      <c r="H31" s="274" t="n"/>
      <c r="I31" s="275" t="n"/>
      <c r="J31" s="288">
        <f>G31-D31</f>
        <v/>
      </c>
      <c r="K31" s="274" t="n"/>
      <c r="L31" s="275" t="n"/>
      <c r="M31" s="288">
        <f>'4'!M31+J31</f>
        <v/>
      </c>
      <c r="N31" s="275" t="n"/>
      <c r="P31" s="172" t="n"/>
      <c r="Q31" s="172" t="n"/>
      <c r="R31" s="172" t="n"/>
      <c r="S31" s="172" t="n"/>
      <c r="T31" s="172" t="n"/>
      <c r="U31" s="172" t="n"/>
      <c r="V31" s="172" t="n"/>
      <c r="W31" s="172" t="n"/>
      <c r="X31" s="172" t="n"/>
      <c r="Y31" s="172" t="n"/>
      <c r="Z31" s="172" t="n"/>
    </row>
    <row r="32" ht="21.9" customHeight="1" s="251">
      <c r="A32" s="104" t="inlineStr">
        <is>
          <t>활성탄 BAG</t>
        </is>
      </c>
      <c r="B32" s="278" t="n"/>
      <c r="C32" s="279" t="n"/>
      <c r="D32" s="288">
        <f>'4'!G32</f>
        <v/>
      </c>
      <c r="E32" s="274" t="n"/>
      <c r="F32" s="275" t="n"/>
      <c r="G32" s="288" t="n">
        <v>1.6</v>
      </c>
      <c r="H32" s="274" t="n"/>
      <c r="I32" s="275" t="n"/>
      <c r="J32" s="288">
        <f>G32-D32</f>
        <v/>
      </c>
      <c r="K32" s="274" t="n"/>
      <c r="L32" s="275" t="n"/>
      <c r="M32" s="288">
        <f>'4'!M32+J32</f>
        <v/>
      </c>
      <c r="N32" s="275" t="n"/>
      <c r="P32" s="172" t="n"/>
      <c r="Q32" s="172" t="n"/>
      <c r="R32" s="172" t="n"/>
      <c r="S32" s="172" t="n"/>
      <c r="T32" s="172" t="n"/>
      <c r="U32" s="172" t="n"/>
      <c r="V32" s="172" t="n"/>
      <c r="W32" s="172" t="n"/>
      <c r="X32" s="172" t="n"/>
      <c r="Y32" s="172" t="n"/>
      <c r="Z32" s="172" t="n"/>
    </row>
    <row r="33" ht="21.9" customHeight="1" s="251">
      <c r="A33" s="104" t="inlineStr">
        <is>
          <t>소석회 BAG</t>
        </is>
      </c>
      <c r="B33" s="278" t="n"/>
      <c r="C33" s="279" t="n"/>
      <c r="D33" s="288">
        <f>'4'!G33</f>
        <v/>
      </c>
      <c r="E33" s="274" t="n"/>
      <c r="F33" s="275" t="n"/>
      <c r="G33" s="288" t="n">
        <v>0</v>
      </c>
      <c r="H33" s="274" t="n"/>
      <c r="I33" s="275" t="n"/>
      <c r="J33" s="288">
        <f>G33-D33</f>
        <v/>
      </c>
      <c r="K33" s="274" t="n"/>
      <c r="L33" s="275" t="n"/>
      <c r="M33" s="288">
        <f>'4'!M33+J33</f>
        <v/>
      </c>
      <c r="N33" s="275" t="n"/>
      <c r="P33" s="172" t="n"/>
      <c r="Q33" s="172" t="n"/>
      <c r="R33" s="172" t="n"/>
      <c r="S33" s="172" t="n"/>
      <c r="T33" s="172" t="n"/>
      <c r="U33" s="172" t="n"/>
      <c r="V33" s="172" t="n"/>
      <c r="W33" s="172" t="n"/>
      <c r="X33" s="172" t="n"/>
      <c r="Y33" s="172" t="n"/>
      <c r="Z33" s="172" t="n"/>
    </row>
  </sheetData>
  <mergeCells count="217">
    <mergeCell ref="V24:X24"/>
    <mergeCell ref="A15:B15"/>
    <mergeCell ref="P27:R27"/>
    <mergeCell ref="S23:U23"/>
    <mergeCell ref="C15:D15"/>
    <mergeCell ref="J27:L27"/>
    <mergeCell ref="S14:V15"/>
    <mergeCell ref="Y24:Z24"/>
    <mergeCell ref="U7:W7"/>
    <mergeCell ref="A26:C26"/>
    <mergeCell ref="G24:I24"/>
    <mergeCell ref="J25:L25"/>
    <mergeCell ref="D28:F28"/>
    <mergeCell ref="I16:J16"/>
    <mergeCell ref="A23:C23"/>
    <mergeCell ref="S24:U24"/>
    <mergeCell ref="P6:Q6"/>
    <mergeCell ref="P28:R28"/>
    <mergeCell ref="W1:X1"/>
    <mergeCell ref="Y1:Z1"/>
    <mergeCell ref="G26:I26"/>
    <mergeCell ref="S16:T17"/>
    <mergeCell ref="D30:F30"/>
    <mergeCell ref="G18:H18"/>
    <mergeCell ref="B1:C1"/>
    <mergeCell ref="U8:W8"/>
    <mergeCell ref="I18:J18"/>
    <mergeCell ref="H3:S3"/>
    <mergeCell ref="M16:N16"/>
    <mergeCell ref="P30:R30"/>
    <mergeCell ref="M25:N25"/>
    <mergeCell ref="D29:F29"/>
    <mergeCell ref="D23:F23"/>
    <mergeCell ref="Y25:Z25"/>
    <mergeCell ref="M18:N18"/>
    <mergeCell ref="M33:N33"/>
    <mergeCell ref="A17:B17"/>
    <mergeCell ref="S25:U25"/>
    <mergeCell ref="C17:D17"/>
    <mergeCell ref="U18:V20"/>
    <mergeCell ref="J29:L29"/>
    <mergeCell ref="M17:N17"/>
    <mergeCell ref="W18:X20"/>
    <mergeCell ref="G20:H20"/>
    <mergeCell ref="I20:J20"/>
    <mergeCell ref="S27:U27"/>
    <mergeCell ref="V23:X23"/>
    <mergeCell ref="A19:B19"/>
    <mergeCell ref="C19:D19"/>
    <mergeCell ref="A6:C6"/>
    <mergeCell ref="Y2:Z3"/>
    <mergeCell ref="Y18:Z20"/>
    <mergeCell ref="P22:U22"/>
    <mergeCell ref="M19:N19"/>
    <mergeCell ref="I13:J13"/>
    <mergeCell ref="K13:L13"/>
    <mergeCell ref="X7:Z7"/>
    <mergeCell ref="E12:F12"/>
    <mergeCell ref="J24:L24"/>
    <mergeCell ref="G12:H12"/>
    <mergeCell ref="G28:I28"/>
    <mergeCell ref="D27:F27"/>
    <mergeCell ref="G6:I6"/>
    <mergeCell ref="I15:J15"/>
    <mergeCell ref="A11:B11"/>
    <mergeCell ref="K15:L15"/>
    <mergeCell ref="S28:U28"/>
    <mergeCell ref="C14:D14"/>
    <mergeCell ref="E14:F14"/>
    <mergeCell ref="J26:L26"/>
    <mergeCell ref="G30:I30"/>
    <mergeCell ref="J7:L7"/>
    <mergeCell ref="V27:X27"/>
    <mergeCell ref="A32:C32"/>
    <mergeCell ref="A29:C29"/>
    <mergeCell ref="D25:F25"/>
    <mergeCell ref="V25:X25"/>
    <mergeCell ref="Y26:Z26"/>
    <mergeCell ref="M13:N13"/>
    <mergeCell ref="J33:L33"/>
    <mergeCell ref="G32:I32"/>
    <mergeCell ref="W14:Z15"/>
    <mergeCell ref="A31:C31"/>
    <mergeCell ref="S26:U26"/>
    <mergeCell ref="M27:N27"/>
    <mergeCell ref="I17:J17"/>
    <mergeCell ref="A24:C24"/>
    <mergeCell ref="Y27:Z27"/>
    <mergeCell ref="K17:L17"/>
    <mergeCell ref="P29:R29"/>
    <mergeCell ref="M24:N24"/>
    <mergeCell ref="E16:F16"/>
    <mergeCell ref="J28:L28"/>
    <mergeCell ref="G27:I27"/>
    <mergeCell ref="G16:H16"/>
    <mergeCell ref="D31:F31"/>
    <mergeCell ref="U2:V3"/>
    <mergeCell ref="I19:J19"/>
    <mergeCell ref="U1:V1"/>
    <mergeCell ref="G8:I8"/>
    <mergeCell ref="K19:L19"/>
    <mergeCell ref="C18:D18"/>
    <mergeCell ref="A7:C7"/>
    <mergeCell ref="V29:X29"/>
    <mergeCell ref="E18:F18"/>
    <mergeCell ref="J30:L30"/>
    <mergeCell ref="R6:T6"/>
    <mergeCell ref="K16:L16"/>
    <mergeCell ref="A25:C25"/>
    <mergeCell ref="J6:L6"/>
    <mergeCell ref="D1:E1"/>
    <mergeCell ref="D32:F32"/>
    <mergeCell ref="G11:H11"/>
    <mergeCell ref="I11:J11"/>
    <mergeCell ref="P23:R23"/>
    <mergeCell ref="W11:Z11"/>
    <mergeCell ref="D7:F7"/>
    <mergeCell ref="Y16:Z17"/>
    <mergeCell ref="S18:T20"/>
    <mergeCell ref="Y30:Z30"/>
    <mergeCell ref="C20:D20"/>
    <mergeCell ref="E20:F20"/>
    <mergeCell ref="K11:L11"/>
    <mergeCell ref="J32:L32"/>
    <mergeCell ref="M11:N11"/>
    <mergeCell ref="Y29:Z29"/>
    <mergeCell ref="H1:S2"/>
    <mergeCell ref="V26:X26"/>
    <mergeCell ref="E13:F13"/>
    <mergeCell ref="S30:U30"/>
    <mergeCell ref="G13:H13"/>
    <mergeCell ref="M31:N31"/>
    <mergeCell ref="G29:I29"/>
    <mergeCell ref="D8:F8"/>
    <mergeCell ref="D33:F33"/>
    <mergeCell ref="W12:Z13"/>
    <mergeCell ref="A12:B12"/>
    <mergeCell ref="A28:C28"/>
    <mergeCell ref="S29:U29"/>
    <mergeCell ref="A1:A3"/>
    <mergeCell ref="C12:D12"/>
    <mergeCell ref="M15:N15"/>
    <mergeCell ref="E15:F15"/>
    <mergeCell ref="M12:N12"/>
    <mergeCell ref="G15:H15"/>
    <mergeCell ref="G31:I31"/>
    <mergeCell ref="Y28:Z28"/>
    <mergeCell ref="P18:R20"/>
    <mergeCell ref="A14:B14"/>
    <mergeCell ref="J8:L8"/>
    <mergeCell ref="A30:C30"/>
    <mergeCell ref="M26:N26"/>
    <mergeCell ref="U6:W6"/>
    <mergeCell ref="P25:R25"/>
    <mergeCell ref="M29:N29"/>
    <mergeCell ref="M23:N23"/>
    <mergeCell ref="F2:G3"/>
    <mergeCell ref="G23:I23"/>
    <mergeCell ref="Y23:Z23"/>
    <mergeCell ref="U16:V17"/>
    <mergeCell ref="W16:X17"/>
    <mergeCell ref="D6:F6"/>
    <mergeCell ref="K18:L18"/>
    <mergeCell ref="F1:G1"/>
    <mergeCell ref="G7:I7"/>
    <mergeCell ref="P12:R13"/>
    <mergeCell ref="T1:T3"/>
    <mergeCell ref="V28:X28"/>
    <mergeCell ref="P11:R11"/>
    <mergeCell ref="P14:R15"/>
    <mergeCell ref="A27:C27"/>
    <mergeCell ref="V30:X30"/>
    <mergeCell ref="W2:X3"/>
    <mergeCell ref="E17:F17"/>
    <mergeCell ref="G17:H17"/>
    <mergeCell ref="G33:I33"/>
    <mergeCell ref="X6:Z6"/>
    <mergeCell ref="A33:C33"/>
    <mergeCell ref="K20:L20"/>
    <mergeCell ref="A16:B16"/>
    <mergeCell ref="C16:D16"/>
    <mergeCell ref="M20:N20"/>
    <mergeCell ref="A8:C8"/>
    <mergeCell ref="E19:F19"/>
    <mergeCell ref="P8:Q8"/>
    <mergeCell ref="J31:L31"/>
    <mergeCell ref="G19:H19"/>
    <mergeCell ref="A18:B18"/>
    <mergeCell ref="D24:F24"/>
    <mergeCell ref="G25:I25"/>
    <mergeCell ref="M30:N30"/>
    <mergeCell ref="I12:J12"/>
    <mergeCell ref="K12:L12"/>
    <mergeCell ref="P24:R24"/>
    <mergeCell ref="P7:Q7"/>
    <mergeCell ref="C11:D11"/>
    <mergeCell ref="M28:N28"/>
    <mergeCell ref="E11:F11"/>
    <mergeCell ref="J23:L23"/>
    <mergeCell ref="D26:F26"/>
    <mergeCell ref="G14:H14"/>
    <mergeCell ref="S11:V11"/>
    <mergeCell ref="I14:J14"/>
    <mergeCell ref="R8:T8"/>
    <mergeCell ref="K14:L14"/>
    <mergeCell ref="P26:R26"/>
    <mergeCell ref="P16:R17"/>
    <mergeCell ref="A20:B20"/>
    <mergeCell ref="B2:C3"/>
    <mergeCell ref="D2:E3"/>
    <mergeCell ref="M32:N32"/>
    <mergeCell ref="M14:N14"/>
    <mergeCell ref="X8:Z8"/>
    <mergeCell ref="A13:B13"/>
    <mergeCell ref="C13:D13"/>
    <mergeCell ref="R7:T7"/>
    <mergeCell ref="S12:V13"/>
  </mergeCells>
  <pageMargins left="0.7086614173228347" right="0.7086614173228347" top="0.7480314960629921" bottom="0.7480314960629921" header="0.3149606299212598" footer="0.3149606299212598"/>
  <pageSetup orientation="portrait" paperSize="9" scale="59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G33"/>
  <sheetViews>
    <sheetView topLeftCell="A22" zoomScaleNormal="100" zoomScaleSheetLayoutView="100" workbookViewId="0">
      <selection activeCell="G33" sqref="G33:I33"/>
    </sheetView>
  </sheetViews>
  <sheetFormatPr baseColWidth="8" defaultRowHeight="17.4"/>
  <cols>
    <col width="2.8984375" customWidth="1" style="251" min="1" max="1"/>
    <col width="5.59765625" customWidth="1" style="251" min="2" max="14"/>
    <col width="3.59765625" customWidth="1" style="251" min="15" max="15"/>
    <col width="4.59765625" customWidth="1" style="251" min="16" max="22"/>
    <col width="5.59765625" customWidth="1" style="251" min="23" max="26"/>
    <col width="5.59765625" customWidth="1" style="251" min="29" max="40"/>
  </cols>
  <sheetData>
    <row r="1" ht="18.75" customHeight="1" s="251">
      <c r="A1" s="122" t="inlineStr">
        <is>
          <t>근
무
자</t>
        </is>
      </c>
      <c r="B1" s="120" t="inlineStr">
        <is>
          <t>오  전</t>
        </is>
      </c>
      <c r="C1" s="252" t="n"/>
      <c r="D1" s="120" t="inlineStr">
        <is>
          <t>오  후</t>
        </is>
      </c>
      <c r="E1" s="252" t="n"/>
      <c r="F1" s="120" t="inlineStr">
        <is>
          <t>야  간</t>
        </is>
      </c>
      <c r="G1" s="252" t="n"/>
      <c r="H1" s="253" t="inlineStr">
        <is>
          <t>유동상소각로 운전일지</t>
        </is>
      </c>
      <c r="S1" s="254" t="n"/>
      <c r="T1" s="255" t="inlineStr">
        <is>
          <t>결
재</t>
        </is>
      </c>
      <c r="U1" s="120" t="inlineStr">
        <is>
          <t>반장</t>
        </is>
      </c>
      <c r="V1" s="252" t="n"/>
      <c r="W1" s="120" t="inlineStr">
        <is>
          <t>대리</t>
        </is>
      </c>
      <c r="X1" s="252" t="n"/>
      <c r="Y1" s="120" t="inlineStr">
        <is>
          <t>팀장</t>
        </is>
      </c>
      <c r="Z1" s="252" t="n"/>
    </row>
    <row r="2" ht="14.25" customHeight="1" s="251">
      <c r="A2" s="256" t="n"/>
      <c r="B2" s="257" t="inlineStr">
        <is>
          <t>김문한</t>
        </is>
      </c>
      <c r="C2" s="258" t="n"/>
      <c r="D2" s="257" t="inlineStr">
        <is>
          <t>김동욱</t>
        </is>
      </c>
      <c r="E2" s="258" t="n"/>
      <c r="F2" s="257" t="inlineStr">
        <is>
          <t>권정민</t>
        </is>
      </c>
      <c r="G2" s="258" t="n"/>
      <c r="H2" s="259" t="n"/>
      <c r="I2" s="260" t="n"/>
      <c r="J2" s="260" t="n"/>
      <c r="K2" s="260" t="n"/>
      <c r="L2" s="260" t="n"/>
      <c r="M2" s="260" t="n"/>
      <c r="N2" s="260" t="n"/>
      <c r="O2" s="260" t="n"/>
      <c r="P2" s="260" t="n"/>
      <c r="Q2" s="260" t="n"/>
      <c r="R2" s="260" t="n"/>
      <c r="S2" s="261" t="n"/>
      <c r="T2" s="262" t="n"/>
      <c r="U2" s="105" t="n"/>
      <c r="V2" s="254" t="n"/>
      <c r="W2" s="105" t="n"/>
      <c r="X2" s="254" t="n"/>
      <c r="Y2" s="105" t="n"/>
      <c r="Z2" s="254" t="n"/>
    </row>
    <row r="3" ht="37.5" customHeight="1" s="251">
      <c r="A3" s="263" t="n"/>
      <c r="B3" s="264" t="n"/>
      <c r="C3" s="265" t="n"/>
      <c r="D3" s="264" t="n"/>
      <c r="E3" s="265" t="n"/>
      <c r="F3" s="264" t="n"/>
      <c r="G3" s="265" t="n"/>
      <c r="H3" s="266" t="n">
        <v>46209</v>
      </c>
      <c r="I3" s="267" t="n"/>
      <c r="J3" s="267" t="n"/>
      <c r="K3" s="267" t="n"/>
      <c r="L3" s="267" t="n"/>
      <c r="M3" s="267" t="n"/>
      <c r="N3" s="267" t="n"/>
      <c r="O3" s="267" t="n"/>
      <c r="P3" s="267" t="n"/>
      <c r="Q3" s="267" t="n"/>
      <c r="R3" s="267" t="n"/>
      <c r="S3" s="268" t="n"/>
      <c r="T3" s="269" t="n"/>
      <c r="U3" s="264" t="n"/>
      <c r="V3" s="265" t="n"/>
      <c r="W3" s="264" t="n"/>
      <c r="X3" s="265" t="n"/>
      <c r="Y3" s="264" t="n"/>
      <c r="Z3" s="265" t="n"/>
    </row>
    <row r="4" ht="13.5" customHeight="1" s="25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inlineStr">
        <is>
          <t>1. 소각현황(KG)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inlineStr">
        <is>
          <t>2. BOILER 운전현황(TON, HR)</t>
        </is>
      </c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2.5" customHeight="1" s="251" thickBot="1">
      <c r="A6" s="136" t="inlineStr">
        <is>
          <t>구 분</t>
        </is>
      </c>
      <c r="B6" s="270" t="n"/>
      <c r="C6" s="271" t="n"/>
      <c r="D6" s="136" t="inlineStr">
        <is>
          <t>SRF소각량</t>
        </is>
      </c>
      <c r="E6" s="270" t="n"/>
      <c r="F6" s="271" t="n"/>
      <c r="G6" s="136" t="inlineStr">
        <is>
          <t>SLUDGE 소각량</t>
        </is>
      </c>
      <c r="H6" s="270" t="n"/>
      <c r="I6" s="271" t="n"/>
      <c r="J6" s="136" t="inlineStr">
        <is>
          <t>합 계</t>
        </is>
      </c>
      <c r="K6" s="270" t="n"/>
      <c r="L6" s="271" t="n"/>
      <c r="M6" s="1" t="n"/>
      <c r="N6" s="1" t="n"/>
      <c r="O6" s="1" t="n"/>
      <c r="P6" s="136" t="inlineStr">
        <is>
          <t>구 분</t>
        </is>
      </c>
      <c r="Q6" s="271" t="n"/>
      <c r="R6" s="136" t="inlineStr">
        <is>
          <t>스팀 생산량</t>
        </is>
      </c>
      <c r="S6" s="270" t="n"/>
      <c r="T6" s="271" t="n"/>
      <c r="U6" s="136" t="inlineStr">
        <is>
          <t>스팀 송기량</t>
        </is>
      </c>
      <c r="V6" s="270" t="n"/>
      <c r="W6" s="271" t="n"/>
      <c r="X6" s="136" t="inlineStr">
        <is>
          <t>가동시간</t>
        </is>
      </c>
      <c r="Y6" s="270" t="n"/>
      <c r="Z6" s="271" t="n"/>
    </row>
    <row r="7" ht="30" customHeight="1" s="251" thickTop="1">
      <c r="A7" s="105" t="inlineStr">
        <is>
          <t>금 일</t>
        </is>
      </c>
      <c r="B7" s="272" t="n"/>
      <c r="C7" s="265" t="n"/>
      <c r="D7" s="320" t="n">
        <v>73379</v>
      </c>
      <c r="E7" s="304" t="n"/>
      <c r="F7" s="283" t="n"/>
      <c r="G7" s="139" t="n">
        <v>163900</v>
      </c>
      <c r="H7" s="272" t="n"/>
      <c r="I7" s="265" t="n"/>
      <c r="J7" s="154">
        <f>D7+G7</f>
        <v/>
      </c>
      <c r="K7" s="278" t="n"/>
      <c r="L7" s="279" t="n"/>
      <c r="M7" s="1" t="n"/>
      <c r="N7" s="1" t="n"/>
      <c r="O7" s="1" t="n"/>
      <c r="P7" s="105" t="inlineStr">
        <is>
          <t>금 일</t>
        </is>
      </c>
      <c r="Q7" s="265" t="n"/>
      <c r="R7" s="276" t="n">
        <v>488.7</v>
      </c>
      <c r="S7" s="272" t="n"/>
      <c r="T7" s="265" t="n"/>
      <c r="U7" s="276" t="n">
        <v>354.5</v>
      </c>
      <c r="V7" s="272" t="n"/>
      <c r="W7" s="265" t="n"/>
      <c r="X7" s="277" t="n">
        <v>24</v>
      </c>
      <c r="Y7" s="272" t="n"/>
      <c r="Z7" s="265" t="n"/>
    </row>
    <row r="8" ht="30" customHeight="1" s="251">
      <c r="A8" s="104" t="inlineStr">
        <is>
          <t>누 계</t>
        </is>
      </c>
      <c r="B8" s="278" t="n"/>
      <c r="C8" s="279" t="n"/>
      <c r="D8" s="154">
        <f>'5'!D8+D7</f>
        <v/>
      </c>
      <c r="E8" s="278" t="n"/>
      <c r="F8" s="279" t="n"/>
      <c r="G8" s="154">
        <f>'5'!G8+'6'!G7</f>
        <v/>
      </c>
      <c r="H8" s="278" t="n"/>
      <c r="I8" s="279" t="n"/>
      <c r="J8" s="154">
        <f>D8+G8</f>
        <v/>
      </c>
      <c r="K8" s="278" t="n"/>
      <c r="L8" s="279" t="n"/>
      <c r="M8" s="1" t="n"/>
      <c r="N8" s="1" t="n"/>
      <c r="O8" s="1" t="n"/>
      <c r="P8" s="104" t="inlineStr">
        <is>
          <t>누 계</t>
        </is>
      </c>
      <c r="Q8" s="279" t="n"/>
      <c r="R8" s="280">
        <f>'5'!R8+'6'!R7</f>
        <v/>
      </c>
      <c r="S8" s="278" t="n"/>
      <c r="T8" s="279" t="n"/>
      <c r="U8" s="280">
        <f>'5'!U8+'6'!U7</f>
        <v/>
      </c>
      <c r="V8" s="278" t="n"/>
      <c r="W8" s="279" t="n"/>
      <c r="X8" s="281">
        <f>'5'!X8+X7</f>
        <v/>
      </c>
      <c r="Y8" s="278" t="n"/>
      <c r="Z8" s="279" t="n"/>
    </row>
    <row r="9" ht="12" customHeight="1" s="25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inlineStr">
        <is>
          <t>3. 약품 사용현황 (KG)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inlineStr">
        <is>
          <t>4. 소각재 발생량 (TON, 대)</t>
        </is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30.75" customHeight="1" s="251" thickBot="1">
      <c r="A11" s="136" t="inlineStr">
        <is>
          <t>품 명</t>
        </is>
      </c>
      <c r="B11" s="271" t="n"/>
      <c r="C11" s="150" t="inlineStr">
        <is>
          <t>전일 
재고량</t>
        </is>
      </c>
      <c r="D11" s="271" t="n"/>
      <c r="E11" s="136" t="inlineStr">
        <is>
          <t>입고량</t>
        </is>
      </c>
      <c r="F11" s="271" t="n"/>
      <c r="G11" s="136" t="inlineStr">
        <is>
          <t>사용량</t>
        </is>
      </c>
      <c r="H11" s="271" t="n"/>
      <c r="I11" s="282" t="inlineStr">
        <is>
          <t>재고량</t>
        </is>
      </c>
      <c r="J11" s="271" t="n"/>
      <c r="K11" s="150" t="inlineStr">
        <is>
          <t>입고량 
누계</t>
        </is>
      </c>
      <c r="L11" s="271" t="n"/>
      <c r="M11" s="150" t="inlineStr">
        <is>
          <t>사용량 
누계</t>
        </is>
      </c>
      <c r="N11" s="271" t="n"/>
      <c r="O11" s="1" t="n"/>
      <c r="P11" s="136" t="inlineStr">
        <is>
          <t xml:space="preserve"> 구 분</t>
        </is>
      </c>
      <c r="Q11" s="270" t="n"/>
      <c r="R11" s="271" t="n"/>
      <c r="S11" s="282" t="inlineStr">
        <is>
          <t>반출량</t>
        </is>
      </c>
      <c r="T11" s="270" t="n"/>
      <c r="U11" s="270" t="n"/>
      <c r="V11" s="271" t="n"/>
      <c r="W11" s="282" t="inlineStr">
        <is>
          <t>누계</t>
        </is>
      </c>
      <c r="X11" s="270" t="n"/>
      <c r="Y11" s="270" t="n"/>
      <c r="Z11" s="271" t="n"/>
    </row>
    <row r="12" ht="21.9" customHeight="1" s="251" thickTop="1">
      <c r="A12" s="142" t="inlineStr">
        <is>
          <t>탄산암모늄</t>
        </is>
      </c>
      <c r="B12" s="265" t="n"/>
      <c r="C12" s="310">
        <f>'5'!I12</f>
        <v/>
      </c>
      <c r="D12" s="265" t="n"/>
      <c r="E12" s="105" t="n">
        <v>0</v>
      </c>
      <c r="F12" s="265" t="n"/>
      <c r="G12" s="105" t="n">
        <v>4082</v>
      </c>
      <c r="H12" s="265" t="n"/>
      <c r="I12" s="164">
        <f>C12+E12-G12</f>
        <v/>
      </c>
      <c r="J12" s="283" t="n"/>
      <c r="K12" s="105">
        <f>'5'!K12+'6'!E12</f>
        <v/>
      </c>
      <c r="L12" s="265" t="n"/>
      <c r="M12" s="105">
        <f>'5'!M12+'6'!G12</f>
        <v/>
      </c>
      <c r="N12" s="265" t="n"/>
      <c r="O12" s="1" t="n"/>
      <c r="P12" s="149" t="inlineStr">
        <is>
          <t xml:space="preserve">
비산재
</t>
        </is>
      </c>
      <c r="R12" s="254" t="n"/>
      <c r="S12" s="284" t="n">
        <v>25.95</v>
      </c>
      <c r="T12" s="285" t="n"/>
      <c r="U12" s="285" t="n"/>
      <c r="V12" s="285" t="n"/>
      <c r="W12" s="318">
        <f>'5'!W12+'6'!S12</f>
        <v/>
      </c>
      <c r="X12" s="285" t="n"/>
      <c r="Y12" s="285" t="n"/>
      <c r="Z12" s="287" t="n"/>
    </row>
    <row r="13" ht="21.9" customHeight="1" s="251">
      <c r="A13" s="104" t="inlineStr">
        <is>
          <t>청관제</t>
        </is>
      </c>
      <c r="B13" s="279" t="n"/>
      <c r="C13" s="310">
        <f>'5'!I13</f>
        <v/>
      </c>
      <c r="D13" s="265" t="n"/>
      <c r="E13" s="104" t="n">
        <v>0</v>
      </c>
      <c r="F13" s="279" t="n"/>
      <c r="G13" s="104" t="n">
        <v>90</v>
      </c>
      <c r="H13" s="279" t="n"/>
      <c r="I13" s="288">
        <f>C13+E13-G13</f>
        <v/>
      </c>
      <c r="J13" s="275" t="n"/>
      <c r="K13" s="288">
        <f>'5'!K13+'6'!E13</f>
        <v/>
      </c>
      <c r="L13" s="275" t="n"/>
      <c r="M13" s="288">
        <f>'5'!M13+'6'!G13</f>
        <v/>
      </c>
      <c r="N13" s="275" t="n"/>
      <c r="O13" s="1" t="n"/>
      <c r="P13" s="264" t="n"/>
      <c r="Q13" s="272" t="n"/>
      <c r="R13" s="265" t="n"/>
      <c r="S13" s="289" t="n"/>
      <c r="T13" s="290" t="n"/>
      <c r="U13" s="290" t="n"/>
      <c r="V13" s="290" t="n"/>
      <c r="W13" s="264" t="n"/>
      <c r="X13" s="272" t="n"/>
      <c r="Y13" s="272" t="n"/>
      <c r="Z13" s="265" t="n"/>
    </row>
    <row r="14" ht="21.9" customHeight="1" s="251">
      <c r="A14" s="104" t="inlineStr">
        <is>
          <t>활성탄</t>
        </is>
      </c>
      <c r="B14" s="279" t="n"/>
      <c r="C14" s="310">
        <f>'5'!I14</f>
        <v/>
      </c>
      <c r="D14" s="265" t="n"/>
      <c r="E14" s="104" t="n">
        <v>2000</v>
      </c>
      <c r="F14" s="279" t="n"/>
      <c r="G14" s="104" t="n">
        <v>120</v>
      </c>
      <c r="H14" s="279" t="n"/>
      <c r="I14" s="288">
        <f>C14+E14-G14</f>
        <v/>
      </c>
      <c r="J14" s="275" t="n"/>
      <c r="K14" s="288">
        <f>'5'!K14+'6'!E14</f>
        <v/>
      </c>
      <c r="L14" s="275" t="n"/>
      <c r="M14" s="288">
        <f>'5'!M14+'6'!G14</f>
        <v/>
      </c>
      <c r="N14" s="275" t="n"/>
      <c r="O14" s="1" t="n"/>
      <c r="P14" s="104" t="inlineStr">
        <is>
          <t>바닥재</t>
        </is>
      </c>
      <c r="Q14" s="291" t="n"/>
      <c r="R14" s="292" t="n"/>
      <c r="S14" s="293" t="n">
        <v>0</v>
      </c>
      <c r="T14" s="291" t="n"/>
      <c r="U14" s="291" t="n"/>
      <c r="V14" s="291" t="n"/>
      <c r="W14" s="311">
        <f>'5'!W14+'6'!S14</f>
        <v/>
      </c>
      <c r="X14" s="291" t="n"/>
      <c r="Y14" s="291" t="n"/>
      <c r="Z14" s="295" t="n"/>
    </row>
    <row r="15" ht="21.9" customHeight="1" s="251">
      <c r="A15" s="104" t="inlineStr">
        <is>
          <t>가성소다</t>
        </is>
      </c>
      <c r="B15" s="279" t="n"/>
      <c r="C15" s="310">
        <f>'5'!I15</f>
        <v/>
      </c>
      <c r="D15" s="265" t="n"/>
      <c r="E15" s="104" t="n">
        <v>0</v>
      </c>
      <c r="F15" s="279" t="n"/>
      <c r="G15" s="104" t="n">
        <v>24</v>
      </c>
      <c r="H15" s="279" t="n"/>
      <c r="I15" s="288">
        <f>C15+E15-G15</f>
        <v/>
      </c>
      <c r="J15" s="275" t="n"/>
      <c r="K15" s="288">
        <f>'5'!K15+'6'!E15</f>
        <v/>
      </c>
      <c r="L15" s="275" t="n"/>
      <c r="M15" s="288">
        <f>'5'!M15+'6'!G15</f>
        <v/>
      </c>
      <c r="N15" s="275" t="n"/>
      <c r="O15" s="1" t="n"/>
      <c r="P15" s="296" t="n"/>
      <c r="Q15" s="290" t="n"/>
      <c r="R15" s="297" t="n"/>
      <c r="S15" s="296" t="n"/>
      <c r="T15" s="290" t="n"/>
      <c r="U15" s="290" t="n"/>
      <c r="V15" s="290" t="n"/>
      <c r="W15" s="298" t="n"/>
      <c r="X15" s="272" t="n"/>
      <c r="Y15" s="272" t="n"/>
      <c r="Z15" s="265" t="n"/>
      <c r="AG15" s="1" t="n"/>
    </row>
    <row r="16" ht="21.9" customHeight="1" s="251">
      <c r="A16" s="104" t="inlineStr">
        <is>
          <t>소석회</t>
        </is>
      </c>
      <c r="B16" s="279" t="n"/>
      <c r="C16" s="310">
        <f>'5'!I16</f>
        <v/>
      </c>
      <c r="D16" s="265" t="n"/>
      <c r="E16" s="104" t="n">
        <v>0</v>
      </c>
      <c r="F16" s="279" t="n"/>
      <c r="G16" s="104" t="n">
        <v>20</v>
      </c>
      <c r="H16" s="279" t="n"/>
      <c r="I16" s="288">
        <f>C16+E16-G16</f>
        <v/>
      </c>
      <c r="J16" s="275" t="n"/>
      <c r="K16" s="288">
        <f>'5'!K16+'6'!E16</f>
        <v/>
      </c>
      <c r="L16" s="275" t="n"/>
      <c r="M16" s="288">
        <f>'5'!M16+'6'!G16</f>
        <v/>
      </c>
      <c r="N16" s="275" t="n"/>
      <c r="O16" s="1" t="n"/>
      <c r="P16" s="162" t="inlineStr">
        <is>
          <t>구분</t>
        </is>
      </c>
      <c r="Q16" s="291" t="n"/>
      <c r="R16" s="292" t="n"/>
      <c r="S16" s="299" t="inlineStr">
        <is>
          <t>주간</t>
        </is>
      </c>
      <c r="T16" s="292" t="n"/>
      <c r="U16" s="299" t="inlineStr">
        <is>
          <t>야간</t>
        </is>
      </c>
      <c r="V16" s="292" t="n"/>
      <c r="W16" s="299" t="inlineStr">
        <is>
          <t>합계</t>
        </is>
      </c>
      <c r="X16" s="292" t="n"/>
      <c r="Y16" s="299" t="inlineStr">
        <is>
          <t>누계</t>
        </is>
      </c>
      <c r="Z16" s="292" t="n"/>
    </row>
    <row r="17" ht="21.9" customHeight="1" s="251" thickBot="1">
      <c r="A17" s="104" t="inlineStr">
        <is>
          <t>소 금</t>
        </is>
      </c>
      <c r="B17" s="279" t="n"/>
      <c r="C17" s="310">
        <f>'5'!I17</f>
        <v/>
      </c>
      <c r="D17" s="265" t="n"/>
      <c r="E17" s="104" t="n">
        <v>0</v>
      </c>
      <c r="F17" s="279" t="n"/>
      <c r="G17" s="104" t="n">
        <v>200</v>
      </c>
      <c r="H17" s="279" t="n"/>
      <c r="I17" s="288">
        <f>C17+E17-G17</f>
        <v/>
      </c>
      <c r="J17" s="275" t="n"/>
      <c r="K17" s="288">
        <f>'5'!K17+'6'!E17</f>
        <v/>
      </c>
      <c r="L17" s="275" t="n"/>
      <c r="M17" s="288">
        <f>'5'!M17+'6'!G17</f>
        <v/>
      </c>
      <c r="N17" s="275" t="n"/>
      <c r="O17" s="1" t="n"/>
      <c r="P17" s="296" t="n"/>
      <c r="Q17" s="290" t="n"/>
      <c r="R17" s="297" t="n"/>
      <c r="S17" s="300" t="n"/>
      <c r="T17" s="301" t="n"/>
      <c r="U17" s="300" t="n"/>
      <c r="V17" s="301" t="n"/>
      <c r="W17" s="300" t="n"/>
      <c r="X17" s="301" t="n"/>
      <c r="Y17" s="300" t="n"/>
      <c r="Z17" s="301" t="n"/>
      <c r="AE17" s="302" t="n"/>
    </row>
    <row r="18" ht="21.9" customHeight="1" s="251" thickTop="1">
      <c r="A18" s="104" t="inlineStr">
        <is>
          <t>경 유</t>
        </is>
      </c>
      <c r="B18" s="279" t="n"/>
      <c r="C18" s="310">
        <f>'5'!I18</f>
        <v/>
      </c>
      <c r="D18" s="265" t="n"/>
      <c r="E18" s="104" t="n">
        <v>0</v>
      </c>
      <c r="F18" s="279" t="n"/>
      <c r="G18" s="104" t="n">
        <v>0</v>
      </c>
      <c r="H18" s="279" t="n"/>
      <c r="I18" s="288">
        <f>C18+E18-G18</f>
        <v/>
      </c>
      <c r="J18" s="275" t="n"/>
      <c r="K18" s="288">
        <f>'5'!K18+'6'!E18</f>
        <v/>
      </c>
      <c r="L18" s="275" t="n"/>
      <c r="M18" s="288">
        <f>'5'!M18+'6'!G18</f>
        <v/>
      </c>
      <c r="N18" s="275" t="n"/>
      <c r="O18" s="1" t="n"/>
      <c r="P18" s="164" t="inlineStr">
        <is>
          <t>불연물</t>
        </is>
      </c>
      <c r="Q18" s="285" t="n"/>
      <c r="R18" s="287" t="n"/>
      <c r="S18" s="303" t="n">
        <v>2</v>
      </c>
      <c r="T18" s="287" t="n"/>
      <c r="U18" s="303" t="n">
        <v>2</v>
      </c>
      <c r="V18" s="287" t="n"/>
      <c r="W18" s="303">
        <f>S18+U18</f>
        <v/>
      </c>
      <c r="X18" s="287" t="n"/>
      <c r="Y18" s="303">
        <f>'5'!Y18+'6'!W18</f>
        <v/>
      </c>
      <c r="Z18" s="287" t="n"/>
    </row>
    <row r="19" ht="21.9" customHeight="1" s="251">
      <c r="A19" s="153" t="inlineStr">
        <is>
          <t>SRF</t>
        </is>
      </c>
      <c r="B19" s="279" t="n"/>
      <c r="C19" s="310">
        <f>'5'!I19</f>
        <v/>
      </c>
      <c r="D19" s="265" t="n"/>
      <c r="E19" s="154" t="n">
        <v>70810</v>
      </c>
      <c r="F19" s="279" t="n"/>
      <c r="G19" s="154">
        <f>D7</f>
        <v/>
      </c>
      <c r="H19" s="279" t="n"/>
      <c r="I19" s="273">
        <f>C19+E19-G19</f>
        <v/>
      </c>
      <c r="J19" s="275" t="n"/>
      <c r="K19" s="273">
        <f>'5'!K19+'6'!E19</f>
        <v/>
      </c>
      <c r="L19" s="275" t="n"/>
      <c r="M19" s="273">
        <f>'5'!M19+'6'!G19</f>
        <v/>
      </c>
      <c r="N19" s="275" t="n"/>
      <c r="O19" s="1" t="n"/>
      <c r="P19" s="256" t="n"/>
      <c r="R19" s="254" t="n"/>
      <c r="S19" s="256" t="n"/>
      <c r="T19" s="254" t="n"/>
      <c r="U19" s="256" t="n"/>
      <c r="V19" s="254" t="n"/>
      <c r="W19" s="256" t="n"/>
      <c r="X19" s="254" t="n"/>
      <c r="Y19" s="256" t="n"/>
      <c r="Z19" s="254" t="n"/>
    </row>
    <row r="20" ht="21.9" customHeight="1" s="251">
      <c r="A20" s="104" t="inlineStr">
        <is>
          <t>규 사</t>
        </is>
      </c>
      <c r="B20" s="279" t="n"/>
      <c r="C20" s="310">
        <f>'5'!I20</f>
        <v/>
      </c>
      <c r="D20" s="265" t="n"/>
      <c r="E20" s="288" t="n"/>
      <c r="F20" s="275" t="n"/>
      <c r="G20" s="104" t="n"/>
      <c r="H20" s="279" t="n"/>
      <c r="I20" s="288" t="inlineStr">
        <is>
          <t>-</t>
        </is>
      </c>
      <c r="J20" s="275" t="n"/>
      <c r="K20" s="105">
        <f>'5'!K20+'6'!E20</f>
        <v/>
      </c>
      <c r="L20" s="265" t="n"/>
      <c r="M20" s="273">
        <f>'5'!M20+'6'!G20</f>
        <v/>
      </c>
      <c r="N20" s="275" t="n"/>
      <c r="O20" s="1" t="n"/>
      <c r="P20" s="264" t="n"/>
      <c r="Q20" s="272" t="n"/>
      <c r="R20" s="265" t="n"/>
      <c r="S20" s="264" t="n"/>
      <c r="T20" s="265" t="n"/>
      <c r="U20" s="264" t="n"/>
      <c r="V20" s="265" t="n"/>
      <c r="W20" s="264" t="n"/>
      <c r="X20" s="265" t="n"/>
      <c r="Y20" s="264" t="n"/>
      <c r="Z20" s="265" t="n"/>
    </row>
    <row r="21" ht="12" customHeight="1" s="25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 t="inlineStr">
        <is>
          <t>5. 전력 사용량 (KWH)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10" t="inlineStr">
        <is>
          <t>6. 유틸리티 사용현황 (㎥)</t>
        </is>
      </c>
      <c r="Q22" s="290" t="n"/>
      <c r="R22" s="290" t="n"/>
      <c r="S22" s="290" t="n"/>
      <c r="T22" s="290" t="n"/>
      <c r="U22" s="290" t="n"/>
      <c r="V22" s="1" t="n"/>
      <c r="W22" s="1" t="n"/>
      <c r="X22" s="1" t="n"/>
      <c r="Y22" s="1" t="n"/>
      <c r="Z22" s="1" t="n"/>
    </row>
    <row r="23" ht="28.5" customHeight="1" s="251" thickBot="1">
      <c r="A23" s="136" t="inlineStr">
        <is>
          <t>구 분</t>
        </is>
      </c>
      <c r="B23" s="270" t="n"/>
      <c r="C23" s="271" t="n"/>
      <c r="D23" s="136" t="inlineStr">
        <is>
          <t>전일지침</t>
        </is>
      </c>
      <c r="E23" s="270" t="n"/>
      <c r="F23" s="271" t="n"/>
      <c r="G23" s="136" t="inlineStr">
        <is>
          <t>금일지침</t>
        </is>
      </c>
      <c r="H23" s="270" t="n"/>
      <c r="I23" s="271" t="n"/>
      <c r="J23" s="136" t="inlineStr">
        <is>
          <t>사용량</t>
        </is>
      </c>
      <c r="K23" s="270" t="n"/>
      <c r="L23" s="271" t="n"/>
      <c r="M23" s="136" t="inlineStr">
        <is>
          <t>누 계</t>
        </is>
      </c>
      <c r="N23" s="271" t="n"/>
      <c r="P23" s="136" t="inlineStr">
        <is>
          <t>구 분</t>
        </is>
      </c>
      <c r="Q23" s="270" t="n"/>
      <c r="R23" s="271" t="n"/>
      <c r="S23" s="136" t="inlineStr">
        <is>
          <t>전일 사용량</t>
        </is>
      </c>
      <c r="T23" s="270" t="n"/>
      <c r="U23" s="271" t="n"/>
      <c r="V23" s="136" t="inlineStr">
        <is>
          <t>금일 사용량</t>
        </is>
      </c>
      <c r="W23" s="270" t="n"/>
      <c r="X23" s="271" t="n"/>
      <c r="Y23" s="136" t="inlineStr">
        <is>
          <t>누 계</t>
        </is>
      </c>
      <c r="Z23" s="271" t="n"/>
    </row>
    <row r="24" ht="21.9" customHeight="1" s="251" thickTop="1">
      <c r="A24" s="105" t="inlineStr">
        <is>
          <t>MAIN</t>
        </is>
      </c>
      <c r="B24" s="272" t="n"/>
      <c r="C24" s="265" t="n"/>
      <c r="D24" s="187">
        <f>'5'!G24</f>
        <v/>
      </c>
      <c r="E24" s="285" t="n"/>
      <c r="F24" s="287" t="n"/>
      <c r="G24" s="164" t="n">
        <v>3819302</v>
      </c>
      <c r="H24" s="304" t="n"/>
      <c r="I24" s="283" t="n"/>
      <c r="J24" s="164">
        <f>G24-D24</f>
        <v/>
      </c>
      <c r="K24" s="304" t="n"/>
      <c r="L24" s="283" t="n"/>
      <c r="M24" s="164">
        <f>'5'!M24+J24</f>
        <v/>
      </c>
      <c r="N24" s="283" t="n"/>
      <c r="P24" s="105" t="inlineStr">
        <is>
          <t>재이용수</t>
        </is>
      </c>
      <c r="Q24" s="272" t="n"/>
      <c r="R24" s="265" t="n"/>
      <c r="S24" s="105">
        <f>'5'!V24</f>
        <v/>
      </c>
      <c r="T24" s="272" t="n"/>
      <c r="U24" s="265" t="n"/>
      <c r="V24" s="276" t="n">
        <v>426.3</v>
      </c>
      <c r="W24" s="272" t="n"/>
      <c r="X24" s="265" t="n"/>
      <c r="Y24" s="276">
        <f>'5'!Y24+'6'!V24</f>
        <v/>
      </c>
      <c r="Z24" s="265" t="n"/>
    </row>
    <row r="25" ht="21.9" customHeight="1" s="251">
      <c r="A25" s="104" t="inlineStr">
        <is>
          <t>ASH 저장조</t>
        </is>
      </c>
      <c r="B25" s="278" t="n"/>
      <c r="C25" s="279" t="n"/>
      <c r="D25" s="288">
        <f>'5'!G25</f>
        <v/>
      </c>
      <c r="E25" s="274" t="n"/>
      <c r="F25" s="275" t="n"/>
      <c r="G25" s="104" t="n">
        <v>32988.4</v>
      </c>
      <c r="H25" s="278" t="n"/>
      <c r="I25" s="279" t="n"/>
      <c r="J25" s="104">
        <f>G25-D25</f>
        <v/>
      </c>
      <c r="K25" s="278" t="n"/>
      <c r="L25" s="279" t="n"/>
      <c r="M25" s="288">
        <f>'5'!M25+J25</f>
        <v/>
      </c>
      <c r="N25" s="275" t="n"/>
      <c r="P25" s="104" t="inlineStr">
        <is>
          <t>복류수</t>
        </is>
      </c>
      <c r="Q25" s="278" t="n"/>
      <c r="R25" s="279" t="n"/>
      <c r="S25" s="105">
        <f>'5'!V25</f>
        <v/>
      </c>
      <c r="T25" s="272" t="n"/>
      <c r="U25" s="265" t="n"/>
      <c r="V25" s="280" t="n">
        <v>57.3</v>
      </c>
      <c r="W25" s="278" t="n"/>
      <c r="X25" s="279" t="n"/>
      <c r="Y25" s="316">
        <f>'5'!Y25+'6'!V25</f>
        <v/>
      </c>
      <c r="Z25" s="275" t="n"/>
    </row>
    <row r="26" ht="21.9" customHeight="1" s="251">
      <c r="A26" s="104" t="inlineStr">
        <is>
          <t>BAG FILTER</t>
        </is>
      </c>
      <c r="B26" s="278" t="n"/>
      <c r="C26" s="279" t="n"/>
      <c r="D26" s="288">
        <f>'5'!G26</f>
        <v/>
      </c>
      <c r="E26" s="274" t="n"/>
      <c r="F26" s="275" t="n"/>
      <c r="G26" s="104" t="n">
        <v>24430</v>
      </c>
      <c r="H26" s="278" t="n"/>
      <c r="I26" s="279" t="n"/>
      <c r="J26" s="104">
        <f>G26-D26</f>
        <v/>
      </c>
      <c r="K26" s="278" t="n"/>
      <c r="L26" s="279" t="n"/>
      <c r="M26" s="288">
        <f>'5'!M26+J26</f>
        <v/>
      </c>
      <c r="N26" s="275" t="n"/>
      <c r="P26" s="104" t="inlineStr">
        <is>
          <t>응축수</t>
        </is>
      </c>
      <c r="Q26" s="278" t="n"/>
      <c r="R26" s="279" t="n"/>
      <c r="S26" s="105">
        <f>'5'!V26</f>
        <v/>
      </c>
      <c r="T26" s="272" t="n"/>
      <c r="U26" s="265" t="n"/>
      <c r="V26" s="280" t="n">
        <v>541.2</v>
      </c>
      <c r="W26" s="278" t="n"/>
      <c r="X26" s="279" t="n"/>
      <c r="Y26" s="316">
        <f>'5'!Y26+'6'!V26</f>
        <v/>
      </c>
      <c r="Z26" s="275" t="n"/>
    </row>
    <row r="27" ht="21.9" customHeight="1" s="251">
      <c r="A27" s="104" t="inlineStr">
        <is>
          <t>SCRUBBER</t>
        </is>
      </c>
      <c r="B27" s="278" t="n"/>
      <c r="C27" s="279" t="n"/>
      <c r="D27" s="288">
        <f>'5'!G27</f>
        <v/>
      </c>
      <c r="E27" s="274" t="n"/>
      <c r="F27" s="275" t="n"/>
      <c r="G27" s="104" t="n">
        <v>1362000</v>
      </c>
      <c r="H27" s="278" t="n"/>
      <c r="I27" s="279" t="n"/>
      <c r="J27" s="104">
        <f>G27-D27</f>
        <v/>
      </c>
      <c r="K27" s="278" t="n"/>
      <c r="L27" s="279" t="n"/>
      <c r="M27" s="288">
        <f>'5'!M27+J27</f>
        <v/>
      </c>
      <c r="N27" s="275" t="n"/>
      <c r="P27" s="104" t="inlineStr">
        <is>
          <t>보일러 급수</t>
        </is>
      </c>
      <c r="Q27" s="278" t="n"/>
      <c r="R27" s="279" t="n"/>
      <c r="S27" s="105">
        <f>'5'!V27</f>
        <v/>
      </c>
      <c r="T27" s="272" t="n"/>
      <c r="U27" s="265" t="n"/>
      <c r="V27" s="280" t="n">
        <v>531.5</v>
      </c>
      <c r="W27" s="278" t="n"/>
      <c r="X27" s="279" t="n"/>
      <c r="Y27" s="316">
        <f>'5'!Y27+'6'!V27</f>
        <v/>
      </c>
      <c r="Z27" s="275" t="n"/>
    </row>
    <row r="28" ht="21.9" customHeight="1" s="251">
      <c r="A28" s="104" t="inlineStr">
        <is>
          <t>활성탄 공급</t>
        </is>
      </c>
      <c r="B28" s="278" t="n"/>
      <c r="C28" s="279" t="n"/>
      <c r="D28" s="288">
        <f>'5'!G28</f>
        <v/>
      </c>
      <c r="E28" s="274" t="n"/>
      <c r="F28" s="275" t="n"/>
      <c r="G28" s="104" t="n">
        <v>5310</v>
      </c>
      <c r="H28" s="278" t="n"/>
      <c r="I28" s="279" t="n"/>
      <c r="J28" s="104">
        <f>G28-D28</f>
        <v/>
      </c>
      <c r="K28" s="278" t="n"/>
      <c r="L28" s="279" t="n"/>
      <c r="M28" s="288">
        <f>'5'!M28+J28</f>
        <v/>
      </c>
      <c r="N28" s="275" t="n"/>
      <c r="P28" s="104" t="inlineStr">
        <is>
          <t>폐 수</t>
        </is>
      </c>
      <c r="Q28" s="278" t="n"/>
      <c r="R28" s="279" t="n"/>
      <c r="S28" s="105">
        <f>'5'!V28</f>
        <v/>
      </c>
      <c r="T28" s="272" t="n"/>
      <c r="U28" s="265" t="n"/>
      <c r="V28" s="280" t="n">
        <v>0</v>
      </c>
      <c r="W28" s="278" t="n"/>
      <c r="X28" s="279" t="n"/>
      <c r="Y28" s="316">
        <f>'5'!Y28+'6'!V28</f>
        <v/>
      </c>
      <c r="Z28" s="275" t="n"/>
    </row>
    <row r="29" ht="21.9" customHeight="1" s="251">
      <c r="A29" s="104" t="inlineStr">
        <is>
          <t>소석회 공급</t>
        </is>
      </c>
      <c r="B29" s="278" t="n"/>
      <c r="C29" s="279" t="n"/>
      <c r="D29" s="288">
        <f>'5'!G29</f>
        <v/>
      </c>
      <c r="E29" s="274" t="n"/>
      <c r="F29" s="275" t="n"/>
      <c r="G29" s="104" t="n">
        <v>66200</v>
      </c>
      <c r="H29" s="278" t="n"/>
      <c r="I29" s="279" t="n"/>
      <c r="J29" s="104">
        <f>G29-D29</f>
        <v/>
      </c>
      <c r="K29" s="278" t="n"/>
      <c r="L29" s="279" t="n"/>
      <c r="M29" s="288">
        <f>'5'!M29+J29</f>
        <v/>
      </c>
      <c r="N29" s="275" t="n"/>
      <c r="P29" s="104" t="inlineStr">
        <is>
          <t>연 수</t>
        </is>
      </c>
      <c r="Q29" s="278" t="n"/>
      <c r="R29" s="279" t="n"/>
      <c r="S29" s="105">
        <f>'5'!V29</f>
        <v/>
      </c>
      <c r="T29" s="272" t="n"/>
      <c r="U29" s="265" t="n"/>
      <c r="V29" s="280" t="n">
        <v>61.6</v>
      </c>
      <c r="W29" s="278" t="n"/>
      <c r="X29" s="279" t="n"/>
      <c r="Y29" s="316">
        <f>'5'!Y29+'6'!V29</f>
        <v/>
      </c>
      <c r="Z29" s="275" t="n"/>
    </row>
    <row r="30" ht="21.9" customHeight="1" s="251">
      <c r="A30" s="104" t="inlineStr">
        <is>
          <t>요소수 공급</t>
        </is>
      </c>
      <c r="B30" s="278" t="n"/>
      <c r="C30" s="279" t="n"/>
      <c r="D30" s="288">
        <f>'5'!G30</f>
        <v/>
      </c>
      <c r="E30" s="274" t="n"/>
      <c r="F30" s="275" t="n"/>
      <c r="G30" s="104" t="n">
        <v>53310</v>
      </c>
      <c r="H30" s="278" t="n"/>
      <c r="I30" s="279" t="n"/>
      <c r="J30" s="104">
        <f>G30-D30</f>
        <v/>
      </c>
      <c r="K30" s="278" t="n"/>
      <c r="L30" s="279" t="n"/>
      <c r="M30" s="288">
        <f>'5'!M30+J30</f>
        <v/>
      </c>
      <c r="N30" s="275" t="n"/>
      <c r="P30" s="104" t="inlineStr">
        <is>
          <t>계</t>
        </is>
      </c>
      <c r="Q30" s="278" t="n"/>
      <c r="R30" s="279" t="n"/>
      <c r="S30" s="104">
        <f>SUM(S24:U29)</f>
        <v/>
      </c>
      <c r="T30" s="278" t="n"/>
      <c r="U30" s="279" t="n"/>
      <c r="V30" s="280" t="n"/>
      <c r="W30" s="278" t="n"/>
      <c r="X30" s="279" t="n"/>
      <c r="Y30" s="316">
        <f>'5'!Y30+'6'!V30</f>
        <v/>
      </c>
      <c r="Z30" s="275" t="n"/>
    </row>
    <row r="31" ht="21.9" customHeight="1" s="251">
      <c r="A31" s="104" t="inlineStr">
        <is>
          <t xml:space="preserve">F.D </t>
        </is>
      </c>
      <c r="B31" s="278" t="n"/>
      <c r="C31" s="279" t="n"/>
      <c r="D31" s="288">
        <f>'5'!G31</f>
        <v/>
      </c>
      <c r="E31" s="274" t="n"/>
      <c r="F31" s="275" t="n"/>
      <c r="G31" s="288" t="n">
        <v>6252030</v>
      </c>
      <c r="H31" s="274" t="n"/>
      <c r="I31" s="275" t="n"/>
      <c r="J31" s="288">
        <f>G31-D31</f>
        <v/>
      </c>
      <c r="K31" s="274" t="n"/>
      <c r="L31" s="275" t="n"/>
      <c r="M31" s="288">
        <f>'5'!M31+J31</f>
        <v/>
      </c>
      <c r="N31" s="275" t="n"/>
      <c r="P31" s="172" t="n"/>
      <c r="Q31" s="172" t="n"/>
      <c r="R31" s="172" t="n"/>
      <c r="S31" s="172" t="n"/>
      <c r="T31" s="172" t="n"/>
      <c r="U31" s="172" t="n"/>
      <c r="V31" s="305" t="n"/>
      <c r="W31" s="305" t="n"/>
      <c r="X31" s="305" t="n"/>
      <c r="Y31" s="305" t="n"/>
      <c r="Z31" s="305" t="n"/>
    </row>
    <row r="32" ht="21.9" customHeight="1" s="251">
      <c r="A32" s="104" t="inlineStr">
        <is>
          <t>활성탄 BAG</t>
        </is>
      </c>
      <c r="B32" s="278" t="n"/>
      <c r="C32" s="279" t="n"/>
      <c r="D32" s="288">
        <f>'5'!G32</f>
        <v/>
      </c>
      <c r="E32" s="274" t="n"/>
      <c r="F32" s="275" t="n"/>
      <c r="G32" s="288" t="n">
        <v>1.7</v>
      </c>
      <c r="H32" s="274" t="n"/>
      <c r="I32" s="275" t="n"/>
      <c r="J32" s="288">
        <f>G32-D32</f>
        <v/>
      </c>
      <c r="K32" s="274" t="n"/>
      <c r="L32" s="275" t="n"/>
      <c r="M32" s="288">
        <f>'5'!M32+J32</f>
        <v/>
      </c>
      <c r="N32" s="275" t="n"/>
      <c r="P32" s="172" t="n"/>
      <c r="Q32" s="172" t="n"/>
      <c r="R32" s="172" t="n"/>
      <c r="S32" s="172" t="n"/>
      <c r="T32" s="172" t="n"/>
      <c r="U32" s="172" t="n"/>
      <c r="V32" s="305" t="n"/>
      <c r="W32" s="305" t="n"/>
      <c r="X32" s="305" t="n"/>
      <c r="Y32" s="305" t="n"/>
      <c r="Z32" s="305" t="n"/>
    </row>
    <row r="33" ht="21.9" customHeight="1" s="251">
      <c r="A33" s="104" t="inlineStr">
        <is>
          <t>소석회 BAG</t>
        </is>
      </c>
      <c r="B33" s="278" t="n"/>
      <c r="C33" s="279" t="n"/>
      <c r="D33" s="288">
        <f>'5'!G33</f>
        <v/>
      </c>
      <c r="E33" s="274" t="n"/>
      <c r="F33" s="275" t="n"/>
      <c r="G33" s="288" t="n">
        <v>0</v>
      </c>
      <c r="H33" s="274" t="n"/>
      <c r="I33" s="275" t="n"/>
      <c r="J33" s="288">
        <f>G33-D33</f>
        <v/>
      </c>
      <c r="K33" s="274" t="n"/>
      <c r="L33" s="275" t="n"/>
      <c r="M33" s="288">
        <f>'5'!M33+J33</f>
        <v/>
      </c>
      <c r="N33" s="275" t="n"/>
      <c r="P33" s="172" t="n"/>
      <c r="Q33" s="172" t="n"/>
      <c r="R33" s="172" t="n"/>
      <c r="S33" s="172" t="n"/>
      <c r="T33" s="172" t="n"/>
      <c r="U33" s="172" t="n"/>
      <c r="V33" s="305" t="n"/>
      <c r="W33" s="305" t="n"/>
      <c r="X33" s="305" t="n"/>
      <c r="Y33" s="305" t="n"/>
      <c r="Z33" s="305" t="n"/>
    </row>
  </sheetData>
  <mergeCells count="217">
    <mergeCell ref="V24:X24"/>
    <mergeCell ref="A15:B15"/>
    <mergeCell ref="P27:R27"/>
    <mergeCell ref="S23:U23"/>
    <mergeCell ref="C15:D15"/>
    <mergeCell ref="J27:L27"/>
    <mergeCell ref="S14:V15"/>
    <mergeCell ref="Y24:Z24"/>
    <mergeCell ref="U7:W7"/>
    <mergeCell ref="A26:C26"/>
    <mergeCell ref="J25:L25"/>
    <mergeCell ref="G24:I24"/>
    <mergeCell ref="D28:F28"/>
    <mergeCell ref="I16:J16"/>
    <mergeCell ref="A23:C23"/>
    <mergeCell ref="S24:U24"/>
    <mergeCell ref="P6:Q6"/>
    <mergeCell ref="P28:R28"/>
    <mergeCell ref="W1:X1"/>
    <mergeCell ref="Y1:Z1"/>
    <mergeCell ref="G26:I26"/>
    <mergeCell ref="S16:T17"/>
    <mergeCell ref="D30:F30"/>
    <mergeCell ref="G18:H18"/>
    <mergeCell ref="B1:C1"/>
    <mergeCell ref="U8:W8"/>
    <mergeCell ref="I18:J18"/>
    <mergeCell ref="H3:S3"/>
    <mergeCell ref="M16:N16"/>
    <mergeCell ref="P30:R30"/>
    <mergeCell ref="M25:N25"/>
    <mergeCell ref="D29:F29"/>
    <mergeCell ref="D23:F23"/>
    <mergeCell ref="Y25:Z25"/>
    <mergeCell ref="M18:N18"/>
    <mergeCell ref="M33:N33"/>
    <mergeCell ref="A17:B17"/>
    <mergeCell ref="S25:U25"/>
    <mergeCell ref="C17:D17"/>
    <mergeCell ref="U18:V20"/>
    <mergeCell ref="J29:L29"/>
    <mergeCell ref="M17:N17"/>
    <mergeCell ref="W18:X20"/>
    <mergeCell ref="G20:H20"/>
    <mergeCell ref="I20:J20"/>
    <mergeCell ref="S27:U27"/>
    <mergeCell ref="A19:B19"/>
    <mergeCell ref="V23:X23"/>
    <mergeCell ref="C19:D19"/>
    <mergeCell ref="A6:C6"/>
    <mergeCell ref="Y2:Z3"/>
    <mergeCell ref="Y18:Z20"/>
    <mergeCell ref="P22:U22"/>
    <mergeCell ref="M19:N19"/>
    <mergeCell ref="I13:J13"/>
    <mergeCell ref="K13:L13"/>
    <mergeCell ref="X7:Z7"/>
    <mergeCell ref="E12:F12"/>
    <mergeCell ref="J24:L24"/>
    <mergeCell ref="G12:H12"/>
    <mergeCell ref="G28:I28"/>
    <mergeCell ref="D27:F27"/>
    <mergeCell ref="G6:I6"/>
    <mergeCell ref="I15:J15"/>
    <mergeCell ref="A11:B11"/>
    <mergeCell ref="K15:L15"/>
    <mergeCell ref="S28:U28"/>
    <mergeCell ref="C14:D14"/>
    <mergeCell ref="E14:F14"/>
    <mergeCell ref="J26:L26"/>
    <mergeCell ref="G30:I30"/>
    <mergeCell ref="J7:L7"/>
    <mergeCell ref="V27:X27"/>
    <mergeCell ref="A32:C32"/>
    <mergeCell ref="A29:C29"/>
    <mergeCell ref="D25:F25"/>
    <mergeCell ref="V25:X25"/>
    <mergeCell ref="Y26:Z26"/>
    <mergeCell ref="M13:N13"/>
    <mergeCell ref="G32:I32"/>
    <mergeCell ref="J33:L33"/>
    <mergeCell ref="W14:Z15"/>
    <mergeCell ref="A31:C31"/>
    <mergeCell ref="S26:U26"/>
    <mergeCell ref="M27:N27"/>
    <mergeCell ref="I17:J17"/>
    <mergeCell ref="A24:C24"/>
    <mergeCell ref="Y27:Z27"/>
    <mergeCell ref="K17:L17"/>
    <mergeCell ref="P29:R29"/>
    <mergeCell ref="M24:N24"/>
    <mergeCell ref="E16:F16"/>
    <mergeCell ref="J28:L28"/>
    <mergeCell ref="G27:I27"/>
    <mergeCell ref="G16:H16"/>
    <mergeCell ref="D31:F31"/>
    <mergeCell ref="U2:V3"/>
    <mergeCell ref="I19:J19"/>
    <mergeCell ref="U1:V1"/>
    <mergeCell ref="G8:I8"/>
    <mergeCell ref="K19:L19"/>
    <mergeCell ref="C18:D18"/>
    <mergeCell ref="A7:C7"/>
    <mergeCell ref="V29:X29"/>
    <mergeCell ref="E18:F18"/>
    <mergeCell ref="J30:L30"/>
    <mergeCell ref="R6:T6"/>
    <mergeCell ref="K16:L16"/>
    <mergeCell ref="A25:C25"/>
    <mergeCell ref="J6:L6"/>
    <mergeCell ref="D1:E1"/>
    <mergeCell ref="D32:F32"/>
    <mergeCell ref="G11:H11"/>
    <mergeCell ref="I11:J11"/>
    <mergeCell ref="P23:R23"/>
    <mergeCell ref="W11:Z11"/>
    <mergeCell ref="D7:F7"/>
    <mergeCell ref="Y16:Z17"/>
    <mergeCell ref="S18:T20"/>
    <mergeCell ref="Y30:Z30"/>
    <mergeCell ref="C20:D20"/>
    <mergeCell ref="E20:F20"/>
    <mergeCell ref="K11:L11"/>
    <mergeCell ref="J32:L32"/>
    <mergeCell ref="M11:N11"/>
    <mergeCell ref="Y29:Z29"/>
    <mergeCell ref="H1:S2"/>
    <mergeCell ref="V26:X26"/>
    <mergeCell ref="E13:F13"/>
    <mergeCell ref="S30:U30"/>
    <mergeCell ref="G13:H13"/>
    <mergeCell ref="M31:N31"/>
    <mergeCell ref="G29:I29"/>
    <mergeCell ref="D8:F8"/>
    <mergeCell ref="D33:F33"/>
    <mergeCell ref="W12:Z13"/>
    <mergeCell ref="A12:B12"/>
    <mergeCell ref="A28:C28"/>
    <mergeCell ref="S29:U29"/>
    <mergeCell ref="C12:D12"/>
    <mergeCell ref="A1:A3"/>
    <mergeCell ref="M15:N15"/>
    <mergeCell ref="E15:F15"/>
    <mergeCell ref="M12:N12"/>
    <mergeCell ref="G15:H15"/>
    <mergeCell ref="G31:I31"/>
    <mergeCell ref="Y28:Z28"/>
    <mergeCell ref="P18:R20"/>
    <mergeCell ref="A14:B14"/>
    <mergeCell ref="J8:L8"/>
    <mergeCell ref="A30:C30"/>
    <mergeCell ref="M26:N26"/>
    <mergeCell ref="U6:W6"/>
    <mergeCell ref="P25:R25"/>
    <mergeCell ref="M29:N29"/>
    <mergeCell ref="M23:N23"/>
    <mergeCell ref="F2:G3"/>
    <mergeCell ref="G23:I23"/>
    <mergeCell ref="Y23:Z23"/>
    <mergeCell ref="U16:V17"/>
    <mergeCell ref="W16:X17"/>
    <mergeCell ref="G7:I7"/>
    <mergeCell ref="K18:L18"/>
    <mergeCell ref="P12:R13"/>
    <mergeCell ref="D6:F6"/>
    <mergeCell ref="F1:G1"/>
    <mergeCell ref="T1:T3"/>
    <mergeCell ref="V28:X28"/>
    <mergeCell ref="P11:R11"/>
    <mergeCell ref="P14:R15"/>
    <mergeCell ref="A27:C27"/>
    <mergeCell ref="V30:X30"/>
    <mergeCell ref="W2:X3"/>
    <mergeCell ref="E17:F17"/>
    <mergeCell ref="G17:H17"/>
    <mergeCell ref="G33:I33"/>
    <mergeCell ref="X6:Z6"/>
    <mergeCell ref="A33:C33"/>
    <mergeCell ref="K20:L20"/>
    <mergeCell ref="A16:B16"/>
    <mergeCell ref="C16:D16"/>
    <mergeCell ref="M20:N20"/>
    <mergeCell ref="A8:C8"/>
    <mergeCell ref="E19:F19"/>
    <mergeCell ref="P8:Q8"/>
    <mergeCell ref="J31:L31"/>
    <mergeCell ref="G19:H19"/>
    <mergeCell ref="A18:B18"/>
    <mergeCell ref="G25:I25"/>
    <mergeCell ref="D24:F24"/>
    <mergeCell ref="M30:N30"/>
    <mergeCell ref="I12:J12"/>
    <mergeCell ref="K12:L12"/>
    <mergeCell ref="P24:R24"/>
    <mergeCell ref="P7:Q7"/>
    <mergeCell ref="C11:D11"/>
    <mergeCell ref="M28:N28"/>
    <mergeCell ref="E11:F11"/>
    <mergeCell ref="J23:L23"/>
    <mergeCell ref="D26:F26"/>
    <mergeCell ref="G14:H14"/>
    <mergeCell ref="S11:V11"/>
    <mergeCell ref="I14:J14"/>
    <mergeCell ref="R8:T8"/>
    <mergeCell ref="K14:L14"/>
    <mergeCell ref="P26:R26"/>
    <mergeCell ref="P16:R17"/>
    <mergeCell ref="A20:B20"/>
    <mergeCell ref="B2:C3"/>
    <mergeCell ref="D2:E3"/>
    <mergeCell ref="M32:N32"/>
    <mergeCell ref="M14:N14"/>
    <mergeCell ref="X8:Z8"/>
    <mergeCell ref="A13:B13"/>
    <mergeCell ref="C13:D13"/>
    <mergeCell ref="R7:T7"/>
    <mergeCell ref="S12:V13"/>
  </mergeCells>
  <pageMargins left="0.7086614173228347" right="0.7086614173228347" top="0.7480314960629921" bottom="0.7480314960629921" header="0.3149606299212598" footer="0.3149606299212598"/>
  <pageSetup orientation="portrait" paperSize="9" scale="5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E33"/>
  <sheetViews>
    <sheetView zoomScaleNormal="100" zoomScaleSheetLayoutView="100" workbookViewId="0">
      <selection activeCell="J32" sqref="J32:L32"/>
    </sheetView>
  </sheetViews>
  <sheetFormatPr baseColWidth="8" defaultRowHeight="17.4"/>
  <cols>
    <col width="2.8984375" customWidth="1" style="251" min="1" max="1"/>
    <col width="5.59765625" customWidth="1" style="251" min="2" max="14"/>
    <col width="3.59765625" customWidth="1" style="251" min="15" max="15"/>
    <col width="4.59765625" customWidth="1" style="251" min="16" max="22"/>
    <col width="5.59765625" customWidth="1" style="251" min="23" max="26"/>
  </cols>
  <sheetData>
    <row r="1" ht="18.75" customHeight="1" s="251">
      <c r="A1" s="122" t="inlineStr">
        <is>
          <t>근
무
자</t>
        </is>
      </c>
      <c r="B1" s="120" t="inlineStr">
        <is>
          <t>오  전</t>
        </is>
      </c>
      <c r="C1" s="252" t="n"/>
      <c r="D1" s="120" t="inlineStr">
        <is>
          <t>오  후</t>
        </is>
      </c>
      <c r="E1" s="252" t="n"/>
      <c r="F1" s="120" t="inlineStr">
        <is>
          <t>야  간</t>
        </is>
      </c>
      <c r="G1" s="252" t="n"/>
      <c r="H1" s="253" t="inlineStr">
        <is>
          <t>유동상소각로 운전일지</t>
        </is>
      </c>
      <c r="S1" s="254" t="n"/>
      <c r="T1" s="255" t="inlineStr">
        <is>
          <t>결
재</t>
        </is>
      </c>
      <c r="U1" s="120" t="inlineStr">
        <is>
          <t>반장</t>
        </is>
      </c>
      <c r="V1" s="252" t="n"/>
      <c r="W1" s="120" t="inlineStr">
        <is>
          <t>대리</t>
        </is>
      </c>
      <c r="X1" s="252" t="n"/>
      <c r="Y1" s="120" t="inlineStr">
        <is>
          <t>팀장</t>
        </is>
      </c>
      <c r="Z1" s="252" t="n"/>
    </row>
    <row r="2" ht="14.25" customHeight="1" s="251">
      <c r="A2" s="256" t="n"/>
      <c r="B2" s="257" t="inlineStr">
        <is>
          <t>김문한</t>
        </is>
      </c>
      <c r="C2" s="258" t="n"/>
      <c r="D2" s="257" t="inlineStr">
        <is>
          <t>김동욱</t>
        </is>
      </c>
      <c r="E2" s="258" t="n"/>
      <c r="F2" s="257" t="inlineStr">
        <is>
          <t>권정민</t>
        </is>
      </c>
      <c r="G2" s="258" t="n"/>
      <c r="H2" s="259" t="n"/>
      <c r="I2" s="260" t="n"/>
      <c r="J2" s="260" t="n"/>
      <c r="K2" s="260" t="n"/>
      <c r="L2" s="260" t="n"/>
      <c r="M2" s="260" t="n"/>
      <c r="N2" s="260" t="n"/>
      <c r="O2" s="260" t="n"/>
      <c r="P2" s="260" t="n"/>
      <c r="Q2" s="260" t="n"/>
      <c r="R2" s="260" t="n"/>
      <c r="S2" s="261" t="n"/>
      <c r="T2" s="262" t="n"/>
      <c r="U2" s="105" t="n"/>
      <c r="V2" s="254" t="n"/>
      <c r="W2" s="105" t="n"/>
      <c r="X2" s="254" t="n"/>
      <c r="Y2" s="105" t="n"/>
      <c r="Z2" s="254" t="n"/>
    </row>
    <row r="3" ht="37.5" customHeight="1" s="251">
      <c r="A3" s="263" t="n"/>
      <c r="B3" s="264" t="n"/>
      <c r="C3" s="265" t="n"/>
      <c r="D3" s="264" t="n"/>
      <c r="E3" s="265" t="n"/>
      <c r="F3" s="264" t="n"/>
      <c r="G3" s="265" t="n"/>
      <c r="H3" s="266" t="n">
        <v>46210</v>
      </c>
      <c r="I3" s="267" t="n"/>
      <c r="J3" s="267" t="n"/>
      <c r="K3" s="267" t="n"/>
      <c r="L3" s="267" t="n"/>
      <c r="M3" s="267" t="n"/>
      <c r="N3" s="267" t="n"/>
      <c r="O3" s="267" t="n"/>
      <c r="P3" s="267" t="n"/>
      <c r="Q3" s="267" t="n"/>
      <c r="R3" s="267" t="n"/>
      <c r="S3" s="268" t="n"/>
      <c r="T3" s="269" t="n"/>
      <c r="U3" s="264" t="n"/>
      <c r="V3" s="265" t="n"/>
      <c r="W3" s="264" t="n"/>
      <c r="X3" s="265" t="n"/>
      <c r="Y3" s="264" t="n"/>
      <c r="Z3" s="265" t="n"/>
    </row>
    <row r="4" ht="13.5" customHeight="1" s="25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inlineStr">
        <is>
          <t>1. 소각현황(KG)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inlineStr">
        <is>
          <t>2. BOILER 운전현황(TON, HR)</t>
        </is>
      </c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2.5" customHeight="1" s="251" thickBot="1">
      <c r="A6" s="136" t="inlineStr">
        <is>
          <t>구 분</t>
        </is>
      </c>
      <c r="B6" s="270" t="n"/>
      <c r="C6" s="271" t="n"/>
      <c r="D6" s="136" t="inlineStr">
        <is>
          <t>SRF소각량</t>
        </is>
      </c>
      <c r="E6" s="270" t="n"/>
      <c r="F6" s="271" t="n"/>
      <c r="G6" s="136" t="inlineStr">
        <is>
          <t>SLUDGE 소각량</t>
        </is>
      </c>
      <c r="H6" s="270" t="n"/>
      <c r="I6" s="271" t="n"/>
      <c r="J6" s="136" t="inlineStr">
        <is>
          <t>합 계</t>
        </is>
      </c>
      <c r="K6" s="270" t="n"/>
      <c r="L6" s="271" t="n"/>
      <c r="M6" s="1" t="n"/>
      <c r="N6" s="1" t="n"/>
      <c r="O6" s="1" t="n"/>
      <c r="P6" s="136" t="inlineStr">
        <is>
          <t>구 분</t>
        </is>
      </c>
      <c r="Q6" s="271" t="n"/>
      <c r="R6" s="136" t="inlineStr">
        <is>
          <t>스팀 생산량</t>
        </is>
      </c>
      <c r="S6" s="270" t="n"/>
      <c r="T6" s="271" t="n"/>
      <c r="U6" s="136" t="inlineStr">
        <is>
          <t>스팀 송기량</t>
        </is>
      </c>
      <c r="V6" s="270" t="n"/>
      <c r="W6" s="271" t="n"/>
      <c r="X6" s="136" t="inlineStr">
        <is>
          <t>가동시간</t>
        </is>
      </c>
      <c r="Y6" s="270" t="n"/>
      <c r="Z6" s="271" t="n"/>
    </row>
    <row r="7" ht="30" customHeight="1" s="251" thickTop="1">
      <c r="A7" s="105" t="inlineStr">
        <is>
          <t>금 일</t>
        </is>
      </c>
      <c r="B7" s="272" t="n"/>
      <c r="C7" s="265" t="n"/>
      <c r="D7" s="320" t="n">
        <v>78842</v>
      </c>
      <c r="E7" s="304" t="n"/>
      <c r="F7" s="283" t="n"/>
      <c r="G7" s="320" t="n">
        <v>117000</v>
      </c>
      <c r="H7" s="304" t="n"/>
      <c r="I7" s="283" t="n"/>
      <c r="J7" s="154">
        <f>D7+G7</f>
        <v/>
      </c>
      <c r="K7" s="278" t="n"/>
      <c r="L7" s="279" t="n"/>
      <c r="M7" s="1" t="n"/>
      <c r="N7" s="1" t="n"/>
      <c r="O7" s="1" t="n"/>
      <c r="P7" s="105" t="inlineStr">
        <is>
          <t>금 일</t>
        </is>
      </c>
      <c r="Q7" s="265" t="n"/>
      <c r="R7" s="276" t="n">
        <v>455</v>
      </c>
      <c r="S7" s="272" t="n"/>
      <c r="T7" s="265" t="n"/>
      <c r="U7" s="276" t="n">
        <v>259.2</v>
      </c>
      <c r="V7" s="272" t="n"/>
      <c r="W7" s="265" t="n"/>
      <c r="X7" s="277" t="n">
        <v>24</v>
      </c>
      <c r="Y7" s="272" t="n"/>
      <c r="Z7" s="265" t="n"/>
    </row>
    <row r="8" ht="30" customHeight="1" s="251">
      <c r="A8" s="104" t="inlineStr">
        <is>
          <t>누 계</t>
        </is>
      </c>
      <c r="B8" s="278" t="n"/>
      <c r="C8" s="279" t="n"/>
      <c r="D8" s="154">
        <f>'6'!D8+D7</f>
        <v/>
      </c>
      <c r="E8" s="278" t="n"/>
      <c r="F8" s="279" t="n"/>
      <c r="G8" s="154">
        <f>'6'!G8+G7</f>
        <v/>
      </c>
      <c r="H8" s="278" t="n"/>
      <c r="I8" s="279" t="n"/>
      <c r="J8" s="154">
        <f>D8+G8</f>
        <v/>
      </c>
      <c r="K8" s="278" t="n"/>
      <c r="L8" s="279" t="n"/>
      <c r="M8" s="1" t="n"/>
      <c r="N8" s="1" t="n"/>
      <c r="O8" s="1" t="n"/>
      <c r="P8" s="104" t="inlineStr">
        <is>
          <t>누 계</t>
        </is>
      </c>
      <c r="Q8" s="279" t="n"/>
      <c r="R8" s="280">
        <f>'6'!R8+'7'!R7</f>
        <v/>
      </c>
      <c r="S8" s="278" t="n"/>
      <c r="T8" s="279" t="n"/>
      <c r="U8" s="280">
        <f>'6'!U8+U7</f>
        <v/>
      </c>
      <c r="V8" s="278" t="n"/>
      <c r="W8" s="279" t="n"/>
      <c r="X8" s="281">
        <f>'6'!X8+X7</f>
        <v/>
      </c>
      <c r="Y8" s="278" t="n"/>
      <c r="Z8" s="279" t="n"/>
    </row>
    <row r="9" ht="12" customHeight="1" s="25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inlineStr">
        <is>
          <t>3. 약품 사용현황 (KG)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inlineStr">
        <is>
          <t>4. 소각재 발생량 (TON, 대)</t>
        </is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30.75" customHeight="1" s="251" thickBot="1">
      <c r="A11" s="136" t="inlineStr">
        <is>
          <t>품 명</t>
        </is>
      </c>
      <c r="B11" s="271" t="n"/>
      <c r="C11" s="150" t="inlineStr">
        <is>
          <t>전일 
재고량</t>
        </is>
      </c>
      <c r="D11" s="271" t="n"/>
      <c r="E11" s="136" t="inlineStr">
        <is>
          <t>입고량</t>
        </is>
      </c>
      <c r="F11" s="271" t="n"/>
      <c r="G11" s="136" t="inlineStr">
        <is>
          <t>사용량</t>
        </is>
      </c>
      <c r="H11" s="271" t="n"/>
      <c r="I11" s="282" t="inlineStr">
        <is>
          <t>재고량</t>
        </is>
      </c>
      <c r="J11" s="271" t="n"/>
      <c r="K11" s="150" t="inlineStr">
        <is>
          <t>입고량 
누계</t>
        </is>
      </c>
      <c r="L11" s="271" t="n"/>
      <c r="M11" s="150" t="inlineStr">
        <is>
          <t>사용량 
누계</t>
        </is>
      </c>
      <c r="N11" s="271" t="n"/>
      <c r="O11" s="1" t="n"/>
      <c r="P11" s="136" t="inlineStr">
        <is>
          <t xml:space="preserve"> 구 분</t>
        </is>
      </c>
      <c r="Q11" s="270" t="n"/>
      <c r="R11" s="271" t="n"/>
      <c r="S11" s="282" t="inlineStr">
        <is>
          <t>반출량</t>
        </is>
      </c>
      <c r="T11" s="270" t="n"/>
      <c r="U11" s="270" t="n"/>
      <c r="V11" s="271" t="n"/>
      <c r="W11" s="282" t="inlineStr">
        <is>
          <t>누계</t>
        </is>
      </c>
      <c r="X11" s="270" t="n"/>
      <c r="Y11" s="270" t="n"/>
      <c r="Z11" s="271" t="n"/>
    </row>
    <row r="12" ht="21.9" customHeight="1" s="251" thickTop="1">
      <c r="A12" s="142" t="inlineStr">
        <is>
          <t>탄산암모늄</t>
        </is>
      </c>
      <c r="B12" s="265" t="n"/>
      <c r="C12" s="310">
        <f>'6'!I12</f>
        <v/>
      </c>
      <c r="D12" s="265" t="n"/>
      <c r="E12" s="105" t="n">
        <v>16020</v>
      </c>
      <c r="F12" s="265" t="n"/>
      <c r="G12" s="105" t="n">
        <v>3356</v>
      </c>
      <c r="H12" s="265" t="n"/>
      <c r="I12" s="164">
        <f>C12+E12-G12</f>
        <v/>
      </c>
      <c r="J12" s="283" t="n"/>
      <c r="K12" s="105">
        <f>'6'!K12+E12</f>
        <v/>
      </c>
      <c r="L12" s="265" t="n"/>
      <c r="M12" s="105">
        <f>'6'!M12+'7'!G12</f>
        <v/>
      </c>
      <c r="N12" s="265" t="n"/>
      <c r="O12" s="1" t="n"/>
      <c r="P12" s="149" t="inlineStr">
        <is>
          <t xml:space="preserve">
비산재
</t>
        </is>
      </c>
      <c r="R12" s="254" t="n"/>
      <c r="S12" s="284" t="n">
        <v>55.97</v>
      </c>
      <c r="T12" s="285" t="n"/>
      <c r="U12" s="285" t="n"/>
      <c r="V12" s="285" t="n"/>
      <c r="W12" s="318">
        <f>'6'!W12+'7'!S12</f>
        <v/>
      </c>
      <c r="X12" s="285" t="n"/>
      <c r="Y12" s="285" t="n"/>
      <c r="Z12" s="287" t="n"/>
    </row>
    <row r="13" ht="21.9" customHeight="1" s="251">
      <c r="A13" s="104" t="inlineStr">
        <is>
          <t>청관제</t>
        </is>
      </c>
      <c r="B13" s="279" t="n"/>
      <c r="C13" s="310">
        <f>'6'!I13</f>
        <v/>
      </c>
      <c r="D13" s="265" t="n"/>
      <c r="E13" s="104" t="n">
        <v>0</v>
      </c>
      <c r="F13" s="279" t="n"/>
      <c r="G13" s="104" t="n">
        <v>90</v>
      </c>
      <c r="H13" s="279" t="n"/>
      <c r="I13" s="288">
        <f>C13+E13-G13</f>
        <v/>
      </c>
      <c r="J13" s="275" t="n"/>
      <c r="K13" s="105">
        <f>'6'!K13+E13</f>
        <v/>
      </c>
      <c r="L13" s="265" t="n"/>
      <c r="M13" s="105">
        <f>'6'!M13+'7'!G13</f>
        <v/>
      </c>
      <c r="N13" s="265" t="n"/>
      <c r="O13" s="1" t="n"/>
      <c r="P13" s="264" t="n"/>
      <c r="Q13" s="272" t="n"/>
      <c r="R13" s="265" t="n"/>
      <c r="S13" s="289" t="n"/>
      <c r="T13" s="290" t="n"/>
      <c r="U13" s="290" t="n"/>
      <c r="V13" s="290" t="n"/>
      <c r="W13" s="264" t="n"/>
      <c r="X13" s="272" t="n"/>
      <c r="Y13" s="272" t="n"/>
      <c r="Z13" s="265" t="n"/>
    </row>
    <row r="14" ht="21.9" customHeight="1" s="251">
      <c r="A14" s="104" t="inlineStr">
        <is>
          <t>활성탄</t>
        </is>
      </c>
      <c r="B14" s="279" t="n"/>
      <c r="C14" s="310">
        <f>'6'!I14</f>
        <v/>
      </c>
      <c r="D14" s="265" t="n"/>
      <c r="E14" s="104" t="n">
        <v>0</v>
      </c>
      <c r="F14" s="279" t="n"/>
      <c r="G14" s="104" t="n">
        <v>120</v>
      </c>
      <c r="H14" s="279" t="n"/>
      <c r="I14" s="288">
        <f>C14+E14-G14</f>
        <v/>
      </c>
      <c r="J14" s="275" t="n"/>
      <c r="K14" s="105">
        <f>'6'!K14+E14</f>
        <v/>
      </c>
      <c r="L14" s="265" t="n"/>
      <c r="M14" s="105">
        <f>'6'!M14+'7'!G14</f>
        <v/>
      </c>
      <c r="N14" s="265" t="n"/>
      <c r="O14" s="1" t="n"/>
      <c r="P14" s="104" t="inlineStr">
        <is>
          <t>바닥재</t>
        </is>
      </c>
      <c r="Q14" s="291" t="n"/>
      <c r="R14" s="292" t="n"/>
      <c r="S14" s="293" t="n">
        <v>24.8</v>
      </c>
      <c r="T14" s="291" t="n"/>
      <c r="U14" s="291" t="n"/>
      <c r="V14" s="291" t="n"/>
      <c r="W14" s="311">
        <f>'6'!W14+'7'!S14</f>
        <v/>
      </c>
      <c r="X14" s="291" t="n"/>
      <c r="Y14" s="291" t="n"/>
      <c r="Z14" s="295" t="n"/>
    </row>
    <row r="15" ht="21.9" customHeight="1" s="251">
      <c r="A15" s="104" t="inlineStr">
        <is>
          <t>가성소다</t>
        </is>
      </c>
      <c r="B15" s="279" t="n"/>
      <c r="C15" s="310">
        <f>'6'!I15</f>
        <v/>
      </c>
      <c r="D15" s="265" t="n"/>
      <c r="E15" s="104" t="n">
        <v>0</v>
      </c>
      <c r="F15" s="279" t="n"/>
      <c r="G15" s="104" t="n">
        <v>33</v>
      </c>
      <c r="H15" s="279" t="n"/>
      <c r="I15" s="288">
        <f>C15+E15-G15</f>
        <v/>
      </c>
      <c r="J15" s="275" t="n"/>
      <c r="K15" s="105">
        <f>'6'!K15+E15</f>
        <v/>
      </c>
      <c r="L15" s="265" t="n"/>
      <c r="M15" s="105">
        <f>'6'!M15+'7'!G15</f>
        <v/>
      </c>
      <c r="N15" s="265" t="n"/>
      <c r="O15" s="1" t="n"/>
      <c r="P15" s="296" t="n"/>
      <c r="Q15" s="290" t="n"/>
      <c r="R15" s="297" t="n"/>
      <c r="S15" s="296" t="n"/>
      <c r="T15" s="290" t="n"/>
      <c r="U15" s="290" t="n"/>
      <c r="V15" s="290" t="n"/>
      <c r="W15" s="298" t="n"/>
      <c r="X15" s="272" t="n"/>
      <c r="Y15" s="272" t="n"/>
      <c r="Z15" s="265" t="n"/>
    </row>
    <row r="16" ht="21.9" customHeight="1" s="251">
      <c r="A16" s="104" t="inlineStr">
        <is>
          <t>소석회</t>
        </is>
      </c>
      <c r="B16" s="279" t="n"/>
      <c r="C16" s="310">
        <f>'6'!I16</f>
        <v/>
      </c>
      <c r="D16" s="265" t="n"/>
      <c r="E16" s="104" t="n">
        <v>0</v>
      </c>
      <c r="F16" s="279" t="n"/>
      <c r="G16" s="104" t="n">
        <v>20</v>
      </c>
      <c r="H16" s="279" t="n"/>
      <c r="I16" s="288">
        <f>C16+E16-G16</f>
        <v/>
      </c>
      <c r="J16" s="275" t="n"/>
      <c r="K16" s="105">
        <f>'6'!K16+E16</f>
        <v/>
      </c>
      <c r="L16" s="265" t="n"/>
      <c r="M16" s="105">
        <f>'6'!M16+'7'!G16</f>
        <v/>
      </c>
      <c r="N16" s="265" t="n"/>
      <c r="O16" s="1" t="n"/>
      <c r="P16" s="162" t="inlineStr">
        <is>
          <t>구분</t>
        </is>
      </c>
      <c r="Q16" s="291" t="n"/>
      <c r="R16" s="292" t="n"/>
      <c r="S16" s="299" t="inlineStr">
        <is>
          <t>주간</t>
        </is>
      </c>
      <c r="T16" s="292" t="n"/>
      <c r="U16" s="299" t="inlineStr">
        <is>
          <t>야간</t>
        </is>
      </c>
      <c r="V16" s="292" t="n"/>
      <c r="W16" s="299" t="inlineStr">
        <is>
          <t>합계</t>
        </is>
      </c>
      <c r="X16" s="292" t="n"/>
      <c r="Y16" s="299" t="inlineStr">
        <is>
          <t>누계</t>
        </is>
      </c>
      <c r="Z16" s="292" t="n"/>
    </row>
    <row r="17" ht="21.9" customHeight="1" s="251" thickBot="1">
      <c r="A17" s="104" t="inlineStr">
        <is>
          <t>소 금</t>
        </is>
      </c>
      <c r="B17" s="279" t="n"/>
      <c r="C17" s="310">
        <f>'6'!I17</f>
        <v/>
      </c>
      <c r="D17" s="265" t="n"/>
      <c r="E17" s="104" t="n">
        <v>0</v>
      </c>
      <c r="F17" s="279" t="n"/>
      <c r="G17" s="104" t="n">
        <v>200</v>
      </c>
      <c r="H17" s="279" t="n"/>
      <c r="I17" s="288">
        <f>C17+E17-G17</f>
        <v/>
      </c>
      <c r="J17" s="275" t="n"/>
      <c r="K17" s="105">
        <f>'6'!K17+E17</f>
        <v/>
      </c>
      <c r="L17" s="265" t="n"/>
      <c r="M17" s="105">
        <f>'6'!M17+'7'!G17</f>
        <v/>
      </c>
      <c r="N17" s="265" t="n"/>
      <c r="O17" s="1" t="n"/>
      <c r="P17" s="296" t="n"/>
      <c r="Q17" s="290" t="n"/>
      <c r="R17" s="297" t="n"/>
      <c r="S17" s="300" t="n"/>
      <c r="T17" s="301" t="n"/>
      <c r="U17" s="300" t="n"/>
      <c r="V17" s="301" t="n"/>
      <c r="W17" s="300" t="n"/>
      <c r="X17" s="301" t="n"/>
      <c r="Y17" s="300" t="n"/>
      <c r="Z17" s="301" t="n"/>
      <c r="AE17" s="302" t="n"/>
    </row>
    <row r="18" ht="21.9" customHeight="1" s="251" thickTop="1">
      <c r="A18" s="104" t="inlineStr">
        <is>
          <t>경 유</t>
        </is>
      </c>
      <c r="B18" s="279" t="n"/>
      <c r="C18" s="310">
        <f>'6'!I18</f>
        <v/>
      </c>
      <c r="D18" s="265" t="n"/>
      <c r="E18" s="104" t="n">
        <v>0</v>
      </c>
      <c r="F18" s="279" t="n"/>
      <c r="G18" s="104" t="n">
        <v>0</v>
      </c>
      <c r="H18" s="279" t="n"/>
      <c r="I18" s="288">
        <f>C18+E18-G18</f>
        <v/>
      </c>
      <c r="J18" s="275" t="n"/>
      <c r="K18" s="105">
        <f>'6'!K18+E18</f>
        <v/>
      </c>
      <c r="L18" s="265" t="n"/>
      <c r="M18" s="105">
        <f>'6'!M18+'7'!G18</f>
        <v/>
      </c>
      <c r="N18" s="265" t="n"/>
      <c r="O18" s="1" t="n"/>
      <c r="P18" s="164" t="inlineStr">
        <is>
          <t>불연물</t>
        </is>
      </c>
      <c r="Q18" s="285" t="n"/>
      <c r="R18" s="287" t="n"/>
      <c r="S18" s="303" t="n">
        <v>2</v>
      </c>
      <c r="T18" s="287" t="n"/>
      <c r="U18" s="303" t="n">
        <v>1</v>
      </c>
      <c r="V18" s="287" t="n"/>
      <c r="W18" s="303">
        <f>S18+U18</f>
        <v/>
      </c>
      <c r="X18" s="287" t="n"/>
      <c r="Y18" s="303">
        <f>'6'!Y18+'7'!W18</f>
        <v/>
      </c>
      <c r="Z18" s="287" t="n"/>
    </row>
    <row r="19" ht="21.9" customHeight="1" s="251">
      <c r="A19" s="153" t="inlineStr">
        <is>
          <t>SRF</t>
        </is>
      </c>
      <c r="B19" s="279" t="n"/>
      <c r="C19" s="310">
        <f>'6'!I19</f>
        <v/>
      </c>
      <c r="D19" s="265" t="n"/>
      <c r="E19" s="154" t="n">
        <v>66070</v>
      </c>
      <c r="F19" s="279" t="n"/>
      <c r="G19" s="154" t="n">
        <v>78842</v>
      </c>
      <c r="H19" s="279" t="n"/>
      <c r="I19" s="273">
        <f>C19+E19-G19</f>
        <v/>
      </c>
      <c r="J19" s="275" t="n"/>
      <c r="K19" s="139">
        <f>'6'!K19+E19</f>
        <v/>
      </c>
      <c r="L19" s="265" t="n"/>
      <c r="M19" s="139">
        <f>'6'!M19+'7'!G19</f>
        <v/>
      </c>
      <c r="N19" s="265" t="n"/>
      <c r="O19" s="1" t="n"/>
      <c r="P19" s="256" t="n"/>
      <c r="R19" s="254" t="n"/>
      <c r="S19" s="256" t="n"/>
      <c r="T19" s="254" t="n"/>
      <c r="U19" s="256" t="n"/>
      <c r="V19" s="254" t="n"/>
      <c r="W19" s="256" t="n"/>
      <c r="X19" s="254" t="n"/>
      <c r="Y19" s="256" t="n"/>
      <c r="Z19" s="254" t="n"/>
    </row>
    <row r="20" ht="21.9" customHeight="1" s="251">
      <c r="A20" s="104" t="inlineStr">
        <is>
          <t>규 사</t>
        </is>
      </c>
      <c r="B20" s="279" t="n"/>
      <c r="C20" s="310">
        <f>'6'!I20</f>
        <v/>
      </c>
      <c r="D20" s="265" t="n"/>
      <c r="E20" s="288" t="n">
        <v>0</v>
      </c>
      <c r="F20" s="275" t="n"/>
      <c r="G20" s="104" t="n">
        <v>0</v>
      </c>
      <c r="H20" s="279" t="n"/>
      <c r="I20" s="288" t="inlineStr">
        <is>
          <t>-</t>
        </is>
      </c>
      <c r="J20" s="275" t="n"/>
      <c r="K20" s="105">
        <f>'6'!K20+'7'!E20</f>
        <v/>
      </c>
      <c r="L20" s="265" t="n"/>
      <c r="M20" s="139">
        <f>'6'!M20+'7'!G20</f>
        <v/>
      </c>
      <c r="N20" s="265" t="n"/>
      <c r="O20" s="1" t="n"/>
      <c r="P20" s="264" t="n"/>
      <c r="Q20" s="272" t="n"/>
      <c r="R20" s="265" t="n"/>
      <c r="S20" s="264" t="n"/>
      <c r="T20" s="265" t="n"/>
      <c r="U20" s="264" t="n"/>
      <c r="V20" s="265" t="n"/>
      <c r="W20" s="264" t="n"/>
      <c r="X20" s="265" t="n"/>
      <c r="Y20" s="264" t="n"/>
      <c r="Z20" s="265" t="n"/>
    </row>
    <row r="21" ht="12" customHeight="1" s="25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 t="inlineStr">
        <is>
          <t>5. 전력 사용량 (KWH)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10" t="inlineStr">
        <is>
          <t>6. 유틸리티 사용현황 (㎥)</t>
        </is>
      </c>
      <c r="Q22" s="290" t="n"/>
      <c r="R22" s="290" t="n"/>
      <c r="S22" s="290" t="n"/>
      <c r="T22" s="290" t="n"/>
      <c r="U22" s="290" t="n"/>
      <c r="V22" s="1" t="n"/>
      <c r="W22" s="1" t="n"/>
      <c r="X22" s="1" t="n"/>
      <c r="Y22" s="1" t="n"/>
      <c r="Z22" s="1" t="n"/>
    </row>
    <row r="23" ht="28.5" customHeight="1" s="251" thickBot="1">
      <c r="A23" s="136" t="inlineStr">
        <is>
          <t>구 분</t>
        </is>
      </c>
      <c r="B23" s="270" t="n"/>
      <c r="C23" s="271" t="n"/>
      <c r="D23" s="136" t="inlineStr">
        <is>
          <t>전일지침</t>
        </is>
      </c>
      <c r="E23" s="270" t="n"/>
      <c r="F23" s="271" t="n"/>
      <c r="G23" s="136" t="inlineStr">
        <is>
          <t>금일지침</t>
        </is>
      </c>
      <c r="H23" s="270" t="n"/>
      <c r="I23" s="271" t="n"/>
      <c r="J23" s="136" t="inlineStr">
        <is>
          <t>사용량</t>
        </is>
      </c>
      <c r="K23" s="270" t="n"/>
      <c r="L23" s="271" t="n"/>
      <c r="M23" s="136" t="inlineStr">
        <is>
          <t>누 계</t>
        </is>
      </c>
      <c r="N23" s="271" t="n"/>
      <c r="P23" s="136" t="inlineStr">
        <is>
          <t>구 분</t>
        </is>
      </c>
      <c r="Q23" s="270" t="n"/>
      <c r="R23" s="271" t="n"/>
      <c r="S23" s="136" t="inlineStr">
        <is>
          <t>전일 사용량</t>
        </is>
      </c>
      <c r="T23" s="270" t="n"/>
      <c r="U23" s="271" t="n"/>
      <c r="V23" s="136" t="inlineStr">
        <is>
          <t>금일 사용량</t>
        </is>
      </c>
      <c r="W23" s="270" t="n"/>
      <c r="X23" s="271" t="n"/>
      <c r="Y23" s="136" t="inlineStr">
        <is>
          <t>누 계</t>
        </is>
      </c>
      <c r="Z23" s="271" t="n"/>
    </row>
    <row r="24" ht="21.9" customHeight="1" s="251" thickTop="1">
      <c r="A24" s="105" t="inlineStr">
        <is>
          <t>MAIN</t>
        </is>
      </c>
      <c r="B24" s="272" t="n"/>
      <c r="C24" s="265" t="n"/>
      <c r="D24" s="187">
        <f>'6'!G24</f>
        <v/>
      </c>
      <c r="E24" s="285" t="n"/>
      <c r="F24" s="287" t="n"/>
      <c r="G24" s="164" t="n">
        <v>3840163</v>
      </c>
      <c r="H24" s="304" t="n"/>
      <c r="I24" s="283" t="n"/>
      <c r="J24" s="164">
        <f>G24-D24</f>
        <v/>
      </c>
      <c r="K24" s="304" t="n"/>
      <c r="L24" s="283" t="n"/>
      <c r="M24" s="164">
        <f>'6'!M24+J24</f>
        <v/>
      </c>
      <c r="N24" s="283" t="n"/>
      <c r="P24" s="105" t="inlineStr">
        <is>
          <t>재이용수</t>
        </is>
      </c>
      <c r="Q24" s="272" t="n"/>
      <c r="R24" s="265" t="n"/>
      <c r="S24" s="105">
        <f>'6'!V24</f>
        <v/>
      </c>
      <c r="T24" s="272" t="n"/>
      <c r="U24" s="265" t="n"/>
      <c r="V24" s="276" t="n">
        <v>421.4</v>
      </c>
      <c r="W24" s="272" t="n"/>
      <c r="X24" s="265" t="n"/>
      <c r="Y24" s="276">
        <f>'6'!Y24+'7'!V24</f>
        <v/>
      </c>
      <c r="Z24" s="265" t="n"/>
    </row>
    <row r="25" ht="21.9" customHeight="1" s="251">
      <c r="A25" s="104" t="inlineStr">
        <is>
          <t>ASH 저장조</t>
        </is>
      </c>
      <c r="B25" s="278" t="n"/>
      <c r="C25" s="279" t="n"/>
      <c r="D25" s="104">
        <f>'6'!G25</f>
        <v/>
      </c>
      <c r="E25" s="278" t="n"/>
      <c r="F25" s="279" t="n"/>
      <c r="G25" s="104" t="n">
        <v>33021.8</v>
      </c>
      <c r="H25" s="278" t="n"/>
      <c r="I25" s="279" t="n"/>
      <c r="J25" s="104">
        <f>G25-D25</f>
        <v/>
      </c>
      <c r="K25" s="278" t="n"/>
      <c r="L25" s="279" t="n"/>
      <c r="M25" s="288">
        <f>'6'!M25+J25</f>
        <v/>
      </c>
      <c r="N25" s="275" t="n"/>
      <c r="P25" s="104" t="inlineStr">
        <is>
          <t>복류수</t>
        </is>
      </c>
      <c r="Q25" s="278" t="n"/>
      <c r="R25" s="279" t="n"/>
      <c r="S25" s="288">
        <f>'6'!V25</f>
        <v/>
      </c>
      <c r="T25" s="274" t="n"/>
      <c r="U25" s="275" t="n"/>
      <c r="V25" s="280" t="n">
        <v>61.2</v>
      </c>
      <c r="W25" s="278" t="n"/>
      <c r="X25" s="279" t="n"/>
      <c r="Y25" s="316">
        <f>'6'!Y25+'7'!V25</f>
        <v/>
      </c>
      <c r="Z25" s="275" t="n"/>
    </row>
    <row r="26" ht="21.9" customHeight="1" s="251">
      <c r="A26" s="104" t="inlineStr">
        <is>
          <t>BAG FILTER</t>
        </is>
      </c>
      <c r="B26" s="278" t="n"/>
      <c r="C26" s="279" t="n"/>
      <c r="D26" s="104">
        <f>'6'!G26</f>
        <v/>
      </c>
      <c r="E26" s="278" t="n"/>
      <c r="F26" s="279" t="n"/>
      <c r="G26" s="104" t="n">
        <v>24450</v>
      </c>
      <c r="H26" s="278" t="n"/>
      <c r="I26" s="279" t="n"/>
      <c r="J26" s="104">
        <f>G26-D26</f>
        <v/>
      </c>
      <c r="K26" s="278" t="n"/>
      <c r="L26" s="279" t="n"/>
      <c r="M26" s="288">
        <f>'6'!M26+J26</f>
        <v/>
      </c>
      <c r="N26" s="275" t="n"/>
      <c r="P26" s="104" t="inlineStr">
        <is>
          <t>응축수</t>
        </is>
      </c>
      <c r="Q26" s="278" t="n"/>
      <c r="R26" s="279" t="n"/>
      <c r="S26" s="288">
        <f>'6'!V26</f>
        <v/>
      </c>
      <c r="T26" s="274" t="n"/>
      <c r="U26" s="275" t="n"/>
      <c r="V26" s="280" t="n">
        <v>574.8</v>
      </c>
      <c r="W26" s="278" t="n"/>
      <c r="X26" s="279" t="n"/>
      <c r="Y26" s="316">
        <f>'6'!Y26+'7'!V26</f>
        <v/>
      </c>
      <c r="Z26" s="275" t="n"/>
    </row>
    <row r="27" ht="21.9" customHeight="1" s="251">
      <c r="A27" s="104" t="inlineStr">
        <is>
          <t>SCRUBBER</t>
        </is>
      </c>
      <c r="B27" s="278" t="n"/>
      <c r="C27" s="279" t="n"/>
      <c r="D27" s="104">
        <f>'6'!G27</f>
        <v/>
      </c>
      <c r="E27" s="278" t="n"/>
      <c r="F27" s="279" t="n"/>
      <c r="G27" s="104" t="n">
        <v>1365000</v>
      </c>
      <c r="H27" s="278" t="n"/>
      <c r="I27" s="279" t="n"/>
      <c r="J27" s="104">
        <f>G27-D27</f>
        <v/>
      </c>
      <c r="K27" s="278" t="n"/>
      <c r="L27" s="279" t="n"/>
      <c r="M27" s="288">
        <f>'6'!M27+J27</f>
        <v/>
      </c>
      <c r="N27" s="275" t="n"/>
      <c r="P27" s="104" t="inlineStr">
        <is>
          <t>보일러 급수</t>
        </is>
      </c>
      <c r="Q27" s="278" t="n"/>
      <c r="R27" s="279" t="n"/>
      <c r="S27" s="288">
        <f>'6'!V27</f>
        <v/>
      </c>
      <c r="T27" s="274" t="n"/>
      <c r="U27" s="275" t="n"/>
      <c r="V27" s="280" t="n">
        <v>527.8</v>
      </c>
      <c r="W27" s="278" t="n"/>
      <c r="X27" s="279" t="n"/>
      <c r="Y27" s="316">
        <f>'6'!Y27+'7'!V27</f>
        <v/>
      </c>
      <c r="Z27" s="275" t="n"/>
    </row>
    <row r="28" ht="21.9" customHeight="1" s="251">
      <c r="A28" s="104" t="inlineStr">
        <is>
          <t>활성탄 공급</t>
        </is>
      </c>
      <c r="B28" s="278" t="n"/>
      <c r="C28" s="279" t="n"/>
      <c r="D28" s="104">
        <f>'6'!G28</f>
        <v/>
      </c>
      <c r="E28" s="278" t="n"/>
      <c r="F28" s="279" t="n"/>
      <c r="G28" s="104" t="n">
        <v>5362</v>
      </c>
      <c r="H28" s="278" t="n"/>
      <c r="I28" s="279" t="n"/>
      <c r="J28" s="104">
        <f>G28-D28</f>
        <v/>
      </c>
      <c r="K28" s="278" t="n"/>
      <c r="L28" s="279" t="n"/>
      <c r="M28" s="288">
        <f>'6'!M28+J28</f>
        <v/>
      </c>
      <c r="N28" s="275" t="n"/>
      <c r="P28" s="104" t="inlineStr">
        <is>
          <t>폐 수</t>
        </is>
      </c>
      <c r="Q28" s="278" t="n"/>
      <c r="R28" s="279" t="n"/>
      <c r="S28" s="288">
        <f>'6'!V28</f>
        <v/>
      </c>
      <c r="T28" s="274" t="n"/>
      <c r="U28" s="275" t="n"/>
      <c r="V28" s="316" t="n">
        <v>0</v>
      </c>
      <c r="W28" s="274" t="n"/>
      <c r="X28" s="275" t="n"/>
      <c r="Y28" s="316">
        <f>'6'!Y28+'7'!V28</f>
        <v/>
      </c>
      <c r="Z28" s="275" t="n"/>
    </row>
    <row r="29" ht="21.9" customHeight="1" s="251">
      <c r="A29" s="104" t="inlineStr">
        <is>
          <t>소석회 공급</t>
        </is>
      </c>
      <c r="B29" s="278" t="n"/>
      <c r="C29" s="279" t="n"/>
      <c r="D29" s="104">
        <f>'6'!G29</f>
        <v/>
      </c>
      <c r="E29" s="278" t="n"/>
      <c r="F29" s="279" t="n"/>
      <c r="G29" s="104" t="n">
        <v>66210</v>
      </c>
      <c r="H29" s="278" t="n"/>
      <c r="I29" s="279" t="n"/>
      <c r="J29" s="104">
        <f>G29-D29</f>
        <v/>
      </c>
      <c r="K29" s="278" t="n"/>
      <c r="L29" s="279" t="n"/>
      <c r="M29" s="288">
        <f>'6'!M29+J29</f>
        <v/>
      </c>
      <c r="N29" s="275" t="n"/>
      <c r="P29" s="104" t="inlineStr">
        <is>
          <t>연 수</t>
        </is>
      </c>
      <c r="Q29" s="278" t="n"/>
      <c r="R29" s="279" t="n"/>
      <c r="S29" s="288">
        <f>'6'!V29</f>
        <v/>
      </c>
      <c r="T29" s="274" t="n"/>
      <c r="U29" s="275" t="n"/>
      <c r="V29" s="280" t="n">
        <v>69.90000000000001</v>
      </c>
      <c r="W29" s="278" t="n"/>
      <c r="X29" s="279" t="n"/>
      <c r="Y29" s="316">
        <f>'6'!Y29+'7'!V29</f>
        <v/>
      </c>
      <c r="Z29" s="275" t="n"/>
    </row>
    <row r="30" ht="21.9" customHeight="1" s="251">
      <c r="A30" s="104" t="inlineStr">
        <is>
          <t>요소수 공급</t>
        </is>
      </c>
      <c r="B30" s="278" t="n"/>
      <c r="C30" s="279" t="n"/>
      <c r="D30" s="104">
        <f>'6'!G30</f>
        <v/>
      </c>
      <c r="E30" s="278" t="n"/>
      <c r="F30" s="279" t="n"/>
      <c r="G30" s="104" t="n">
        <v>53320</v>
      </c>
      <c r="H30" s="278" t="n"/>
      <c r="I30" s="279" t="n"/>
      <c r="J30" s="104">
        <f>G30-D30</f>
        <v/>
      </c>
      <c r="K30" s="278" t="n"/>
      <c r="L30" s="279" t="n"/>
      <c r="M30" s="288">
        <f>'6'!M30+J30</f>
        <v/>
      </c>
      <c r="N30" s="275" t="n"/>
      <c r="P30" s="104" t="inlineStr">
        <is>
          <t>계</t>
        </is>
      </c>
      <c r="Q30" s="278" t="n"/>
      <c r="R30" s="279" t="n"/>
      <c r="S30" s="104">
        <f>SUM(S24:U29)</f>
        <v/>
      </c>
      <c r="T30" s="278" t="n"/>
      <c r="U30" s="279" t="n"/>
      <c r="V30" s="104" t="n"/>
      <c r="W30" s="278" t="n"/>
      <c r="X30" s="279" t="n"/>
      <c r="Y30" s="316">
        <f>'6'!Y30+'7'!V30</f>
        <v/>
      </c>
      <c r="Z30" s="275" t="n"/>
    </row>
    <row r="31" ht="21.9" customHeight="1" s="251">
      <c r="A31" s="104" t="inlineStr">
        <is>
          <t xml:space="preserve">F.D </t>
        </is>
      </c>
      <c r="B31" s="278" t="n"/>
      <c r="C31" s="279" t="n"/>
      <c r="D31" s="104">
        <f>'6'!G31</f>
        <v/>
      </c>
      <c r="E31" s="278" t="n"/>
      <c r="F31" s="279" t="n"/>
      <c r="G31" s="288" t="n">
        <v>6259077</v>
      </c>
      <c r="H31" s="274" t="n"/>
      <c r="I31" s="275" t="n"/>
      <c r="J31" s="288">
        <f>G31-D31</f>
        <v/>
      </c>
      <c r="K31" s="274" t="n"/>
      <c r="L31" s="275" t="n"/>
      <c r="M31" s="288">
        <f>'6'!M31+J31</f>
        <v/>
      </c>
      <c r="N31" s="275" t="n"/>
      <c r="P31" s="172" t="n"/>
      <c r="Q31" s="172" t="n"/>
      <c r="R31" s="172" t="n"/>
      <c r="S31" s="172" t="n"/>
      <c r="T31" s="172" t="n"/>
      <c r="U31" s="172" t="n"/>
      <c r="V31" s="172" t="n"/>
      <c r="W31" s="172" t="n"/>
      <c r="X31" s="172" t="n"/>
      <c r="Y31" s="305" t="n"/>
      <c r="Z31" s="305" t="n"/>
    </row>
    <row r="32" ht="21.9" customHeight="1" s="251">
      <c r="A32" s="104" t="inlineStr">
        <is>
          <t>활성탄 BAG</t>
        </is>
      </c>
      <c r="B32" s="278" t="n"/>
      <c r="C32" s="279" t="n"/>
      <c r="D32" s="104">
        <f>'6'!G32</f>
        <v/>
      </c>
      <c r="E32" s="278" t="n"/>
      <c r="F32" s="279" t="n"/>
      <c r="G32" s="288" t="n">
        <v>1.7</v>
      </c>
      <c r="H32" s="274" t="n"/>
      <c r="I32" s="275" t="n"/>
      <c r="J32" s="288">
        <f>G32-D32</f>
        <v/>
      </c>
      <c r="K32" s="274" t="n"/>
      <c r="L32" s="275" t="n"/>
      <c r="M32" s="288">
        <f>'6'!M32+J32</f>
        <v/>
      </c>
      <c r="N32" s="275" t="n"/>
      <c r="P32" s="172" t="n"/>
      <c r="Q32" s="172" t="n"/>
      <c r="R32" s="172" t="n"/>
      <c r="S32" s="172" t="n"/>
      <c r="T32" s="172" t="n"/>
      <c r="U32" s="172" t="n"/>
      <c r="V32" s="172" t="n"/>
      <c r="W32" s="172" t="n"/>
      <c r="X32" s="172" t="n"/>
      <c r="Y32" s="305" t="n"/>
      <c r="Z32" s="305" t="n"/>
    </row>
    <row r="33" ht="21.9" customHeight="1" s="251">
      <c r="A33" s="104" t="inlineStr">
        <is>
          <t>소석회 BAG</t>
        </is>
      </c>
      <c r="B33" s="278" t="n"/>
      <c r="C33" s="279" t="n"/>
      <c r="D33" s="104">
        <f>'6'!G33</f>
        <v/>
      </c>
      <c r="E33" s="278" t="n"/>
      <c r="F33" s="279" t="n"/>
      <c r="G33" s="288" t="n">
        <v>0</v>
      </c>
      <c r="H33" s="274" t="n"/>
      <c r="I33" s="275" t="n"/>
      <c r="J33" s="288">
        <f>G33-D33</f>
        <v/>
      </c>
      <c r="K33" s="274" t="n"/>
      <c r="L33" s="275" t="n"/>
      <c r="M33" s="288">
        <f>'6'!M33+J33</f>
        <v/>
      </c>
      <c r="N33" s="275" t="n"/>
      <c r="P33" s="172" t="n"/>
      <c r="Q33" s="172" t="n"/>
      <c r="R33" s="172" t="n"/>
      <c r="S33" s="172" t="n"/>
      <c r="T33" s="172" t="n"/>
      <c r="U33" s="172" t="n"/>
      <c r="V33" s="172" t="n"/>
      <c r="W33" s="172" t="n"/>
      <c r="X33" s="172" t="n"/>
      <c r="Y33" s="305" t="n"/>
      <c r="Z33" s="305" t="n"/>
    </row>
  </sheetData>
  <mergeCells count="217">
    <mergeCell ref="V24:X24"/>
    <mergeCell ref="A15:B15"/>
    <mergeCell ref="P27:R27"/>
    <mergeCell ref="S23:U23"/>
    <mergeCell ref="C15:D15"/>
    <mergeCell ref="J27:L27"/>
    <mergeCell ref="S14:V15"/>
    <mergeCell ref="Y24:Z24"/>
    <mergeCell ref="U7:W7"/>
    <mergeCell ref="A26:C26"/>
    <mergeCell ref="J25:L25"/>
    <mergeCell ref="G24:I24"/>
    <mergeCell ref="D28:F28"/>
    <mergeCell ref="I16:J16"/>
    <mergeCell ref="A23:C23"/>
    <mergeCell ref="S24:U24"/>
    <mergeCell ref="P6:Q6"/>
    <mergeCell ref="P28:R28"/>
    <mergeCell ref="W1:X1"/>
    <mergeCell ref="Y1:Z1"/>
    <mergeCell ref="G26:I26"/>
    <mergeCell ref="S16:T17"/>
    <mergeCell ref="D30:F30"/>
    <mergeCell ref="G18:H18"/>
    <mergeCell ref="B1:C1"/>
    <mergeCell ref="U8:W8"/>
    <mergeCell ref="I18:J18"/>
    <mergeCell ref="H3:S3"/>
    <mergeCell ref="M16:N16"/>
    <mergeCell ref="P30:R30"/>
    <mergeCell ref="M25:N25"/>
    <mergeCell ref="D29:F29"/>
    <mergeCell ref="D23:F23"/>
    <mergeCell ref="Y25:Z25"/>
    <mergeCell ref="M18:N18"/>
    <mergeCell ref="M33:N33"/>
    <mergeCell ref="A17:B17"/>
    <mergeCell ref="S25:U25"/>
    <mergeCell ref="C17:D17"/>
    <mergeCell ref="U18:V20"/>
    <mergeCell ref="J29:L29"/>
    <mergeCell ref="M17:N17"/>
    <mergeCell ref="W18:X20"/>
    <mergeCell ref="G20:H20"/>
    <mergeCell ref="I20:J20"/>
    <mergeCell ref="S27:U27"/>
    <mergeCell ref="A19:B19"/>
    <mergeCell ref="V23:X23"/>
    <mergeCell ref="C19:D19"/>
    <mergeCell ref="A6:C6"/>
    <mergeCell ref="Y2:Z3"/>
    <mergeCell ref="Y18:Z20"/>
    <mergeCell ref="P22:U22"/>
    <mergeCell ref="M19:N19"/>
    <mergeCell ref="I13:J13"/>
    <mergeCell ref="K13:L13"/>
    <mergeCell ref="X7:Z7"/>
    <mergeCell ref="E12:F12"/>
    <mergeCell ref="J24:L24"/>
    <mergeCell ref="G12:H12"/>
    <mergeCell ref="G28:I28"/>
    <mergeCell ref="D27:F27"/>
    <mergeCell ref="G6:I6"/>
    <mergeCell ref="I15:J15"/>
    <mergeCell ref="A11:B11"/>
    <mergeCell ref="K15:L15"/>
    <mergeCell ref="S28:U28"/>
    <mergeCell ref="C14:D14"/>
    <mergeCell ref="E14:F14"/>
    <mergeCell ref="J26:L26"/>
    <mergeCell ref="G30:I30"/>
    <mergeCell ref="J7:L7"/>
    <mergeCell ref="V27:X27"/>
    <mergeCell ref="A32:C32"/>
    <mergeCell ref="A29:C29"/>
    <mergeCell ref="D25:F25"/>
    <mergeCell ref="V25:X25"/>
    <mergeCell ref="Y26:Z26"/>
    <mergeCell ref="M13:N13"/>
    <mergeCell ref="G32:I32"/>
    <mergeCell ref="J33:L33"/>
    <mergeCell ref="W14:Z15"/>
    <mergeCell ref="A31:C31"/>
    <mergeCell ref="S26:U26"/>
    <mergeCell ref="M27:N27"/>
    <mergeCell ref="I17:J17"/>
    <mergeCell ref="A24:C24"/>
    <mergeCell ref="Y27:Z27"/>
    <mergeCell ref="K17:L17"/>
    <mergeCell ref="P29:R29"/>
    <mergeCell ref="M24:N24"/>
    <mergeCell ref="E16:F16"/>
    <mergeCell ref="J28:L28"/>
    <mergeCell ref="G27:I27"/>
    <mergeCell ref="G16:H16"/>
    <mergeCell ref="D31:F31"/>
    <mergeCell ref="U2:V3"/>
    <mergeCell ref="I19:J19"/>
    <mergeCell ref="U1:V1"/>
    <mergeCell ref="G8:I8"/>
    <mergeCell ref="K19:L19"/>
    <mergeCell ref="C18:D18"/>
    <mergeCell ref="A7:C7"/>
    <mergeCell ref="V29:X29"/>
    <mergeCell ref="E18:F18"/>
    <mergeCell ref="J30:L30"/>
    <mergeCell ref="R6:T6"/>
    <mergeCell ref="K16:L16"/>
    <mergeCell ref="A25:C25"/>
    <mergeCell ref="J6:L6"/>
    <mergeCell ref="D1:E1"/>
    <mergeCell ref="D32:F32"/>
    <mergeCell ref="G11:H11"/>
    <mergeCell ref="I11:J11"/>
    <mergeCell ref="P23:R23"/>
    <mergeCell ref="W11:Z11"/>
    <mergeCell ref="D7:F7"/>
    <mergeCell ref="Y16:Z17"/>
    <mergeCell ref="S18:T20"/>
    <mergeCell ref="Y30:Z30"/>
    <mergeCell ref="C20:D20"/>
    <mergeCell ref="E20:F20"/>
    <mergeCell ref="K11:L11"/>
    <mergeCell ref="J32:L32"/>
    <mergeCell ref="M11:N11"/>
    <mergeCell ref="Y29:Z29"/>
    <mergeCell ref="H1:S2"/>
    <mergeCell ref="V26:X26"/>
    <mergeCell ref="E13:F13"/>
    <mergeCell ref="S30:U30"/>
    <mergeCell ref="G13:H13"/>
    <mergeCell ref="M31:N31"/>
    <mergeCell ref="G29:I29"/>
    <mergeCell ref="D8:F8"/>
    <mergeCell ref="D33:F33"/>
    <mergeCell ref="W12:Z13"/>
    <mergeCell ref="A12:B12"/>
    <mergeCell ref="A28:C28"/>
    <mergeCell ref="S29:U29"/>
    <mergeCell ref="C12:D12"/>
    <mergeCell ref="A1:A3"/>
    <mergeCell ref="M15:N15"/>
    <mergeCell ref="E15:F15"/>
    <mergeCell ref="M12:N12"/>
    <mergeCell ref="G15:H15"/>
    <mergeCell ref="G31:I31"/>
    <mergeCell ref="Y28:Z28"/>
    <mergeCell ref="P18:R20"/>
    <mergeCell ref="A14:B14"/>
    <mergeCell ref="J8:L8"/>
    <mergeCell ref="A30:C30"/>
    <mergeCell ref="M26:N26"/>
    <mergeCell ref="U6:W6"/>
    <mergeCell ref="P25:R25"/>
    <mergeCell ref="M29:N29"/>
    <mergeCell ref="M23:N23"/>
    <mergeCell ref="F2:G3"/>
    <mergeCell ref="G23:I23"/>
    <mergeCell ref="Y23:Z23"/>
    <mergeCell ref="U16:V17"/>
    <mergeCell ref="W16:X17"/>
    <mergeCell ref="G7:I7"/>
    <mergeCell ref="K18:L18"/>
    <mergeCell ref="P12:R13"/>
    <mergeCell ref="D6:F6"/>
    <mergeCell ref="F1:G1"/>
    <mergeCell ref="T1:T3"/>
    <mergeCell ref="V28:X28"/>
    <mergeCell ref="P11:R11"/>
    <mergeCell ref="P14:R15"/>
    <mergeCell ref="A27:C27"/>
    <mergeCell ref="V30:X30"/>
    <mergeCell ref="W2:X3"/>
    <mergeCell ref="E17:F17"/>
    <mergeCell ref="G17:H17"/>
    <mergeCell ref="G33:I33"/>
    <mergeCell ref="X6:Z6"/>
    <mergeCell ref="A33:C33"/>
    <mergeCell ref="K20:L20"/>
    <mergeCell ref="A16:B16"/>
    <mergeCell ref="C16:D16"/>
    <mergeCell ref="M20:N20"/>
    <mergeCell ref="A8:C8"/>
    <mergeCell ref="E19:F19"/>
    <mergeCell ref="P8:Q8"/>
    <mergeCell ref="J31:L31"/>
    <mergeCell ref="G19:H19"/>
    <mergeCell ref="A18:B18"/>
    <mergeCell ref="G25:I25"/>
    <mergeCell ref="D24:F24"/>
    <mergeCell ref="M30:N30"/>
    <mergeCell ref="I12:J12"/>
    <mergeCell ref="K12:L12"/>
    <mergeCell ref="P24:R24"/>
    <mergeCell ref="P7:Q7"/>
    <mergeCell ref="C11:D11"/>
    <mergeCell ref="M28:N28"/>
    <mergeCell ref="E11:F11"/>
    <mergeCell ref="J23:L23"/>
    <mergeCell ref="D26:F26"/>
    <mergeCell ref="G14:H14"/>
    <mergeCell ref="S11:V11"/>
    <mergeCell ref="I14:J14"/>
    <mergeCell ref="R8:T8"/>
    <mergeCell ref="K14:L14"/>
    <mergeCell ref="P26:R26"/>
    <mergeCell ref="P16:R17"/>
    <mergeCell ref="A20:B20"/>
    <mergeCell ref="B2:C3"/>
    <mergeCell ref="D2:E3"/>
    <mergeCell ref="M32:N32"/>
    <mergeCell ref="M14:N14"/>
    <mergeCell ref="X8:Z8"/>
    <mergeCell ref="A13:B13"/>
    <mergeCell ref="C13:D13"/>
    <mergeCell ref="R7:T7"/>
    <mergeCell ref="S12:V13"/>
  </mergeCells>
  <pageMargins left="0.7086614173228347" right="0.7086614173228347" top="0.7480314960629921" bottom="0.7480314960629921" header="0.3149606299212598" footer="0.3149606299212598"/>
  <pageSetup orientation="portrait" paperSize="9" scale="59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E33"/>
  <sheetViews>
    <sheetView zoomScaleNormal="100" zoomScaleSheetLayoutView="100" workbookViewId="0">
      <selection activeCell="J32" sqref="J32:L32"/>
    </sheetView>
  </sheetViews>
  <sheetFormatPr baseColWidth="8" defaultRowHeight="17.4"/>
  <cols>
    <col width="2.8984375" customWidth="1" style="251" min="1" max="1"/>
    <col width="5.59765625" customWidth="1" style="251" min="2" max="14"/>
    <col width="3.59765625" customWidth="1" style="251" min="15" max="15"/>
    <col width="4.59765625" customWidth="1" style="251" min="16" max="22"/>
    <col width="5.59765625" customWidth="1" style="251" min="23" max="26"/>
  </cols>
  <sheetData>
    <row r="1" ht="18.75" customHeight="1" s="251">
      <c r="A1" s="122" t="inlineStr">
        <is>
          <t>근
무
자</t>
        </is>
      </c>
      <c r="B1" s="120" t="inlineStr">
        <is>
          <t>오  전</t>
        </is>
      </c>
      <c r="C1" s="252" t="n"/>
      <c r="D1" s="120" t="inlineStr">
        <is>
          <t>오  후</t>
        </is>
      </c>
      <c r="E1" s="252" t="n"/>
      <c r="F1" s="120" t="inlineStr">
        <is>
          <t>야  간</t>
        </is>
      </c>
      <c r="G1" s="252" t="n"/>
      <c r="H1" s="253" t="inlineStr">
        <is>
          <t>유동상소각로 운전일지</t>
        </is>
      </c>
      <c r="S1" s="254" t="n"/>
      <c r="T1" s="255" t="inlineStr">
        <is>
          <t>결
재</t>
        </is>
      </c>
      <c r="U1" s="120" t="inlineStr">
        <is>
          <t>반장</t>
        </is>
      </c>
      <c r="V1" s="252" t="n"/>
      <c r="W1" s="120" t="inlineStr">
        <is>
          <t>대리</t>
        </is>
      </c>
      <c r="X1" s="252" t="n"/>
      <c r="Y1" s="120" t="inlineStr">
        <is>
          <t>팀장</t>
        </is>
      </c>
      <c r="Z1" s="252" t="n"/>
    </row>
    <row r="2" ht="14.25" customHeight="1" s="251">
      <c r="A2" s="256" t="n"/>
      <c r="B2" s="257" t="inlineStr">
        <is>
          <t>임종민</t>
        </is>
      </c>
      <c r="C2" s="258" t="n"/>
      <c r="D2" s="257" t="inlineStr">
        <is>
          <t>임종민 권정민</t>
        </is>
      </c>
      <c r="E2" s="258" t="n"/>
      <c r="F2" s="257" t="inlineStr">
        <is>
          <t>권정민</t>
        </is>
      </c>
      <c r="G2" s="258" t="n"/>
      <c r="H2" s="259" t="n"/>
      <c r="I2" s="260" t="n"/>
      <c r="J2" s="260" t="n"/>
      <c r="K2" s="260" t="n"/>
      <c r="L2" s="260" t="n"/>
      <c r="M2" s="260" t="n"/>
      <c r="N2" s="260" t="n"/>
      <c r="O2" s="260" t="n"/>
      <c r="P2" s="260" t="n"/>
      <c r="Q2" s="260" t="n"/>
      <c r="R2" s="260" t="n"/>
      <c r="S2" s="261" t="n"/>
      <c r="T2" s="262" t="n"/>
      <c r="U2" s="105" t="n"/>
      <c r="V2" s="254" t="n"/>
      <c r="W2" s="105" t="n"/>
      <c r="X2" s="254" t="n"/>
      <c r="Y2" s="105" t="n"/>
      <c r="Z2" s="254" t="n"/>
    </row>
    <row r="3" ht="37.5" customHeight="1" s="251">
      <c r="A3" s="263" t="n"/>
      <c r="B3" s="264" t="n"/>
      <c r="C3" s="265" t="n"/>
      <c r="D3" s="264" t="n"/>
      <c r="E3" s="265" t="n"/>
      <c r="F3" s="264" t="n"/>
      <c r="G3" s="265" t="n"/>
      <c r="H3" s="266" t="n">
        <v>46211</v>
      </c>
      <c r="I3" s="267" t="n"/>
      <c r="J3" s="267" t="n"/>
      <c r="K3" s="267" t="n"/>
      <c r="L3" s="267" t="n"/>
      <c r="M3" s="267" t="n"/>
      <c r="N3" s="267" t="n"/>
      <c r="O3" s="267" t="n"/>
      <c r="P3" s="267" t="n"/>
      <c r="Q3" s="267" t="n"/>
      <c r="R3" s="267" t="n"/>
      <c r="S3" s="268" t="n"/>
      <c r="T3" s="269" t="n"/>
      <c r="U3" s="264" t="n"/>
      <c r="V3" s="265" t="n"/>
      <c r="W3" s="264" t="n"/>
      <c r="X3" s="265" t="n"/>
      <c r="Y3" s="264" t="n"/>
      <c r="Z3" s="265" t="n"/>
    </row>
    <row r="4" ht="13.5" customHeight="1" s="25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inlineStr">
        <is>
          <t>1. 소각현황(KG)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inlineStr">
        <is>
          <t>2. BOILER 운전현황(TON, HR)</t>
        </is>
      </c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2.5" customHeight="1" s="251" thickBot="1">
      <c r="A6" s="136" t="inlineStr">
        <is>
          <t>구 분</t>
        </is>
      </c>
      <c r="B6" s="270" t="n"/>
      <c r="C6" s="271" t="n"/>
      <c r="D6" s="136" t="inlineStr">
        <is>
          <t>SRF소각량</t>
        </is>
      </c>
      <c r="E6" s="270" t="n"/>
      <c r="F6" s="271" t="n"/>
      <c r="G6" s="136" t="inlineStr">
        <is>
          <t>SLUDGE 소각량</t>
        </is>
      </c>
      <c r="H6" s="270" t="n"/>
      <c r="I6" s="271" t="n"/>
      <c r="J6" s="136" t="inlineStr">
        <is>
          <t>합 계</t>
        </is>
      </c>
      <c r="K6" s="270" t="n"/>
      <c r="L6" s="271" t="n"/>
      <c r="M6" s="1" t="n"/>
      <c r="N6" s="1" t="n"/>
      <c r="O6" s="1" t="n"/>
      <c r="P6" s="136" t="inlineStr">
        <is>
          <t>구 분</t>
        </is>
      </c>
      <c r="Q6" s="271" t="n"/>
      <c r="R6" s="136" t="inlineStr">
        <is>
          <t>스팀 생산량</t>
        </is>
      </c>
      <c r="S6" s="270" t="n"/>
      <c r="T6" s="271" t="n"/>
      <c r="U6" s="136" t="inlineStr">
        <is>
          <t>스팀 송기량</t>
        </is>
      </c>
      <c r="V6" s="270" t="n"/>
      <c r="W6" s="271" t="n"/>
      <c r="X6" s="136" t="inlineStr">
        <is>
          <t>가동시간</t>
        </is>
      </c>
      <c r="Y6" s="270" t="n"/>
      <c r="Z6" s="271" t="n"/>
    </row>
    <row r="7" ht="30" customHeight="1" s="251" thickTop="1">
      <c r="A7" s="105" t="inlineStr">
        <is>
          <t>금 일</t>
        </is>
      </c>
      <c r="B7" s="272" t="n"/>
      <c r="C7" s="265" t="n"/>
      <c r="D7" s="139" t="n">
        <v>81006</v>
      </c>
      <c r="E7" s="272" t="n"/>
      <c r="F7" s="265" t="n"/>
      <c r="G7" s="139" t="n">
        <v>106400</v>
      </c>
      <c r="H7" s="272" t="n"/>
      <c r="I7" s="265" t="n"/>
      <c r="J7" s="154">
        <f>D7+G7</f>
        <v/>
      </c>
      <c r="K7" s="278" t="n"/>
      <c r="L7" s="279" t="n"/>
      <c r="M7" s="1" t="n"/>
      <c r="N7" s="1" t="n"/>
      <c r="O7" s="1" t="n"/>
      <c r="P7" s="105" t="inlineStr">
        <is>
          <t>금 일</t>
        </is>
      </c>
      <c r="Q7" s="265" t="n"/>
      <c r="R7" s="276" t="n">
        <v>468.2</v>
      </c>
      <c r="S7" s="272" t="n"/>
      <c r="T7" s="265" t="n"/>
      <c r="U7" s="276" t="n">
        <v>253.9</v>
      </c>
      <c r="V7" s="272" t="n"/>
      <c r="W7" s="265" t="n"/>
      <c r="X7" s="277" t="n">
        <v>24</v>
      </c>
      <c r="Y7" s="272" t="n"/>
      <c r="Z7" s="265" t="n"/>
    </row>
    <row r="8" ht="30" customHeight="1" s="251">
      <c r="A8" s="104" t="inlineStr">
        <is>
          <t>누 계</t>
        </is>
      </c>
      <c r="B8" s="278" t="n"/>
      <c r="C8" s="279" t="n"/>
      <c r="D8" s="154">
        <f>'7'!D8+D7</f>
        <v/>
      </c>
      <c r="E8" s="278" t="n"/>
      <c r="F8" s="279" t="n"/>
      <c r="G8" s="154">
        <f>'7'!G8+'8'!G7</f>
        <v/>
      </c>
      <c r="H8" s="278" t="n"/>
      <c r="I8" s="279" t="n"/>
      <c r="J8" s="154">
        <f>D8+G8</f>
        <v/>
      </c>
      <c r="K8" s="278" t="n"/>
      <c r="L8" s="279" t="n"/>
      <c r="M8" s="1" t="n"/>
      <c r="N8" s="1" t="n"/>
      <c r="O8" s="1" t="n"/>
      <c r="P8" s="104" t="inlineStr">
        <is>
          <t>누 계</t>
        </is>
      </c>
      <c r="Q8" s="279" t="n"/>
      <c r="R8" s="280">
        <f>'7'!R8+'8'!R7</f>
        <v/>
      </c>
      <c r="S8" s="278" t="n"/>
      <c r="T8" s="279" t="n"/>
      <c r="U8" s="280">
        <f>'7'!U8+U7</f>
        <v/>
      </c>
      <c r="V8" s="278" t="n"/>
      <c r="W8" s="279" t="n"/>
      <c r="X8" s="281">
        <f>'7'!X8+'8'!X7</f>
        <v/>
      </c>
      <c r="Y8" s="278" t="n"/>
      <c r="Z8" s="279" t="n"/>
    </row>
    <row r="9" ht="12" customHeight="1" s="25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inlineStr">
        <is>
          <t>3. 약품 사용현황 (KG)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inlineStr">
        <is>
          <t>4. 소각재 발생량 (TON, 대)</t>
        </is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30.75" customHeight="1" s="251" thickBot="1">
      <c r="A11" s="136" t="inlineStr">
        <is>
          <t>품 명</t>
        </is>
      </c>
      <c r="B11" s="271" t="n"/>
      <c r="C11" s="150" t="inlineStr">
        <is>
          <t>전일 
재고량</t>
        </is>
      </c>
      <c r="D11" s="271" t="n"/>
      <c r="E11" s="136" t="inlineStr">
        <is>
          <t>입고량</t>
        </is>
      </c>
      <c r="F11" s="271" t="n"/>
      <c r="G11" s="136" t="inlineStr">
        <is>
          <t>사용량</t>
        </is>
      </c>
      <c r="H11" s="271" t="n"/>
      <c r="I11" s="282" t="inlineStr">
        <is>
          <t>재고량</t>
        </is>
      </c>
      <c r="J11" s="271" t="n"/>
      <c r="K11" s="150" t="inlineStr">
        <is>
          <t>입고량 
누계</t>
        </is>
      </c>
      <c r="L11" s="271" t="n"/>
      <c r="M11" s="150" t="inlineStr">
        <is>
          <t>사용량 
누계</t>
        </is>
      </c>
      <c r="N11" s="271" t="n"/>
      <c r="O11" s="1" t="n"/>
      <c r="P11" s="136" t="inlineStr">
        <is>
          <t xml:space="preserve"> 구 분</t>
        </is>
      </c>
      <c r="Q11" s="270" t="n"/>
      <c r="R11" s="271" t="n"/>
      <c r="S11" s="282" t="inlineStr">
        <is>
          <t>반출량</t>
        </is>
      </c>
      <c r="T11" s="270" t="n"/>
      <c r="U11" s="270" t="n"/>
      <c r="V11" s="271" t="n"/>
      <c r="W11" s="282" t="inlineStr">
        <is>
          <t>누계</t>
        </is>
      </c>
      <c r="X11" s="270" t="n"/>
      <c r="Y11" s="270" t="n"/>
      <c r="Z11" s="271" t="n"/>
    </row>
    <row r="12" ht="21.9" customHeight="1" s="251" thickTop="1">
      <c r="A12" s="142" t="inlineStr">
        <is>
          <t>탄산암모늄</t>
        </is>
      </c>
      <c r="B12" s="265" t="n"/>
      <c r="C12" s="310">
        <f>'7'!I12</f>
        <v/>
      </c>
      <c r="D12" s="265" t="n"/>
      <c r="E12" s="105" t="n">
        <v>0</v>
      </c>
      <c r="F12" s="265" t="n"/>
      <c r="G12" s="105" t="n">
        <v>4727</v>
      </c>
      <c r="H12" s="265" t="n"/>
      <c r="I12" s="164">
        <f>C12+E12-G12</f>
        <v/>
      </c>
      <c r="J12" s="283" t="n"/>
      <c r="K12" s="105">
        <f>'7'!K12+'8'!E12</f>
        <v/>
      </c>
      <c r="L12" s="265" t="n"/>
      <c r="M12" s="105">
        <f>'7'!M12+'8'!G12</f>
        <v/>
      </c>
      <c r="N12" s="265" t="n"/>
      <c r="O12" s="1" t="n"/>
      <c r="P12" s="149" t="inlineStr">
        <is>
          <t xml:space="preserve">
비산재
</t>
        </is>
      </c>
      <c r="R12" s="254" t="n"/>
      <c r="S12" s="286" t="n">
        <v>55.74</v>
      </c>
      <c r="T12" s="285" t="n"/>
      <c r="U12" s="285" t="n"/>
      <c r="V12" s="287" t="n"/>
      <c r="W12" s="318">
        <f>'7'!W12+'8'!S12</f>
        <v/>
      </c>
      <c r="X12" s="285" t="n"/>
      <c r="Y12" s="285" t="n"/>
      <c r="Z12" s="287" t="n"/>
    </row>
    <row r="13" ht="21.9" customHeight="1" s="251">
      <c r="A13" s="104" t="inlineStr">
        <is>
          <t>청관제</t>
        </is>
      </c>
      <c r="B13" s="279" t="n"/>
      <c r="C13" s="310">
        <f>'7'!I13</f>
        <v/>
      </c>
      <c r="D13" s="265" t="n"/>
      <c r="E13" s="104" t="n">
        <v>0</v>
      </c>
      <c r="F13" s="279" t="n"/>
      <c r="G13" s="104" t="n">
        <v>80</v>
      </c>
      <c r="H13" s="279" t="n"/>
      <c r="I13" s="288">
        <f>C13+E13-G13</f>
        <v/>
      </c>
      <c r="J13" s="275" t="n"/>
      <c r="K13" s="105">
        <f>'7'!K13+'8'!E13</f>
        <v/>
      </c>
      <c r="L13" s="265" t="n"/>
      <c r="M13" s="105">
        <f>'7'!M13+'8'!G13</f>
        <v/>
      </c>
      <c r="N13" s="265" t="n"/>
      <c r="O13" s="1" t="n"/>
      <c r="P13" s="264" t="n"/>
      <c r="Q13" s="272" t="n"/>
      <c r="R13" s="265" t="n"/>
      <c r="S13" s="264" t="n"/>
      <c r="T13" s="272" t="n"/>
      <c r="U13" s="272" t="n"/>
      <c r="V13" s="265" t="n"/>
      <c r="W13" s="264" t="n"/>
      <c r="X13" s="272" t="n"/>
      <c r="Y13" s="272" t="n"/>
      <c r="Z13" s="265" t="n"/>
    </row>
    <row r="14" ht="21.9" customHeight="1" s="251">
      <c r="A14" s="104" t="inlineStr">
        <is>
          <t>활성탄</t>
        </is>
      </c>
      <c r="B14" s="279" t="n"/>
      <c r="C14" s="310">
        <f>'7'!I14</f>
        <v/>
      </c>
      <c r="D14" s="265" t="n"/>
      <c r="E14" s="104" t="n">
        <v>0</v>
      </c>
      <c r="F14" s="279" t="n"/>
      <c r="G14" s="104" t="n">
        <v>120</v>
      </c>
      <c r="H14" s="279" t="n"/>
      <c r="I14" s="288">
        <f>C14+E14-G14</f>
        <v/>
      </c>
      <c r="J14" s="275" t="n"/>
      <c r="K14" s="105">
        <f>'7'!K14+'8'!E14</f>
        <v/>
      </c>
      <c r="L14" s="265" t="n"/>
      <c r="M14" s="105">
        <f>'7'!M14+'8'!G14</f>
        <v/>
      </c>
      <c r="N14" s="265" t="n"/>
      <c r="O14" s="1" t="n"/>
      <c r="P14" s="104" t="inlineStr">
        <is>
          <t>바닥재</t>
        </is>
      </c>
      <c r="Q14" s="291" t="n"/>
      <c r="R14" s="292" t="n"/>
      <c r="S14" s="293" t="n">
        <v>0</v>
      </c>
      <c r="T14" s="291" t="n"/>
      <c r="U14" s="291" t="n"/>
      <c r="V14" s="291" t="n"/>
      <c r="W14" s="294">
        <f>'7'!W14+'8'!S14</f>
        <v/>
      </c>
      <c r="X14" s="291" t="n"/>
      <c r="Y14" s="291" t="n"/>
      <c r="Z14" s="295" t="n"/>
    </row>
    <row r="15" ht="21.9" customHeight="1" s="251">
      <c r="A15" s="104" t="inlineStr">
        <is>
          <t>가성소다</t>
        </is>
      </c>
      <c r="B15" s="279" t="n"/>
      <c r="C15" s="310">
        <f>'7'!I15</f>
        <v/>
      </c>
      <c r="D15" s="265" t="n"/>
      <c r="E15" s="104" t="n">
        <v>0</v>
      </c>
      <c r="F15" s="279" t="n"/>
      <c r="G15" s="104" t="n">
        <v>29</v>
      </c>
      <c r="H15" s="279" t="n"/>
      <c r="I15" s="288">
        <f>C15+E15-G15</f>
        <v/>
      </c>
      <c r="J15" s="275" t="n"/>
      <c r="K15" s="105">
        <f>'7'!K15+'8'!E15</f>
        <v/>
      </c>
      <c r="L15" s="265" t="n"/>
      <c r="M15" s="105">
        <f>'7'!M15+'8'!G15</f>
        <v/>
      </c>
      <c r="N15" s="265" t="n"/>
      <c r="O15" s="1" t="n"/>
      <c r="P15" s="296" t="n"/>
      <c r="Q15" s="290" t="n"/>
      <c r="R15" s="297" t="n"/>
      <c r="S15" s="296" t="n"/>
      <c r="T15" s="290" t="n"/>
      <c r="U15" s="290" t="n"/>
      <c r="V15" s="290" t="n"/>
      <c r="W15" s="298" t="n"/>
      <c r="X15" s="272" t="n"/>
      <c r="Y15" s="272" t="n"/>
      <c r="Z15" s="265" t="n"/>
    </row>
    <row r="16" ht="21.9" customHeight="1" s="251">
      <c r="A16" s="104" t="inlineStr">
        <is>
          <t>소석회</t>
        </is>
      </c>
      <c r="B16" s="279" t="n"/>
      <c r="C16" s="310">
        <f>'7'!I16</f>
        <v/>
      </c>
      <c r="D16" s="265" t="n"/>
      <c r="E16" s="104" t="n">
        <v>0</v>
      </c>
      <c r="F16" s="279" t="n"/>
      <c r="G16" s="104" t="n">
        <v>20</v>
      </c>
      <c r="H16" s="279" t="n"/>
      <c r="I16" s="288">
        <f>C16+E16-G16</f>
        <v/>
      </c>
      <c r="J16" s="275" t="n"/>
      <c r="K16" s="105">
        <f>'7'!K16+'8'!E16</f>
        <v/>
      </c>
      <c r="L16" s="265" t="n"/>
      <c r="M16" s="105">
        <f>'7'!M16+'8'!G16</f>
        <v/>
      </c>
      <c r="N16" s="265" t="n"/>
      <c r="O16" s="1" t="n"/>
      <c r="P16" s="162" t="inlineStr">
        <is>
          <t>구분</t>
        </is>
      </c>
      <c r="Q16" s="291" t="n"/>
      <c r="R16" s="292" t="n"/>
      <c r="S16" s="299" t="inlineStr">
        <is>
          <t>주간</t>
        </is>
      </c>
      <c r="T16" s="292" t="n"/>
      <c r="U16" s="299" t="inlineStr">
        <is>
          <t>야간</t>
        </is>
      </c>
      <c r="V16" s="292" t="n"/>
      <c r="W16" s="299" t="inlineStr">
        <is>
          <t>합계</t>
        </is>
      </c>
      <c r="X16" s="292" t="n"/>
      <c r="Y16" s="299" t="inlineStr">
        <is>
          <t>누계</t>
        </is>
      </c>
      <c r="Z16" s="292" t="n"/>
    </row>
    <row r="17" ht="21.9" customHeight="1" s="251" thickBot="1">
      <c r="A17" s="104" t="inlineStr">
        <is>
          <t>소 금</t>
        </is>
      </c>
      <c r="B17" s="279" t="n"/>
      <c r="C17" s="310">
        <f>'7'!I17</f>
        <v/>
      </c>
      <c r="D17" s="265" t="n"/>
      <c r="E17" s="104" t="n">
        <v>0</v>
      </c>
      <c r="F17" s="279" t="n"/>
      <c r="G17" s="104" t="n">
        <v>200</v>
      </c>
      <c r="H17" s="279" t="n"/>
      <c r="I17" s="288">
        <f>C17+E17-G17</f>
        <v/>
      </c>
      <c r="J17" s="275" t="n"/>
      <c r="K17" s="105">
        <f>'7'!K17+'8'!E17</f>
        <v/>
      </c>
      <c r="L17" s="265" t="n"/>
      <c r="M17" s="105">
        <f>'7'!M17+'8'!G17</f>
        <v/>
      </c>
      <c r="N17" s="265" t="n"/>
      <c r="O17" s="1" t="n"/>
      <c r="P17" s="296" t="n"/>
      <c r="Q17" s="290" t="n"/>
      <c r="R17" s="297" t="n"/>
      <c r="S17" s="300" t="n"/>
      <c r="T17" s="301" t="n"/>
      <c r="U17" s="300" t="n"/>
      <c r="V17" s="301" t="n"/>
      <c r="W17" s="300" t="n"/>
      <c r="X17" s="301" t="n"/>
      <c r="Y17" s="300" t="n"/>
      <c r="Z17" s="301" t="n"/>
      <c r="AE17" s="302" t="n"/>
    </row>
    <row r="18" ht="21.9" customHeight="1" s="251" thickTop="1">
      <c r="A18" s="104" t="inlineStr">
        <is>
          <t>경 유</t>
        </is>
      </c>
      <c r="B18" s="279" t="n"/>
      <c r="C18" s="310">
        <f>'7'!I18</f>
        <v/>
      </c>
      <c r="D18" s="265" t="n"/>
      <c r="E18" s="104" t="n">
        <v>0</v>
      </c>
      <c r="F18" s="279" t="n"/>
      <c r="G18" s="104" t="n">
        <v>0</v>
      </c>
      <c r="H18" s="279" t="n"/>
      <c r="I18" s="288">
        <f>C18+E18-G18</f>
        <v/>
      </c>
      <c r="J18" s="275" t="n"/>
      <c r="K18" s="105">
        <f>'7'!K18+'8'!E18</f>
        <v/>
      </c>
      <c r="L18" s="265" t="n"/>
      <c r="M18" s="105">
        <f>'7'!M18+'8'!G18</f>
        <v/>
      </c>
      <c r="N18" s="265" t="n"/>
      <c r="O18" s="1" t="n"/>
      <c r="P18" s="164" t="inlineStr">
        <is>
          <t>불연물</t>
        </is>
      </c>
      <c r="Q18" s="285" t="n"/>
      <c r="R18" s="287" t="n"/>
      <c r="S18" s="303" t="n">
        <v>2</v>
      </c>
      <c r="T18" s="287" t="n"/>
      <c r="U18" s="303" t="n">
        <v>2</v>
      </c>
      <c r="V18" s="287" t="n"/>
      <c r="W18" s="303">
        <f>S18+U18</f>
        <v/>
      </c>
      <c r="X18" s="287" t="n"/>
      <c r="Y18" s="303">
        <f>'7'!Y18+'8'!W18</f>
        <v/>
      </c>
      <c r="Z18" s="287" t="n"/>
    </row>
    <row r="19" ht="21.9" customHeight="1" s="251">
      <c r="A19" s="153" t="inlineStr">
        <is>
          <t>SRF</t>
        </is>
      </c>
      <c r="B19" s="279" t="n"/>
      <c r="C19" s="310">
        <f>'7'!I19</f>
        <v/>
      </c>
      <c r="D19" s="265" t="n"/>
      <c r="E19" s="154" t="n">
        <v>71350</v>
      </c>
      <c r="F19" s="279" t="n"/>
      <c r="G19" s="273">
        <f>D7</f>
        <v/>
      </c>
      <c r="H19" s="275" t="n"/>
      <c r="I19" s="273">
        <f>C19+E19-G19</f>
        <v/>
      </c>
      <c r="J19" s="275" t="n"/>
      <c r="K19" s="139">
        <f>'7'!K19+'8'!E19</f>
        <v/>
      </c>
      <c r="L19" s="265" t="n"/>
      <c r="M19" s="139">
        <f>'7'!M19+'8'!G19</f>
        <v/>
      </c>
      <c r="N19" s="265" t="n"/>
      <c r="O19" s="1" t="n"/>
      <c r="P19" s="256" t="n"/>
      <c r="R19" s="254" t="n"/>
      <c r="S19" s="256" t="n"/>
      <c r="T19" s="254" t="n"/>
      <c r="U19" s="256" t="n"/>
      <c r="V19" s="254" t="n"/>
      <c r="W19" s="256" t="n"/>
      <c r="X19" s="254" t="n"/>
      <c r="Y19" s="256" t="n"/>
      <c r="Z19" s="254" t="n"/>
    </row>
    <row r="20" ht="21.9" customHeight="1" s="251">
      <c r="A20" s="104" t="inlineStr">
        <is>
          <t>규 사</t>
        </is>
      </c>
      <c r="B20" s="279" t="n"/>
      <c r="C20" s="310">
        <f>'7'!I20</f>
        <v/>
      </c>
      <c r="D20" s="265" t="n"/>
      <c r="E20" s="288" t="n"/>
      <c r="F20" s="275" t="n"/>
      <c r="G20" s="104" t="n"/>
      <c r="H20" s="279" t="n"/>
      <c r="I20" s="288" t="inlineStr">
        <is>
          <t>-</t>
        </is>
      </c>
      <c r="J20" s="275" t="n"/>
      <c r="K20" s="105">
        <f>'7'!K20+'8'!E20</f>
        <v/>
      </c>
      <c r="L20" s="265" t="n"/>
      <c r="M20" s="139">
        <f>'7'!M20+'8'!G20</f>
        <v/>
      </c>
      <c r="N20" s="265" t="n"/>
      <c r="O20" s="1" t="n"/>
      <c r="P20" s="264" t="n"/>
      <c r="Q20" s="272" t="n"/>
      <c r="R20" s="265" t="n"/>
      <c r="S20" s="264" t="n"/>
      <c r="T20" s="265" t="n"/>
      <c r="U20" s="264" t="n"/>
      <c r="V20" s="265" t="n"/>
      <c r="W20" s="264" t="n"/>
      <c r="X20" s="265" t="n"/>
      <c r="Y20" s="264" t="n"/>
      <c r="Z20" s="265" t="n"/>
    </row>
    <row r="21" ht="12" customHeight="1" s="25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 t="inlineStr">
        <is>
          <t>5. 전력 사용량 (KWH)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10" t="inlineStr">
        <is>
          <t>6. 유틸리티 사용현황 (㎥)</t>
        </is>
      </c>
      <c r="Q22" s="290" t="n"/>
      <c r="R22" s="290" t="n"/>
      <c r="S22" s="290" t="n"/>
      <c r="T22" s="290" t="n"/>
      <c r="U22" s="290" t="n"/>
      <c r="V22" s="1" t="n"/>
      <c r="W22" s="1" t="n"/>
      <c r="X22" s="1" t="n"/>
      <c r="Y22" s="1" t="n"/>
      <c r="Z22" s="1" t="n"/>
    </row>
    <row r="23" ht="28.5" customHeight="1" s="251" thickBot="1">
      <c r="A23" s="136" t="inlineStr">
        <is>
          <t>구 분</t>
        </is>
      </c>
      <c r="B23" s="270" t="n"/>
      <c r="C23" s="271" t="n"/>
      <c r="D23" s="136" t="inlineStr">
        <is>
          <t>전일지침</t>
        </is>
      </c>
      <c r="E23" s="270" t="n"/>
      <c r="F23" s="271" t="n"/>
      <c r="G23" s="136" t="inlineStr">
        <is>
          <t>금일지침</t>
        </is>
      </c>
      <c r="H23" s="270" t="n"/>
      <c r="I23" s="271" t="n"/>
      <c r="J23" s="136" t="inlineStr">
        <is>
          <t>사용량</t>
        </is>
      </c>
      <c r="K23" s="270" t="n"/>
      <c r="L23" s="271" t="n"/>
      <c r="M23" s="136" t="inlineStr">
        <is>
          <t>누 계</t>
        </is>
      </c>
      <c r="N23" s="271" t="n"/>
      <c r="P23" s="136" t="inlineStr">
        <is>
          <t>구 분</t>
        </is>
      </c>
      <c r="Q23" s="270" t="n"/>
      <c r="R23" s="271" t="n"/>
      <c r="S23" s="136" t="inlineStr">
        <is>
          <t>전일 사용량</t>
        </is>
      </c>
      <c r="T23" s="270" t="n"/>
      <c r="U23" s="271" t="n"/>
      <c r="V23" s="136" t="inlineStr">
        <is>
          <t>금일 사용량</t>
        </is>
      </c>
      <c r="W23" s="270" t="n"/>
      <c r="X23" s="271" t="n"/>
      <c r="Y23" s="136" t="inlineStr">
        <is>
          <t>누 계</t>
        </is>
      </c>
      <c r="Z23" s="271" t="n"/>
    </row>
    <row r="24" ht="21.9" customHeight="1" s="251" thickTop="1">
      <c r="A24" s="105" t="inlineStr">
        <is>
          <t>MAIN</t>
        </is>
      </c>
      <c r="B24" s="272" t="n"/>
      <c r="C24" s="265" t="n"/>
      <c r="D24" s="187">
        <f>'7'!G24</f>
        <v/>
      </c>
      <c r="E24" s="285" t="n"/>
      <c r="F24" s="287" t="n"/>
      <c r="G24" s="164" t="n">
        <v>3861765</v>
      </c>
      <c r="H24" s="304" t="n"/>
      <c r="I24" s="283" t="n"/>
      <c r="J24" s="164">
        <f>G24-D24</f>
        <v/>
      </c>
      <c r="K24" s="304" t="n"/>
      <c r="L24" s="283" t="n"/>
      <c r="M24" s="164">
        <f>'7'!M24+J24</f>
        <v/>
      </c>
      <c r="N24" s="283" t="n"/>
      <c r="P24" s="105" t="inlineStr">
        <is>
          <t>재이용수</t>
        </is>
      </c>
      <c r="Q24" s="272" t="n"/>
      <c r="R24" s="265" t="n"/>
      <c r="S24" s="105">
        <f>'7'!V24</f>
        <v/>
      </c>
      <c r="T24" s="272" t="n"/>
      <c r="U24" s="265" t="n"/>
      <c r="V24" s="276" t="n">
        <v>414.6</v>
      </c>
      <c r="W24" s="272" t="n"/>
      <c r="X24" s="265" t="n"/>
      <c r="Y24" s="276">
        <f>'7'!Y24+'8'!V24</f>
        <v/>
      </c>
      <c r="Z24" s="265" t="n"/>
    </row>
    <row r="25" ht="21.9" customHeight="1" s="251">
      <c r="A25" s="104" t="inlineStr">
        <is>
          <t>ASH 저장조</t>
        </is>
      </c>
      <c r="B25" s="278" t="n"/>
      <c r="C25" s="279" t="n"/>
      <c r="D25" s="104">
        <f>'7'!G25</f>
        <v/>
      </c>
      <c r="E25" s="278" t="n"/>
      <c r="F25" s="279" t="n"/>
      <c r="G25" s="104" t="n">
        <v>33055.3</v>
      </c>
      <c r="H25" s="278" t="n"/>
      <c r="I25" s="279" t="n"/>
      <c r="J25" s="104">
        <f>G25-D25</f>
        <v/>
      </c>
      <c r="K25" s="278" t="n"/>
      <c r="L25" s="279" t="n"/>
      <c r="M25" s="288">
        <f>'7'!M25+J25</f>
        <v/>
      </c>
      <c r="N25" s="275" t="n"/>
      <c r="P25" s="104" t="inlineStr">
        <is>
          <t>복류수</t>
        </is>
      </c>
      <c r="Q25" s="278" t="n"/>
      <c r="R25" s="279" t="n"/>
      <c r="S25" s="105">
        <f>'7'!V25</f>
        <v/>
      </c>
      <c r="T25" s="272" t="n"/>
      <c r="U25" s="265" t="n"/>
      <c r="V25" s="280" t="n">
        <v>55.2</v>
      </c>
      <c r="W25" s="278" t="n"/>
      <c r="X25" s="279" t="n"/>
      <c r="Y25" s="276">
        <f>'7'!Y25+'8'!V25</f>
        <v/>
      </c>
      <c r="Z25" s="265" t="n"/>
    </row>
    <row r="26" ht="21.9" customHeight="1" s="251">
      <c r="A26" s="104" t="inlineStr">
        <is>
          <t>BAG FILTER</t>
        </is>
      </c>
      <c r="B26" s="278" t="n"/>
      <c r="C26" s="279" t="n"/>
      <c r="D26" s="104">
        <f>'7'!G26</f>
        <v/>
      </c>
      <c r="E26" s="278" t="n"/>
      <c r="F26" s="279" t="n"/>
      <c r="G26" s="104" t="n">
        <v>24470</v>
      </c>
      <c r="H26" s="278" t="n"/>
      <c r="I26" s="279" t="n"/>
      <c r="J26" s="104">
        <f>G26-D26</f>
        <v/>
      </c>
      <c r="K26" s="278" t="n"/>
      <c r="L26" s="279" t="n"/>
      <c r="M26" s="288">
        <f>'7'!M26+J26</f>
        <v/>
      </c>
      <c r="N26" s="275" t="n"/>
      <c r="P26" s="104" t="inlineStr">
        <is>
          <t>응축수</t>
        </is>
      </c>
      <c r="Q26" s="278" t="n"/>
      <c r="R26" s="279" t="n"/>
      <c r="S26" s="105">
        <f>'7'!V26</f>
        <v/>
      </c>
      <c r="T26" s="272" t="n"/>
      <c r="U26" s="265" t="n"/>
      <c r="V26" s="280" t="n">
        <v>532.6</v>
      </c>
      <c r="W26" s="278" t="n"/>
      <c r="X26" s="279" t="n"/>
      <c r="Y26" s="276">
        <f>'7'!Y26+'8'!V26</f>
        <v/>
      </c>
      <c r="Z26" s="265" t="n"/>
    </row>
    <row r="27" ht="21.9" customHeight="1" s="251">
      <c r="A27" s="104" t="inlineStr">
        <is>
          <t>SCRUBBER</t>
        </is>
      </c>
      <c r="B27" s="278" t="n"/>
      <c r="C27" s="279" t="n"/>
      <c r="D27" s="104">
        <f>'7'!G27</f>
        <v/>
      </c>
      <c r="E27" s="278" t="n"/>
      <c r="F27" s="279" t="n"/>
      <c r="G27" s="104" t="n">
        <v>1369000</v>
      </c>
      <c r="H27" s="278" t="n"/>
      <c r="I27" s="279" t="n"/>
      <c r="J27" s="104">
        <f>G27-D27</f>
        <v/>
      </c>
      <c r="K27" s="278" t="n"/>
      <c r="L27" s="279" t="n"/>
      <c r="M27" s="288">
        <f>'7'!M27+J27</f>
        <v/>
      </c>
      <c r="N27" s="275" t="n"/>
      <c r="P27" s="104" t="inlineStr">
        <is>
          <t>보일러 급수</t>
        </is>
      </c>
      <c r="Q27" s="278" t="n"/>
      <c r="R27" s="279" t="n"/>
      <c r="S27" s="105">
        <f>'7'!V27</f>
        <v/>
      </c>
      <c r="T27" s="272" t="n"/>
      <c r="U27" s="265" t="n"/>
      <c r="V27" s="280" t="n">
        <v>506.4</v>
      </c>
      <c r="W27" s="278" t="n"/>
      <c r="X27" s="279" t="n"/>
      <c r="Y27" s="276">
        <f>'7'!Y27+'8'!V27</f>
        <v/>
      </c>
      <c r="Z27" s="265" t="n"/>
    </row>
    <row r="28" ht="21.9" customHeight="1" s="251">
      <c r="A28" s="104" t="inlineStr">
        <is>
          <t>활성탄 공급</t>
        </is>
      </c>
      <c r="B28" s="278" t="n"/>
      <c r="C28" s="279" t="n"/>
      <c r="D28" s="104">
        <f>'7'!G28</f>
        <v/>
      </c>
      <c r="E28" s="278" t="n"/>
      <c r="F28" s="279" t="n"/>
      <c r="G28" s="104" t="n">
        <v>5418</v>
      </c>
      <c r="H28" s="278" t="n"/>
      <c r="I28" s="279" t="n"/>
      <c r="J28" s="104">
        <f>G28-D28</f>
        <v/>
      </c>
      <c r="K28" s="278" t="n"/>
      <c r="L28" s="279" t="n"/>
      <c r="M28" s="288">
        <f>'7'!M28+J28</f>
        <v/>
      </c>
      <c r="N28" s="275" t="n"/>
      <c r="P28" s="104" t="inlineStr">
        <is>
          <t>폐 수</t>
        </is>
      </c>
      <c r="Q28" s="278" t="n"/>
      <c r="R28" s="279" t="n"/>
      <c r="S28" s="105">
        <f>'7'!V28</f>
        <v/>
      </c>
      <c r="T28" s="272" t="n"/>
      <c r="U28" s="265" t="n"/>
      <c r="V28" s="280" t="n">
        <v>0</v>
      </c>
      <c r="W28" s="278" t="n"/>
      <c r="X28" s="279" t="n"/>
      <c r="Y28" s="276">
        <f>'7'!Y28+'8'!V28</f>
        <v/>
      </c>
      <c r="Z28" s="265" t="n"/>
    </row>
    <row r="29" ht="21.9" customHeight="1" s="251">
      <c r="A29" s="104" t="inlineStr">
        <is>
          <t>소석회 공급</t>
        </is>
      </c>
      <c r="B29" s="278" t="n"/>
      <c r="C29" s="279" t="n"/>
      <c r="D29" s="104">
        <f>'7'!G29</f>
        <v/>
      </c>
      <c r="E29" s="278" t="n"/>
      <c r="F29" s="279" t="n"/>
      <c r="G29" s="104" t="n">
        <v>66210</v>
      </c>
      <c r="H29" s="278" t="n"/>
      <c r="I29" s="279" t="n"/>
      <c r="J29" s="104">
        <f>G29-D29</f>
        <v/>
      </c>
      <c r="K29" s="278" t="n"/>
      <c r="L29" s="279" t="n"/>
      <c r="M29" s="288">
        <f>'7'!M29+J29</f>
        <v/>
      </c>
      <c r="N29" s="275" t="n"/>
      <c r="P29" s="104" t="inlineStr">
        <is>
          <t>연 수</t>
        </is>
      </c>
      <c r="Q29" s="278" t="n"/>
      <c r="R29" s="279" t="n"/>
      <c r="S29" s="105">
        <f>'7'!V29</f>
        <v/>
      </c>
      <c r="T29" s="272" t="n"/>
      <c r="U29" s="265" t="n"/>
      <c r="V29" s="280" t="n">
        <v>59.7</v>
      </c>
      <c r="W29" s="278" t="n"/>
      <c r="X29" s="279" t="n"/>
      <c r="Y29" s="276">
        <f>'7'!Y29+'8'!V29</f>
        <v/>
      </c>
      <c r="Z29" s="265" t="n"/>
    </row>
    <row r="30" ht="21.9" customHeight="1" s="251">
      <c r="A30" s="104" t="inlineStr">
        <is>
          <t>요소수 공급</t>
        </is>
      </c>
      <c r="B30" s="278" t="n"/>
      <c r="C30" s="279" t="n"/>
      <c r="D30" s="104">
        <f>'7'!G30</f>
        <v/>
      </c>
      <c r="E30" s="278" t="n"/>
      <c r="F30" s="279" t="n"/>
      <c r="G30" s="104" t="n">
        <v>53330</v>
      </c>
      <c r="H30" s="278" t="n"/>
      <c r="I30" s="279" t="n"/>
      <c r="J30" s="104">
        <f>G30-D30</f>
        <v/>
      </c>
      <c r="K30" s="278" t="n"/>
      <c r="L30" s="279" t="n"/>
      <c r="M30" s="288">
        <f>'7'!M30+J30</f>
        <v/>
      </c>
      <c r="N30" s="275" t="n"/>
      <c r="P30" s="104" t="inlineStr">
        <is>
          <t>계</t>
        </is>
      </c>
      <c r="Q30" s="278" t="n"/>
      <c r="R30" s="279" t="n"/>
      <c r="S30" s="104">
        <f>SUM(S24:U29)</f>
        <v/>
      </c>
      <c r="T30" s="278" t="n"/>
      <c r="U30" s="279" t="n"/>
      <c r="V30" s="104" t="n"/>
      <c r="W30" s="278" t="n"/>
      <c r="X30" s="279" t="n"/>
      <c r="Y30" s="276">
        <f>'7'!Y30+'8'!V30</f>
        <v/>
      </c>
      <c r="Z30" s="265" t="n"/>
    </row>
    <row r="31" ht="21.9" customHeight="1" s="251">
      <c r="A31" s="104" t="inlineStr">
        <is>
          <t xml:space="preserve">F.D </t>
        </is>
      </c>
      <c r="B31" s="278" t="n"/>
      <c r="C31" s="279" t="n"/>
      <c r="D31" s="104">
        <f>'7'!G31</f>
        <v/>
      </c>
      <c r="E31" s="278" t="n"/>
      <c r="F31" s="279" t="n"/>
      <c r="G31" s="288" t="n">
        <v>6266307</v>
      </c>
      <c r="H31" s="274" t="n"/>
      <c r="I31" s="275" t="n"/>
      <c r="J31" s="288">
        <f>G31-D31</f>
        <v/>
      </c>
      <c r="K31" s="274" t="n"/>
      <c r="L31" s="275" t="n"/>
      <c r="M31" s="288">
        <f>'7'!M31+J31</f>
        <v/>
      </c>
      <c r="N31" s="275" t="n"/>
      <c r="P31" s="172" t="n"/>
      <c r="Q31" s="172" t="n"/>
      <c r="R31" s="172" t="n"/>
      <c r="S31" s="172" t="n"/>
      <c r="T31" s="172" t="n"/>
      <c r="U31" s="172" t="n"/>
      <c r="V31" s="172" t="n"/>
      <c r="W31" s="172" t="n"/>
      <c r="X31" s="172" t="n"/>
      <c r="Y31" s="305" t="n"/>
      <c r="Z31" s="305" t="n"/>
    </row>
    <row r="32" ht="21.9" customHeight="1" s="251">
      <c r="A32" s="104" t="inlineStr">
        <is>
          <t>활성탄 BAG</t>
        </is>
      </c>
      <c r="B32" s="278" t="n"/>
      <c r="C32" s="279" t="n"/>
      <c r="D32" s="104">
        <f>'7'!G32</f>
        <v/>
      </c>
      <c r="E32" s="278" t="n"/>
      <c r="F32" s="279" t="n"/>
      <c r="G32" s="288" t="n">
        <v>1.7</v>
      </c>
      <c r="H32" s="274" t="n"/>
      <c r="I32" s="275" t="n"/>
      <c r="J32" s="288">
        <f>G32-D32</f>
        <v/>
      </c>
      <c r="K32" s="274" t="n"/>
      <c r="L32" s="275" t="n"/>
      <c r="M32" s="288">
        <f>'7'!M32+J32</f>
        <v/>
      </c>
      <c r="N32" s="275" t="n"/>
      <c r="P32" s="172" t="n"/>
      <c r="Q32" s="172" t="n"/>
      <c r="R32" s="172" t="n"/>
      <c r="S32" s="172" t="n"/>
      <c r="T32" s="172" t="n"/>
      <c r="U32" s="172" t="n"/>
      <c r="V32" s="172" t="n"/>
      <c r="W32" s="172" t="n"/>
      <c r="X32" s="172" t="n"/>
      <c r="Y32" s="305" t="n"/>
      <c r="Z32" s="305" t="n"/>
    </row>
    <row r="33" ht="21.9" customHeight="1" s="251">
      <c r="A33" s="104" t="inlineStr">
        <is>
          <t>소석회 BAG</t>
        </is>
      </c>
      <c r="B33" s="278" t="n"/>
      <c r="C33" s="279" t="n"/>
      <c r="D33" s="104">
        <f>'7'!G33</f>
        <v/>
      </c>
      <c r="E33" s="278" t="n"/>
      <c r="F33" s="279" t="n"/>
      <c r="G33" s="288" t="n">
        <v>0</v>
      </c>
      <c r="H33" s="274" t="n"/>
      <c r="I33" s="275" t="n"/>
      <c r="J33" s="288">
        <f>G33-D33</f>
        <v/>
      </c>
      <c r="K33" s="274" t="n"/>
      <c r="L33" s="275" t="n"/>
      <c r="M33" s="288">
        <f>'7'!M33+J33</f>
        <v/>
      </c>
      <c r="N33" s="275" t="n"/>
      <c r="P33" s="172" t="n"/>
      <c r="Q33" s="172" t="n"/>
      <c r="R33" s="172" t="n"/>
      <c r="S33" s="172" t="n"/>
      <c r="T33" s="172" t="n"/>
      <c r="U33" s="172" t="n"/>
      <c r="V33" s="172" t="n"/>
      <c r="W33" s="172" t="n"/>
      <c r="X33" s="172" t="n"/>
      <c r="Y33" s="305" t="n"/>
      <c r="Z33" s="305" t="n"/>
    </row>
  </sheetData>
  <mergeCells count="217">
    <mergeCell ref="V24:X24"/>
    <mergeCell ref="A15:B15"/>
    <mergeCell ref="P27:R27"/>
    <mergeCell ref="S23:U23"/>
    <mergeCell ref="C15:D15"/>
    <mergeCell ref="J27:L27"/>
    <mergeCell ref="S14:V15"/>
    <mergeCell ref="Y24:Z24"/>
    <mergeCell ref="U7:W7"/>
    <mergeCell ref="A26:C26"/>
    <mergeCell ref="J25:L25"/>
    <mergeCell ref="G24:I24"/>
    <mergeCell ref="D28:F28"/>
    <mergeCell ref="I16:J16"/>
    <mergeCell ref="A23:C23"/>
    <mergeCell ref="S24:U24"/>
    <mergeCell ref="P6:Q6"/>
    <mergeCell ref="P28:R28"/>
    <mergeCell ref="W1:X1"/>
    <mergeCell ref="Y1:Z1"/>
    <mergeCell ref="G26:I26"/>
    <mergeCell ref="S16:T17"/>
    <mergeCell ref="D30:F30"/>
    <mergeCell ref="G18:H18"/>
    <mergeCell ref="B1:C1"/>
    <mergeCell ref="U8:W8"/>
    <mergeCell ref="I18:J18"/>
    <mergeCell ref="H3:S3"/>
    <mergeCell ref="M16:N16"/>
    <mergeCell ref="P30:R30"/>
    <mergeCell ref="M25:N25"/>
    <mergeCell ref="D29:F29"/>
    <mergeCell ref="D23:F23"/>
    <mergeCell ref="Y25:Z25"/>
    <mergeCell ref="M18:N18"/>
    <mergeCell ref="M33:N33"/>
    <mergeCell ref="A17:B17"/>
    <mergeCell ref="S25:U25"/>
    <mergeCell ref="C17:D17"/>
    <mergeCell ref="U18:V20"/>
    <mergeCell ref="J29:L29"/>
    <mergeCell ref="M17:N17"/>
    <mergeCell ref="W18:X20"/>
    <mergeCell ref="G20:H20"/>
    <mergeCell ref="I20:J20"/>
    <mergeCell ref="S27:U27"/>
    <mergeCell ref="A19:B19"/>
    <mergeCell ref="V23:X23"/>
    <mergeCell ref="C19:D19"/>
    <mergeCell ref="A6:C6"/>
    <mergeCell ref="Y2:Z3"/>
    <mergeCell ref="Y18:Z20"/>
    <mergeCell ref="P22:U22"/>
    <mergeCell ref="M19:N19"/>
    <mergeCell ref="I13:J13"/>
    <mergeCell ref="K13:L13"/>
    <mergeCell ref="X7:Z7"/>
    <mergeCell ref="E12:F12"/>
    <mergeCell ref="J24:L24"/>
    <mergeCell ref="G12:H12"/>
    <mergeCell ref="G28:I28"/>
    <mergeCell ref="D27:F27"/>
    <mergeCell ref="G6:I6"/>
    <mergeCell ref="I15:J15"/>
    <mergeCell ref="A11:B11"/>
    <mergeCell ref="K15:L15"/>
    <mergeCell ref="S28:U28"/>
    <mergeCell ref="C14:D14"/>
    <mergeCell ref="E14:F14"/>
    <mergeCell ref="J26:L26"/>
    <mergeCell ref="G30:I30"/>
    <mergeCell ref="J7:L7"/>
    <mergeCell ref="V27:X27"/>
    <mergeCell ref="A32:C32"/>
    <mergeCell ref="A29:C29"/>
    <mergeCell ref="D25:F25"/>
    <mergeCell ref="V25:X25"/>
    <mergeCell ref="Y26:Z26"/>
    <mergeCell ref="M13:N13"/>
    <mergeCell ref="G32:I32"/>
    <mergeCell ref="J33:L33"/>
    <mergeCell ref="W14:Z15"/>
    <mergeCell ref="A31:C31"/>
    <mergeCell ref="S26:U26"/>
    <mergeCell ref="M27:N27"/>
    <mergeCell ref="I17:J17"/>
    <mergeCell ref="A24:C24"/>
    <mergeCell ref="Y27:Z27"/>
    <mergeCell ref="K17:L17"/>
    <mergeCell ref="P29:R29"/>
    <mergeCell ref="M24:N24"/>
    <mergeCell ref="E16:F16"/>
    <mergeCell ref="J28:L28"/>
    <mergeCell ref="G27:I27"/>
    <mergeCell ref="G16:H16"/>
    <mergeCell ref="D31:F31"/>
    <mergeCell ref="U2:V3"/>
    <mergeCell ref="I19:J19"/>
    <mergeCell ref="U1:V1"/>
    <mergeCell ref="G8:I8"/>
    <mergeCell ref="K19:L19"/>
    <mergeCell ref="C18:D18"/>
    <mergeCell ref="A7:C7"/>
    <mergeCell ref="V29:X29"/>
    <mergeCell ref="E18:F18"/>
    <mergeCell ref="J30:L30"/>
    <mergeCell ref="R6:T6"/>
    <mergeCell ref="K16:L16"/>
    <mergeCell ref="A25:C25"/>
    <mergeCell ref="J6:L6"/>
    <mergeCell ref="D1:E1"/>
    <mergeCell ref="D32:F32"/>
    <mergeCell ref="G11:H11"/>
    <mergeCell ref="I11:J11"/>
    <mergeCell ref="P23:R23"/>
    <mergeCell ref="W11:Z11"/>
    <mergeCell ref="D7:F7"/>
    <mergeCell ref="Y16:Z17"/>
    <mergeCell ref="S18:T20"/>
    <mergeCell ref="Y30:Z30"/>
    <mergeCell ref="C20:D20"/>
    <mergeCell ref="E20:F20"/>
    <mergeCell ref="K11:L11"/>
    <mergeCell ref="J32:L32"/>
    <mergeCell ref="M11:N11"/>
    <mergeCell ref="Y29:Z29"/>
    <mergeCell ref="H1:S2"/>
    <mergeCell ref="V26:X26"/>
    <mergeCell ref="E13:F13"/>
    <mergeCell ref="S30:U30"/>
    <mergeCell ref="G13:H13"/>
    <mergeCell ref="M31:N31"/>
    <mergeCell ref="G29:I29"/>
    <mergeCell ref="D8:F8"/>
    <mergeCell ref="D33:F33"/>
    <mergeCell ref="W12:Z13"/>
    <mergeCell ref="A12:B12"/>
    <mergeCell ref="A28:C28"/>
    <mergeCell ref="S29:U29"/>
    <mergeCell ref="C12:D12"/>
    <mergeCell ref="A1:A3"/>
    <mergeCell ref="M15:N15"/>
    <mergeCell ref="E15:F15"/>
    <mergeCell ref="M12:N12"/>
    <mergeCell ref="G15:H15"/>
    <mergeCell ref="G31:I31"/>
    <mergeCell ref="Y28:Z28"/>
    <mergeCell ref="P18:R20"/>
    <mergeCell ref="A14:B14"/>
    <mergeCell ref="J8:L8"/>
    <mergeCell ref="A30:C30"/>
    <mergeCell ref="M26:N26"/>
    <mergeCell ref="U6:W6"/>
    <mergeCell ref="P25:R25"/>
    <mergeCell ref="M29:N29"/>
    <mergeCell ref="M23:N23"/>
    <mergeCell ref="F2:G3"/>
    <mergeCell ref="G23:I23"/>
    <mergeCell ref="Y23:Z23"/>
    <mergeCell ref="U16:V17"/>
    <mergeCell ref="W16:X17"/>
    <mergeCell ref="G7:I7"/>
    <mergeCell ref="K18:L18"/>
    <mergeCell ref="P12:R13"/>
    <mergeCell ref="D6:F6"/>
    <mergeCell ref="F1:G1"/>
    <mergeCell ref="T1:T3"/>
    <mergeCell ref="V28:X28"/>
    <mergeCell ref="P11:R11"/>
    <mergeCell ref="P14:R15"/>
    <mergeCell ref="A27:C27"/>
    <mergeCell ref="V30:X30"/>
    <mergeCell ref="W2:X3"/>
    <mergeCell ref="E17:F17"/>
    <mergeCell ref="G17:H17"/>
    <mergeCell ref="G33:I33"/>
    <mergeCell ref="X6:Z6"/>
    <mergeCell ref="A33:C33"/>
    <mergeCell ref="K20:L20"/>
    <mergeCell ref="A16:B16"/>
    <mergeCell ref="C16:D16"/>
    <mergeCell ref="M20:N20"/>
    <mergeCell ref="A8:C8"/>
    <mergeCell ref="E19:F19"/>
    <mergeCell ref="P8:Q8"/>
    <mergeCell ref="J31:L31"/>
    <mergeCell ref="G19:H19"/>
    <mergeCell ref="A18:B18"/>
    <mergeCell ref="G25:I25"/>
    <mergeCell ref="D24:F24"/>
    <mergeCell ref="M30:N30"/>
    <mergeCell ref="I12:J12"/>
    <mergeCell ref="K12:L12"/>
    <mergeCell ref="P24:R24"/>
    <mergeCell ref="P7:Q7"/>
    <mergeCell ref="C11:D11"/>
    <mergeCell ref="M28:N28"/>
    <mergeCell ref="E11:F11"/>
    <mergeCell ref="J23:L23"/>
    <mergeCell ref="D26:F26"/>
    <mergeCell ref="G14:H14"/>
    <mergeCell ref="S11:V11"/>
    <mergeCell ref="I14:J14"/>
    <mergeCell ref="R8:T8"/>
    <mergeCell ref="K14:L14"/>
    <mergeCell ref="P26:R26"/>
    <mergeCell ref="P16:R17"/>
    <mergeCell ref="A20:B20"/>
    <mergeCell ref="B2:C3"/>
    <mergeCell ref="D2:E3"/>
    <mergeCell ref="M32:N32"/>
    <mergeCell ref="M14:N14"/>
    <mergeCell ref="X8:Z8"/>
    <mergeCell ref="A13:B13"/>
    <mergeCell ref="C13:D13"/>
    <mergeCell ref="R7:T7"/>
    <mergeCell ref="S12:V13"/>
  </mergeCells>
  <pageMargins left="0.7086614173228347" right="0.7086614173228347" top="0.7480314960629921" bottom="0.7480314960629921" header="0.3149606299212598" footer="0.3149606299212598"/>
  <pageSetup orientation="portrait" paperSize="9" scale="59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E33"/>
  <sheetViews>
    <sheetView zoomScaleNormal="100" zoomScaleSheetLayoutView="100" workbookViewId="0">
      <selection activeCell="V30" sqref="V30:X30"/>
    </sheetView>
  </sheetViews>
  <sheetFormatPr baseColWidth="8" defaultRowHeight="17.4"/>
  <cols>
    <col width="2.8984375" customWidth="1" style="251" min="1" max="1"/>
    <col width="5.59765625" customWidth="1" style="251" min="2" max="14"/>
    <col width="3.59765625" customWidth="1" style="251" min="15" max="15"/>
    <col width="4.59765625" customWidth="1" style="251" min="16" max="22"/>
    <col width="5.59765625" customWidth="1" style="251" min="23" max="26"/>
  </cols>
  <sheetData>
    <row r="1" ht="18.75" customHeight="1" s="251">
      <c r="A1" s="122" t="inlineStr">
        <is>
          <t>근
무
자</t>
        </is>
      </c>
      <c r="B1" s="120" t="inlineStr">
        <is>
          <t>오  전</t>
        </is>
      </c>
      <c r="C1" s="252" t="n"/>
      <c r="D1" s="120" t="inlineStr">
        <is>
          <t>오  후</t>
        </is>
      </c>
      <c r="E1" s="252" t="n"/>
      <c r="F1" s="120" t="inlineStr">
        <is>
          <t>야  간</t>
        </is>
      </c>
      <c r="G1" s="252" t="n"/>
      <c r="H1" s="253" t="inlineStr">
        <is>
          <t>유동상소각로 운전일지</t>
        </is>
      </c>
      <c r="S1" s="254" t="n"/>
      <c r="T1" s="255" t="inlineStr">
        <is>
          <t>결
재</t>
        </is>
      </c>
      <c r="U1" s="120" t="inlineStr">
        <is>
          <t>반장</t>
        </is>
      </c>
      <c r="V1" s="252" t="n"/>
      <c r="W1" s="120" t="inlineStr">
        <is>
          <t>대리</t>
        </is>
      </c>
      <c r="X1" s="252" t="n"/>
      <c r="Y1" s="120" t="inlineStr">
        <is>
          <t>팀장</t>
        </is>
      </c>
      <c r="Z1" s="252" t="n"/>
      <c r="AC1" s="0" t="inlineStr">
        <is>
          <t> </t>
        </is>
      </c>
    </row>
    <row r="2" ht="14.25" customHeight="1" s="251">
      <c r="A2" s="256" t="n"/>
      <c r="B2" s="257" t="inlineStr">
        <is>
          <t>임종민</t>
        </is>
      </c>
      <c r="C2" s="258" t="n"/>
      <c r="D2" s="322" t="inlineStr">
        <is>
          <t>임종민,권정민</t>
        </is>
      </c>
      <c r="E2" s="258" t="n"/>
      <c r="F2" s="257" t="inlineStr">
        <is>
          <t>권정민</t>
        </is>
      </c>
      <c r="G2" s="258" t="n"/>
      <c r="H2" s="259" t="n"/>
      <c r="I2" s="260" t="n"/>
      <c r="J2" s="260" t="n"/>
      <c r="K2" s="260" t="n"/>
      <c r="L2" s="260" t="n"/>
      <c r="M2" s="260" t="n"/>
      <c r="N2" s="260" t="n"/>
      <c r="O2" s="260" t="n"/>
      <c r="P2" s="260" t="n"/>
      <c r="Q2" s="260" t="n"/>
      <c r="R2" s="260" t="n"/>
      <c r="S2" s="261" t="n"/>
      <c r="T2" s="262" t="n"/>
      <c r="U2" s="105" t="n"/>
      <c r="V2" s="254" t="n"/>
      <c r="W2" s="105" t="n"/>
      <c r="X2" s="254" t="n"/>
      <c r="Y2" s="105" t="n"/>
      <c r="Z2" s="254" t="n"/>
    </row>
    <row r="3" ht="37.5" customHeight="1" s="251">
      <c r="A3" s="263" t="n"/>
      <c r="B3" s="264" t="n"/>
      <c r="C3" s="265" t="n"/>
      <c r="D3" s="264" t="n"/>
      <c r="E3" s="265" t="n"/>
      <c r="F3" s="264" t="n"/>
      <c r="G3" s="265" t="n"/>
      <c r="H3" s="266" t="n">
        <v>46212</v>
      </c>
      <c r="I3" s="267" t="n"/>
      <c r="J3" s="267" t="n"/>
      <c r="K3" s="267" t="n"/>
      <c r="L3" s="267" t="n"/>
      <c r="M3" s="267" t="n"/>
      <c r="N3" s="267" t="n"/>
      <c r="O3" s="267" t="n"/>
      <c r="P3" s="267" t="n"/>
      <c r="Q3" s="267" t="n"/>
      <c r="R3" s="267" t="n"/>
      <c r="S3" s="268" t="n"/>
      <c r="T3" s="269" t="n"/>
      <c r="U3" s="264" t="n"/>
      <c r="V3" s="265" t="n"/>
      <c r="W3" s="264" t="n"/>
      <c r="X3" s="265" t="n"/>
      <c r="Y3" s="264" t="n"/>
      <c r="Z3" s="265" t="n"/>
    </row>
    <row r="4" ht="13.5" customHeight="1" s="25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inlineStr">
        <is>
          <t>1. 소각현황(KG)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inlineStr">
        <is>
          <t>2. BOILER 운전현황(TON, HR)</t>
        </is>
      </c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2.5" customHeight="1" s="251" thickBot="1">
      <c r="A6" s="136" t="inlineStr">
        <is>
          <t>구 분</t>
        </is>
      </c>
      <c r="B6" s="270" t="n"/>
      <c r="C6" s="271" t="n"/>
      <c r="D6" s="136" t="inlineStr">
        <is>
          <t>SRF소각량</t>
        </is>
      </c>
      <c r="E6" s="270" t="n"/>
      <c r="F6" s="271" t="n"/>
      <c r="G6" s="136" t="inlineStr">
        <is>
          <t>SLUDGE 소각량</t>
        </is>
      </c>
      <c r="H6" s="270" t="n"/>
      <c r="I6" s="271" t="n"/>
      <c r="J6" s="136" t="inlineStr">
        <is>
          <t>합 계</t>
        </is>
      </c>
      <c r="K6" s="270" t="n"/>
      <c r="L6" s="271" t="n"/>
      <c r="M6" s="1" t="n"/>
      <c r="N6" s="1" t="n"/>
      <c r="O6" s="1" t="n"/>
      <c r="P6" s="136" t="inlineStr">
        <is>
          <t>구 분</t>
        </is>
      </c>
      <c r="Q6" s="271" t="n"/>
      <c r="R6" s="136" t="inlineStr">
        <is>
          <t>스팀 생산량</t>
        </is>
      </c>
      <c r="S6" s="270" t="n"/>
      <c r="T6" s="271" t="n"/>
      <c r="U6" s="136" t="inlineStr">
        <is>
          <t>스팀 송기량</t>
        </is>
      </c>
      <c r="V6" s="270" t="n"/>
      <c r="W6" s="271" t="n"/>
      <c r="X6" s="136" t="inlineStr">
        <is>
          <t>가동시간</t>
        </is>
      </c>
      <c r="Y6" s="270" t="n"/>
      <c r="Z6" s="271" t="n"/>
    </row>
    <row r="7" ht="30" customHeight="1" s="251" thickTop="1">
      <c r="A7" s="105" t="inlineStr">
        <is>
          <t>금 일</t>
        </is>
      </c>
      <c r="B7" s="272" t="n"/>
      <c r="C7" s="265" t="n"/>
      <c r="D7" s="139" t="n">
        <v>78799</v>
      </c>
      <c r="E7" s="272" t="n"/>
      <c r="F7" s="265" t="n"/>
      <c r="G7" s="139" t="n">
        <v>152000</v>
      </c>
      <c r="H7" s="272" t="n"/>
      <c r="I7" s="265" t="n"/>
      <c r="J7" s="154">
        <f>D7+G7</f>
        <v/>
      </c>
      <c r="K7" s="278" t="n"/>
      <c r="L7" s="279" t="n"/>
      <c r="M7" s="1" t="n"/>
      <c r="N7" s="1" t="n"/>
      <c r="O7" s="1" t="n"/>
      <c r="P7" s="105" t="inlineStr">
        <is>
          <t>금 일</t>
        </is>
      </c>
      <c r="Q7" s="265" t="n"/>
      <c r="R7" s="276" t="n">
        <v>497</v>
      </c>
      <c r="S7" s="272" t="n"/>
      <c r="T7" s="265" t="n"/>
      <c r="U7" s="276" t="n">
        <v>388.7</v>
      </c>
      <c r="V7" s="272" t="n"/>
      <c r="W7" s="265" t="n"/>
      <c r="X7" s="277" t="n">
        <v>24</v>
      </c>
      <c r="Y7" s="272" t="n"/>
      <c r="Z7" s="265" t="n"/>
    </row>
    <row r="8" ht="30" customHeight="1" s="251">
      <c r="A8" s="104" t="inlineStr">
        <is>
          <t>누 계</t>
        </is>
      </c>
      <c r="B8" s="278" t="n"/>
      <c r="C8" s="279" t="n"/>
      <c r="D8" s="154">
        <f>'8'!D8+'9'!D7</f>
        <v/>
      </c>
      <c r="E8" s="278" t="n"/>
      <c r="F8" s="279" t="n"/>
      <c r="G8" s="154">
        <f>'8'!G8+'9'!G7</f>
        <v/>
      </c>
      <c r="H8" s="278" t="n"/>
      <c r="I8" s="279" t="n"/>
      <c r="J8" s="154">
        <f>D8+G8</f>
        <v/>
      </c>
      <c r="K8" s="278" t="n"/>
      <c r="L8" s="279" t="n"/>
      <c r="M8" s="1" t="n"/>
      <c r="N8" s="1" t="n"/>
      <c r="O8" s="1" t="n"/>
      <c r="P8" s="104" t="inlineStr">
        <is>
          <t>누 계</t>
        </is>
      </c>
      <c r="Q8" s="279" t="n"/>
      <c r="R8" s="280">
        <f>'8'!R8+'9'!R7</f>
        <v/>
      </c>
      <c r="S8" s="278" t="n"/>
      <c r="T8" s="279" t="n"/>
      <c r="U8" s="280">
        <f>'8'!U8+U7</f>
        <v/>
      </c>
      <c r="V8" s="278" t="n"/>
      <c r="W8" s="279" t="n"/>
      <c r="X8" s="281">
        <f>'8'!X8+'9'!X7</f>
        <v/>
      </c>
      <c r="Y8" s="278" t="n"/>
      <c r="Z8" s="279" t="n"/>
    </row>
    <row r="9" ht="12" customHeight="1" s="25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inlineStr">
        <is>
          <t>3. 약품 사용현황 (KG)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inlineStr">
        <is>
          <t>4. 소각재 발생량 (TON, 대)</t>
        </is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30.75" customHeight="1" s="251" thickBot="1">
      <c r="A11" s="136" t="inlineStr">
        <is>
          <t>품 명</t>
        </is>
      </c>
      <c r="B11" s="271" t="n"/>
      <c r="C11" s="150" t="inlineStr">
        <is>
          <t>전일 
재고량</t>
        </is>
      </c>
      <c r="D11" s="271" t="n"/>
      <c r="E11" s="136" t="inlineStr">
        <is>
          <t>입고량</t>
        </is>
      </c>
      <c r="F11" s="271" t="n"/>
      <c r="G11" s="136" t="inlineStr">
        <is>
          <t>사용량</t>
        </is>
      </c>
      <c r="H11" s="271" t="n"/>
      <c r="I11" s="282" t="inlineStr">
        <is>
          <t>재고량</t>
        </is>
      </c>
      <c r="J11" s="271" t="n"/>
      <c r="K11" s="150" t="inlineStr">
        <is>
          <t>입고량 
누계</t>
        </is>
      </c>
      <c r="L11" s="271" t="n"/>
      <c r="M11" s="150" t="inlineStr">
        <is>
          <t>사용량 
누계</t>
        </is>
      </c>
      <c r="N11" s="271" t="n"/>
      <c r="O11" s="1" t="n"/>
      <c r="P11" s="136" t="inlineStr">
        <is>
          <t xml:space="preserve"> 구 분</t>
        </is>
      </c>
      <c r="Q11" s="270" t="n"/>
      <c r="R11" s="271" t="n"/>
      <c r="S11" s="282" t="inlineStr">
        <is>
          <t>반출량</t>
        </is>
      </c>
      <c r="T11" s="270" t="n"/>
      <c r="U11" s="270" t="n"/>
      <c r="V11" s="271" t="n"/>
      <c r="W11" s="282" t="inlineStr">
        <is>
          <t>누계</t>
        </is>
      </c>
      <c r="X11" s="270" t="n"/>
      <c r="Y11" s="270" t="n"/>
      <c r="Z11" s="271" t="n"/>
    </row>
    <row r="12" ht="21.9" customHeight="1" s="251" thickTop="1">
      <c r="A12" s="142" t="inlineStr">
        <is>
          <t>탄산암모늄</t>
        </is>
      </c>
      <c r="B12" s="265" t="n"/>
      <c r="C12" s="310">
        <f>'8'!I12</f>
        <v/>
      </c>
      <c r="D12" s="265" t="n"/>
      <c r="E12" s="105" t="n">
        <v>0</v>
      </c>
      <c r="F12" s="265" t="n"/>
      <c r="G12" s="105" t="n">
        <v>3518</v>
      </c>
      <c r="H12" s="265" t="n"/>
      <c r="I12" s="164">
        <f>C12+E12-G12</f>
        <v/>
      </c>
      <c r="J12" s="283" t="n"/>
      <c r="K12" s="105">
        <f>'8'!K12+'9'!E12</f>
        <v/>
      </c>
      <c r="L12" s="265" t="n"/>
      <c r="M12" s="105">
        <f>'8'!M12+G12</f>
        <v/>
      </c>
      <c r="N12" s="265" t="n"/>
      <c r="O12" s="1" t="n"/>
      <c r="P12" s="149" t="inlineStr">
        <is>
          <t xml:space="preserve">
비산재
</t>
        </is>
      </c>
      <c r="R12" s="254" t="n"/>
      <c r="S12" s="284" t="n">
        <v>30.99</v>
      </c>
      <c r="T12" s="285" t="n"/>
      <c r="U12" s="285" t="n"/>
      <c r="V12" s="285" t="n"/>
      <c r="W12" s="318">
        <f>'8'!W12+'9'!S12</f>
        <v/>
      </c>
      <c r="X12" s="285" t="n"/>
      <c r="Y12" s="285" t="n"/>
      <c r="Z12" s="287" t="n"/>
    </row>
    <row r="13" ht="21.9" customHeight="1" s="251">
      <c r="A13" s="104" t="inlineStr">
        <is>
          <t>청관제</t>
        </is>
      </c>
      <c r="B13" s="279" t="n"/>
      <c r="C13" s="310">
        <f>'8'!I13</f>
        <v/>
      </c>
      <c r="D13" s="265" t="n"/>
      <c r="E13" s="104" t="n">
        <v>0</v>
      </c>
      <c r="F13" s="279" t="n"/>
      <c r="G13" s="104" t="n">
        <v>90</v>
      </c>
      <c r="H13" s="279" t="n"/>
      <c r="I13" s="288">
        <f>C13+E13-G13</f>
        <v/>
      </c>
      <c r="J13" s="275" t="n"/>
      <c r="K13" s="105">
        <f>'8'!K13+'9'!E13</f>
        <v/>
      </c>
      <c r="L13" s="265" t="n"/>
      <c r="M13" s="105">
        <f>'8'!M13+G13</f>
        <v/>
      </c>
      <c r="N13" s="265" t="n"/>
      <c r="O13" s="1" t="n"/>
      <c r="P13" s="264" t="n"/>
      <c r="Q13" s="272" t="n"/>
      <c r="R13" s="265" t="n"/>
      <c r="S13" s="289" t="n"/>
      <c r="T13" s="290" t="n"/>
      <c r="U13" s="290" t="n"/>
      <c r="V13" s="290" t="n"/>
      <c r="W13" s="264" t="n"/>
      <c r="X13" s="272" t="n"/>
      <c r="Y13" s="272" t="n"/>
      <c r="Z13" s="265" t="n"/>
    </row>
    <row r="14" ht="21.9" customHeight="1" s="251">
      <c r="A14" s="104" t="inlineStr">
        <is>
          <t>활성탄</t>
        </is>
      </c>
      <c r="B14" s="279" t="n"/>
      <c r="C14" s="310">
        <f>'8'!I14</f>
        <v/>
      </c>
      <c r="D14" s="265" t="n"/>
      <c r="E14" s="104" t="n">
        <v>0</v>
      </c>
      <c r="F14" s="279" t="n"/>
      <c r="G14" s="104" t="n">
        <v>120</v>
      </c>
      <c r="H14" s="279" t="n"/>
      <c r="I14" s="288">
        <f>C14+E14-G14</f>
        <v/>
      </c>
      <c r="J14" s="275" t="n"/>
      <c r="K14" s="105">
        <f>'8'!K14+'9'!E14</f>
        <v/>
      </c>
      <c r="L14" s="265" t="n"/>
      <c r="M14" s="105">
        <f>'8'!M14+G14</f>
        <v/>
      </c>
      <c r="N14" s="265" t="n"/>
      <c r="O14" s="1" t="n"/>
      <c r="P14" s="104" t="inlineStr">
        <is>
          <t>바닥재</t>
        </is>
      </c>
      <c r="Q14" s="291" t="n"/>
      <c r="R14" s="292" t="n"/>
      <c r="S14" s="293" t="n">
        <v>0</v>
      </c>
      <c r="T14" s="291" t="n"/>
      <c r="U14" s="291" t="n"/>
      <c r="V14" s="291" t="n"/>
      <c r="W14" s="294">
        <f>'8'!W14+'9'!S14</f>
        <v/>
      </c>
      <c r="X14" s="291" t="n"/>
      <c r="Y14" s="291" t="n"/>
      <c r="Z14" s="295" t="n"/>
    </row>
    <row r="15" ht="21.9" customHeight="1" s="251">
      <c r="A15" s="104" t="inlineStr">
        <is>
          <t>가성소다</t>
        </is>
      </c>
      <c r="B15" s="279" t="n"/>
      <c r="C15" s="310">
        <f>'8'!I15</f>
        <v/>
      </c>
      <c r="D15" s="265" t="n"/>
      <c r="E15" s="104" t="n">
        <v>0</v>
      </c>
      <c r="F15" s="279" t="n"/>
      <c r="G15" s="104" t="n">
        <v>26</v>
      </c>
      <c r="H15" s="279" t="n"/>
      <c r="I15" s="288">
        <f>C15+E15-G15</f>
        <v/>
      </c>
      <c r="J15" s="275" t="n"/>
      <c r="K15" s="105">
        <f>'8'!K15+'9'!E15</f>
        <v/>
      </c>
      <c r="L15" s="265" t="n"/>
      <c r="M15" s="105">
        <f>'8'!M15+G15</f>
        <v/>
      </c>
      <c r="N15" s="265" t="n"/>
      <c r="O15" s="1" t="n"/>
      <c r="P15" s="296" t="n"/>
      <c r="Q15" s="290" t="n"/>
      <c r="R15" s="297" t="n"/>
      <c r="S15" s="296" t="n"/>
      <c r="T15" s="290" t="n"/>
      <c r="U15" s="290" t="n"/>
      <c r="V15" s="290" t="n"/>
      <c r="W15" s="298" t="n"/>
      <c r="X15" s="272" t="n"/>
      <c r="Y15" s="272" t="n"/>
      <c r="Z15" s="265" t="n"/>
    </row>
    <row r="16" ht="21.9" customHeight="1" s="251">
      <c r="A16" s="104" t="inlineStr">
        <is>
          <t>소석회</t>
        </is>
      </c>
      <c r="B16" s="279" t="n"/>
      <c r="C16" s="310">
        <f>'8'!I16</f>
        <v/>
      </c>
      <c r="D16" s="265" t="n"/>
      <c r="E16" s="104" t="n">
        <v>0</v>
      </c>
      <c r="F16" s="279" t="n"/>
      <c r="G16" s="104" t="n">
        <v>20</v>
      </c>
      <c r="H16" s="279" t="n"/>
      <c r="I16" s="288">
        <f>C16+E16-G16</f>
        <v/>
      </c>
      <c r="J16" s="275" t="n"/>
      <c r="K16" s="105">
        <f>'8'!K16+'9'!E16</f>
        <v/>
      </c>
      <c r="L16" s="265" t="n"/>
      <c r="M16" s="105">
        <f>'8'!M16+G16</f>
        <v/>
      </c>
      <c r="N16" s="265" t="n"/>
      <c r="O16" s="1" t="n"/>
      <c r="P16" s="162" t="inlineStr">
        <is>
          <t>구분</t>
        </is>
      </c>
      <c r="Q16" s="291" t="n"/>
      <c r="R16" s="292" t="n"/>
      <c r="S16" s="299" t="inlineStr">
        <is>
          <t>주간</t>
        </is>
      </c>
      <c r="T16" s="292" t="n"/>
      <c r="U16" s="299" t="inlineStr">
        <is>
          <t>야간</t>
        </is>
      </c>
      <c r="V16" s="292" t="n"/>
      <c r="W16" s="299" t="inlineStr">
        <is>
          <t>합계</t>
        </is>
      </c>
      <c r="X16" s="292" t="n"/>
      <c r="Y16" s="299" t="inlineStr">
        <is>
          <t>누계</t>
        </is>
      </c>
      <c r="Z16" s="292" t="n"/>
    </row>
    <row r="17" ht="21.9" customHeight="1" s="251" thickBot="1">
      <c r="A17" s="104" t="inlineStr">
        <is>
          <t>소 금</t>
        </is>
      </c>
      <c r="B17" s="279" t="n"/>
      <c r="C17" s="310">
        <f>'8'!I17</f>
        <v/>
      </c>
      <c r="D17" s="265" t="n"/>
      <c r="E17" s="104" t="n">
        <v>0</v>
      </c>
      <c r="F17" s="279" t="n"/>
      <c r="G17" s="104" t="n">
        <v>200</v>
      </c>
      <c r="H17" s="279" t="n"/>
      <c r="I17" s="288">
        <f>C17+E17-G17</f>
        <v/>
      </c>
      <c r="J17" s="275" t="n"/>
      <c r="K17" s="105">
        <f>'8'!K17+'9'!E17</f>
        <v/>
      </c>
      <c r="L17" s="265" t="n"/>
      <c r="M17" s="105">
        <f>'8'!M17+G17</f>
        <v/>
      </c>
      <c r="N17" s="265" t="n"/>
      <c r="O17" s="1" t="n"/>
      <c r="P17" s="296" t="n"/>
      <c r="Q17" s="290" t="n"/>
      <c r="R17" s="297" t="n"/>
      <c r="S17" s="300" t="n"/>
      <c r="T17" s="301" t="n"/>
      <c r="U17" s="300" t="n"/>
      <c r="V17" s="301" t="n"/>
      <c r="W17" s="300" t="n"/>
      <c r="X17" s="301" t="n"/>
      <c r="Y17" s="300" t="n"/>
      <c r="Z17" s="301" t="n"/>
      <c r="AE17" s="302" t="n"/>
    </row>
    <row r="18" ht="21.9" customHeight="1" s="251" thickTop="1">
      <c r="A18" s="104" t="inlineStr">
        <is>
          <t>경 유</t>
        </is>
      </c>
      <c r="B18" s="279" t="n"/>
      <c r="C18" s="310">
        <f>'8'!I18</f>
        <v/>
      </c>
      <c r="D18" s="265" t="n"/>
      <c r="E18" s="104" t="n">
        <v>0</v>
      </c>
      <c r="F18" s="279" t="n"/>
      <c r="G18" s="104" t="n">
        <v>0</v>
      </c>
      <c r="H18" s="279" t="n"/>
      <c r="I18" s="288">
        <f>C18+E18-G18</f>
        <v/>
      </c>
      <c r="J18" s="275" t="n"/>
      <c r="K18" s="105">
        <f>'8'!K18+'9'!E18</f>
        <v/>
      </c>
      <c r="L18" s="265" t="n"/>
      <c r="M18" s="105">
        <f>'8'!M18+G18</f>
        <v/>
      </c>
      <c r="N18" s="265" t="n"/>
      <c r="O18" s="1" t="n"/>
      <c r="P18" s="164" t="inlineStr">
        <is>
          <t>불연물</t>
        </is>
      </c>
      <c r="Q18" s="285" t="n"/>
      <c r="R18" s="287" t="n"/>
      <c r="S18" s="303" t="n">
        <v>2</v>
      </c>
      <c r="T18" s="287" t="n"/>
      <c r="U18" s="303" t="n">
        <v>1</v>
      </c>
      <c r="V18" s="287" t="n"/>
      <c r="W18" s="303">
        <f>S18+U18</f>
        <v/>
      </c>
      <c r="X18" s="287" t="n"/>
      <c r="Y18" s="303">
        <f>'8'!Y18+'9'!W18</f>
        <v/>
      </c>
      <c r="Z18" s="287" t="n"/>
    </row>
    <row r="19" ht="21.9" customHeight="1" s="251">
      <c r="A19" s="153" t="inlineStr">
        <is>
          <t>SRF</t>
        </is>
      </c>
      <c r="B19" s="279" t="n"/>
      <c r="C19" s="310">
        <f>'8'!I19</f>
        <v/>
      </c>
      <c r="D19" s="265" t="n"/>
      <c r="E19" s="154" t="n">
        <v>70800</v>
      </c>
      <c r="F19" s="279" t="n"/>
      <c r="G19" s="154">
        <f>D7</f>
        <v/>
      </c>
      <c r="H19" s="279" t="n"/>
      <c r="I19" s="273">
        <f>C19+E19-G19</f>
        <v/>
      </c>
      <c r="J19" s="275" t="n"/>
      <c r="K19" s="139">
        <f>'8'!K19+'9'!E19</f>
        <v/>
      </c>
      <c r="L19" s="265" t="n"/>
      <c r="M19" s="139">
        <f>'8'!M19+G19</f>
        <v/>
      </c>
      <c r="N19" s="265" t="n"/>
      <c r="O19" s="1" t="n"/>
      <c r="P19" s="256" t="n"/>
      <c r="R19" s="254" t="n"/>
      <c r="S19" s="256" t="n"/>
      <c r="T19" s="254" t="n"/>
      <c r="U19" s="256" t="n"/>
      <c r="V19" s="254" t="n"/>
      <c r="W19" s="256" t="n"/>
      <c r="X19" s="254" t="n"/>
      <c r="Y19" s="256" t="n"/>
      <c r="Z19" s="254" t="n"/>
    </row>
    <row r="20" ht="21.9" customHeight="1" s="251">
      <c r="A20" s="104" t="inlineStr">
        <is>
          <t>규 사</t>
        </is>
      </c>
      <c r="B20" s="279" t="n"/>
      <c r="C20" s="310">
        <f>'8'!I20</f>
        <v/>
      </c>
      <c r="D20" s="265" t="n"/>
      <c r="E20" s="288" t="n">
        <v>0</v>
      </c>
      <c r="F20" s="275" t="n"/>
      <c r="G20" s="104" t="n">
        <v>0</v>
      </c>
      <c r="H20" s="279" t="n"/>
      <c r="I20" s="288" t="inlineStr">
        <is>
          <t>-</t>
        </is>
      </c>
      <c r="J20" s="275" t="n"/>
      <c r="K20" s="105">
        <f>'8'!K20+'9'!E20</f>
        <v/>
      </c>
      <c r="L20" s="265" t="n"/>
      <c r="M20" s="139">
        <f>'8'!M20+G20</f>
        <v/>
      </c>
      <c r="N20" s="265" t="n"/>
      <c r="O20" s="1" t="n"/>
      <c r="P20" s="264" t="n"/>
      <c r="Q20" s="272" t="n"/>
      <c r="R20" s="265" t="n"/>
      <c r="S20" s="264" t="n"/>
      <c r="T20" s="265" t="n"/>
      <c r="U20" s="264" t="n"/>
      <c r="V20" s="265" t="n"/>
      <c r="W20" s="264" t="n"/>
      <c r="X20" s="265" t="n"/>
      <c r="Y20" s="264" t="n"/>
      <c r="Z20" s="265" t="n"/>
    </row>
    <row r="21" ht="12" customHeight="1" s="25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 t="inlineStr">
        <is>
          <t>5. 전력 사용량 (KWH)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10" t="inlineStr">
        <is>
          <t>6. 유틸리티 사용현황 (㎥)</t>
        </is>
      </c>
      <c r="Q22" s="290" t="n"/>
      <c r="R22" s="290" t="n"/>
      <c r="S22" s="290" t="n"/>
      <c r="T22" s="290" t="n"/>
      <c r="U22" s="290" t="n"/>
      <c r="V22" s="1" t="n"/>
      <c r="W22" s="1" t="n"/>
      <c r="X22" s="1" t="n"/>
      <c r="Y22" s="1" t="n"/>
      <c r="Z22" s="1" t="n"/>
    </row>
    <row r="23" ht="28.5" customHeight="1" s="251" thickBot="1">
      <c r="A23" s="136" t="inlineStr">
        <is>
          <t>구 분</t>
        </is>
      </c>
      <c r="B23" s="270" t="n"/>
      <c r="C23" s="271" t="n"/>
      <c r="D23" s="136" t="inlineStr">
        <is>
          <t>전일지침</t>
        </is>
      </c>
      <c r="E23" s="270" t="n"/>
      <c r="F23" s="271" t="n"/>
      <c r="G23" s="136" t="inlineStr">
        <is>
          <t>금일지침</t>
        </is>
      </c>
      <c r="H23" s="270" t="n"/>
      <c r="I23" s="271" t="n"/>
      <c r="J23" s="136" t="inlineStr">
        <is>
          <t>사용량</t>
        </is>
      </c>
      <c r="K23" s="270" t="n"/>
      <c r="L23" s="271" t="n"/>
      <c r="M23" s="136" t="inlineStr">
        <is>
          <t>누 계</t>
        </is>
      </c>
      <c r="N23" s="271" t="n"/>
      <c r="P23" s="136" t="inlineStr">
        <is>
          <t>구 분</t>
        </is>
      </c>
      <c r="Q23" s="270" t="n"/>
      <c r="R23" s="271" t="n"/>
      <c r="S23" s="136" t="inlineStr">
        <is>
          <t>전일 사용량</t>
        </is>
      </c>
      <c r="T23" s="270" t="n"/>
      <c r="U23" s="271" t="n"/>
      <c r="V23" s="136" t="inlineStr">
        <is>
          <t>금일 사용량</t>
        </is>
      </c>
      <c r="W23" s="270" t="n"/>
      <c r="X23" s="271" t="n"/>
      <c r="Y23" s="136" t="inlineStr">
        <is>
          <t>누 계</t>
        </is>
      </c>
      <c r="Z23" s="271" t="n"/>
    </row>
    <row r="24" ht="21.9" customHeight="1" s="251" thickTop="1">
      <c r="A24" s="105" t="inlineStr">
        <is>
          <t>MAIN</t>
        </is>
      </c>
      <c r="B24" s="272" t="n"/>
      <c r="C24" s="265" t="n"/>
      <c r="D24" s="187">
        <f>'8'!G24</f>
        <v/>
      </c>
      <c r="E24" s="285" t="n"/>
      <c r="F24" s="287" t="n"/>
      <c r="G24" s="164" t="n">
        <v>3883602</v>
      </c>
      <c r="H24" s="304" t="n"/>
      <c r="I24" s="283" t="n"/>
      <c r="J24" s="164">
        <f>G24-D24</f>
        <v/>
      </c>
      <c r="K24" s="304" t="n"/>
      <c r="L24" s="283" t="n"/>
      <c r="M24" s="164">
        <f>'8'!M24+J24</f>
        <v/>
      </c>
      <c r="N24" s="283" t="n"/>
      <c r="P24" s="105" t="inlineStr">
        <is>
          <t>재이용수</t>
        </is>
      </c>
      <c r="Q24" s="272" t="n"/>
      <c r="R24" s="265" t="n"/>
      <c r="S24" s="105">
        <f>'8'!V24</f>
        <v/>
      </c>
      <c r="T24" s="272" t="n"/>
      <c r="U24" s="265" t="n"/>
      <c r="V24" s="276" t="n">
        <v>473.9</v>
      </c>
      <c r="W24" s="272" t="n"/>
      <c r="X24" s="265" t="n"/>
      <c r="Y24" s="276">
        <f>'8'!Y24+'9'!V24</f>
        <v/>
      </c>
      <c r="Z24" s="265" t="n"/>
    </row>
    <row r="25" ht="21.9" customHeight="1" s="251">
      <c r="A25" s="104" t="inlineStr">
        <is>
          <t>ASH 저장조</t>
        </is>
      </c>
      <c r="B25" s="278" t="n"/>
      <c r="C25" s="279" t="n"/>
      <c r="D25" s="104">
        <f>'8'!G25</f>
        <v/>
      </c>
      <c r="E25" s="278" t="n"/>
      <c r="F25" s="279" t="n"/>
      <c r="G25" s="280" t="n">
        <v>33087.1</v>
      </c>
      <c r="H25" s="278" t="n"/>
      <c r="I25" s="279" t="n"/>
      <c r="J25" s="104">
        <f>G25-D25</f>
        <v/>
      </c>
      <c r="K25" s="278" t="n"/>
      <c r="L25" s="279" t="n"/>
      <c r="M25" s="288">
        <f>'8'!M25+J25</f>
        <v/>
      </c>
      <c r="N25" s="275" t="n"/>
      <c r="P25" s="104" t="inlineStr">
        <is>
          <t>복류수</t>
        </is>
      </c>
      <c r="Q25" s="278" t="n"/>
      <c r="R25" s="279" t="n"/>
      <c r="S25" s="105">
        <f>'8'!V25</f>
        <v/>
      </c>
      <c r="T25" s="272" t="n"/>
      <c r="U25" s="265" t="n"/>
      <c r="V25" s="280" t="n">
        <v>55.4</v>
      </c>
      <c r="W25" s="278" t="n"/>
      <c r="X25" s="279" t="n"/>
      <c r="Y25" s="276">
        <f>'8'!Y25+'9'!V25</f>
        <v/>
      </c>
      <c r="Z25" s="265" t="n"/>
    </row>
    <row r="26" ht="21.9" customHeight="1" s="251">
      <c r="A26" s="104" t="inlineStr">
        <is>
          <t>BAG FILTER</t>
        </is>
      </c>
      <c r="B26" s="278" t="n"/>
      <c r="C26" s="279" t="n"/>
      <c r="D26" s="104">
        <f>'8'!G26</f>
        <v/>
      </c>
      <c r="E26" s="278" t="n"/>
      <c r="F26" s="279" t="n"/>
      <c r="G26" s="104" t="n">
        <v>24490</v>
      </c>
      <c r="H26" s="278" t="n"/>
      <c r="I26" s="279" t="n"/>
      <c r="J26" s="104">
        <f>G26-D26</f>
        <v/>
      </c>
      <c r="K26" s="278" t="n"/>
      <c r="L26" s="279" t="n"/>
      <c r="M26" s="288">
        <f>'8'!M26+J26</f>
        <v/>
      </c>
      <c r="N26" s="275" t="n"/>
      <c r="P26" s="104" t="inlineStr">
        <is>
          <t>응축수</t>
        </is>
      </c>
      <c r="Q26" s="278" t="n"/>
      <c r="R26" s="279" t="n"/>
      <c r="S26" s="105">
        <f>'8'!V26</f>
        <v/>
      </c>
      <c r="T26" s="272" t="n"/>
      <c r="U26" s="265" t="n"/>
      <c r="V26" s="280" t="n">
        <v>514.9</v>
      </c>
      <c r="W26" s="278" t="n"/>
      <c r="X26" s="279" t="n"/>
      <c r="Y26" s="276">
        <f>'8'!Y26+'9'!V26</f>
        <v/>
      </c>
      <c r="Z26" s="265" t="n"/>
    </row>
    <row r="27" ht="21.9" customHeight="1" s="251">
      <c r="A27" s="104" t="inlineStr">
        <is>
          <t>SCRUBBER</t>
        </is>
      </c>
      <c r="B27" s="278" t="n"/>
      <c r="C27" s="279" t="n"/>
      <c r="D27" s="104">
        <f>'8'!G27</f>
        <v/>
      </c>
      <c r="E27" s="278" t="n"/>
      <c r="F27" s="279" t="n"/>
      <c r="G27" s="104" t="n">
        <v>1372000</v>
      </c>
      <c r="H27" s="278" t="n"/>
      <c r="I27" s="279" t="n"/>
      <c r="J27" s="104">
        <f>G27-D27</f>
        <v/>
      </c>
      <c r="K27" s="278" t="n"/>
      <c r="L27" s="279" t="n"/>
      <c r="M27" s="288">
        <f>'8'!M27+J27</f>
        <v/>
      </c>
      <c r="N27" s="275" t="n"/>
      <c r="P27" s="104" t="inlineStr">
        <is>
          <t>보일러 급수</t>
        </is>
      </c>
      <c r="Q27" s="278" t="n"/>
      <c r="R27" s="279" t="n"/>
      <c r="S27" s="105">
        <f>'8'!V27</f>
        <v/>
      </c>
      <c r="T27" s="272" t="n"/>
      <c r="U27" s="265" t="n"/>
      <c r="V27" s="280" t="n">
        <v>508.5</v>
      </c>
      <c r="W27" s="278" t="n"/>
      <c r="X27" s="279" t="n"/>
      <c r="Y27" s="276">
        <f>'8'!Y27+'9'!V27</f>
        <v/>
      </c>
      <c r="Z27" s="265" t="n"/>
    </row>
    <row r="28" ht="21.9" customHeight="1" s="251">
      <c r="A28" s="104" t="inlineStr">
        <is>
          <t>활성탄 공급</t>
        </is>
      </c>
      <c r="B28" s="278" t="n"/>
      <c r="C28" s="279" t="n"/>
      <c r="D28" s="104">
        <f>'8'!G28</f>
        <v/>
      </c>
      <c r="E28" s="278" t="n"/>
      <c r="F28" s="279" t="n"/>
      <c r="G28" s="104" t="n">
        <v>5471</v>
      </c>
      <c r="H28" s="278" t="n"/>
      <c r="I28" s="279" t="n"/>
      <c r="J28" s="104">
        <f>G28-D28</f>
        <v/>
      </c>
      <c r="K28" s="278" t="n"/>
      <c r="L28" s="279" t="n"/>
      <c r="M28" s="288">
        <f>'8'!M28+J28</f>
        <v/>
      </c>
      <c r="N28" s="275" t="n"/>
      <c r="P28" s="104" t="inlineStr">
        <is>
          <t>폐 수</t>
        </is>
      </c>
      <c r="Q28" s="278" t="n"/>
      <c r="R28" s="279" t="n"/>
      <c r="S28" s="105">
        <f>'8'!V28</f>
        <v/>
      </c>
      <c r="T28" s="272" t="n"/>
      <c r="U28" s="265" t="n"/>
      <c r="V28" s="280" t="n">
        <v>0</v>
      </c>
      <c r="W28" s="278" t="n"/>
      <c r="X28" s="279" t="n"/>
      <c r="Y28" s="276">
        <f>'8'!Y28+'9'!V28</f>
        <v/>
      </c>
      <c r="Z28" s="265" t="n"/>
    </row>
    <row r="29" ht="21.9" customHeight="1" s="251">
      <c r="A29" s="104" t="inlineStr">
        <is>
          <t>소석회 공급</t>
        </is>
      </c>
      <c r="B29" s="278" t="n"/>
      <c r="C29" s="279" t="n"/>
      <c r="D29" s="104">
        <f>'8'!G29</f>
        <v/>
      </c>
      <c r="E29" s="278" t="n"/>
      <c r="F29" s="279" t="n"/>
      <c r="G29" s="104" t="n">
        <v>66210</v>
      </c>
      <c r="H29" s="278" t="n"/>
      <c r="I29" s="279" t="n"/>
      <c r="J29" s="104">
        <f>G29-D29</f>
        <v/>
      </c>
      <c r="K29" s="278" t="n"/>
      <c r="L29" s="279" t="n"/>
      <c r="M29" s="288">
        <f>'8'!M29+J29</f>
        <v/>
      </c>
      <c r="N29" s="275" t="n"/>
      <c r="P29" s="104" t="inlineStr">
        <is>
          <t>연 수</t>
        </is>
      </c>
      <c r="Q29" s="278" t="n"/>
      <c r="R29" s="279" t="n"/>
      <c r="S29" s="105">
        <f>'8'!V29</f>
        <v/>
      </c>
      <c r="T29" s="272" t="n"/>
      <c r="U29" s="265" t="n"/>
      <c r="V29" s="280" t="n">
        <v>62</v>
      </c>
      <c r="W29" s="278" t="n"/>
      <c r="X29" s="279" t="n"/>
      <c r="Y29" s="276">
        <f>'8'!Y29+'9'!V29</f>
        <v/>
      </c>
      <c r="Z29" s="265" t="n"/>
    </row>
    <row r="30" ht="21.9" customHeight="1" s="251">
      <c r="A30" s="104" t="inlineStr">
        <is>
          <t>요소수 공급</t>
        </is>
      </c>
      <c r="B30" s="278" t="n"/>
      <c r="C30" s="279" t="n"/>
      <c r="D30" s="104">
        <f>'8'!G30</f>
        <v/>
      </c>
      <c r="E30" s="278" t="n"/>
      <c r="F30" s="279" t="n"/>
      <c r="G30" s="104" t="n">
        <v>53340</v>
      </c>
      <c r="H30" s="278" t="n"/>
      <c r="I30" s="279" t="n"/>
      <c r="J30" s="104">
        <f>G30-D30</f>
        <v/>
      </c>
      <c r="K30" s="278" t="n"/>
      <c r="L30" s="279" t="n"/>
      <c r="M30" s="288">
        <f>'8'!M30+J30</f>
        <v/>
      </c>
      <c r="N30" s="275" t="n"/>
      <c r="P30" s="104" t="inlineStr">
        <is>
          <t>계</t>
        </is>
      </c>
      <c r="Q30" s="278" t="n"/>
      <c r="R30" s="279" t="n"/>
      <c r="S30" s="104">
        <f>SUM(S24:U29)</f>
        <v/>
      </c>
      <c r="T30" s="278" t="n"/>
      <c r="U30" s="279" t="n"/>
      <c r="V30" s="280" t="n"/>
      <c r="W30" s="278" t="n"/>
      <c r="X30" s="279" t="n"/>
      <c r="Y30" s="276">
        <f>'8'!Y30+'9'!V30</f>
        <v/>
      </c>
      <c r="Z30" s="265" t="n"/>
    </row>
    <row r="31" ht="21.9" customHeight="1" s="251">
      <c r="A31" s="104" t="inlineStr">
        <is>
          <t xml:space="preserve">F.D </t>
        </is>
      </c>
      <c r="B31" s="278" t="n"/>
      <c r="C31" s="279" t="n"/>
      <c r="D31" s="104">
        <f>'8'!G31</f>
        <v/>
      </c>
      <c r="E31" s="278" t="n"/>
      <c r="F31" s="279" t="n"/>
      <c r="G31" s="288" t="n">
        <v>6273899</v>
      </c>
      <c r="H31" s="274" t="n"/>
      <c r="I31" s="275" t="n"/>
      <c r="J31" s="288">
        <f>G31-D31</f>
        <v/>
      </c>
      <c r="K31" s="274" t="n"/>
      <c r="L31" s="275" t="n"/>
      <c r="M31" s="288">
        <f>'8'!M31+J31</f>
        <v/>
      </c>
      <c r="N31" s="275" t="n"/>
      <c r="P31" s="172" t="n"/>
      <c r="Q31" s="172" t="n"/>
      <c r="R31" s="172" t="n"/>
      <c r="S31" s="172" t="n"/>
      <c r="T31" s="172" t="n"/>
      <c r="U31" s="172" t="n"/>
      <c r="V31" s="305" t="n"/>
      <c r="W31" s="172" t="n"/>
      <c r="X31" s="172" t="n"/>
      <c r="Y31" s="305" t="n"/>
      <c r="Z31" s="305" t="n"/>
    </row>
    <row r="32" ht="21.9" customHeight="1" s="251">
      <c r="A32" s="104" t="inlineStr">
        <is>
          <t>활성탄 BAG</t>
        </is>
      </c>
      <c r="B32" s="278" t="n"/>
      <c r="C32" s="279" t="n"/>
      <c r="D32" s="104">
        <f>'8'!G32</f>
        <v/>
      </c>
      <c r="E32" s="278" t="n"/>
      <c r="F32" s="279" t="n"/>
      <c r="G32" s="288" t="n">
        <v>1.7</v>
      </c>
      <c r="H32" s="274" t="n"/>
      <c r="I32" s="275" t="n"/>
      <c r="J32" s="288">
        <f>G32-D32</f>
        <v/>
      </c>
      <c r="K32" s="274" t="n"/>
      <c r="L32" s="275" t="n"/>
      <c r="M32" s="288">
        <f>'8'!M32+J32</f>
        <v/>
      </c>
      <c r="N32" s="275" t="n"/>
      <c r="P32" s="172" t="n"/>
      <c r="Q32" s="172" t="n"/>
      <c r="R32" s="172" t="n"/>
      <c r="S32" s="172" t="n"/>
      <c r="T32" s="172" t="n"/>
      <c r="U32" s="172" t="n"/>
      <c r="V32" s="305" t="n"/>
      <c r="W32" s="172" t="n"/>
      <c r="X32" s="172" t="n"/>
      <c r="Y32" s="305" t="n"/>
      <c r="Z32" s="305" t="n"/>
    </row>
    <row r="33" ht="21.9" customHeight="1" s="251">
      <c r="A33" s="104" t="inlineStr">
        <is>
          <t>소석회 BAG</t>
        </is>
      </c>
      <c r="B33" s="278" t="n"/>
      <c r="C33" s="279" t="n"/>
      <c r="D33" s="104">
        <f>'8'!G33</f>
        <v/>
      </c>
      <c r="E33" s="278" t="n"/>
      <c r="F33" s="279" t="n"/>
      <c r="G33" s="288" t="n">
        <v>0</v>
      </c>
      <c r="H33" s="274" t="n"/>
      <c r="I33" s="275" t="n"/>
      <c r="J33" s="288">
        <f>G33-D33</f>
        <v/>
      </c>
      <c r="K33" s="274" t="n"/>
      <c r="L33" s="275" t="n"/>
      <c r="M33" s="288">
        <f>'8'!M33+J33</f>
        <v/>
      </c>
      <c r="N33" s="275" t="n"/>
      <c r="P33" s="172" t="n"/>
      <c r="Q33" s="172" t="n"/>
      <c r="R33" s="172" t="n"/>
      <c r="S33" s="172" t="n"/>
      <c r="T33" s="172" t="n"/>
      <c r="U33" s="172" t="n"/>
      <c r="V33" s="305" t="n"/>
      <c r="W33" s="172" t="n"/>
      <c r="X33" s="172" t="n"/>
      <c r="Y33" s="305" t="n"/>
      <c r="Z33" s="305" t="n"/>
    </row>
  </sheetData>
  <mergeCells count="217">
    <mergeCell ref="V24:X24"/>
    <mergeCell ref="A15:B15"/>
    <mergeCell ref="P27:R27"/>
    <mergeCell ref="S23:U23"/>
    <mergeCell ref="C15:D15"/>
    <mergeCell ref="J27:L27"/>
    <mergeCell ref="S14:V15"/>
    <mergeCell ref="Y24:Z24"/>
    <mergeCell ref="U7:W7"/>
    <mergeCell ref="A26:C26"/>
    <mergeCell ref="J25:L25"/>
    <mergeCell ref="G24:I24"/>
    <mergeCell ref="D28:F28"/>
    <mergeCell ref="I16:J16"/>
    <mergeCell ref="A23:C23"/>
    <mergeCell ref="S24:U24"/>
    <mergeCell ref="P6:Q6"/>
    <mergeCell ref="P28:R28"/>
    <mergeCell ref="W1:X1"/>
    <mergeCell ref="Y1:Z1"/>
    <mergeCell ref="G26:I26"/>
    <mergeCell ref="S16:T17"/>
    <mergeCell ref="D30:F30"/>
    <mergeCell ref="G18:H18"/>
    <mergeCell ref="B1:C1"/>
    <mergeCell ref="U8:W8"/>
    <mergeCell ref="I18:J18"/>
    <mergeCell ref="H3:S3"/>
    <mergeCell ref="M16:N16"/>
    <mergeCell ref="P30:R30"/>
    <mergeCell ref="M25:N25"/>
    <mergeCell ref="D29:F29"/>
    <mergeCell ref="D23:F23"/>
    <mergeCell ref="Y25:Z25"/>
    <mergeCell ref="M18:N18"/>
    <mergeCell ref="M33:N33"/>
    <mergeCell ref="A17:B17"/>
    <mergeCell ref="S25:U25"/>
    <mergeCell ref="C17:D17"/>
    <mergeCell ref="U18:V20"/>
    <mergeCell ref="J29:L29"/>
    <mergeCell ref="M17:N17"/>
    <mergeCell ref="W18:X20"/>
    <mergeCell ref="G20:H20"/>
    <mergeCell ref="I20:J20"/>
    <mergeCell ref="S27:U27"/>
    <mergeCell ref="A19:B19"/>
    <mergeCell ref="V23:X23"/>
    <mergeCell ref="C19:D19"/>
    <mergeCell ref="A6:C6"/>
    <mergeCell ref="Y2:Z3"/>
    <mergeCell ref="Y18:Z20"/>
    <mergeCell ref="P22:U22"/>
    <mergeCell ref="M19:N19"/>
    <mergeCell ref="I13:J13"/>
    <mergeCell ref="K13:L13"/>
    <mergeCell ref="X7:Z7"/>
    <mergeCell ref="E12:F12"/>
    <mergeCell ref="J24:L24"/>
    <mergeCell ref="G12:H12"/>
    <mergeCell ref="G28:I28"/>
    <mergeCell ref="D27:F27"/>
    <mergeCell ref="G6:I6"/>
    <mergeCell ref="I15:J15"/>
    <mergeCell ref="A11:B11"/>
    <mergeCell ref="K15:L15"/>
    <mergeCell ref="S28:U28"/>
    <mergeCell ref="C14:D14"/>
    <mergeCell ref="E14:F14"/>
    <mergeCell ref="J26:L26"/>
    <mergeCell ref="G30:I30"/>
    <mergeCell ref="J7:L7"/>
    <mergeCell ref="V27:X27"/>
    <mergeCell ref="A32:C32"/>
    <mergeCell ref="A29:C29"/>
    <mergeCell ref="D25:F25"/>
    <mergeCell ref="V25:X25"/>
    <mergeCell ref="Y26:Z26"/>
    <mergeCell ref="M13:N13"/>
    <mergeCell ref="G32:I32"/>
    <mergeCell ref="J33:L33"/>
    <mergeCell ref="W14:Z15"/>
    <mergeCell ref="A31:C31"/>
    <mergeCell ref="S26:U26"/>
    <mergeCell ref="M27:N27"/>
    <mergeCell ref="I17:J17"/>
    <mergeCell ref="A24:C24"/>
    <mergeCell ref="Y27:Z27"/>
    <mergeCell ref="K17:L17"/>
    <mergeCell ref="P29:R29"/>
    <mergeCell ref="M24:N24"/>
    <mergeCell ref="E16:F16"/>
    <mergeCell ref="J28:L28"/>
    <mergeCell ref="G27:I27"/>
    <mergeCell ref="G16:H16"/>
    <mergeCell ref="D31:F31"/>
    <mergeCell ref="U2:V3"/>
    <mergeCell ref="I19:J19"/>
    <mergeCell ref="U1:V1"/>
    <mergeCell ref="G8:I8"/>
    <mergeCell ref="K19:L19"/>
    <mergeCell ref="C18:D18"/>
    <mergeCell ref="A7:C7"/>
    <mergeCell ref="V29:X29"/>
    <mergeCell ref="E18:F18"/>
    <mergeCell ref="J30:L30"/>
    <mergeCell ref="R6:T6"/>
    <mergeCell ref="K16:L16"/>
    <mergeCell ref="A25:C25"/>
    <mergeCell ref="J6:L6"/>
    <mergeCell ref="D1:E1"/>
    <mergeCell ref="D32:F32"/>
    <mergeCell ref="G11:H11"/>
    <mergeCell ref="I11:J11"/>
    <mergeCell ref="P23:R23"/>
    <mergeCell ref="W11:Z11"/>
    <mergeCell ref="D7:F7"/>
    <mergeCell ref="Y16:Z17"/>
    <mergeCell ref="S18:T20"/>
    <mergeCell ref="Y30:Z30"/>
    <mergeCell ref="C20:D20"/>
    <mergeCell ref="E20:F20"/>
    <mergeCell ref="K11:L11"/>
    <mergeCell ref="J32:L32"/>
    <mergeCell ref="M11:N11"/>
    <mergeCell ref="Y29:Z29"/>
    <mergeCell ref="H1:S2"/>
    <mergeCell ref="V26:X26"/>
    <mergeCell ref="E13:F13"/>
    <mergeCell ref="S30:U30"/>
    <mergeCell ref="G13:H13"/>
    <mergeCell ref="M31:N31"/>
    <mergeCell ref="G29:I29"/>
    <mergeCell ref="D8:F8"/>
    <mergeCell ref="D33:F33"/>
    <mergeCell ref="W12:Z13"/>
    <mergeCell ref="A12:B12"/>
    <mergeCell ref="A28:C28"/>
    <mergeCell ref="S29:U29"/>
    <mergeCell ref="C12:D12"/>
    <mergeCell ref="A1:A3"/>
    <mergeCell ref="M15:N15"/>
    <mergeCell ref="E15:F15"/>
    <mergeCell ref="M12:N12"/>
    <mergeCell ref="G15:H15"/>
    <mergeCell ref="G31:I31"/>
    <mergeCell ref="Y28:Z28"/>
    <mergeCell ref="P18:R20"/>
    <mergeCell ref="A14:B14"/>
    <mergeCell ref="J8:L8"/>
    <mergeCell ref="A30:C30"/>
    <mergeCell ref="M26:N26"/>
    <mergeCell ref="U6:W6"/>
    <mergeCell ref="P25:R25"/>
    <mergeCell ref="M29:N29"/>
    <mergeCell ref="M23:N23"/>
    <mergeCell ref="F2:G3"/>
    <mergeCell ref="G23:I23"/>
    <mergeCell ref="Y23:Z23"/>
    <mergeCell ref="U16:V17"/>
    <mergeCell ref="W16:X17"/>
    <mergeCell ref="G7:I7"/>
    <mergeCell ref="K18:L18"/>
    <mergeCell ref="P12:R13"/>
    <mergeCell ref="D6:F6"/>
    <mergeCell ref="F1:G1"/>
    <mergeCell ref="T1:T3"/>
    <mergeCell ref="V28:X28"/>
    <mergeCell ref="P11:R11"/>
    <mergeCell ref="P14:R15"/>
    <mergeCell ref="A27:C27"/>
    <mergeCell ref="V30:X30"/>
    <mergeCell ref="W2:X3"/>
    <mergeCell ref="E17:F17"/>
    <mergeCell ref="G17:H17"/>
    <mergeCell ref="G33:I33"/>
    <mergeCell ref="X6:Z6"/>
    <mergeCell ref="A33:C33"/>
    <mergeCell ref="K20:L20"/>
    <mergeCell ref="A16:B16"/>
    <mergeCell ref="C16:D16"/>
    <mergeCell ref="M20:N20"/>
    <mergeCell ref="A8:C8"/>
    <mergeCell ref="E19:F19"/>
    <mergeCell ref="P8:Q8"/>
    <mergeCell ref="J31:L31"/>
    <mergeCell ref="G19:H19"/>
    <mergeCell ref="A18:B18"/>
    <mergeCell ref="G25:I25"/>
    <mergeCell ref="D24:F24"/>
    <mergeCell ref="M30:N30"/>
    <mergeCell ref="I12:J12"/>
    <mergeCell ref="K12:L12"/>
    <mergeCell ref="P24:R24"/>
    <mergeCell ref="P7:Q7"/>
    <mergeCell ref="C11:D11"/>
    <mergeCell ref="M28:N28"/>
    <mergeCell ref="E11:F11"/>
    <mergeCell ref="J23:L23"/>
    <mergeCell ref="D26:F26"/>
    <mergeCell ref="G14:H14"/>
    <mergeCell ref="S11:V11"/>
    <mergeCell ref="I14:J14"/>
    <mergeCell ref="R8:T8"/>
    <mergeCell ref="K14:L14"/>
    <mergeCell ref="P26:R26"/>
    <mergeCell ref="P16:R17"/>
    <mergeCell ref="A20:B20"/>
    <mergeCell ref="B2:C3"/>
    <mergeCell ref="D2:E3"/>
    <mergeCell ref="M32:N32"/>
    <mergeCell ref="M14:N14"/>
    <mergeCell ref="X8:Z8"/>
    <mergeCell ref="A13:B13"/>
    <mergeCell ref="C13:D13"/>
    <mergeCell ref="R7:T7"/>
    <mergeCell ref="S12:V13"/>
  </mergeCells>
  <pageMargins left="0.7086614173228347" right="0.7086614173228347" top="0.7480314960629921" bottom="0.7480314960629921" header="0.3149606299212598" footer="0.3149606299212598"/>
  <pageSetup orientation="portrait" paperSize="9" scale="59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E33"/>
  <sheetViews>
    <sheetView zoomScaleNormal="100" zoomScaleSheetLayoutView="100" workbookViewId="0">
      <selection activeCell="G7" sqref="G7:I7"/>
    </sheetView>
  </sheetViews>
  <sheetFormatPr baseColWidth="8" defaultRowHeight="17.4"/>
  <cols>
    <col width="2.8984375" customWidth="1" style="251" min="1" max="1"/>
    <col width="5.59765625" customWidth="1" style="251" min="2" max="14"/>
    <col width="3.59765625" customWidth="1" style="251" min="15" max="15"/>
    <col width="4.59765625" customWidth="1" style="251" min="16" max="22"/>
    <col width="5.59765625" customWidth="1" style="251" min="23" max="26"/>
  </cols>
  <sheetData>
    <row r="1" ht="18.75" customHeight="1" s="251">
      <c r="A1" s="122" t="inlineStr">
        <is>
          <t>근
무
자</t>
        </is>
      </c>
      <c r="B1" s="120" t="inlineStr">
        <is>
          <t>오  전</t>
        </is>
      </c>
      <c r="C1" s="252" t="n"/>
      <c r="D1" s="120" t="inlineStr">
        <is>
          <t>오  후</t>
        </is>
      </c>
      <c r="E1" s="252" t="n"/>
      <c r="F1" s="120" t="inlineStr">
        <is>
          <t>야  간</t>
        </is>
      </c>
      <c r="G1" s="252" t="n"/>
      <c r="H1" s="253" t="inlineStr">
        <is>
          <t>유동상소각로 운전일지</t>
        </is>
      </c>
      <c r="S1" s="254" t="n"/>
      <c r="T1" s="255" t="inlineStr">
        <is>
          <t>결
재</t>
        </is>
      </c>
      <c r="U1" s="120" t="inlineStr">
        <is>
          <t>반장</t>
        </is>
      </c>
      <c r="V1" s="252" t="n"/>
      <c r="W1" s="120" t="inlineStr">
        <is>
          <t>대리</t>
        </is>
      </c>
      <c r="X1" s="252" t="n"/>
      <c r="Y1" s="120" t="inlineStr">
        <is>
          <t>팀장</t>
        </is>
      </c>
      <c r="Z1" s="252" t="n"/>
    </row>
    <row r="2" ht="14.25" customHeight="1" s="251">
      <c r="A2" s="256" t="n"/>
      <c r="B2" s="257" t="inlineStr">
        <is>
          <t>김동욱</t>
        </is>
      </c>
      <c r="C2" s="258" t="n"/>
      <c r="D2" s="257" t="inlineStr">
        <is>
          <t>임종민</t>
        </is>
      </c>
      <c r="E2" s="258" t="n"/>
      <c r="F2" s="257" t="inlineStr">
        <is>
          <t>권정민</t>
        </is>
      </c>
      <c r="G2" s="258" t="n"/>
      <c r="H2" s="259" t="n"/>
      <c r="I2" s="260" t="n"/>
      <c r="J2" s="260" t="n"/>
      <c r="K2" s="260" t="n"/>
      <c r="L2" s="260" t="n"/>
      <c r="M2" s="260" t="n"/>
      <c r="N2" s="260" t="n"/>
      <c r="O2" s="260" t="n"/>
      <c r="P2" s="260" t="n"/>
      <c r="Q2" s="260" t="n"/>
      <c r="R2" s="260" t="n"/>
      <c r="S2" s="261" t="n"/>
      <c r="T2" s="262" t="n"/>
      <c r="U2" s="105" t="n"/>
      <c r="V2" s="254" t="n"/>
      <c r="W2" s="105" t="n"/>
      <c r="X2" s="254" t="n"/>
      <c r="Y2" s="105" t="n"/>
      <c r="Z2" s="254" t="n"/>
    </row>
    <row r="3" ht="37.5" customHeight="1" s="251">
      <c r="A3" s="263" t="n"/>
      <c r="B3" s="264" t="n"/>
      <c r="C3" s="265" t="n"/>
      <c r="D3" s="264" t="n"/>
      <c r="E3" s="265" t="n"/>
      <c r="F3" s="264" t="n"/>
      <c r="G3" s="265" t="n"/>
      <c r="H3" s="266" t="n">
        <v>46213</v>
      </c>
      <c r="I3" s="267" t="n"/>
      <c r="J3" s="267" t="n"/>
      <c r="K3" s="267" t="n"/>
      <c r="L3" s="267" t="n"/>
      <c r="M3" s="267" t="n"/>
      <c r="N3" s="267" t="n"/>
      <c r="O3" s="267" t="n"/>
      <c r="P3" s="267" t="n"/>
      <c r="Q3" s="267" t="n"/>
      <c r="R3" s="267" t="n"/>
      <c r="S3" s="268" t="n"/>
      <c r="T3" s="269" t="n"/>
      <c r="U3" s="264" t="n"/>
      <c r="V3" s="265" t="n"/>
      <c r="W3" s="264" t="n"/>
      <c r="X3" s="265" t="n"/>
      <c r="Y3" s="264" t="n"/>
      <c r="Z3" s="265" t="n"/>
    </row>
    <row r="4" ht="13.5" customHeight="1" s="25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inlineStr">
        <is>
          <t>1. 소각현황(KG)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inlineStr">
        <is>
          <t>2. BOILER 운전현황(TON, HR)</t>
        </is>
      </c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2.5" customHeight="1" s="251" thickBot="1">
      <c r="A6" s="136" t="inlineStr">
        <is>
          <t>구 분</t>
        </is>
      </c>
      <c r="B6" s="270" t="n"/>
      <c r="C6" s="271" t="n"/>
      <c r="D6" s="136" t="inlineStr">
        <is>
          <t>SRF소각량</t>
        </is>
      </c>
      <c r="E6" s="270" t="n"/>
      <c r="F6" s="271" t="n"/>
      <c r="G6" s="136" t="inlineStr">
        <is>
          <t>SLUDGE 소각량</t>
        </is>
      </c>
      <c r="H6" s="270" t="n"/>
      <c r="I6" s="271" t="n"/>
      <c r="J6" s="136" t="inlineStr">
        <is>
          <t>합 계</t>
        </is>
      </c>
      <c r="K6" s="270" t="n"/>
      <c r="L6" s="271" t="n"/>
      <c r="M6" s="1" t="n"/>
      <c r="N6" s="1" t="n"/>
      <c r="O6" s="1" t="n"/>
      <c r="P6" s="136" t="inlineStr">
        <is>
          <t>구 분</t>
        </is>
      </c>
      <c r="Q6" s="271" t="n"/>
      <c r="R6" s="136" t="inlineStr">
        <is>
          <t>스팀 생산량</t>
        </is>
      </c>
      <c r="S6" s="270" t="n"/>
      <c r="T6" s="271" t="n"/>
      <c r="U6" s="136" t="inlineStr">
        <is>
          <t>스팀 송기량</t>
        </is>
      </c>
      <c r="V6" s="270" t="n"/>
      <c r="W6" s="271" t="n"/>
      <c r="X6" s="136" t="inlineStr">
        <is>
          <t>가동시간</t>
        </is>
      </c>
      <c r="Y6" s="270" t="n"/>
      <c r="Z6" s="271" t="n"/>
    </row>
    <row r="7" ht="30" customHeight="1" s="251" thickTop="1">
      <c r="A7" s="105" t="inlineStr">
        <is>
          <t>금 일</t>
        </is>
      </c>
      <c r="B7" s="272" t="n"/>
      <c r="C7" s="265" t="n"/>
      <c r="D7" s="139" t="n">
        <v>80936</v>
      </c>
      <c r="E7" s="272" t="n"/>
      <c r="F7" s="265" t="n"/>
      <c r="G7" s="139" t="n">
        <v>138500</v>
      </c>
      <c r="H7" s="272" t="n"/>
      <c r="I7" s="265" t="n"/>
      <c r="J7" s="154">
        <f>D7+G7</f>
        <v/>
      </c>
      <c r="K7" s="278" t="n"/>
      <c r="L7" s="279" t="n"/>
      <c r="M7" s="1" t="n"/>
      <c r="N7" s="1" t="n"/>
      <c r="O7" s="1" t="n"/>
      <c r="P7" s="105" t="inlineStr">
        <is>
          <t>금 일</t>
        </is>
      </c>
      <c r="Q7" s="265" t="n"/>
      <c r="R7" s="276" t="n">
        <v>507.6</v>
      </c>
      <c r="S7" s="272" t="n"/>
      <c r="T7" s="265" t="n"/>
      <c r="U7" s="276" t="n">
        <v>319.8</v>
      </c>
      <c r="V7" s="272" t="n"/>
      <c r="W7" s="265" t="n"/>
      <c r="X7" s="277" t="n">
        <v>24</v>
      </c>
      <c r="Y7" s="272" t="n"/>
      <c r="Z7" s="265" t="n"/>
    </row>
    <row r="8" ht="30" customHeight="1" s="251">
      <c r="A8" s="104" t="inlineStr">
        <is>
          <t>누 계</t>
        </is>
      </c>
      <c r="B8" s="278" t="n"/>
      <c r="C8" s="279" t="n"/>
      <c r="D8" s="154">
        <f>'9'!D8+'10'!D7</f>
        <v/>
      </c>
      <c r="E8" s="278" t="n"/>
      <c r="F8" s="279" t="n"/>
      <c r="G8" s="154">
        <f>'9'!G8+'10'!G7</f>
        <v/>
      </c>
      <c r="H8" s="278" t="n"/>
      <c r="I8" s="279" t="n"/>
      <c r="J8" s="154">
        <f>D8+G8</f>
        <v/>
      </c>
      <c r="K8" s="278" t="n"/>
      <c r="L8" s="279" t="n"/>
      <c r="M8" s="1" t="n"/>
      <c r="N8" s="1" t="n"/>
      <c r="O8" s="1" t="n"/>
      <c r="P8" s="104" t="inlineStr">
        <is>
          <t>누 계</t>
        </is>
      </c>
      <c r="Q8" s="279" t="n"/>
      <c r="R8" s="280">
        <f>'9'!R8+'10'!R7</f>
        <v/>
      </c>
      <c r="S8" s="278" t="n"/>
      <c r="T8" s="279" t="n"/>
      <c r="U8" s="280">
        <f>'9'!U8+U7</f>
        <v/>
      </c>
      <c r="V8" s="278" t="n"/>
      <c r="W8" s="279" t="n"/>
      <c r="X8" s="281">
        <f>'9'!X8+'10'!X7</f>
        <v/>
      </c>
      <c r="Y8" s="278" t="n"/>
      <c r="Z8" s="279" t="n"/>
    </row>
    <row r="9" ht="12" customHeight="1" s="25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inlineStr">
        <is>
          <t>3. 약품 사용현황 (KG)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inlineStr">
        <is>
          <t>4. 소각재 발생량 (TON, 대)</t>
        </is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30.75" customHeight="1" s="251" thickBot="1">
      <c r="A11" s="136" t="inlineStr">
        <is>
          <t>품 명</t>
        </is>
      </c>
      <c r="B11" s="271" t="n"/>
      <c r="C11" s="150" t="inlineStr">
        <is>
          <t>전일 
재고량</t>
        </is>
      </c>
      <c r="D11" s="271" t="n"/>
      <c r="E11" s="136" t="inlineStr">
        <is>
          <t>입고량</t>
        </is>
      </c>
      <c r="F11" s="271" t="n"/>
      <c r="G11" s="136" t="inlineStr">
        <is>
          <t>사용량</t>
        </is>
      </c>
      <c r="H11" s="271" t="n"/>
      <c r="I11" s="282" t="inlineStr">
        <is>
          <t>재고량</t>
        </is>
      </c>
      <c r="J11" s="271" t="n"/>
      <c r="K11" s="150" t="inlineStr">
        <is>
          <t>입고량 
누계</t>
        </is>
      </c>
      <c r="L11" s="271" t="n"/>
      <c r="M11" s="150" t="inlineStr">
        <is>
          <t>사용량 
누계</t>
        </is>
      </c>
      <c r="N11" s="271" t="n"/>
      <c r="O11" s="1" t="n"/>
      <c r="P11" s="136" t="inlineStr">
        <is>
          <t xml:space="preserve"> 구 분</t>
        </is>
      </c>
      <c r="Q11" s="270" t="n"/>
      <c r="R11" s="271" t="n"/>
      <c r="S11" s="282" t="inlineStr">
        <is>
          <t>반출량</t>
        </is>
      </c>
      <c r="T11" s="270" t="n"/>
      <c r="U11" s="270" t="n"/>
      <c r="V11" s="271" t="n"/>
      <c r="W11" s="282" t="inlineStr">
        <is>
          <t>누계</t>
        </is>
      </c>
      <c r="X11" s="270" t="n"/>
      <c r="Y11" s="270" t="n"/>
      <c r="Z11" s="271" t="n"/>
    </row>
    <row r="12" ht="21.9" customHeight="1" s="251" thickTop="1">
      <c r="A12" s="142" t="inlineStr">
        <is>
          <t>탄산암모늄</t>
        </is>
      </c>
      <c r="B12" s="265" t="n"/>
      <c r="C12" s="310">
        <f>'9'!I12</f>
        <v/>
      </c>
      <c r="D12" s="265" t="n"/>
      <c r="E12" s="105" t="n">
        <v>11400</v>
      </c>
      <c r="F12" s="265" t="n"/>
      <c r="G12" s="105" t="n">
        <v>3494</v>
      </c>
      <c r="H12" s="265" t="n"/>
      <c r="I12" s="164">
        <f>C12+E12-G12</f>
        <v/>
      </c>
      <c r="J12" s="283" t="n"/>
      <c r="K12" s="105">
        <f>'9'!K12+'10'!E12</f>
        <v/>
      </c>
      <c r="L12" s="265" t="n"/>
      <c r="M12" s="105">
        <f>'9'!M12+'10'!G12</f>
        <v/>
      </c>
      <c r="N12" s="265" t="n"/>
      <c r="O12" s="1" t="n"/>
      <c r="P12" s="149" t="inlineStr">
        <is>
          <t xml:space="preserve">
비산재
</t>
        </is>
      </c>
      <c r="R12" s="254" t="n"/>
      <c r="S12" s="284" t="n">
        <v>26.21</v>
      </c>
      <c r="T12" s="285" t="n"/>
      <c r="U12" s="285" t="n"/>
      <c r="V12" s="285" t="n"/>
      <c r="W12" s="318">
        <f>'9'!W12+'10'!S12</f>
        <v/>
      </c>
      <c r="X12" s="285" t="n"/>
      <c r="Y12" s="285" t="n"/>
      <c r="Z12" s="287" t="n"/>
    </row>
    <row r="13" ht="21.9" customHeight="1" s="251">
      <c r="A13" s="104" t="inlineStr">
        <is>
          <t>청관제</t>
        </is>
      </c>
      <c r="B13" s="279" t="n"/>
      <c r="C13" s="310">
        <f>'9'!I13</f>
        <v/>
      </c>
      <c r="D13" s="265" t="n"/>
      <c r="E13" s="104" t="n">
        <v>0</v>
      </c>
      <c r="F13" s="279" t="n"/>
      <c r="G13" s="104" t="n">
        <v>100</v>
      </c>
      <c r="H13" s="279" t="n"/>
      <c r="I13" s="288">
        <f>C13+E13-G13</f>
        <v/>
      </c>
      <c r="J13" s="275" t="n"/>
      <c r="K13" s="105">
        <f>'9'!K13+'10'!E13</f>
        <v/>
      </c>
      <c r="L13" s="265" t="n"/>
      <c r="M13" s="105">
        <f>'9'!M13+'10'!G13</f>
        <v/>
      </c>
      <c r="N13" s="265" t="n"/>
      <c r="O13" s="1" t="n"/>
      <c r="P13" s="264" t="n"/>
      <c r="Q13" s="272" t="n"/>
      <c r="R13" s="265" t="n"/>
      <c r="S13" s="289" t="n"/>
      <c r="T13" s="290" t="n"/>
      <c r="U13" s="290" t="n"/>
      <c r="V13" s="290" t="n"/>
      <c r="W13" s="264" t="n"/>
      <c r="X13" s="272" t="n"/>
      <c r="Y13" s="272" t="n"/>
      <c r="Z13" s="265" t="n"/>
    </row>
    <row r="14" ht="21.9" customHeight="1" s="251">
      <c r="A14" s="104" t="inlineStr">
        <is>
          <t>활성탄</t>
        </is>
      </c>
      <c r="B14" s="279" t="n"/>
      <c r="C14" s="310">
        <f>'9'!I14</f>
        <v/>
      </c>
      <c r="D14" s="265" t="n"/>
      <c r="E14" s="104" t="n">
        <v>0</v>
      </c>
      <c r="F14" s="279" t="n"/>
      <c r="G14" s="104" t="n">
        <v>120</v>
      </c>
      <c r="H14" s="279" t="n"/>
      <c r="I14" s="288">
        <f>C14+E14-G14</f>
        <v/>
      </c>
      <c r="J14" s="275" t="n"/>
      <c r="K14" s="105">
        <f>'9'!K14+'10'!E14</f>
        <v/>
      </c>
      <c r="L14" s="265" t="n"/>
      <c r="M14" s="105">
        <f>'9'!M14+'10'!G14</f>
        <v/>
      </c>
      <c r="N14" s="265" t="n"/>
      <c r="O14" s="1" t="n"/>
      <c r="P14" s="104" t="inlineStr">
        <is>
          <t>바닥재</t>
        </is>
      </c>
      <c r="Q14" s="291" t="n"/>
      <c r="R14" s="292" t="n"/>
      <c r="S14" s="293" t="n">
        <v>0</v>
      </c>
      <c r="T14" s="291" t="n"/>
      <c r="U14" s="291" t="n"/>
      <c r="V14" s="291" t="n"/>
      <c r="W14" s="294">
        <f>'9'!W14+'10'!S14</f>
        <v/>
      </c>
      <c r="X14" s="291" t="n"/>
      <c r="Y14" s="291" t="n"/>
      <c r="Z14" s="295" t="n"/>
    </row>
    <row r="15" ht="21.9" customHeight="1" s="251">
      <c r="A15" s="104" t="inlineStr">
        <is>
          <t>가성소다</t>
        </is>
      </c>
      <c r="B15" s="279" t="n"/>
      <c r="C15" s="310">
        <f>'9'!I15</f>
        <v/>
      </c>
      <c r="D15" s="265" t="n"/>
      <c r="E15" s="104" t="n">
        <v>0</v>
      </c>
      <c r="F15" s="279" t="n"/>
      <c r="G15" s="104" t="n">
        <v>31</v>
      </c>
      <c r="H15" s="279" t="n"/>
      <c r="I15" s="288">
        <f>C15+E15-G15</f>
        <v/>
      </c>
      <c r="J15" s="275" t="n"/>
      <c r="K15" s="105">
        <f>'9'!K15+'10'!E15</f>
        <v/>
      </c>
      <c r="L15" s="265" t="n"/>
      <c r="M15" s="105">
        <f>'9'!M15+'10'!G15</f>
        <v/>
      </c>
      <c r="N15" s="265" t="n"/>
      <c r="O15" s="1" t="n"/>
      <c r="P15" s="296" t="n"/>
      <c r="Q15" s="290" t="n"/>
      <c r="R15" s="297" t="n"/>
      <c r="S15" s="296" t="n"/>
      <c r="T15" s="290" t="n"/>
      <c r="U15" s="290" t="n"/>
      <c r="V15" s="290" t="n"/>
      <c r="W15" s="298" t="n"/>
      <c r="X15" s="272" t="n"/>
      <c r="Y15" s="272" t="n"/>
      <c r="Z15" s="265" t="n"/>
    </row>
    <row r="16" ht="21.9" customHeight="1" s="251">
      <c r="A16" s="104" t="inlineStr">
        <is>
          <t>소석회</t>
        </is>
      </c>
      <c r="B16" s="279" t="n"/>
      <c r="C16" s="310">
        <f>'9'!I16</f>
        <v/>
      </c>
      <c r="D16" s="265" t="n"/>
      <c r="E16" s="104" t="n">
        <v>0</v>
      </c>
      <c r="F16" s="279" t="n"/>
      <c r="G16" s="104" t="n">
        <v>20</v>
      </c>
      <c r="H16" s="279" t="n"/>
      <c r="I16" s="288">
        <f>C16+E16-G16</f>
        <v/>
      </c>
      <c r="J16" s="275" t="n"/>
      <c r="K16" s="105">
        <f>'9'!K16+'10'!E16</f>
        <v/>
      </c>
      <c r="L16" s="265" t="n"/>
      <c r="M16" s="105">
        <f>'9'!M16+'10'!G16</f>
        <v/>
      </c>
      <c r="N16" s="265" t="n"/>
      <c r="O16" s="1" t="n"/>
      <c r="P16" s="162" t="inlineStr">
        <is>
          <t>구분</t>
        </is>
      </c>
      <c r="Q16" s="291" t="n"/>
      <c r="R16" s="292" t="n"/>
      <c r="S16" s="299" t="inlineStr">
        <is>
          <t>주간</t>
        </is>
      </c>
      <c r="T16" s="292" t="n"/>
      <c r="U16" s="299" t="inlineStr">
        <is>
          <t>야간</t>
        </is>
      </c>
      <c r="V16" s="292" t="n"/>
      <c r="W16" s="299" t="inlineStr">
        <is>
          <t>합계</t>
        </is>
      </c>
      <c r="X16" s="292" t="n"/>
      <c r="Y16" s="299" t="inlineStr">
        <is>
          <t>누계</t>
        </is>
      </c>
      <c r="Z16" s="292" t="n"/>
    </row>
    <row r="17" ht="21.9" customHeight="1" s="251" thickBot="1">
      <c r="A17" s="104" t="inlineStr">
        <is>
          <t>소 금</t>
        </is>
      </c>
      <c r="B17" s="279" t="n"/>
      <c r="C17" s="310">
        <f>'9'!I17</f>
        <v/>
      </c>
      <c r="D17" s="265" t="n"/>
      <c r="E17" s="104" t="n">
        <v>0</v>
      </c>
      <c r="F17" s="279" t="n"/>
      <c r="G17" s="104" t="n">
        <v>200</v>
      </c>
      <c r="H17" s="279" t="n"/>
      <c r="I17" s="288">
        <f>C17+E17-G17</f>
        <v/>
      </c>
      <c r="J17" s="275" t="n"/>
      <c r="K17" s="105">
        <f>'9'!K17+'10'!E17</f>
        <v/>
      </c>
      <c r="L17" s="265" t="n"/>
      <c r="M17" s="105">
        <f>'9'!M17+'10'!G17</f>
        <v/>
      </c>
      <c r="N17" s="265" t="n"/>
      <c r="O17" s="1" t="n"/>
      <c r="P17" s="296" t="n"/>
      <c r="Q17" s="290" t="n"/>
      <c r="R17" s="297" t="n"/>
      <c r="S17" s="300" t="n"/>
      <c r="T17" s="301" t="n"/>
      <c r="U17" s="300" t="n"/>
      <c r="V17" s="301" t="n"/>
      <c r="W17" s="300" t="n"/>
      <c r="X17" s="301" t="n"/>
      <c r="Y17" s="300" t="n"/>
      <c r="Z17" s="301" t="n"/>
      <c r="AE17" s="302" t="n"/>
    </row>
    <row r="18" ht="21.9" customHeight="1" s="251" thickTop="1">
      <c r="A18" s="104" t="inlineStr">
        <is>
          <t>경 유</t>
        </is>
      </c>
      <c r="B18" s="279" t="n"/>
      <c r="C18" s="310">
        <f>'9'!I18</f>
        <v/>
      </c>
      <c r="D18" s="265" t="n"/>
      <c r="E18" s="104" t="n">
        <v>0</v>
      </c>
      <c r="F18" s="279" t="n"/>
      <c r="G18" s="104" t="n">
        <v>0</v>
      </c>
      <c r="H18" s="279" t="n"/>
      <c r="I18" s="288">
        <f>C18+E18-G18</f>
        <v/>
      </c>
      <c r="J18" s="275" t="n"/>
      <c r="K18" s="105">
        <f>'9'!K18+'10'!E18</f>
        <v/>
      </c>
      <c r="L18" s="265" t="n"/>
      <c r="M18" s="105">
        <f>'9'!M18+'10'!G18</f>
        <v/>
      </c>
      <c r="N18" s="265" t="n"/>
      <c r="O18" s="1" t="n"/>
      <c r="P18" s="164" t="inlineStr">
        <is>
          <t>불연물</t>
        </is>
      </c>
      <c r="Q18" s="285" t="n"/>
      <c r="R18" s="287" t="n"/>
      <c r="S18" s="303" t="n">
        <v>1</v>
      </c>
      <c r="T18" s="287" t="n"/>
      <c r="U18" s="303" t="n">
        <v>1</v>
      </c>
      <c r="V18" s="287" t="n"/>
      <c r="W18" s="303">
        <f>S18+U18</f>
        <v/>
      </c>
      <c r="X18" s="287" t="n"/>
      <c r="Y18" s="303">
        <f>'9'!Y18+W18</f>
        <v/>
      </c>
      <c r="Z18" s="287" t="n"/>
    </row>
    <row r="19" ht="21.9" customHeight="1" s="251">
      <c r="A19" s="153" t="inlineStr">
        <is>
          <t>SRF</t>
        </is>
      </c>
      <c r="B19" s="279" t="n"/>
      <c r="C19" s="310">
        <f>'9'!I19</f>
        <v/>
      </c>
      <c r="D19" s="265" t="n"/>
      <c r="E19" s="154" t="n">
        <v>65350</v>
      </c>
      <c r="F19" s="279" t="n"/>
      <c r="G19" s="154">
        <f>D7</f>
        <v/>
      </c>
      <c r="H19" s="279" t="n"/>
      <c r="I19" s="273">
        <f>C19+E19-G19</f>
        <v/>
      </c>
      <c r="J19" s="275" t="n"/>
      <c r="K19" s="139">
        <f>'9'!K19+'10'!E19</f>
        <v/>
      </c>
      <c r="L19" s="265" t="n"/>
      <c r="M19" s="139">
        <f>'9'!M19+'10'!G19</f>
        <v/>
      </c>
      <c r="N19" s="265" t="n"/>
      <c r="O19" s="1" t="n"/>
      <c r="P19" s="256" t="n"/>
      <c r="R19" s="254" t="n"/>
      <c r="S19" s="256" t="n"/>
      <c r="T19" s="254" t="n"/>
      <c r="U19" s="256" t="n"/>
      <c r="V19" s="254" t="n"/>
      <c r="W19" s="256" t="n"/>
      <c r="X19" s="254" t="n"/>
      <c r="Y19" s="256" t="n"/>
      <c r="Z19" s="254" t="n"/>
    </row>
    <row r="20" ht="21.9" customHeight="1" s="251">
      <c r="A20" s="104" t="inlineStr">
        <is>
          <t>규 사</t>
        </is>
      </c>
      <c r="B20" s="279" t="n"/>
      <c r="C20" s="310">
        <f>'9'!I20</f>
        <v/>
      </c>
      <c r="D20" s="265" t="n"/>
      <c r="E20" s="288" t="n">
        <v>0</v>
      </c>
      <c r="F20" s="275" t="n"/>
      <c r="G20" s="104" t="n">
        <v>0</v>
      </c>
      <c r="H20" s="279" t="n"/>
      <c r="I20" s="288" t="inlineStr">
        <is>
          <t>-</t>
        </is>
      </c>
      <c r="J20" s="275" t="n"/>
      <c r="K20" s="105">
        <f>'9'!K20+'10'!E20</f>
        <v/>
      </c>
      <c r="L20" s="265" t="n"/>
      <c r="M20" s="139">
        <f>'9'!M20+'10'!G20</f>
        <v/>
      </c>
      <c r="N20" s="265" t="n"/>
      <c r="O20" s="1" t="n"/>
      <c r="P20" s="264" t="n"/>
      <c r="Q20" s="272" t="n"/>
      <c r="R20" s="265" t="n"/>
      <c r="S20" s="264" t="n"/>
      <c r="T20" s="265" t="n"/>
      <c r="U20" s="264" t="n"/>
      <c r="V20" s="265" t="n"/>
      <c r="W20" s="264" t="n"/>
      <c r="X20" s="265" t="n"/>
      <c r="Y20" s="264" t="n"/>
      <c r="Z20" s="265" t="n"/>
    </row>
    <row r="21" ht="12" customHeight="1" s="25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 t="inlineStr">
        <is>
          <t>5. 전력 사용량 (KWH)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10" t="inlineStr">
        <is>
          <t>6. 유틸리티 사용현황 (㎥)</t>
        </is>
      </c>
      <c r="Q22" s="290" t="n"/>
      <c r="R22" s="290" t="n"/>
      <c r="S22" s="290" t="n"/>
      <c r="T22" s="290" t="n"/>
      <c r="U22" s="290" t="n"/>
      <c r="V22" s="1" t="n"/>
      <c r="W22" s="1" t="n"/>
      <c r="X22" s="1" t="n"/>
      <c r="Y22" s="1" t="n"/>
      <c r="Z22" s="1" t="n"/>
    </row>
    <row r="23" ht="28.5" customHeight="1" s="251" thickBot="1">
      <c r="A23" s="136" t="inlineStr">
        <is>
          <t>구 분</t>
        </is>
      </c>
      <c r="B23" s="270" t="n"/>
      <c r="C23" s="271" t="n"/>
      <c r="D23" s="136" t="inlineStr">
        <is>
          <t>전일지침</t>
        </is>
      </c>
      <c r="E23" s="270" t="n"/>
      <c r="F23" s="271" t="n"/>
      <c r="G23" s="136" t="inlineStr">
        <is>
          <t>금일지침</t>
        </is>
      </c>
      <c r="H23" s="270" t="n"/>
      <c r="I23" s="271" t="n"/>
      <c r="J23" s="136" t="inlineStr">
        <is>
          <t>사용량</t>
        </is>
      </c>
      <c r="K23" s="270" t="n"/>
      <c r="L23" s="271" t="n"/>
      <c r="M23" s="136" t="inlineStr">
        <is>
          <t>누 계</t>
        </is>
      </c>
      <c r="N23" s="271" t="n"/>
      <c r="P23" s="136" t="inlineStr">
        <is>
          <t>구 분</t>
        </is>
      </c>
      <c r="Q23" s="270" t="n"/>
      <c r="R23" s="271" t="n"/>
      <c r="S23" s="136" t="inlineStr">
        <is>
          <t>전일 사용량</t>
        </is>
      </c>
      <c r="T23" s="270" t="n"/>
      <c r="U23" s="271" t="n"/>
      <c r="V23" s="136" t="inlineStr">
        <is>
          <t>금일 사용량</t>
        </is>
      </c>
      <c r="W23" s="270" t="n"/>
      <c r="X23" s="271" t="n"/>
      <c r="Y23" s="136" t="inlineStr">
        <is>
          <t>누 계</t>
        </is>
      </c>
      <c r="Z23" s="271" t="n"/>
    </row>
    <row r="24" ht="21.9" customHeight="1" s="251" thickTop="1">
      <c r="A24" s="105" t="inlineStr">
        <is>
          <t>MAIN</t>
        </is>
      </c>
      <c r="B24" s="272" t="n"/>
      <c r="C24" s="265" t="n"/>
      <c r="D24" s="187">
        <f>'9'!G24</f>
        <v/>
      </c>
      <c r="E24" s="285" t="n"/>
      <c r="F24" s="287" t="n"/>
      <c r="G24" s="164" t="n">
        <v>3905553</v>
      </c>
      <c r="H24" s="304" t="n"/>
      <c r="I24" s="283" t="n"/>
      <c r="J24" s="164">
        <f>G24-D24</f>
        <v/>
      </c>
      <c r="K24" s="304" t="n"/>
      <c r="L24" s="283" t="n"/>
      <c r="M24" s="164">
        <f>'9'!M24+'10'!J24</f>
        <v/>
      </c>
      <c r="N24" s="283" t="n"/>
      <c r="P24" s="105" t="inlineStr">
        <is>
          <t>재이용수</t>
        </is>
      </c>
      <c r="Q24" s="272" t="n"/>
      <c r="R24" s="265" t="n"/>
      <c r="S24" s="105">
        <f>'9'!V24</f>
        <v/>
      </c>
      <c r="T24" s="272" t="n"/>
      <c r="U24" s="265" t="n"/>
      <c r="V24" s="276" t="n">
        <v>562</v>
      </c>
      <c r="W24" s="272" t="n"/>
      <c r="X24" s="265" t="n"/>
      <c r="Y24" s="276">
        <f>'9'!Y24+V24</f>
        <v/>
      </c>
      <c r="Z24" s="265" t="n"/>
    </row>
    <row r="25" ht="21.9" customHeight="1" s="251">
      <c r="A25" s="104" t="inlineStr">
        <is>
          <t>ASH 저장조</t>
        </is>
      </c>
      <c r="B25" s="278" t="n"/>
      <c r="C25" s="279" t="n"/>
      <c r="D25" s="104">
        <f>'9'!G25</f>
        <v/>
      </c>
      <c r="E25" s="278" t="n"/>
      <c r="F25" s="279" t="n"/>
      <c r="G25" s="104" t="n">
        <v>33117.7</v>
      </c>
      <c r="H25" s="278" t="n"/>
      <c r="I25" s="279" t="n"/>
      <c r="J25" s="104">
        <f>G25-D25</f>
        <v/>
      </c>
      <c r="K25" s="278" t="n"/>
      <c r="L25" s="279" t="n"/>
      <c r="M25" s="288">
        <f>'9'!M25+'10'!J25</f>
        <v/>
      </c>
      <c r="N25" s="275" t="n"/>
      <c r="P25" s="104" t="inlineStr">
        <is>
          <t>복류수</t>
        </is>
      </c>
      <c r="Q25" s="278" t="n"/>
      <c r="R25" s="279" t="n"/>
      <c r="S25" s="105">
        <f>'9'!V25</f>
        <v/>
      </c>
      <c r="T25" s="272" t="n"/>
      <c r="U25" s="265" t="n"/>
      <c r="V25" s="280" t="n">
        <v>62.9</v>
      </c>
      <c r="W25" s="278" t="n"/>
      <c r="X25" s="279" t="n"/>
      <c r="Y25" s="276">
        <f>'9'!Y25+V25</f>
        <v/>
      </c>
      <c r="Z25" s="265" t="n"/>
    </row>
    <row r="26" ht="21.9" customHeight="1" s="251">
      <c r="A26" s="104" t="inlineStr">
        <is>
          <t>BAG FILTER</t>
        </is>
      </c>
      <c r="B26" s="278" t="n"/>
      <c r="C26" s="279" t="n"/>
      <c r="D26" s="104">
        <f>'9'!G26</f>
        <v/>
      </c>
      <c r="E26" s="278" t="n"/>
      <c r="F26" s="279" t="n"/>
      <c r="G26" s="104" t="n">
        <v>24510</v>
      </c>
      <c r="H26" s="278" t="n"/>
      <c r="I26" s="279" t="n"/>
      <c r="J26" s="104">
        <f>G26-D26</f>
        <v/>
      </c>
      <c r="K26" s="278" t="n"/>
      <c r="L26" s="279" t="n"/>
      <c r="M26" s="288">
        <f>'9'!M26+'10'!J26</f>
        <v/>
      </c>
      <c r="N26" s="275" t="n"/>
      <c r="P26" s="104" t="inlineStr">
        <is>
          <t>응축수</t>
        </is>
      </c>
      <c r="Q26" s="278" t="n"/>
      <c r="R26" s="279" t="n"/>
      <c r="S26" s="105">
        <f>'9'!V26</f>
        <v/>
      </c>
      <c r="T26" s="272" t="n"/>
      <c r="U26" s="265" t="n"/>
      <c r="V26" s="280" t="n">
        <v>488.1</v>
      </c>
      <c r="W26" s="278" t="n"/>
      <c r="X26" s="279" t="n"/>
      <c r="Y26" s="276">
        <f>'9'!Y26+V26</f>
        <v/>
      </c>
      <c r="Z26" s="265" t="n"/>
    </row>
    <row r="27" ht="21.9" customHeight="1" s="251">
      <c r="A27" s="104" t="inlineStr">
        <is>
          <t>SCRUBBER</t>
        </is>
      </c>
      <c r="B27" s="278" t="n"/>
      <c r="C27" s="279" t="n"/>
      <c r="D27" s="104">
        <f>'9'!G27</f>
        <v/>
      </c>
      <c r="E27" s="278" t="n"/>
      <c r="F27" s="279" t="n"/>
      <c r="G27" s="104" t="n">
        <v>1375000</v>
      </c>
      <c r="H27" s="278" t="n"/>
      <c r="I27" s="279" t="n"/>
      <c r="J27" s="104">
        <f>G27-D27</f>
        <v/>
      </c>
      <c r="K27" s="278" t="n"/>
      <c r="L27" s="279" t="n"/>
      <c r="M27" s="288">
        <f>'9'!M27+'10'!J27</f>
        <v/>
      </c>
      <c r="N27" s="275" t="n"/>
      <c r="P27" s="104" t="inlineStr">
        <is>
          <t>보일러 급수</t>
        </is>
      </c>
      <c r="Q27" s="278" t="n"/>
      <c r="R27" s="279" t="n"/>
      <c r="S27" s="105">
        <f>'9'!V27</f>
        <v/>
      </c>
      <c r="T27" s="272" t="n"/>
      <c r="U27" s="265" t="n"/>
      <c r="V27" s="280" t="n">
        <v>513.3</v>
      </c>
      <c r="W27" s="278" t="n"/>
      <c r="X27" s="279" t="n"/>
      <c r="Y27" s="276">
        <f>'9'!Y27+V27</f>
        <v/>
      </c>
      <c r="Z27" s="265" t="n"/>
    </row>
    <row r="28" ht="21.9" customHeight="1" s="251">
      <c r="A28" s="104" t="inlineStr">
        <is>
          <t>활성탄 공급</t>
        </is>
      </c>
      <c r="B28" s="278" t="n"/>
      <c r="C28" s="279" t="n"/>
      <c r="D28" s="104">
        <f>'9'!G28</f>
        <v/>
      </c>
      <c r="E28" s="278" t="n"/>
      <c r="F28" s="279" t="n"/>
      <c r="G28" s="104" t="n">
        <v>5522</v>
      </c>
      <c r="H28" s="278" t="n"/>
      <c r="I28" s="279" t="n"/>
      <c r="J28" s="104">
        <f>G28-D28</f>
        <v/>
      </c>
      <c r="K28" s="278" t="n"/>
      <c r="L28" s="279" t="n"/>
      <c r="M28" s="288">
        <f>'9'!M28+'10'!J28</f>
        <v/>
      </c>
      <c r="N28" s="275" t="n"/>
      <c r="P28" s="104" t="inlineStr">
        <is>
          <t>폐 수</t>
        </is>
      </c>
      <c r="Q28" s="278" t="n"/>
      <c r="R28" s="279" t="n"/>
      <c r="S28" s="105">
        <f>'9'!V28</f>
        <v/>
      </c>
      <c r="T28" s="272" t="n"/>
      <c r="U28" s="265" t="n"/>
      <c r="V28" s="280" t="n">
        <v>0</v>
      </c>
      <c r="W28" s="278" t="n"/>
      <c r="X28" s="279" t="n"/>
      <c r="Y28" s="276">
        <f>'9'!Y28+V28</f>
        <v/>
      </c>
      <c r="Z28" s="265" t="n"/>
    </row>
    <row r="29" ht="21.9" customHeight="1" s="251">
      <c r="A29" s="104" t="inlineStr">
        <is>
          <t>소석회 공급</t>
        </is>
      </c>
      <c r="B29" s="278" t="n"/>
      <c r="C29" s="279" t="n"/>
      <c r="D29" s="104">
        <f>'9'!G29</f>
        <v/>
      </c>
      <c r="E29" s="278" t="n"/>
      <c r="F29" s="279" t="n"/>
      <c r="G29" s="104" t="n">
        <v>66220</v>
      </c>
      <c r="H29" s="278" t="n"/>
      <c r="I29" s="279" t="n"/>
      <c r="J29" s="104">
        <f>G29-D29</f>
        <v/>
      </c>
      <c r="K29" s="278" t="n"/>
      <c r="L29" s="279" t="n"/>
      <c r="M29" s="288">
        <f>'9'!M29+'10'!J29</f>
        <v/>
      </c>
      <c r="N29" s="275" t="n"/>
      <c r="P29" s="104" t="inlineStr">
        <is>
          <t>연 수</t>
        </is>
      </c>
      <c r="Q29" s="278" t="n"/>
      <c r="R29" s="279" t="n"/>
      <c r="S29" s="105">
        <f>'9'!V29</f>
        <v/>
      </c>
      <c r="T29" s="272" t="n"/>
      <c r="U29" s="265" t="n"/>
      <c r="V29" s="280" t="n">
        <v>70.3</v>
      </c>
      <c r="W29" s="278" t="n"/>
      <c r="X29" s="279" t="n"/>
      <c r="Y29" s="276">
        <f>'9'!Y29+V29</f>
        <v/>
      </c>
      <c r="Z29" s="265" t="n"/>
    </row>
    <row r="30" ht="21.9" customHeight="1" s="251">
      <c r="A30" s="104" t="inlineStr">
        <is>
          <t>요소수 공급</t>
        </is>
      </c>
      <c r="B30" s="278" t="n"/>
      <c r="C30" s="279" t="n"/>
      <c r="D30" s="104">
        <f>'9'!G30</f>
        <v/>
      </c>
      <c r="E30" s="278" t="n"/>
      <c r="F30" s="279" t="n"/>
      <c r="G30" s="104" t="n">
        <v>53350</v>
      </c>
      <c r="H30" s="278" t="n"/>
      <c r="I30" s="279" t="n"/>
      <c r="J30" s="104">
        <f>G30-D30</f>
        <v/>
      </c>
      <c r="K30" s="278" t="n"/>
      <c r="L30" s="279" t="n"/>
      <c r="M30" s="288">
        <f>'9'!M30+'10'!J30</f>
        <v/>
      </c>
      <c r="N30" s="275" t="n"/>
      <c r="P30" s="104" t="inlineStr">
        <is>
          <t>계</t>
        </is>
      </c>
      <c r="Q30" s="278" t="n"/>
      <c r="R30" s="279" t="n"/>
      <c r="S30" s="288">
        <f>'9'!S30</f>
        <v/>
      </c>
      <c r="T30" s="274" t="n"/>
      <c r="U30" s="275" t="n"/>
      <c r="V30" s="316" t="n"/>
      <c r="W30" s="274" t="n"/>
      <c r="X30" s="275" t="n"/>
      <c r="Y30" s="276">
        <f>'9'!Y30+V30</f>
        <v/>
      </c>
      <c r="Z30" s="265" t="n"/>
    </row>
    <row r="31" ht="21.9" customHeight="1" s="251">
      <c r="A31" s="104" t="inlineStr">
        <is>
          <t xml:space="preserve">F.D </t>
        </is>
      </c>
      <c r="B31" s="278" t="n"/>
      <c r="C31" s="279" t="n"/>
      <c r="D31" s="104">
        <f>'9'!G31</f>
        <v/>
      </c>
      <c r="E31" s="278" t="n"/>
      <c r="F31" s="279" t="n"/>
      <c r="G31" s="288" t="n">
        <v>6281769</v>
      </c>
      <c r="H31" s="274" t="n"/>
      <c r="I31" s="275" t="n"/>
      <c r="J31" s="288">
        <f>G31-D31</f>
        <v/>
      </c>
      <c r="K31" s="274" t="n"/>
      <c r="L31" s="275" t="n"/>
      <c r="M31" s="288">
        <f>'9'!M31+'10'!J31</f>
        <v/>
      </c>
      <c r="N31" s="275" t="n"/>
      <c r="P31" s="172" t="n"/>
      <c r="Q31" s="172" t="n"/>
      <c r="R31" s="172" t="n"/>
      <c r="S31" s="172" t="n"/>
      <c r="T31" s="172" t="n"/>
      <c r="U31" s="172" t="n"/>
      <c r="V31" s="305" t="n"/>
      <c r="W31" s="172" t="n"/>
      <c r="X31" s="172" t="n"/>
      <c r="Y31" s="305" t="n"/>
      <c r="Z31" s="305" t="n"/>
    </row>
    <row r="32" ht="21.9" customHeight="1" s="251">
      <c r="A32" s="104" t="inlineStr">
        <is>
          <t>활성탄 BAG</t>
        </is>
      </c>
      <c r="B32" s="278" t="n"/>
      <c r="C32" s="279" t="n"/>
      <c r="D32" s="104">
        <f>'9'!G32</f>
        <v/>
      </c>
      <c r="E32" s="278" t="n"/>
      <c r="F32" s="279" t="n"/>
      <c r="G32" s="288" t="n">
        <v>1.7</v>
      </c>
      <c r="H32" s="274" t="n"/>
      <c r="I32" s="275" t="n"/>
      <c r="J32" s="288">
        <f>G32-D32</f>
        <v/>
      </c>
      <c r="K32" s="274" t="n"/>
      <c r="L32" s="275" t="n"/>
      <c r="M32" s="288">
        <f>'9'!M32+'10'!J32</f>
        <v/>
      </c>
      <c r="N32" s="275" t="n"/>
      <c r="P32" s="172" t="n"/>
      <c r="Q32" s="172" t="n"/>
      <c r="R32" s="172" t="n"/>
      <c r="S32" s="172" t="n"/>
      <c r="T32" s="172" t="n"/>
      <c r="U32" s="172" t="n"/>
      <c r="V32" s="305" t="n"/>
      <c r="W32" s="172" t="n"/>
      <c r="X32" s="172" t="n"/>
      <c r="Y32" s="305" t="n"/>
      <c r="Z32" s="305" t="n"/>
    </row>
    <row r="33" ht="21.9" customHeight="1" s="251">
      <c r="A33" s="104" t="inlineStr">
        <is>
          <t>소석회 BAG</t>
        </is>
      </c>
      <c r="B33" s="278" t="n"/>
      <c r="C33" s="279" t="n"/>
      <c r="D33" s="104">
        <f>'9'!G33</f>
        <v/>
      </c>
      <c r="E33" s="278" t="n"/>
      <c r="F33" s="279" t="n"/>
      <c r="G33" s="288" t="n">
        <v>0</v>
      </c>
      <c r="H33" s="274" t="n"/>
      <c r="I33" s="275" t="n"/>
      <c r="J33" s="288">
        <f>G33-D33</f>
        <v/>
      </c>
      <c r="K33" s="274" t="n"/>
      <c r="L33" s="275" t="n"/>
      <c r="M33" s="288">
        <f>'9'!M33+'10'!J33</f>
        <v/>
      </c>
      <c r="N33" s="275" t="n"/>
      <c r="P33" s="172" t="n"/>
      <c r="Q33" s="172" t="n"/>
      <c r="R33" s="172" t="n"/>
      <c r="S33" s="172" t="n"/>
      <c r="T33" s="172" t="n"/>
      <c r="U33" s="172" t="n"/>
      <c r="V33" s="305" t="n"/>
      <c r="W33" s="172" t="n"/>
      <c r="X33" s="172" t="n"/>
      <c r="Y33" s="305" t="n"/>
      <c r="Z33" s="305" t="n"/>
    </row>
  </sheetData>
  <mergeCells count="217">
    <mergeCell ref="V24:X24"/>
    <mergeCell ref="A15:B15"/>
    <mergeCell ref="P27:R27"/>
    <mergeCell ref="S23:U23"/>
    <mergeCell ref="C15:D15"/>
    <mergeCell ref="J27:L27"/>
    <mergeCell ref="S14:V15"/>
    <mergeCell ref="Y24:Z24"/>
    <mergeCell ref="U7:W7"/>
    <mergeCell ref="A26:C26"/>
    <mergeCell ref="J25:L25"/>
    <mergeCell ref="G24:I24"/>
    <mergeCell ref="D28:F28"/>
    <mergeCell ref="I16:J16"/>
    <mergeCell ref="A23:C23"/>
    <mergeCell ref="S24:U24"/>
    <mergeCell ref="P6:Q6"/>
    <mergeCell ref="P28:R28"/>
    <mergeCell ref="W1:X1"/>
    <mergeCell ref="Y1:Z1"/>
    <mergeCell ref="G26:I26"/>
    <mergeCell ref="S16:T17"/>
    <mergeCell ref="D30:F30"/>
    <mergeCell ref="G18:H18"/>
    <mergeCell ref="U8:W8"/>
    <mergeCell ref="B1:C1"/>
    <mergeCell ref="I18:J18"/>
    <mergeCell ref="H3:S3"/>
    <mergeCell ref="M16:N16"/>
    <mergeCell ref="P30:R30"/>
    <mergeCell ref="M25:N25"/>
    <mergeCell ref="D29:F29"/>
    <mergeCell ref="D23:F23"/>
    <mergeCell ref="Y25:Z25"/>
    <mergeCell ref="M18:N18"/>
    <mergeCell ref="M33:N33"/>
    <mergeCell ref="A17:B17"/>
    <mergeCell ref="S25:U25"/>
    <mergeCell ref="C17:D17"/>
    <mergeCell ref="U18:V20"/>
    <mergeCell ref="J29:L29"/>
    <mergeCell ref="M17:N17"/>
    <mergeCell ref="W18:X20"/>
    <mergeCell ref="G20:H20"/>
    <mergeCell ref="I20:J20"/>
    <mergeCell ref="S27:U27"/>
    <mergeCell ref="A19:B19"/>
    <mergeCell ref="V23:X23"/>
    <mergeCell ref="C19:D19"/>
    <mergeCell ref="A6:C6"/>
    <mergeCell ref="Y2:Z3"/>
    <mergeCell ref="Y18:Z20"/>
    <mergeCell ref="M19:N19"/>
    <mergeCell ref="P22:U22"/>
    <mergeCell ref="I13:J13"/>
    <mergeCell ref="K13:L13"/>
    <mergeCell ref="X7:Z7"/>
    <mergeCell ref="E12:F12"/>
    <mergeCell ref="J24:L24"/>
    <mergeCell ref="G12:H12"/>
    <mergeCell ref="G28:I28"/>
    <mergeCell ref="D27:F27"/>
    <mergeCell ref="G6:I6"/>
    <mergeCell ref="I15:J15"/>
    <mergeCell ref="A11:B11"/>
    <mergeCell ref="K15:L15"/>
    <mergeCell ref="S28:U28"/>
    <mergeCell ref="C14:D14"/>
    <mergeCell ref="E14:F14"/>
    <mergeCell ref="J26:L26"/>
    <mergeCell ref="G30:I30"/>
    <mergeCell ref="J7:L7"/>
    <mergeCell ref="V27:X27"/>
    <mergeCell ref="A32:C32"/>
    <mergeCell ref="A29:C29"/>
    <mergeCell ref="D25:F25"/>
    <mergeCell ref="V25:X25"/>
    <mergeCell ref="Y26:Z26"/>
    <mergeCell ref="M13:N13"/>
    <mergeCell ref="G32:I32"/>
    <mergeCell ref="J33:L33"/>
    <mergeCell ref="W14:Z15"/>
    <mergeCell ref="A31:C31"/>
    <mergeCell ref="S26:U26"/>
    <mergeCell ref="M27:N27"/>
    <mergeCell ref="I17:J17"/>
    <mergeCell ref="A24:C24"/>
    <mergeCell ref="Y27:Z27"/>
    <mergeCell ref="K17:L17"/>
    <mergeCell ref="P29:R29"/>
    <mergeCell ref="M24:N24"/>
    <mergeCell ref="E16:F16"/>
    <mergeCell ref="J28:L28"/>
    <mergeCell ref="G27:I27"/>
    <mergeCell ref="G16:H16"/>
    <mergeCell ref="D31:F31"/>
    <mergeCell ref="U2:V3"/>
    <mergeCell ref="I19:J19"/>
    <mergeCell ref="U1:V1"/>
    <mergeCell ref="G8:I8"/>
    <mergeCell ref="K19:L19"/>
    <mergeCell ref="C18:D18"/>
    <mergeCell ref="A7:C7"/>
    <mergeCell ref="V29:X29"/>
    <mergeCell ref="E18:F18"/>
    <mergeCell ref="J30:L30"/>
    <mergeCell ref="R6:T6"/>
    <mergeCell ref="K16:L16"/>
    <mergeCell ref="A25:C25"/>
    <mergeCell ref="J6:L6"/>
    <mergeCell ref="D1:E1"/>
    <mergeCell ref="D32:F32"/>
    <mergeCell ref="G11:H11"/>
    <mergeCell ref="I11:J11"/>
    <mergeCell ref="P23:R23"/>
    <mergeCell ref="W11:Z11"/>
    <mergeCell ref="D7:F7"/>
    <mergeCell ref="Y16:Z17"/>
    <mergeCell ref="S18:T20"/>
    <mergeCell ref="C20:D20"/>
    <mergeCell ref="Y30:Z30"/>
    <mergeCell ref="E20:F20"/>
    <mergeCell ref="K11:L11"/>
    <mergeCell ref="J32:L32"/>
    <mergeCell ref="M11:N11"/>
    <mergeCell ref="Y29:Z29"/>
    <mergeCell ref="H1:S2"/>
    <mergeCell ref="V26:X26"/>
    <mergeCell ref="E13:F13"/>
    <mergeCell ref="S30:U30"/>
    <mergeCell ref="G13:H13"/>
    <mergeCell ref="M31:N31"/>
    <mergeCell ref="G29:I29"/>
    <mergeCell ref="D8:F8"/>
    <mergeCell ref="D33:F33"/>
    <mergeCell ref="W12:Z13"/>
    <mergeCell ref="A12:B12"/>
    <mergeCell ref="A28:C28"/>
    <mergeCell ref="S29:U29"/>
    <mergeCell ref="C12:D12"/>
    <mergeCell ref="A1:A3"/>
    <mergeCell ref="M15:N15"/>
    <mergeCell ref="E15:F15"/>
    <mergeCell ref="M12:N12"/>
    <mergeCell ref="G15:H15"/>
    <mergeCell ref="G31:I31"/>
    <mergeCell ref="Y28:Z28"/>
    <mergeCell ref="P18:R20"/>
    <mergeCell ref="A14:B14"/>
    <mergeCell ref="J8:L8"/>
    <mergeCell ref="A30:C30"/>
    <mergeCell ref="M26:N26"/>
    <mergeCell ref="U6:W6"/>
    <mergeCell ref="P25:R25"/>
    <mergeCell ref="M29:N29"/>
    <mergeCell ref="M23:N23"/>
    <mergeCell ref="F2:G3"/>
    <mergeCell ref="G23:I23"/>
    <mergeCell ref="Y23:Z23"/>
    <mergeCell ref="U16:V17"/>
    <mergeCell ref="W16:X17"/>
    <mergeCell ref="G7:I7"/>
    <mergeCell ref="K18:L18"/>
    <mergeCell ref="P12:R13"/>
    <mergeCell ref="D6:F6"/>
    <mergeCell ref="F1:G1"/>
    <mergeCell ref="T1:T3"/>
    <mergeCell ref="V28:X28"/>
    <mergeCell ref="P11:R11"/>
    <mergeCell ref="P14:R15"/>
    <mergeCell ref="A27:C27"/>
    <mergeCell ref="V30:X30"/>
    <mergeCell ref="W2:X3"/>
    <mergeCell ref="E17:F17"/>
    <mergeCell ref="G17:H17"/>
    <mergeCell ref="G33:I33"/>
    <mergeCell ref="X6:Z6"/>
    <mergeCell ref="A33:C33"/>
    <mergeCell ref="K20:L20"/>
    <mergeCell ref="A16:B16"/>
    <mergeCell ref="C16:D16"/>
    <mergeCell ref="M20:N20"/>
    <mergeCell ref="A8:C8"/>
    <mergeCell ref="E19:F19"/>
    <mergeCell ref="P8:Q8"/>
    <mergeCell ref="J31:L31"/>
    <mergeCell ref="G19:H19"/>
    <mergeCell ref="A18:B18"/>
    <mergeCell ref="G25:I25"/>
    <mergeCell ref="D24:F24"/>
    <mergeCell ref="M30:N30"/>
    <mergeCell ref="I12:J12"/>
    <mergeCell ref="K12:L12"/>
    <mergeCell ref="P24:R24"/>
    <mergeCell ref="P7:Q7"/>
    <mergeCell ref="C11:D11"/>
    <mergeCell ref="M28:N28"/>
    <mergeCell ref="E11:F11"/>
    <mergeCell ref="J23:L23"/>
    <mergeCell ref="D26:F26"/>
    <mergeCell ref="G14:H14"/>
    <mergeCell ref="S11:V11"/>
    <mergeCell ref="I14:J14"/>
    <mergeCell ref="R8:T8"/>
    <mergeCell ref="K14:L14"/>
    <mergeCell ref="P26:R26"/>
    <mergeCell ref="P16:R17"/>
    <mergeCell ref="A20:B20"/>
    <mergeCell ref="B2:C3"/>
    <mergeCell ref="D2:E3"/>
    <mergeCell ref="M32:N32"/>
    <mergeCell ref="M14:N14"/>
    <mergeCell ref="X8:Z8"/>
    <mergeCell ref="A13:B13"/>
    <mergeCell ref="C13:D13"/>
    <mergeCell ref="R7:T7"/>
    <mergeCell ref="S12:V13"/>
  </mergeCells>
  <pageMargins left="0.7086614173228347" right="0.7086614173228347" top="0.7480314960629921" bottom="0.7480314960629921" header="0.3149606299212598" footer="0.3149606299212598"/>
  <pageSetup orientation="portrait" paperSize="9" scale="59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E33"/>
  <sheetViews>
    <sheetView zoomScaleNormal="100" zoomScaleSheetLayoutView="100" workbookViewId="0">
      <selection activeCell="G16" sqref="G16:H16"/>
    </sheetView>
  </sheetViews>
  <sheetFormatPr baseColWidth="8" defaultRowHeight="17.4"/>
  <cols>
    <col width="2.8984375" customWidth="1" style="251" min="1" max="1"/>
    <col width="5.59765625" customWidth="1" style="251" min="2" max="14"/>
    <col width="3.59765625" customWidth="1" style="251" min="15" max="15"/>
    <col width="4.59765625" customWidth="1" style="251" min="16" max="22"/>
    <col width="5.59765625" customWidth="1" style="251" min="23" max="26"/>
  </cols>
  <sheetData>
    <row r="1" ht="18.75" customHeight="1" s="251">
      <c r="A1" s="122" t="inlineStr">
        <is>
          <t>근
무
자</t>
        </is>
      </c>
      <c r="B1" s="120" t="inlineStr">
        <is>
          <t>오  전</t>
        </is>
      </c>
      <c r="C1" s="252" t="n"/>
      <c r="D1" s="120" t="inlineStr">
        <is>
          <t>오  후</t>
        </is>
      </c>
      <c r="E1" s="252" t="n"/>
      <c r="F1" s="120" t="inlineStr">
        <is>
          <t>야  간</t>
        </is>
      </c>
      <c r="G1" s="252" t="n"/>
      <c r="H1" s="253" t="inlineStr">
        <is>
          <t>유동상소각로 운전일지</t>
        </is>
      </c>
      <c r="S1" s="254" t="n"/>
      <c r="T1" s="255" t="inlineStr">
        <is>
          <t>결
재</t>
        </is>
      </c>
      <c r="U1" s="120" t="inlineStr">
        <is>
          <t>반장</t>
        </is>
      </c>
      <c r="V1" s="252" t="n"/>
      <c r="W1" s="120" t="inlineStr">
        <is>
          <t>대리</t>
        </is>
      </c>
      <c r="X1" s="252" t="n"/>
      <c r="Y1" s="120" t="inlineStr">
        <is>
          <t>팀장</t>
        </is>
      </c>
      <c r="Z1" s="252" t="n"/>
    </row>
    <row r="2" ht="14.25" customHeight="1" s="251">
      <c r="A2" s="256" t="n"/>
      <c r="B2" s="257" t="inlineStr">
        <is>
          <t>김동욱</t>
        </is>
      </c>
      <c r="C2" s="258" t="n"/>
      <c r="D2" s="257" t="inlineStr">
        <is>
          <t>임종민</t>
        </is>
      </c>
      <c r="E2" s="258" t="n"/>
      <c r="F2" s="257" t="inlineStr">
        <is>
          <t>김문한</t>
        </is>
      </c>
      <c r="G2" s="258" t="n"/>
      <c r="H2" s="259" t="n"/>
      <c r="I2" s="260" t="n"/>
      <c r="J2" s="260" t="n"/>
      <c r="K2" s="260" t="n"/>
      <c r="L2" s="260" t="n"/>
      <c r="M2" s="260" t="n"/>
      <c r="N2" s="260" t="n"/>
      <c r="O2" s="260" t="n"/>
      <c r="P2" s="260" t="n"/>
      <c r="Q2" s="260" t="n"/>
      <c r="R2" s="260" t="n"/>
      <c r="S2" s="261" t="n"/>
      <c r="T2" s="262" t="n"/>
      <c r="U2" s="105" t="n"/>
      <c r="V2" s="254" t="n"/>
      <c r="W2" s="105" t="n"/>
      <c r="X2" s="254" t="n"/>
      <c r="Y2" s="105" t="n"/>
      <c r="Z2" s="254" t="n"/>
    </row>
    <row r="3" ht="37.5" customHeight="1" s="251">
      <c r="A3" s="263" t="n"/>
      <c r="B3" s="264" t="n"/>
      <c r="C3" s="265" t="n"/>
      <c r="D3" s="264" t="n"/>
      <c r="E3" s="265" t="n"/>
      <c r="F3" s="264" t="n"/>
      <c r="G3" s="265" t="n"/>
      <c r="H3" s="266" t="n">
        <v>46214</v>
      </c>
      <c r="I3" s="267" t="n"/>
      <c r="J3" s="267" t="n"/>
      <c r="K3" s="267" t="n"/>
      <c r="L3" s="267" t="n"/>
      <c r="M3" s="267" t="n"/>
      <c r="N3" s="267" t="n"/>
      <c r="O3" s="267" t="n"/>
      <c r="P3" s="267" t="n"/>
      <c r="Q3" s="267" t="n"/>
      <c r="R3" s="267" t="n"/>
      <c r="S3" s="268" t="n"/>
      <c r="T3" s="269" t="n"/>
      <c r="U3" s="264" t="n"/>
      <c r="V3" s="265" t="n"/>
      <c r="W3" s="264" t="n"/>
      <c r="X3" s="265" t="n"/>
      <c r="Y3" s="264" t="n"/>
      <c r="Z3" s="265" t="n"/>
    </row>
    <row r="4" ht="13.5" customHeight="1" s="25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inlineStr">
        <is>
          <t>1. 소각현황(KG)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inlineStr">
        <is>
          <t>2. BOILER 운전현황(TON, HR)</t>
        </is>
      </c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2.5" customHeight="1" s="251" thickBot="1">
      <c r="A6" s="136" t="inlineStr">
        <is>
          <t>구 분</t>
        </is>
      </c>
      <c r="B6" s="270" t="n"/>
      <c r="C6" s="271" t="n"/>
      <c r="D6" s="136" t="inlineStr">
        <is>
          <t>SRF소각량</t>
        </is>
      </c>
      <c r="E6" s="270" t="n"/>
      <c r="F6" s="271" t="n"/>
      <c r="G6" s="136" t="inlineStr">
        <is>
          <t>SLUDGE 소각량</t>
        </is>
      </c>
      <c r="H6" s="270" t="n"/>
      <c r="I6" s="271" t="n"/>
      <c r="J6" s="136" t="inlineStr">
        <is>
          <t>합 계</t>
        </is>
      </c>
      <c r="K6" s="270" t="n"/>
      <c r="L6" s="271" t="n"/>
      <c r="M6" s="1" t="n"/>
      <c r="N6" s="1" t="n"/>
      <c r="O6" s="1" t="n"/>
      <c r="P6" s="136" t="inlineStr">
        <is>
          <t>구 분</t>
        </is>
      </c>
      <c r="Q6" s="271" t="n"/>
      <c r="R6" s="136" t="inlineStr">
        <is>
          <t>스팀 생산량</t>
        </is>
      </c>
      <c r="S6" s="270" t="n"/>
      <c r="T6" s="271" t="n"/>
      <c r="U6" s="136" t="inlineStr">
        <is>
          <t>스팀 송기량</t>
        </is>
      </c>
      <c r="V6" s="270" t="n"/>
      <c r="W6" s="271" t="n"/>
      <c r="X6" s="136" t="inlineStr">
        <is>
          <t>가동시간</t>
        </is>
      </c>
      <c r="Y6" s="270" t="n"/>
      <c r="Z6" s="271" t="n"/>
    </row>
    <row r="7" ht="30" customHeight="1" s="251" thickTop="1">
      <c r="A7" s="105" t="inlineStr">
        <is>
          <t>금 일</t>
        </is>
      </c>
      <c r="B7" s="272" t="n"/>
      <c r="C7" s="265" t="n"/>
      <c r="D7" s="139" t="n">
        <v>73131</v>
      </c>
      <c r="E7" s="272" t="n"/>
      <c r="F7" s="265" t="n"/>
      <c r="G7" s="139" t="n">
        <v>127700</v>
      </c>
      <c r="H7" s="272" t="n"/>
      <c r="I7" s="265" t="n"/>
      <c r="J7" s="154">
        <f>D7+G7</f>
        <v/>
      </c>
      <c r="K7" s="278" t="n"/>
      <c r="L7" s="279" t="n"/>
      <c r="M7" s="1" t="n"/>
      <c r="N7" s="1" t="n"/>
      <c r="O7" s="1" t="n"/>
      <c r="P7" s="105" t="inlineStr">
        <is>
          <t>금 일</t>
        </is>
      </c>
      <c r="Q7" s="265" t="n"/>
      <c r="R7" s="276" t="n">
        <v>495.7</v>
      </c>
      <c r="S7" s="272" t="n"/>
      <c r="T7" s="265" t="n"/>
      <c r="U7" s="276" t="n">
        <v>384.2</v>
      </c>
      <c r="V7" s="272" t="n"/>
      <c r="W7" s="265" t="n"/>
      <c r="X7" s="277" t="n">
        <v>24</v>
      </c>
      <c r="Y7" s="272" t="n"/>
      <c r="Z7" s="265" t="n"/>
    </row>
    <row r="8" ht="30" customHeight="1" s="251">
      <c r="A8" s="104" t="inlineStr">
        <is>
          <t>누 계</t>
        </is>
      </c>
      <c r="B8" s="278" t="n"/>
      <c r="C8" s="279" t="n"/>
      <c r="D8" s="154">
        <f>'10'!D8+'11'!D7</f>
        <v/>
      </c>
      <c r="E8" s="278" t="n"/>
      <c r="F8" s="279" t="n"/>
      <c r="G8" s="154">
        <f>'10'!G8+G7</f>
        <v/>
      </c>
      <c r="H8" s="278" t="n"/>
      <c r="I8" s="279" t="n"/>
      <c r="J8" s="154">
        <f>D8+G8</f>
        <v/>
      </c>
      <c r="K8" s="278" t="n"/>
      <c r="L8" s="279" t="n"/>
      <c r="M8" s="1" t="n"/>
      <c r="N8" s="1" t="n"/>
      <c r="O8" s="1" t="n"/>
      <c r="P8" s="104" t="inlineStr">
        <is>
          <t>누 계</t>
        </is>
      </c>
      <c r="Q8" s="279" t="n"/>
      <c r="R8" s="280">
        <f>'10'!R8+R7</f>
        <v/>
      </c>
      <c r="S8" s="278" t="n"/>
      <c r="T8" s="279" t="n"/>
      <c r="U8" s="280">
        <f>'10'!U8+U7</f>
        <v/>
      </c>
      <c r="V8" s="278" t="n"/>
      <c r="W8" s="279" t="n"/>
      <c r="X8" s="281">
        <f>'10'!X8+'11'!X7</f>
        <v/>
      </c>
      <c r="Y8" s="278" t="n"/>
      <c r="Z8" s="279" t="n"/>
    </row>
    <row r="9" ht="12" customHeight="1" s="25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inlineStr">
        <is>
          <t>3. 약품 사용현황 (KG)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inlineStr">
        <is>
          <t>4. 소각재 발생량 (TON, 대)</t>
        </is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30.75" customHeight="1" s="251" thickBot="1">
      <c r="A11" s="136" t="inlineStr">
        <is>
          <t>품 명</t>
        </is>
      </c>
      <c r="B11" s="271" t="n"/>
      <c r="C11" s="150" t="inlineStr">
        <is>
          <t>전일 
재고량</t>
        </is>
      </c>
      <c r="D11" s="271" t="n"/>
      <c r="E11" s="136" t="inlineStr">
        <is>
          <t>입고량</t>
        </is>
      </c>
      <c r="F11" s="271" t="n"/>
      <c r="G11" s="136" t="inlineStr">
        <is>
          <t>사용량</t>
        </is>
      </c>
      <c r="H11" s="271" t="n"/>
      <c r="I11" s="282" t="inlineStr">
        <is>
          <t>재고량</t>
        </is>
      </c>
      <c r="J11" s="271" t="n"/>
      <c r="K11" s="150" t="inlineStr">
        <is>
          <t>입고량 
누계</t>
        </is>
      </c>
      <c r="L11" s="271" t="n"/>
      <c r="M11" s="150" t="inlineStr">
        <is>
          <t>사용량 
누계</t>
        </is>
      </c>
      <c r="N11" s="271" t="n"/>
      <c r="O11" s="1" t="n"/>
      <c r="P11" s="136" t="inlineStr">
        <is>
          <t xml:space="preserve"> 구 분</t>
        </is>
      </c>
      <c r="Q11" s="270" t="n"/>
      <c r="R11" s="271" t="n"/>
      <c r="S11" s="282" t="inlineStr">
        <is>
          <t>반출량</t>
        </is>
      </c>
      <c r="T11" s="270" t="n"/>
      <c r="U11" s="270" t="n"/>
      <c r="V11" s="271" t="n"/>
      <c r="W11" s="282" t="inlineStr">
        <is>
          <t>누계</t>
        </is>
      </c>
      <c r="X11" s="270" t="n"/>
      <c r="Y11" s="270" t="n"/>
      <c r="Z11" s="271" t="n"/>
    </row>
    <row r="12" ht="21.9" customHeight="1" s="251" thickTop="1">
      <c r="A12" s="142" t="inlineStr">
        <is>
          <t>탄산암모늄</t>
        </is>
      </c>
      <c r="B12" s="265" t="n"/>
      <c r="C12" s="310">
        <f>'10'!I12</f>
        <v/>
      </c>
      <c r="D12" s="265" t="n"/>
      <c r="E12" s="105" t="n">
        <v>0</v>
      </c>
      <c r="F12" s="265" t="n"/>
      <c r="G12" s="105" t="n">
        <v>4136</v>
      </c>
      <c r="H12" s="265" t="n"/>
      <c r="I12" s="164">
        <f>C12+E12-G12</f>
        <v/>
      </c>
      <c r="J12" s="283" t="n"/>
      <c r="K12" s="105">
        <f>'10'!K12+'11'!E12</f>
        <v/>
      </c>
      <c r="L12" s="265" t="n"/>
      <c r="M12" s="105">
        <f>'10'!M12+G12</f>
        <v/>
      </c>
      <c r="N12" s="265" t="n"/>
      <c r="O12" s="1" t="n"/>
      <c r="P12" s="149" t="inlineStr">
        <is>
          <t xml:space="preserve">
비산재
</t>
        </is>
      </c>
      <c r="R12" s="254" t="n"/>
      <c r="S12" s="284" t="n">
        <v>56.34</v>
      </c>
      <c r="T12" s="285" t="n"/>
      <c r="U12" s="285" t="n"/>
      <c r="V12" s="285" t="n"/>
      <c r="W12" s="318">
        <f>'10'!W12+'11'!S12</f>
        <v/>
      </c>
      <c r="X12" s="285" t="n"/>
      <c r="Y12" s="285" t="n"/>
      <c r="Z12" s="287" t="n"/>
    </row>
    <row r="13" ht="21.9" customHeight="1" s="251">
      <c r="A13" s="104" t="inlineStr">
        <is>
          <t>청관제</t>
        </is>
      </c>
      <c r="B13" s="279" t="n"/>
      <c r="C13" s="310">
        <f>'10'!I13</f>
        <v/>
      </c>
      <c r="D13" s="265" t="n"/>
      <c r="E13" s="104" t="n">
        <v>0</v>
      </c>
      <c r="F13" s="279" t="n"/>
      <c r="G13" s="104" t="n">
        <v>90</v>
      </c>
      <c r="H13" s="279" t="n"/>
      <c r="I13" s="288">
        <f>C13+E13-G13</f>
        <v/>
      </c>
      <c r="J13" s="275" t="n"/>
      <c r="K13" s="105">
        <f>'10'!K13+'11'!E13</f>
        <v/>
      </c>
      <c r="L13" s="265" t="n"/>
      <c r="M13" s="105">
        <f>'10'!M13+G13</f>
        <v/>
      </c>
      <c r="N13" s="265" t="n"/>
      <c r="O13" s="1" t="n"/>
      <c r="P13" s="264" t="n"/>
      <c r="Q13" s="272" t="n"/>
      <c r="R13" s="265" t="n"/>
      <c r="S13" s="289" t="n"/>
      <c r="T13" s="290" t="n"/>
      <c r="U13" s="290" t="n"/>
      <c r="V13" s="290" t="n"/>
      <c r="W13" s="264" t="n"/>
      <c r="X13" s="272" t="n"/>
      <c r="Y13" s="272" t="n"/>
      <c r="Z13" s="265" t="n"/>
    </row>
    <row r="14" ht="21.9" customHeight="1" s="251">
      <c r="A14" s="104" t="inlineStr">
        <is>
          <t>활성탄</t>
        </is>
      </c>
      <c r="B14" s="279" t="n"/>
      <c r="C14" s="310">
        <f>'10'!I14</f>
        <v/>
      </c>
      <c r="D14" s="265" t="n"/>
      <c r="E14" s="104" t="n">
        <v>0</v>
      </c>
      <c r="F14" s="279" t="n"/>
      <c r="G14" s="104" t="n">
        <v>120</v>
      </c>
      <c r="H14" s="279" t="n"/>
      <c r="I14" s="288">
        <f>C14+E14-G14</f>
        <v/>
      </c>
      <c r="J14" s="275" t="n"/>
      <c r="K14" s="105">
        <f>'10'!K14+'11'!E14</f>
        <v/>
      </c>
      <c r="L14" s="265" t="n"/>
      <c r="M14" s="105">
        <f>'10'!M14+G14</f>
        <v/>
      </c>
      <c r="N14" s="265" t="n"/>
      <c r="O14" s="1" t="n"/>
      <c r="P14" s="104" t="inlineStr">
        <is>
          <t>바닥재</t>
        </is>
      </c>
      <c r="Q14" s="291" t="n"/>
      <c r="R14" s="292" t="n"/>
      <c r="S14" s="293" t="n">
        <v>22.1</v>
      </c>
      <c r="T14" s="291" t="n"/>
      <c r="U14" s="291" t="n"/>
      <c r="V14" s="291" t="n"/>
      <c r="W14" s="311">
        <f>'10'!W14+'11'!S14</f>
        <v/>
      </c>
      <c r="X14" s="291" t="n"/>
      <c r="Y14" s="291" t="n"/>
      <c r="Z14" s="295" t="n"/>
    </row>
    <row r="15" ht="21.9" customHeight="1" s="251">
      <c r="A15" s="104" t="inlineStr">
        <is>
          <t>가성소다</t>
        </is>
      </c>
      <c r="B15" s="279" t="n"/>
      <c r="C15" s="310">
        <f>'10'!I15</f>
        <v/>
      </c>
      <c r="D15" s="265" t="n"/>
      <c r="E15" s="104" t="n">
        <v>0</v>
      </c>
      <c r="F15" s="279" t="n"/>
      <c r="G15" s="104" t="n">
        <v>24</v>
      </c>
      <c r="H15" s="279" t="n"/>
      <c r="I15" s="288">
        <f>C15+E15-G15</f>
        <v/>
      </c>
      <c r="J15" s="275" t="n"/>
      <c r="K15" s="105">
        <f>'10'!K15+'11'!E15</f>
        <v/>
      </c>
      <c r="L15" s="265" t="n"/>
      <c r="M15" s="105">
        <f>'10'!M15+G15</f>
        <v/>
      </c>
      <c r="N15" s="265" t="n"/>
      <c r="O15" s="1" t="n"/>
      <c r="P15" s="296" t="n"/>
      <c r="Q15" s="290" t="n"/>
      <c r="R15" s="297" t="n"/>
      <c r="S15" s="296" t="n"/>
      <c r="T15" s="290" t="n"/>
      <c r="U15" s="290" t="n"/>
      <c r="V15" s="290" t="n"/>
      <c r="W15" s="298" t="n"/>
      <c r="X15" s="272" t="n"/>
      <c r="Y15" s="272" t="n"/>
      <c r="Z15" s="265" t="n"/>
    </row>
    <row r="16" ht="21.9" customHeight="1" s="251">
      <c r="A16" s="104" t="inlineStr">
        <is>
          <t>소석회</t>
        </is>
      </c>
      <c r="B16" s="279" t="n"/>
      <c r="C16" s="310">
        <f>'10'!I16</f>
        <v/>
      </c>
      <c r="D16" s="265" t="n"/>
      <c r="E16" s="104" t="n">
        <v>0</v>
      </c>
      <c r="F16" s="279" t="n"/>
      <c r="G16" s="104" t="n">
        <v>20</v>
      </c>
      <c r="H16" s="279" t="n"/>
      <c r="I16" s="288">
        <f>C16+E16-G16</f>
        <v/>
      </c>
      <c r="J16" s="275" t="n"/>
      <c r="K16" s="105">
        <f>'10'!K16+'11'!E16</f>
        <v/>
      </c>
      <c r="L16" s="265" t="n"/>
      <c r="M16" s="105">
        <f>'10'!M16+G16</f>
        <v/>
      </c>
      <c r="N16" s="265" t="n"/>
      <c r="O16" s="1" t="n"/>
      <c r="P16" s="162" t="inlineStr">
        <is>
          <t>구분</t>
        </is>
      </c>
      <c r="Q16" s="291" t="n"/>
      <c r="R16" s="292" t="n"/>
      <c r="S16" s="299" t="inlineStr">
        <is>
          <t>주간</t>
        </is>
      </c>
      <c r="T16" s="292" t="n"/>
      <c r="U16" s="299" t="inlineStr">
        <is>
          <t>야간</t>
        </is>
      </c>
      <c r="V16" s="292" t="n"/>
      <c r="W16" s="299" t="inlineStr">
        <is>
          <t>합계</t>
        </is>
      </c>
      <c r="X16" s="292" t="n"/>
      <c r="Y16" s="299" t="inlineStr">
        <is>
          <t>누계</t>
        </is>
      </c>
      <c r="Z16" s="292" t="n"/>
    </row>
    <row r="17" ht="21.9" customHeight="1" s="251" thickBot="1">
      <c r="A17" s="104" t="inlineStr">
        <is>
          <t>소 금</t>
        </is>
      </c>
      <c r="B17" s="279" t="n"/>
      <c r="C17" s="310">
        <f>'10'!I17</f>
        <v/>
      </c>
      <c r="D17" s="265" t="n"/>
      <c r="E17" s="104" t="n">
        <v>0</v>
      </c>
      <c r="F17" s="279" t="n"/>
      <c r="G17" s="104" t="n">
        <v>200</v>
      </c>
      <c r="H17" s="279" t="n"/>
      <c r="I17" s="288">
        <f>C17+E17-G17</f>
        <v/>
      </c>
      <c r="J17" s="275" t="n"/>
      <c r="K17" s="105">
        <f>'10'!K17+'11'!E17</f>
        <v/>
      </c>
      <c r="L17" s="265" t="n"/>
      <c r="M17" s="105">
        <f>'10'!M17+G17</f>
        <v/>
      </c>
      <c r="N17" s="265" t="n"/>
      <c r="O17" s="1" t="n"/>
      <c r="P17" s="296" t="n"/>
      <c r="Q17" s="290" t="n"/>
      <c r="R17" s="297" t="n"/>
      <c r="S17" s="300" t="n"/>
      <c r="T17" s="301" t="n"/>
      <c r="U17" s="300" t="n"/>
      <c r="V17" s="301" t="n"/>
      <c r="W17" s="300" t="n"/>
      <c r="X17" s="301" t="n"/>
      <c r="Y17" s="300" t="n"/>
      <c r="Z17" s="301" t="n"/>
      <c r="AE17" s="302" t="n"/>
    </row>
    <row r="18" ht="21.9" customHeight="1" s="251" thickTop="1">
      <c r="A18" s="104" t="inlineStr">
        <is>
          <t>경 유</t>
        </is>
      </c>
      <c r="B18" s="279" t="n"/>
      <c r="C18" s="310">
        <f>'10'!I18</f>
        <v/>
      </c>
      <c r="D18" s="265" t="n"/>
      <c r="E18" s="104" t="n">
        <v>0</v>
      </c>
      <c r="F18" s="279" t="n"/>
      <c r="G18" s="104" t="n">
        <v>0</v>
      </c>
      <c r="H18" s="279" t="n"/>
      <c r="I18" s="288">
        <f>C18+E18-G18</f>
        <v/>
      </c>
      <c r="J18" s="275" t="n"/>
      <c r="K18" s="105">
        <f>'10'!K18+'11'!E18</f>
        <v/>
      </c>
      <c r="L18" s="265" t="n"/>
      <c r="M18" s="105">
        <f>'10'!M18+G18</f>
        <v/>
      </c>
      <c r="N18" s="265" t="n"/>
      <c r="O18" s="1" t="n"/>
      <c r="P18" s="164" t="inlineStr">
        <is>
          <t>불연물</t>
        </is>
      </c>
      <c r="Q18" s="285" t="n"/>
      <c r="R18" s="287" t="n"/>
      <c r="S18" s="303" t="n">
        <v>3</v>
      </c>
      <c r="T18" s="287" t="n"/>
      <c r="U18" s="303" t="n">
        <v>2</v>
      </c>
      <c r="V18" s="287" t="n"/>
      <c r="W18" s="303">
        <f>S18+U18</f>
        <v/>
      </c>
      <c r="X18" s="287" t="n"/>
      <c r="Y18" s="303">
        <f>'10'!Y18+'11'!W18</f>
        <v/>
      </c>
      <c r="Z18" s="287" t="n"/>
    </row>
    <row r="19" ht="21.9" customHeight="1" s="251">
      <c r="A19" s="153" t="inlineStr">
        <is>
          <t>SRF</t>
        </is>
      </c>
      <c r="B19" s="279" t="n"/>
      <c r="C19" s="310">
        <f>'10'!I19</f>
        <v/>
      </c>
      <c r="D19" s="265" t="n"/>
      <c r="E19" s="154" t="n">
        <v>98650</v>
      </c>
      <c r="F19" s="279" t="n"/>
      <c r="G19" s="154">
        <f>D7</f>
        <v/>
      </c>
      <c r="H19" s="279" t="n"/>
      <c r="I19" s="273">
        <f>C19+E19-G19</f>
        <v/>
      </c>
      <c r="J19" s="275" t="n"/>
      <c r="K19" s="139">
        <f>'10'!K19+'11'!E19</f>
        <v/>
      </c>
      <c r="L19" s="265" t="n"/>
      <c r="M19" s="139">
        <f>'10'!M19+G19</f>
        <v/>
      </c>
      <c r="N19" s="265" t="n"/>
      <c r="O19" s="1" t="n"/>
      <c r="P19" s="256" t="n"/>
      <c r="R19" s="254" t="n"/>
      <c r="S19" s="256" t="n"/>
      <c r="T19" s="254" t="n"/>
      <c r="U19" s="256" t="n"/>
      <c r="V19" s="254" t="n"/>
      <c r="W19" s="256" t="n"/>
      <c r="X19" s="254" t="n"/>
      <c r="Y19" s="256" t="n"/>
      <c r="Z19" s="254" t="n"/>
    </row>
    <row r="20" ht="21.9" customHeight="1" s="251">
      <c r="A20" s="104" t="inlineStr">
        <is>
          <t>규 사</t>
        </is>
      </c>
      <c r="B20" s="279" t="n"/>
      <c r="C20" s="310">
        <f>'10'!I20</f>
        <v/>
      </c>
      <c r="D20" s="265" t="n"/>
      <c r="E20" s="288" t="n">
        <v>0</v>
      </c>
      <c r="F20" s="275" t="n"/>
      <c r="G20" s="104" t="n">
        <v>0</v>
      </c>
      <c r="H20" s="279" t="n"/>
      <c r="I20" s="288" t="inlineStr">
        <is>
          <t>-</t>
        </is>
      </c>
      <c r="J20" s="275" t="n"/>
      <c r="K20" s="105">
        <f>'10'!K20+'11'!E20</f>
        <v/>
      </c>
      <c r="L20" s="265" t="n"/>
      <c r="M20" s="139">
        <f>'10'!M20+G20</f>
        <v/>
      </c>
      <c r="N20" s="265" t="n"/>
      <c r="O20" s="1" t="n"/>
      <c r="P20" s="264" t="n"/>
      <c r="Q20" s="272" t="n"/>
      <c r="R20" s="265" t="n"/>
      <c r="S20" s="264" t="n"/>
      <c r="T20" s="265" t="n"/>
      <c r="U20" s="264" t="n"/>
      <c r="V20" s="265" t="n"/>
      <c r="W20" s="264" t="n"/>
      <c r="X20" s="265" t="n"/>
      <c r="Y20" s="264" t="n"/>
      <c r="Z20" s="265" t="n"/>
      <c r="AB20" s="54" t="n"/>
    </row>
    <row r="21" ht="12" customHeight="1" s="25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 t="inlineStr">
        <is>
          <t>5. 전력 사용량 (KWH)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10" t="inlineStr">
        <is>
          <t>6. 유틸리티 사용현황 (㎥)</t>
        </is>
      </c>
      <c r="Q22" s="290" t="n"/>
      <c r="R22" s="290" t="n"/>
      <c r="S22" s="290" t="n"/>
      <c r="T22" s="290" t="n"/>
      <c r="U22" s="290" t="n"/>
      <c r="V22" s="1" t="n"/>
      <c r="W22" s="1" t="n"/>
      <c r="X22" s="1" t="n"/>
      <c r="Y22" s="1" t="n"/>
      <c r="Z22" s="1" t="n"/>
    </row>
    <row r="23" ht="28.5" customHeight="1" s="251" thickBot="1">
      <c r="A23" s="136" t="inlineStr">
        <is>
          <t>구 분</t>
        </is>
      </c>
      <c r="B23" s="270" t="n"/>
      <c r="C23" s="271" t="n"/>
      <c r="D23" s="136" t="inlineStr">
        <is>
          <t>전일지침</t>
        </is>
      </c>
      <c r="E23" s="270" t="n"/>
      <c r="F23" s="271" t="n"/>
      <c r="G23" s="136" t="inlineStr">
        <is>
          <t>금일지침</t>
        </is>
      </c>
      <c r="H23" s="270" t="n"/>
      <c r="I23" s="271" t="n"/>
      <c r="J23" s="136" t="inlineStr">
        <is>
          <t>사용량</t>
        </is>
      </c>
      <c r="K23" s="270" t="n"/>
      <c r="L23" s="271" t="n"/>
      <c r="M23" s="136" t="inlineStr">
        <is>
          <t>누 계</t>
        </is>
      </c>
      <c r="N23" s="271" t="n"/>
      <c r="P23" s="136" t="inlineStr">
        <is>
          <t>구 분</t>
        </is>
      </c>
      <c r="Q23" s="270" t="n"/>
      <c r="R23" s="271" t="n"/>
      <c r="S23" s="136" t="inlineStr">
        <is>
          <t>전일 사용량</t>
        </is>
      </c>
      <c r="T23" s="270" t="n"/>
      <c r="U23" s="271" t="n"/>
      <c r="V23" s="136" t="inlineStr">
        <is>
          <t>금일 사용량</t>
        </is>
      </c>
      <c r="W23" s="270" t="n"/>
      <c r="X23" s="271" t="n"/>
      <c r="Y23" s="136" t="inlineStr">
        <is>
          <t>누 계</t>
        </is>
      </c>
      <c r="Z23" s="271" t="n"/>
    </row>
    <row r="24" ht="21.9" customHeight="1" s="251" thickTop="1">
      <c r="A24" s="105" t="inlineStr">
        <is>
          <t>MAIN</t>
        </is>
      </c>
      <c r="B24" s="272" t="n"/>
      <c r="C24" s="265" t="n"/>
      <c r="D24" s="187">
        <f>'10'!G24</f>
        <v/>
      </c>
      <c r="E24" s="285" t="n"/>
      <c r="F24" s="287" t="n"/>
      <c r="G24" s="164" t="n">
        <v>3926872</v>
      </c>
      <c r="H24" s="304" t="n"/>
      <c r="I24" s="283" t="n"/>
      <c r="J24" s="164">
        <f>G24-D24</f>
        <v/>
      </c>
      <c r="K24" s="304" t="n"/>
      <c r="L24" s="283" t="n"/>
      <c r="M24" s="164">
        <f>'10'!M24+'11'!J24</f>
        <v/>
      </c>
      <c r="N24" s="283" t="n"/>
      <c r="P24" s="105" t="inlineStr">
        <is>
          <t>재이용수</t>
        </is>
      </c>
      <c r="Q24" s="272" t="n"/>
      <c r="R24" s="265" t="n"/>
      <c r="S24" s="105">
        <f>'10'!V24</f>
        <v/>
      </c>
      <c r="T24" s="272" t="n"/>
      <c r="U24" s="265" t="n"/>
      <c r="V24" s="307" t="n">
        <v>558.8</v>
      </c>
      <c r="W24" s="304" t="n"/>
      <c r="X24" s="283" t="n"/>
      <c r="Y24" s="276">
        <f>'10'!Y24+'11'!V24</f>
        <v/>
      </c>
      <c r="Z24" s="265" t="n"/>
    </row>
    <row r="25" ht="21.9" customHeight="1" s="251">
      <c r="A25" s="104" t="inlineStr">
        <is>
          <t>ASH 저장조</t>
        </is>
      </c>
      <c r="B25" s="278" t="n"/>
      <c r="C25" s="279" t="n"/>
      <c r="D25" s="104">
        <f>'10'!G25</f>
        <v/>
      </c>
      <c r="E25" s="278" t="n"/>
      <c r="F25" s="279" t="n"/>
      <c r="G25" s="104" t="n">
        <v>33147.1</v>
      </c>
      <c r="H25" s="278" t="n"/>
      <c r="I25" s="279" t="n"/>
      <c r="J25" s="104">
        <f>G25-D25</f>
        <v/>
      </c>
      <c r="K25" s="278" t="n"/>
      <c r="L25" s="279" t="n"/>
      <c r="M25" s="288">
        <f>'10'!M25+'11'!J25</f>
        <v/>
      </c>
      <c r="N25" s="275" t="n"/>
      <c r="P25" s="104" t="inlineStr">
        <is>
          <t>복류수</t>
        </is>
      </c>
      <c r="Q25" s="278" t="n"/>
      <c r="R25" s="279" t="n"/>
      <c r="S25" s="105">
        <f>'10'!V25</f>
        <v/>
      </c>
      <c r="T25" s="272" t="n"/>
      <c r="U25" s="265" t="n"/>
      <c r="V25" s="316" t="n">
        <v>56.5</v>
      </c>
      <c r="W25" s="274" t="n"/>
      <c r="X25" s="275" t="n"/>
      <c r="Y25" s="276">
        <f>'10'!Y25+'11'!V25</f>
        <v/>
      </c>
      <c r="Z25" s="265" t="n"/>
    </row>
    <row r="26" ht="21.9" customHeight="1" s="251">
      <c r="A26" s="104" t="inlineStr">
        <is>
          <t>BAG FILTER</t>
        </is>
      </c>
      <c r="B26" s="278" t="n"/>
      <c r="C26" s="279" t="n"/>
      <c r="D26" s="104">
        <f>'10'!G26</f>
        <v/>
      </c>
      <c r="E26" s="278" t="n"/>
      <c r="F26" s="279" t="n"/>
      <c r="G26" s="104" t="n">
        <v>24530</v>
      </c>
      <c r="H26" s="278" t="n"/>
      <c r="I26" s="279" t="n"/>
      <c r="J26" s="104">
        <f>G26-D26</f>
        <v/>
      </c>
      <c r="K26" s="278" t="n"/>
      <c r="L26" s="279" t="n"/>
      <c r="M26" s="288">
        <f>'10'!M26+'11'!J26</f>
        <v/>
      </c>
      <c r="N26" s="275" t="n"/>
      <c r="P26" s="104" t="inlineStr">
        <is>
          <t>응축수</t>
        </is>
      </c>
      <c r="Q26" s="278" t="n"/>
      <c r="R26" s="279" t="n"/>
      <c r="S26" s="105">
        <f>'10'!V26</f>
        <v/>
      </c>
      <c r="T26" s="272" t="n"/>
      <c r="U26" s="265" t="n"/>
      <c r="V26" s="316" t="n">
        <v>468.7</v>
      </c>
      <c r="W26" s="274" t="n"/>
      <c r="X26" s="275" t="n"/>
      <c r="Y26" s="276">
        <f>'10'!Y26+'11'!V26</f>
        <v/>
      </c>
      <c r="Z26" s="265" t="n"/>
    </row>
    <row r="27" ht="21.9" customHeight="1" s="251">
      <c r="A27" s="104" t="inlineStr">
        <is>
          <t>SCRUBBER</t>
        </is>
      </c>
      <c r="B27" s="278" t="n"/>
      <c r="C27" s="279" t="n"/>
      <c r="D27" s="104">
        <f>'10'!G27</f>
        <v/>
      </c>
      <c r="E27" s="278" t="n"/>
      <c r="F27" s="279" t="n"/>
      <c r="G27" s="104" t="n">
        <v>1378000</v>
      </c>
      <c r="H27" s="278" t="n"/>
      <c r="I27" s="279" t="n"/>
      <c r="J27" s="104">
        <f>G27-D27</f>
        <v/>
      </c>
      <c r="K27" s="278" t="n"/>
      <c r="L27" s="279" t="n"/>
      <c r="M27" s="288">
        <f>'10'!M27+'11'!J27</f>
        <v/>
      </c>
      <c r="N27" s="275" t="n"/>
      <c r="P27" s="104" t="inlineStr">
        <is>
          <t>보일러 급수</t>
        </is>
      </c>
      <c r="Q27" s="278" t="n"/>
      <c r="R27" s="279" t="n"/>
      <c r="S27" s="105">
        <f>'10'!V27</f>
        <v/>
      </c>
      <c r="T27" s="272" t="n"/>
      <c r="U27" s="265" t="n"/>
      <c r="V27" s="316" t="n">
        <v>500</v>
      </c>
      <c r="W27" s="274" t="n"/>
      <c r="X27" s="275" t="n"/>
      <c r="Y27" s="276">
        <f>'10'!Y27+'11'!V27</f>
        <v/>
      </c>
      <c r="Z27" s="265" t="n"/>
    </row>
    <row r="28" ht="21.9" customHeight="1" s="251">
      <c r="A28" s="104" t="inlineStr">
        <is>
          <t>활성탄 공급</t>
        </is>
      </c>
      <c r="B28" s="278" t="n"/>
      <c r="C28" s="279" t="n"/>
      <c r="D28" s="104">
        <f>'10'!G28</f>
        <v/>
      </c>
      <c r="E28" s="278" t="n"/>
      <c r="F28" s="279" t="n"/>
      <c r="G28" s="104" t="n">
        <v>5571</v>
      </c>
      <c r="H28" s="278" t="n"/>
      <c r="I28" s="279" t="n"/>
      <c r="J28" s="104">
        <f>G28-D28</f>
        <v/>
      </c>
      <c r="K28" s="278" t="n"/>
      <c r="L28" s="279" t="n"/>
      <c r="M28" s="288">
        <f>'10'!M28+'11'!J28</f>
        <v/>
      </c>
      <c r="N28" s="275" t="n"/>
      <c r="P28" s="104" t="inlineStr">
        <is>
          <t>폐 수</t>
        </is>
      </c>
      <c r="Q28" s="278" t="n"/>
      <c r="R28" s="279" t="n"/>
      <c r="S28" s="105">
        <f>'10'!V28</f>
        <v/>
      </c>
      <c r="T28" s="272" t="n"/>
      <c r="U28" s="265" t="n"/>
      <c r="V28" s="316" t="n">
        <v>0</v>
      </c>
      <c r="W28" s="274" t="n"/>
      <c r="X28" s="275" t="n"/>
      <c r="Y28" s="276">
        <f>'10'!Y28+'11'!V28</f>
        <v/>
      </c>
      <c r="Z28" s="265" t="n"/>
    </row>
    <row r="29" ht="21.9" customHeight="1" s="251">
      <c r="A29" s="104" t="inlineStr">
        <is>
          <t>소석회 공급</t>
        </is>
      </c>
      <c r="B29" s="278" t="n"/>
      <c r="C29" s="279" t="n"/>
      <c r="D29" s="104">
        <f>'10'!G29</f>
        <v/>
      </c>
      <c r="E29" s="278" t="n"/>
      <c r="F29" s="279" t="n"/>
      <c r="G29" s="104" t="n">
        <v>66220</v>
      </c>
      <c r="H29" s="278" t="n"/>
      <c r="I29" s="279" t="n"/>
      <c r="J29" s="104">
        <f>G29-D29</f>
        <v/>
      </c>
      <c r="K29" s="278" t="n"/>
      <c r="L29" s="279" t="n"/>
      <c r="M29" s="288">
        <f>'10'!M29+'11'!J29</f>
        <v/>
      </c>
      <c r="N29" s="275" t="n"/>
      <c r="P29" s="104" t="inlineStr">
        <is>
          <t>연 수</t>
        </is>
      </c>
      <c r="Q29" s="278" t="n"/>
      <c r="R29" s="279" t="n"/>
      <c r="S29" s="105">
        <f>'10'!V29</f>
        <v/>
      </c>
      <c r="T29" s="272" t="n"/>
      <c r="U29" s="265" t="n"/>
      <c r="V29" s="316" t="n">
        <v>64.8</v>
      </c>
      <c r="W29" s="274" t="n"/>
      <c r="X29" s="275" t="n"/>
      <c r="Y29" s="276">
        <f>'10'!Y29+'11'!V29</f>
        <v/>
      </c>
      <c r="Z29" s="265" t="n"/>
    </row>
    <row r="30" ht="21.9" customHeight="1" s="251">
      <c r="A30" s="104" t="inlineStr">
        <is>
          <t>요소수 공급</t>
        </is>
      </c>
      <c r="B30" s="278" t="n"/>
      <c r="C30" s="279" t="n"/>
      <c r="D30" s="104">
        <f>'10'!G30</f>
        <v/>
      </c>
      <c r="E30" s="278" t="n"/>
      <c r="F30" s="279" t="n"/>
      <c r="G30" s="104" t="n">
        <v>53370</v>
      </c>
      <c r="H30" s="278" t="n"/>
      <c r="I30" s="279" t="n"/>
      <c r="J30" s="104">
        <f>G30-D30</f>
        <v/>
      </c>
      <c r="K30" s="278" t="n"/>
      <c r="L30" s="279" t="n"/>
      <c r="M30" s="288">
        <f>'10'!M30+'11'!J30</f>
        <v/>
      </c>
      <c r="N30" s="275" t="n"/>
      <c r="P30" s="104" t="inlineStr">
        <is>
          <t>계</t>
        </is>
      </c>
      <c r="Q30" s="278" t="n"/>
      <c r="R30" s="279" t="n"/>
      <c r="S30" s="104">
        <f>SUM(S24:U29)</f>
        <v/>
      </c>
      <c r="T30" s="278" t="n"/>
      <c r="U30" s="279" t="n"/>
      <c r="V30" s="280" t="n"/>
      <c r="W30" s="278" t="n"/>
      <c r="X30" s="279" t="n"/>
      <c r="Y30" s="276">
        <f>'10'!Y30+'11'!V30</f>
        <v/>
      </c>
      <c r="Z30" s="265" t="n"/>
    </row>
    <row r="31" ht="21.9" customHeight="1" s="251">
      <c r="A31" s="104" t="inlineStr">
        <is>
          <t xml:space="preserve">F.D </t>
        </is>
      </c>
      <c r="B31" s="278" t="n"/>
      <c r="C31" s="279" t="n"/>
      <c r="D31" s="104">
        <f>'10'!G31</f>
        <v/>
      </c>
      <c r="E31" s="278" t="n"/>
      <c r="F31" s="279" t="n"/>
      <c r="G31" s="288" t="n">
        <v>6289325</v>
      </c>
      <c r="H31" s="274" t="n"/>
      <c r="I31" s="275" t="n"/>
      <c r="J31" s="288">
        <f>G31-D31</f>
        <v/>
      </c>
      <c r="K31" s="274" t="n"/>
      <c r="L31" s="275" t="n"/>
      <c r="M31" s="288">
        <f>'10'!M31+J31</f>
        <v/>
      </c>
      <c r="N31" s="275" t="n"/>
      <c r="P31" s="172" t="n"/>
      <c r="Q31" s="172" t="n"/>
      <c r="R31" s="172" t="n"/>
      <c r="S31" s="172" t="n"/>
      <c r="T31" s="172" t="n"/>
      <c r="U31" s="172" t="n"/>
      <c r="V31" s="305" t="n"/>
      <c r="W31" s="305" t="n"/>
      <c r="X31" s="305" t="n"/>
      <c r="Y31" s="305" t="n"/>
      <c r="Z31" s="305" t="n"/>
    </row>
    <row r="32" ht="21.9" customHeight="1" s="251">
      <c r="A32" s="104" t="inlineStr">
        <is>
          <t>활성탄 BAG</t>
        </is>
      </c>
      <c r="B32" s="278" t="n"/>
      <c r="C32" s="279" t="n"/>
      <c r="D32" s="104">
        <f>'10'!G32</f>
        <v/>
      </c>
      <c r="E32" s="278" t="n"/>
      <c r="F32" s="279" t="n"/>
      <c r="G32" s="288" t="n">
        <v>1.7</v>
      </c>
      <c r="H32" s="274" t="n"/>
      <c r="I32" s="275" t="n"/>
      <c r="J32" s="288" t="n">
        <v>0</v>
      </c>
      <c r="K32" s="274" t="n"/>
      <c r="L32" s="275" t="n"/>
      <c r="M32" s="288">
        <f>'10'!M32+J32</f>
        <v/>
      </c>
      <c r="N32" s="275" t="n"/>
      <c r="P32" s="172" t="n"/>
      <c r="Q32" s="172" t="n"/>
      <c r="R32" s="172" t="n"/>
      <c r="S32" s="172" t="n"/>
      <c r="T32" s="172" t="n"/>
      <c r="U32" s="172" t="n"/>
      <c r="V32" s="305" t="n"/>
      <c r="W32" s="305" t="n"/>
      <c r="X32" s="305" t="n"/>
      <c r="Y32" s="305" t="n"/>
      <c r="Z32" s="305" t="n"/>
    </row>
    <row r="33" ht="21.9" customHeight="1" s="251">
      <c r="A33" s="104" t="inlineStr">
        <is>
          <t>소석회 BAG</t>
        </is>
      </c>
      <c r="B33" s="278" t="n"/>
      <c r="C33" s="279" t="n"/>
      <c r="D33" s="104">
        <f>'10'!G33</f>
        <v/>
      </c>
      <c r="E33" s="278" t="n"/>
      <c r="F33" s="279" t="n"/>
      <c r="G33" s="288" t="n">
        <v>0</v>
      </c>
      <c r="H33" s="274" t="n"/>
      <c r="I33" s="275" t="n"/>
      <c r="J33" s="288">
        <f>G33-D33</f>
        <v/>
      </c>
      <c r="K33" s="274" t="n"/>
      <c r="L33" s="275" t="n"/>
      <c r="M33" s="288">
        <f>'10'!M33+J33</f>
        <v/>
      </c>
      <c r="N33" s="275" t="n"/>
      <c r="P33" s="172" t="n"/>
      <c r="Q33" s="172" t="n"/>
      <c r="R33" s="172" t="n"/>
      <c r="S33" s="172" t="n"/>
      <c r="T33" s="172" t="n"/>
      <c r="U33" s="172" t="n"/>
      <c r="V33" s="305" t="n"/>
      <c r="W33" s="305" t="n"/>
      <c r="X33" s="305" t="n"/>
      <c r="Y33" s="305" t="n"/>
      <c r="Z33" s="305" t="n"/>
    </row>
  </sheetData>
  <mergeCells count="217">
    <mergeCell ref="V24:X24"/>
    <mergeCell ref="A15:B15"/>
    <mergeCell ref="P27:R27"/>
    <mergeCell ref="S23:U23"/>
    <mergeCell ref="C15:D15"/>
    <mergeCell ref="J27:L27"/>
    <mergeCell ref="S14:V15"/>
    <mergeCell ref="Y24:Z24"/>
    <mergeCell ref="U7:W7"/>
    <mergeCell ref="A26:C26"/>
    <mergeCell ref="J25:L25"/>
    <mergeCell ref="G24:I24"/>
    <mergeCell ref="D28:F28"/>
    <mergeCell ref="I16:J16"/>
    <mergeCell ref="A23:C23"/>
    <mergeCell ref="S24:U24"/>
    <mergeCell ref="P6:Q6"/>
    <mergeCell ref="P28:R28"/>
    <mergeCell ref="W1:X1"/>
    <mergeCell ref="Y1:Z1"/>
    <mergeCell ref="G26:I26"/>
    <mergeCell ref="S16:T17"/>
    <mergeCell ref="D30:F30"/>
    <mergeCell ref="G18:H18"/>
    <mergeCell ref="U8:W8"/>
    <mergeCell ref="B1:C1"/>
    <mergeCell ref="I18:J18"/>
    <mergeCell ref="H3:S3"/>
    <mergeCell ref="M16:N16"/>
    <mergeCell ref="P30:R30"/>
    <mergeCell ref="M25:N25"/>
    <mergeCell ref="D29:F29"/>
    <mergeCell ref="D23:F23"/>
    <mergeCell ref="Y25:Z25"/>
    <mergeCell ref="M18:N18"/>
    <mergeCell ref="M33:N33"/>
    <mergeCell ref="A17:B17"/>
    <mergeCell ref="S25:U25"/>
    <mergeCell ref="C17:D17"/>
    <mergeCell ref="U18:V20"/>
    <mergeCell ref="J29:L29"/>
    <mergeCell ref="M17:N17"/>
    <mergeCell ref="W18:X20"/>
    <mergeCell ref="G20:H20"/>
    <mergeCell ref="I20:J20"/>
    <mergeCell ref="S27:U27"/>
    <mergeCell ref="A19:B19"/>
    <mergeCell ref="V23:X23"/>
    <mergeCell ref="C19:D19"/>
    <mergeCell ref="A6:C6"/>
    <mergeCell ref="Y2:Z3"/>
    <mergeCell ref="Y18:Z20"/>
    <mergeCell ref="M19:N19"/>
    <mergeCell ref="P22:U22"/>
    <mergeCell ref="I13:J13"/>
    <mergeCell ref="K13:L13"/>
    <mergeCell ref="X7:Z7"/>
    <mergeCell ref="E12:F12"/>
    <mergeCell ref="J24:L24"/>
    <mergeCell ref="G12:H12"/>
    <mergeCell ref="G28:I28"/>
    <mergeCell ref="D27:F27"/>
    <mergeCell ref="G6:I6"/>
    <mergeCell ref="I15:J15"/>
    <mergeCell ref="A11:B11"/>
    <mergeCell ref="K15:L15"/>
    <mergeCell ref="S28:U28"/>
    <mergeCell ref="C14:D14"/>
    <mergeCell ref="E14:F14"/>
    <mergeCell ref="J26:L26"/>
    <mergeCell ref="G30:I30"/>
    <mergeCell ref="J7:L7"/>
    <mergeCell ref="V27:X27"/>
    <mergeCell ref="A32:C32"/>
    <mergeCell ref="A29:C29"/>
    <mergeCell ref="D25:F25"/>
    <mergeCell ref="V25:X25"/>
    <mergeCell ref="Y26:Z26"/>
    <mergeCell ref="M13:N13"/>
    <mergeCell ref="G32:I32"/>
    <mergeCell ref="J33:L33"/>
    <mergeCell ref="W14:Z15"/>
    <mergeCell ref="A31:C31"/>
    <mergeCell ref="S26:U26"/>
    <mergeCell ref="M27:N27"/>
    <mergeCell ref="I17:J17"/>
    <mergeCell ref="A24:C24"/>
    <mergeCell ref="Y27:Z27"/>
    <mergeCell ref="K17:L17"/>
    <mergeCell ref="P29:R29"/>
    <mergeCell ref="M24:N24"/>
    <mergeCell ref="E16:F16"/>
    <mergeCell ref="J28:L28"/>
    <mergeCell ref="G27:I27"/>
    <mergeCell ref="G16:H16"/>
    <mergeCell ref="D31:F31"/>
    <mergeCell ref="U2:V3"/>
    <mergeCell ref="I19:J19"/>
    <mergeCell ref="U1:V1"/>
    <mergeCell ref="G8:I8"/>
    <mergeCell ref="K19:L19"/>
    <mergeCell ref="C18:D18"/>
    <mergeCell ref="A7:C7"/>
    <mergeCell ref="V29:X29"/>
    <mergeCell ref="E18:F18"/>
    <mergeCell ref="J30:L30"/>
    <mergeCell ref="R6:T6"/>
    <mergeCell ref="K16:L16"/>
    <mergeCell ref="A25:C25"/>
    <mergeCell ref="J6:L6"/>
    <mergeCell ref="D1:E1"/>
    <mergeCell ref="D32:F32"/>
    <mergeCell ref="G11:H11"/>
    <mergeCell ref="I11:J11"/>
    <mergeCell ref="P23:R23"/>
    <mergeCell ref="W11:Z11"/>
    <mergeCell ref="D7:F7"/>
    <mergeCell ref="Y16:Z17"/>
    <mergeCell ref="S18:T20"/>
    <mergeCell ref="C20:D20"/>
    <mergeCell ref="Y30:Z30"/>
    <mergeCell ref="E20:F20"/>
    <mergeCell ref="K11:L11"/>
    <mergeCell ref="J32:L32"/>
    <mergeCell ref="M11:N11"/>
    <mergeCell ref="Y29:Z29"/>
    <mergeCell ref="H1:S2"/>
    <mergeCell ref="V26:X26"/>
    <mergeCell ref="E13:F13"/>
    <mergeCell ref="S30:U30"/>
    <mergeCell ref="G13:H13"/>
    <mergeCell ref="M31:N31"/>
    <mergeCell ref="G29:I29"/>
    <mergeCell ref="D8:F8"/>
    <mergeCell ref="D33:F33"/>
    <mergeCell ref="W12:Z13"/>
    <mergeCell ref="A12:B12"/>
    <mergeCell ref="A28:C28"/>
    <mergeCell ref="S29:U29"/>
    <mergeCell ref="C12:D12"/>
    <mergeCell ref="A1:A3"/>
    <mergeCell ref="M15:N15"/>
    <mergeCell ref="E15:F15"/>
    <mergeCell ref="M12:N12"/>
    <mergeCell ref="G15:H15"/>
    <mergeCell ref="G31:I31"/>
    <mergeCell ref="Y28:Z28"/>
    <mergeCell ref="P18:R20"/>
    <mergeCell ref="A14:B14"/>
    <mergeCell ref="J8:L8"/>
    <mergeCell ref="A30:C30"/>
    <mergeCell ref="M26:N26"/>
    <mergeCell ref="U6:W6"/>
    <mergeCell ref="P25:R25"/>
    <mergeCell ref="M29:N29"/>
    <mergeCell ref="M23:N23"/>
    <mergeCell ref="F2:G3"/>
    <mergeCell ref="G23:I23"/>
    <mergeCell ref="Y23:Z23"/>
    <mergeCell ref="U16:V17"/>
    <mergeCell ref="W16:X17"/>
    <mergeCell ref="G7:I7"/>
    <mergeCell ref="K18:L18"/>
    <mergeCell ref="P12:R13"/>
    <mergeCell ref="D6:F6"/>
    <mergeCell ref="F1:G1"/>
    <mergeCell ref="T1:T3"/>
    <mergeCell ref="V28:X28"/>
    <mergeCell ref="P11:R11"/>
    <mergeCell ref="P14:R15"/>
    <mergeCell ref="A27:C27"/>
    <mergeCell ref="V30:X30"/>
    <mergeCell ref="W2:X3"/>
    <mergeCell ref="E17:F17"/>
    <mergeCell ref="G17:H17"/>
    <mergeCell ref="G33:I33"/>
    <mergeCell ref="X6:Z6"/>
    <mergeCell ref="A33:C33"/>
    <mergeCell ref="K20:L20"/>
    <mergeCell ref="A16:B16"/>
    <mergeCell ref="C16:D16"/>
    <mergeCell ref="M20:N20"/>
    <mergeCell ref="A8:C8"/>
    <mergeCell ref="E19:F19"/>
    <mergeCell ref="P8:Q8"/>
    <mergeCell ref="J31:L31"/>
    <mergeCell ref="G19:H19"/>
    <mergeCell ref="A18:B18"/>
    <mergeCell ref="G25:I25"/>
    <mergeCell ref="D24:F24"/>
    <mergeCell ref="M30:N30"/>
    <mergeCell ref="I12:J12"/>
    <mergeCell ref="K12:L12"/>
    <mergeCell ref="P24:R24"/>
    <mergeCell ref="P7:Q7"/>
    <mergeCell ref="C11:D11"/>
    <mergeCell ref="M28:N28"/>
    <mergeCell ref="E11:F11"/>
    <mergeCell ref="J23:L23"/>
    <mergeCell ref="D26:F26"/>
    <mergeCell ref="G14:H14"/>
    <mergeCell ref="S11:V11"/>
    <mergeCell ref="I14:J14"/>
    <mergeCell ref="R8:T8"/>
    <mergeCell ref="K14:L14"/>
    <mergeCell ref="P26:R26"/>
    <mergeCell ref="P16:R17"/>
    <mergeCell ref="A20:B20"/>
    <mergeCell ref="B2:C3"/>
    <mergeCell ref="D2:E3"/>
    <mergeCell ref="M32:N32"/>
    <mergeCell ref="M14:N14"/>
    <mergeCell ref="X8:Z8"/>
    <mergeCell ref="A13:B13"/>
    <mergeCell ref="C13:D13"/>
    <mergeCell ref="R7:T7"/>
    <mergeCell ref="S12:V13"/>
  </mergeCells>
  <pageMargins left="0.7086614173228347" right="0.7086614173228347" top="0.7480314960629921" bottom="0.7480314960629921" header="0.3149606299212598" footer="0.3149606299212598"/>
  <pageSetup orientation="portrait" paperSize="9" scale="59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E33"/>
  <sheetViews>
    <sheetView zoomScaleNormal="100" zoomScaleSheetLayoutView="100" workbookViewId="0">
      <selection activeCell="D7" sqref="D7:F7"/>
    </sheetView>
  </sheetViews>
  <sheetFormatPr baseColWidth="8" defaultRowHeight="17.4"/>
  <cols>
    <col width="2.8984375" customWidth="1" style="251" min="1" max="1"/>
    <col width="5.59765625" customWidth="1" style="251" min="2" max="14"/>
    <col width="3.59765625" customWidth="1" style="251" min="15" max="15"/>
    <col width="4.59765625" customWidth="1" style="251" min="16" max="22"/>
    <col width="5.59765625" customWidth="1" style="251" min="23" max="26"/>
  </cols>
  <sheetData>
    <row r="1" ht="18.75" customHeight="1" s="251">
      <c r="A1" s="122" t="inlineStr">
        <is>
          <t>근
무
자</t>
        </is>
      </c>
      <c r="B1" s="120" t="inlineStr">
        <is>
          <t>오  전</t>
        </is>
      </c>
      <c r="C1" s="252" t="n"/>
      <c r="D1" s="120" t="inlineStr">
        <is>
          <t>오  후</t>
        </is>
      </c>
      <c r="E1" s="252" t="n"/>
      <c r="F1" s="120" t="inlineStr">
        <is>
          <t>야  간</t>
        </is>
      </c>
      <c r="G1" s="252" t="n"/>
      <c r="H1" s="253" t="inlineStr">
        <is>
          <t>유동상소각로 운전일지</t>
        </is>
      </c>
      <c r="S1" s="254" t="n"/>
      <c r="T1" s="255" t="inlineStr">
        <is>
          <t>결
재</t>
        </is>
      </c>
      <c r="U1" s="120" t="inlineStr">
        <is>
          <t>반장</t>
        </is>
      </c>
      <c r="V1" s="252" t="n"/>
      <c r="W1" s="120" t="inlineStr">
        <is>
          <t>대리</t>
        </is>
      </c>
      <c r="X1" s="252" t="n"/>
      <c r="Y1" s="120" t="inlineStr">
        <is>
          <t>팀장</t>
        </is>
      </c>
      <c r="Z1" s="252" t="n"/>
    </row>
    <row r="2" ht="14.25" customHeight="1" s="251">
      <c r="A2" s="256" t="n"/>
      <c r="B2" s="257" t="inlineStr">
        <is>
          <t>김동욱</t>
        </is>
      </c>
      <c r="C2" s="258" t="n"/>
      <c r="D2" s="257" t="inlineStr">
        <is>
          <t>임종민</t>
        </is>
      </c>
      <c r="E2" s="258" t="n"/>
      <c r="F2" s="257" t="inlineStr">
        <is>
          <t>김문한</t>
        </is>
      </c>
      <c r="G2" s="258" t="n"/>
      <c r="H2" s="259" t="n"/>
      <c r="I2" s="260" t="n"/>
      <c r="J2" s="260" t="n"/>
      <c r="K2" s="260" t="n"/>
      <c r="L2" s="260" t="n"/>
      <c r="M2" s="260" t="n"/>
      <c r="N2" s="260" t="n"/>
      <c r="O2" s="260" t="n"/>
      <c r="P2" s="260" t="n"/>
      <c r="Q2" s="260" t="n"/>
      <c r="R2" s="260" t="n"/>
      <c r="S2" s="261" t="n"/>
      <c r="T2" s="262" t="n"/>
      <c r="U2" s="105" t="n"/>
      <c r="V2" s="254" t="n"/>
      <c r="W2" s="105" t="n"/>
      <c r="X2" s="254" t="n"/>
      <c r="Y2" s="105" t="n"/>
      <c r="Z2" s="254" t="n"/>
    </row>
    <row r="3" ht="37.5" customHeight="1" s="251">
      <c r="A3" s="263" t="n"/>
      <c r="B3" s="264" t="n"/>
      <c r="C3" s="265" t="n"/>
      <c r="D3" s="264" t="n"/>
      <c r="E3" s="265" t="n"/>
      <c r="F3" s="264" t="n"/>
      <c r="G3" s="265" t="n"/>
      <c r="H3" s="266" t="n">
        <v>46215</v>
      </c>
      <c r="I3" s="267" t="n"/>
      <c r="J3" s="267" t="n"/>
      <c r="K3" s="267" t="n"/>
      <c r="L3" s="267" t="n"/>
      <c r="M3" s="267" t="n"/>
      <c r="N3" s="267" t="n"/>
      <c r="O3" s="267" t="n"/>
      <c r="P3" s="267" t="n"/>
      <c r="Q3" s="267" t="n"/>
      <c r="R3" s="267" t="n"/>
      <c r="S3" s="268" t="n"/>
      <c r="T3" s="269" t="n"/>
      <c r="U3" s="264" t="n"/>
      <c r="V3" s="265" t="n"/>
      <c r="W3" s="264" t="n"/>
      <c r="X3" s="265" t="n"/>
      <c r="Y3" s="264" t="n"/>
      <c r="Z3" s="265" t="n"/>
    </row>
    <row r="4" ht="13.5" customHeight="1" s="25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inlineStr">
        <is>
          <t>1. 소각현황(KG)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inlineStr">
        <is>
          <t>2. BOILER 운전현황(TON, HR)</t>
        </is>
      </c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2.5" customHeight="1" s="251" thickBot="1">
      <c r="A6" s="136" t="inlineStr">
        <is>
          <t>구 분</t>
        </is>
      </c>
      <c r="B6" s="270" t="n"/>
      <c r="C6" s="271" t="n"/>
      <c r="D6" s="136" t="inlineStr">
        <is>
          <t>SRF소각량</t>
        </is>
      </c>
      <c r="E6" s="270" t="n"/>
      <c r="F6" s="271" t="n"/>
      <c r="G6" s="136" t="inlineStr">
        <is>
          <t>SLUDGE 소각량</t>
        </is>
      </c>
      <c r="H6" s="270" t="n"/>
      <c r="I6" s="271" t="n"/>
      <c r="J6" s="136" t="inlineStr">
        <is>
          <t>합 계</t>
        </is>
      </c>
      <c r="K6" s="270" t="n"/>
      <c r="L6" s="271" t="n"/>
      <c r="M6" s="1" t="n"/>
      <c r="N6" s="1" t="n"/>
      <c r="O6" s="1" t="n"/>
      <c r="P6" s="136" t="inlineStr">
        <is>
          <t>구 분</t>
        </is>
      </c>
      <c r="Q6" s="271" t="n"/>
      <c r="R6" s="136" t="inlineStr">
        <is>
          <t>스팀 생산량</t>
        </is>
      </c>
      <c r="S6" s="270" t="n"/>
      <c r="T6" s="271" t="n"/>
      <c r="U6" s="136" t="inlineStr">
        <is>
          <t>스팀 송기량</t>
        </is>
      </c>
      <c r="V6" s="270" t="n"/>
      <c r="W6" s="271" t="n"/>
      <c r="X6" s="136" t="inlineStr">
        <is>
          <t>가동시간</t>
        </is>
      </c>
      <c r="Y6" s="270" t="n"/>
      <c r="Z6" s="271" t="n"/>
    </row>
    <row r="7" ht="30" customHeight="1" s="251" thickTop="1">
      <c r="A7" s="105" t="inlineStr">
        <is>
          <t>금 일</t>
        </is>
      </c>
      <c r="B7" s="272" t="n"/>
      <c r="C7" s="265" t="n"/>
      <c r="D7" s="139" t="n">
        <v>72830</v>
      </c>
      <c r="E7" s="272" t="n"/>
      <c r="F7" s="265" t="n"/>
      <c r="G7" s="139" t="n">
        <v>142900</v>
      </c>
      <c r="H7" s="272" t="n"/>
      <c r="I7" s="265" t="n"/>
      <c r="J7" s="154">
        <f>D7+G7</f>
        <v/>
      </c>
      <c r="K7" s="278" t="n"/>
      <c r="L7" s="279" t="n"/>
      <c r="M7" s="1" t="n"/>
      <c r="N7" s="1" t="n"/>
      <c r="O7" s="1" t="n"/>
      <c r="P7" s="105" t="inlineStr">
        <is>
          <t>금 일</t>
        </is>
      </c>
      <c r="Q7" s="265" t="n"/>
      <c r="R7" s="276" t="n">
        <v>491.5</v>
      </c>
      <c r="S7" s="272" t="n"/>
      <c r="T7" s="265" t="n"/>
      <c r="U7" s="276" t="n">
        <v>365.7</v>
      </c>
      <c r="V7" s="272" t="n"/>
      <c r="W7" s="265" t="n"/>
      <c r="X7" s="277" t="n">
        <v>24</v>
      </c>
      <c r="Y7" s="272" t="n"/>
      <c r="Z7" s="265" t="n"/>
    </row>
    <row r="8" ht="30" customHeight="1" s="251">
      <c r="A8" s="104" t="inlineStr">
        <is>
          <t>누 계</t>
        </is>
      </c>
      <c r="B8" s="278" t="n"/>
      <c r="C8" s="279" t="n"/>
      <c r="D8" s="154">
        <f>'11'!D8+'12'!D7</f>
        <v/>
      </c>
      <c r="E8" s="278" t="n"/>
      <c r="F8" s="279" t="n"/>
      <c r="G8" s="154">
        <f>'11'!G8+G7</f>
        <v/>
      </c>
      <c r="H8" s="278" t="n"/>
      <c r="I8" s="279" t="n"/>
      <c r="J8" s="154">
        <f>D8+G8</f>
        <v/>
      </c>
      <c r="K8" s="278" t="n"/>
      <c r="L8" s="279" t="n"/>
      <c r="M8" s="1" t="n"/>
      <c r="N8" s="1" t="n"/>
      <c r="O8" s="1" t="n"/>
      <c r="P8" s="104" t="inlineStr">
        <is>
          <t>누 계</t>
        </is>
      </c>
      <c r="Q8" s="279" t="n"/>
      <c r="R8" s="280">
        <f>'11'!R8+'12'!R7</f>
        <v/>
      </c>
      <c r="S8" s="278" t="n"/>
      <c r="T8" s="279" t="n"/>
      <c r="U8" s="280">
        <f>'11'!U8+U7</f>
        <v/>
      </c>
      <c r="V8" s="278" t="n"/>
      <c r="W8" s="279" t="n"/>
      <c r="X8" s="281">
        <f>'11'!X8+'12'!X7</f>
        <v/>
      </c>
      <c r="Y8" s="278" t="n"/>
      <c r="Z8" s="279" t="n"/>
    </row>
    <row r="9" ht="12" customHeight="1" s="25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inlineStr">
        <is>
          <t>3. 약품 사용현황 (KG)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inlineStr">
        <is>
          <t>4. 소각재 발생량 (TON, 대)</t>
        </is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30.75" customHeight="1" s="251" thickBot="1">
      <c r="A11" s="136" t="inlineStr">
        <is>
          <t>품 명</t>
        </is>
      </c>
      <c r="B11" s="271" t="n"/>
      <c r="C11" s="150" t="inlineStr">
        <is>
          <t>전일 
재고량</t>
        </is>
      </c>
      <c r="D11" s="271" t="n"/>
      <c r="E11" s="136" t="inlineStr">
        <is>
          <t>입고량</t>
        </is>
      </c>
      <c r="F11" s="271" t="n"/>
      <c r="G11" s="136" t="inlineStr">
        <is>
          <t>사용량</t>
        </is>
      </c>
      <c r="H11" s="271" t="n"/>
      <c r="I11" s="282" t="inlineStr">
        <is>
          <t>재고량</t>
        </is>
      </c>
      <c r="J11" s="271" t="n"/>
      <c r="K11" s="150" t="inlineStr">
        <is>
          <t>입고량 
누계</t>
        </is>
      </c>
      <c r="L11" s="271" t="n"/>
      <c r="M11" s="150" t="inlineStr">
        <is>
          <t>사용량 
누계</t>
        </is>
      </c>
      <c r="N11" s="271" t="n"/>
      <c r="O11" s="1" t="n"/>
      <c r="P11" s="136" t="inlineStr">
        <is>
          <t xml:space="preserve"> 구 분</t>
        </is>
      </c>
      <c r="Q11" s="270" t="n"/>
      <c r="R11" s="271" t="n"/>
      <c r="S11" s="282" t="inlineStr">
        <is>
          <t>반출량</t>
        </is>
      </c>
      <c r="T11" s="270" t="n"/>
      <c r="U11" s="270" t="n"/>
      <c r="V11" s="271" t="n"/>
      <c r="W11" s="282" t="inlineStr">
        <is>
          <t>누계</t>
        </is>
      </c>
      <c r="X11" s="270" t="n"/>
      <c r="Y11" s="270" t="n"/>
      <c r="Z11" s="271" t="n"/>
    </row>
    <row r="12" ht="21.9" customHeight="1" s="251" thickTop="1">
      <c r="A12" s="142" t="inlineStr">
        <is>
          <t>탄산암모늄</t>
        </is>
      </c>
      <c r="B12" s="265" t="n"/>
      <c r="C12" s="310">
        <f>'11'!I12</f>
        <v/>
      </c>
      <c r="D12" s="265" t="n"/>
      <c r="E12" s="105" t="n">
        <v>0</v>
      </c>
      <c r="F12" s="265" t="n"/>
      <c r="G12" s="105" t="n">
        <v>3591</v>
      </c>
      <c r="H12" s="265" t="n"/>
      <c r="I12" s="164">
        <f>C12+E12-G12</f>
        <v/>
      </c>
      <c r="J12" s="283" t="n"/>
      <c r="K12" s="105">
        <f>'11'!K12+'12'!E12</f>
        <v/>
      </c>
      <c r="L12" s="265" t="n"/>
      <c r="M12" s="105">
        <f>'11'!M12+'12'!G12</f>
        <v/>
      </c>
      <c r="N12" s="265" t="n"/>
      <c r="O12" s="1" t="n"/>
      <c r="P12" s="149" t="inlineStr">
        <is>
          <t xml:space="preserve">
비산재
</t>
        </is>
      </c>
      <c r="R12" s="254" t="n"/>
      <c r="S12" s="284" t="n">
        <v>0</v>
      </c>
      <c r="T12" s="285" t="n"/>
      <c r="U12" s="285" t="n"/>
      <c r="V12" s="285" t="n"/>
      <c r="W12" s="318">
        <f>'11'!W12+'12'!S12</f>
        <v/>
      </c>
      <c r="X12" s="285" t="n"/>
      <c r="Y12" s="285" t="n"/>
      <c r="Z12" s="287" t="n"/>
    </row>
    <row r="13" ht="21.9" customHeight="1" s="251">
      <c r="A13" s="104" t="inlineStr">
        <is>
          <t>청관제</t>
        </is>
      </c>
      <c r="B13" s="279" t="n"/>
      <c r="C13" s="310">
        <f>'11'!I13</f>
        <v/>
      </c>
      <c r="D13" s="265" t="n"/>
      <c r="E13" s="104" t="n">
        <v>0</v>
      </c>
      <c r="F13" s="279" t="n"/>
      <c r="G13" s="104" t="n">
        <v>100</v>
      </c>
      <c r="H13" s="279" t="n"/>
      <c r="I13" s="288">
        <f>C13+E13-G13</f>
        <v/>
      </c>
      <c r="J13" s="275" t="n"/>
      <c r="K13" s="105">
        <f>'11'!K13+'12'!E13</f>
        <v/>
      </c>
      <c r="L13" s="265" t="n"/>
      <c r="M13" s="105">
        <f>'11'!M13+'12'!G13</f>
        <v/>
      </c>
      <c r="N13" s="265" t="n"/>
      <c r="O13" s="1" t="n"/>
      <c r="P13" s="264" t="n"/>
      <c r="Q13" s="272" t="n"/>
      <c r="R13" s="265" t="n"/>
      <c r="S13" s="289" t="n"/>
      <c r="T13" s="290" t="n"/>
      <c r="U13" s="290" t="n"/>
      <c r="V13" s="290" t="n"/>
      <c r="W13" s="264" t="n"/>
      <c r="X13" s="272" t="n"/>
      <c r="Y13" s="272" t="n"/>
      <c r="Z13" s="265" t="n"/>
    </row>
    <row r="14" ht="21.9" customHeight="1" s="251">
      <c r="A14" s="104" t="inlineStr">
        <is>
          <t>활성탄</t>
        </is>
      </c>
      <c r="B14" s="279" t="n"/>
      <c r="C14" s="310">
        <f>'11'!I14</f>
        <v/>
      </c>
      <c r="D14" s="265" t="n"/>
      <c r="E14" s="104" t="n">
        <v>0</v>
      </c>
      <c r="F14" s="279" t="n"/>
      <c r="G14" s="104" t="n">
        <v>120</v>
      </c>
      <c r="H14" s="279" t="n"/>
      <c r="I14" s="288">
        <f>C14+E14-G14</f>
        <v/>
      </c>
      <c r="J14" s="275" t="n"/>
      <c r="K14" s="105">
        <f>'11'!K14+'12'!E14</f>
        <v/>
      </c>
      <c r="L14" s="265" t="n"/>
      <c r="M14" s="105">
        <f>'11'!M14+'12'!G14</f>
        <v/>
      </c>
      <c r="N14" s="265" t="n"/>
      <c r="O14" s="1" t="n"/>
      <c r="P14" s="104" t="inlineStr">
        <is>
          <t>바닥재</t>
        </is>
      </c>
      <c r="Q14" s="291" t="n"/>
      <c r="R14" s="292" t="n"/>
      <c r="S14" s="293" t="n">
        <v>0</v>
      </c>
      <c r="T14" s="291" t="n"/>
      <c r="U14" s="291" t="n"/>
      <c r="V14" s="291" t="n"/>
      <c r="W14" s="311">
        <f>'11'!W14+'12'!S14</f>
        <v/>
      </c>
      <c r="X14" s="291" t="n"/>
      <c r="Y14" s="291" t="n"/>
      <c r="Z14" s="295" t="n"/>
    </row>
    <row r="15" ht="21.9" customHeight="1" s="251">
      <c r="A15" s="104" t="inlineStr">
        <is>
          <t>가성소다</t>
        </is>
      </c>
      <c r="B15" s="279" t="n"/>
      <c r="C15" s="310">
        <f>'11'!I15</f>
        <v/>
      </c>
      <c r="D15" s="265" t="n"/>
      <c r="E15" s="104" t="n">
        <v>0</v>
      </c>
      <c r="F15" s="279" t="n"/>
      <c r="G15" s="104" t="n">
        <v>22</v>
      </c>
      <c r="H15" s="279" t="n"/>
      <c r="I15" s="288">
        <f>C15+E15-G15</f>
        <v/>
      </c>
      <c r="J15" s="275" t="n"/>
      <c r="K15" s="105">
        <f>'11'!K15+'12'!E15</f>
        <v/>
      </c>
      <c r="L15" s="265" t="n"/>
      <c r="M15" s="105">
        <f>'11'!M15+'12'!G15</f>
        <v/>
      </c>
      <c r="N15" s="265" t="n"/>
      <c r="O15" s="1" t="n"/>
      <c r="P15" s="296" t="n"/>
      <c r="Q15" s="290" t="n"/>
      <c r="R15" s="297" t="n"/>
      <c r="S15" s="296" t="n"/>
      <c r="T15" s="290" t="n"/>
      <c r="U15" s="290" t="n"/>
      <c r="V15" s="290" t="n"/>
      <c r="W15" s="298" t="n"/>
      <c r="X15" s="272" t="n"/>
      <c r="Y15" s="272" t="n"/>
      <c r="Z15" s="265" t="n"/>
    </row>
    <row r="16" ht="21.9" customHeight="1" s="251">
      <c r="A16" s="104" t="inlineStr">
        <is>
          <t>소석회</t>
        </is>
      </c>
      <c r="B16" s="279" t="n"/>
      <c r="C16" s="310">
        <f>'11'!I16</f>
        <v/>
      </c>
      <c r="D16" s="265" t="n"/>
      <c r="E16" s="104" t="n">
        <v>0</v>
      </c>
      <c r="F16" s="279" t="n"/>
      <c r="G16" s="104" t="n">
        <v>20</v>
      </c>
      <c r="H16" s="279" t="n"/>
      <c r="I16" s="288">
        <f>C16+E16-G16</f>
        <v/>
      </c>
      <c r="J16" s="275" t="n"/>
      <c r="K16" s="105">
        <f>'11'!K16+'12'!E16</f>
        <v/>
      </c>
      <c r="L16" s="265" t="n"/>
      <c r="M16" s="105">
        <f>'11'!M16+'12'!G16</f>
        <v/>
      </c>
      <c r="N16" s="265" t="n"/>
      <c r="O16" s="1" t="n"/>
      <c r="P16" s="162" t="inlineStr">
        <is>
          <t>구분</t>
        </is>
      </c>
      <c r="Q16" s="291" t="n"/>
      <c r="R16" s="292" t="n"/>
      <c r="S16" s="299" t="inlineStr">
        <is>
          <t>주간</t>
        </is>
      </c>
      <c r="T16" s="292" t="n"/>
      <c r="U16" s="299" t="inlineStr">
        <is>
          <t>야간</t>
        </is>
      </c>
      <c r="V16" s="292" t="n"/>
      <c r="W16" s="299" t="inlineStr">
        <is>
          <t>합계</t>
        </is>
      </c>
      <c r="X16" s="292" t="n"/>
      <c r="Y16" s="299" t="inlineStr">
        <is>
          <t>누계</t>
        </is>
      </c>
      <c r="Z16" s="292" t="n"/>
    </row>
    <row r="17" ht="21.9" customHeight="1" s="251" thickBot="1">
      <c r="A17" s="104" t="inlineStr">
        <is>
          <t>소 금</t>
        </is>
      </c>
      <c r="B17" s="279" t="n"/>
      <c r="C17" s="310">
        <f>'11'!I17</f>
        <v/>
      </c>
      <c r="D17" s="265" t="n"/>
      <c r="E17" s="104" t="n">
        <v>1440</v>
      </c>
      <c r="F17" s="279" t="n"/>
      <c r="G17" s="104" t="n">
        <v>200</v>
      </c>
      <c r="H17" s="279" t="n"/>
      <c r="I17" s="288">
        <f>C17+E17-G17</f>
        <v/>
      </c>
      <c r="J17" s="275" t="n"/>
      <c r="K17" s="105">
        <f>'11'!K17+'12'!E17</f>
        <v/>
      </c>
      <c r="L17" s="265" t="n"/>
      <c r="M17" s="105">
        <f>'11'!M17+'12'!G17</f>
        <v/>
      </c>
      <c r="N17" s="265" t="n"/>
      <c r="O17" s="1" t="n"/>
      <c r="P17" s="296" t="n"/>
      <c r="Q17" s="290" t="n"/>
      <c r="R17" s="297" t="n"/>
      <c r="S17" s="300" t="n"/>
      <c r="T17" s="301" t="n"/>
      <c r="U17" s="300" t="n"/>
      <c r="V17" s="301" t="n"/>
      <c r="W17" s="300" t="n"/>
      <c r="X17" s="301" t="n"/>
      <c r="Y17" s="300" t="n"/>
      <c r="Z17" s="301" t="n"/>
      <c r="AE17" s="302" t="n"/>
    </row>
    <row r="18" ht="21.9" customHeight="1" s="251" thickTop="1">
      <c r="A18" s="104" t="inlineStr">
        <is>
          <t>경 유</t>
        </is>
      </c>
      <c r="B18" s="279" t="n"/>
      <c r="C18" s="310">
        <f>'11'!I18</f>
        <v/>
      </c>
      <c r="D18" s="265" t="n"/>
      <c r="E18" s="104" t="n">
        <v>0</v>
      </c>
      <c r="F18" s="279" t="n"/>
      <c r="G18" s="104" t="n">
        <v>0</v>
      </c>
      <c r="H18" s="279" t="n"/>
      <c r="I18" s="288">
        <f>C18+E18-G18</f>
        <v/>
      </c>
      <c r="J18" s="275" t="n"/>
      <c r="K18" s="105">
        <f>'11'!K18+'12'!E18</f>
        <v/>
      </c>
      <c r="L18" s="265" t="n"/>
      <c r="M18" s="105">
        <f>'11'!M18+'12'!G18</f>
        <v/>
      </c>
      <c r="N18" s="265" t="n"/>
      <c r="O18" s="1" t="n"/>
      <c r="P18" s="164" t="inlineStr">
        <is>
          <t>불연물</t>
        </is>
      </c>
      <c r="Q18" s="285" t="n"/>
      <c r="R18" s="287" t="n"/>
      <c r="S18" s="303" t="n">
        <v>2</v>
      </c>
      <c r="T18" s="287" t="n"/>
      <c r="U18" s="303" t="n">
        <v>2</v>
      </c>
      <c r="V18" s="287" t="n"/>
      <c r="W18" s="303">
        <f>S18+U18</f>
        <v/>
      </c>
      <c r="X18" s="287" t="n"/>
      <c r="Y18" s="303">
        <f>'11'!Y18+'12'!W18</f>
        <v/>
      </c>
      <c r="Z18" s="287" t="n"/>
    </row>
    <row r="19" ht="21.9" customHeight="1" s="251">
      <c r="A19" s="153" t="inlineStr">
        <is>
          <t>SRF</t>
        </is>
      </c>
      <c r="B19" s="279" t="n"/>
      <c r="C19" s="310">
        <f>'11'!I19</f>
        <v/>
      </c>
      <c r="D19" s="265" t="n"/>
      <c r="E19" s="154" t="n">
        <v>68680</v>
      </c>
      <c r="F19" s="279" t="n"/>
      <c r="G19" s="154">
        <f>D7</f>
        <v/>
      </c>
      <c r="H19" s="279" t="n"/>
      <c r="I19" s="273">
        <f>C19+E19-G19</f>
        <v/>
      </c>
      <c r="J19" s="275" t="n"/>
      <c r="K19" s="139">
        <f>'11'!K19+'12'!E19</f>
        <v/>
      </c>
      <c r="L19" s="265" t="n"/>
      <c r="M19" s="139">
        <f>'11'!M19+'12'!G19</f>
        <v/>
      </c>
      <c r="N19" s="265" t="n"/>
      <c r="O19" s="1" t="n"/>
      <c r="P19" s="256" t="n"/>
      <c r="R19" s="254" t="n"/>
      <c r="S19" s="256" t="n"/>
      <c r="T19" s="254" t="n"/>
      <c r="U19" s="256" t="n"/>
      <c r="V19" s="254" t="n"/>
      <c r="W19" s="256" t="n"/>
      <c r="X19" s="254" t="n"/>
      <c r="Y19" s="256" t="n"/>
      <c r="Z19" s="254" t="n"/>
    </row>
    <row r="20" ht="21.9" customHeight="1" s="251">
      <c r="A20" s="104" t="inlineStr">
        <is>
          <t>규 사</t>
        </is>
      </c>
      <c r="B20" s="279" t="n"/>
      <c r="C20" s="310">
        <f>'11'!I20</f>
        <v/>
      </c>
      <c r="D20" s="265" t="n"/>
      <c r="E20" s="288" t="n">
        <v>0</v>
      </c>
      <c r="F20" s="275" t="n"/>
      <c r="G20" s="104" t="n">
        <v>0</v>
      </c>
      <c r="H20" s="279" t="n"/>
      <c r="I20" s="288" t="inlineStr">
        <is>
          <t>-</t>
        </is>
      </c>
      <c r="J20" s="275" t="n"/>
      <c r="K20" s="105">
        <f>'11'!K20+'12'!E20</f>
        <v/>
      </c>
      <c r="L20" s="265" t="n"/>
      <c r="M20" s="139">
        <f>'11'!M20+'12'!G20</f>
        <v/>
      </c>
      <c r="N20" s="265" t="n"/>
      <c r="O20" s="1" t="n"/>
      <c r="P20" s="264" t="n"/>
      <c r="Q20" s="272" t="n"/>
      <c r="R20" s="265" t="n"/>
      <c r="S20" s="264" t="n"/>
      <c r="T20" s="265" t="n"/>
      <c r="U20" s="264" t="n"/>
      <c r="V20" s="265" t="n"/>
      <c r="W20" s="264" t="n"/>
      <c r="X20" s="265" t="n"/>
      <c r="Y20" s="264" t="n"/>
      <c r="Z20" s="265" t="n"/>
    </row>
    <row r="21" ht="12" customHeight="1" s="25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 t="inlineStr">
        <is>
          <t>5. 전력 사용량 (KWH)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10" t="inlineStr">
        <is>
          <t>6. 유틸리티 사용현황 (㎥)</t>
        </is>
      </c>
      <c r="Q22" s="290" t="n"/>
      <c r="R22" s="290" t="n"/>
      <c r="S22" s="290" t="n"/>
      <c r="T22" s="290" t="n"/>
      <c r="U22" s="290" t="n"/>
      <c r="V22" s="1" t="n"/>
      <c r="W22" s="1" t="n"/>
      <c r="X22" s="1" t="n"/>
      <c r="Y22" s="1" t="n"/>
      <c r="Z22" s="1" t="n"/>
    </row>
    <row r="23" ht="28.5" customHeight="1" s="251" thickBot="1">
      <c r="A23" s="136" t="inlineStr">
        <is>
          <t>구 분</t>
        </is>
      </c>
      <c r="B23" s="270" t="n"/>
      <c r="C23" s="271" t="n"/>
      <c r="D23" s="136" t="inlineStr">
        <is>
          <t>전일지침</t>
        </is>
      </c>
      <c r="E23" s="270" t="n"/>
      <c r="F23" s="271" t="n"/>
      <c r="G23" s="136" t="inlineStr">
        <is>
          <t>금일지침</t>
        </is>
      </c>
      <c r="H23" s="270" t="n"/>
      <c r="I23" s="271" t="n"/>
      <c r="J23" s="136" t="inlineStr">
        <is>
          <t>사용량</t>
        </is>
      </c>
      <c r="K23" s="270" t="n"/>
      <c r="L23" s="271" t="n"/>
      <c r="M23" s="136" t="inlineStr">
        <is>
          <t>누 계</t>
        </is>
      </c>
      <c r="N23" s="271" t="n"/>
      <c r="P23" s="136" t="inlineStr">
        <is>
          <t>구 분</t>
        </is>
      </c>
      <c r="Q23" s="270" t="n"/>
      <c r="R23" s="271" t="n"/>
      <c r="S23" s="136" t="inlineStr">
        <is>
          <t>전일 사용량</t>
        </is>
      </c>
      <c r="T23" s="270" t="n"/>
      <c r="U23" s="271" t="n"/>
      <c r="V23" s="136" t="inlineStr">
        <is>
          <t>금일 사용량</t>
        </is>
      </c>
      <c r="W23" s="270" t="n"/>
      <c r="X23" s="271" t="n"/>
      <c r="Y23" s="136" t="inlineStr">
        <is>
          <t>누 계</t>
        </is>
      </c>
      <c r="Z23" s="271" t="n"/>
    </row>
    <row r="24" ht="21.9" customHeight="1" s="251" thickTop="1">
      <c r="A24" s="105" t="inlineStr">
        <is>
          <t>MAIN</t>
        </is>
      </c>
      <c r="B24" s="272" t="n"/>
      <c r="C24" s="265" t="n"/>
      <c r="D24" s="187">
        <f>'11'!G24</f>
        <v/>
      </c>
      <c r="E24" s="285" t="n"/>
      <c r="F24" s="287" t="n"/>
      <c r="G24" s="164" t="n">
        <v>3949272</v>
      </c>
      <c r="H24" s="304" t="n"/>
      <c r="I24" s="283" t="n"/>
      <c r="J24" s="164">
        <f>G24-D24</f>
        <v/>
      </c>
      <c r="K24" s="304" t="n"/>
      <c r="L24" s="283" t="n"/>
      <c r="M24" s="164">
        <f>'11'!M24+J24</f>
        <v/>
      </c>
      <c r="N24" s="283" t="n"/>
      <c r="P24" s="105" t="inlineStr">
        <is>
          <t>재이용수</t>
        </is>
      </c>
      <c r="Q24" s="272" t="n"/>
      <c r="R24" s="265" t="n"/>
      <c r="S24" s="105">
        <f>'11'!V24</f>
        <v/>
      </c>
      <c r="T24" s="272" t="n"/>
      <c r="U24" s="265" t="n"/>
      <c r="V24" s="276" t="n">
        <v>561.3</v>
      </c>
      <c r="W24" s="272" t="n"/>
      <c r="X24" s="265" t="n"/>
      <c r="Y24" s="276">
        <f>'11'!Y24+'12'!V24</f>
        <v/>
      </c>
      <c r="Z24" s="265" t="n"/>
    </row>
    <row r="25" ht="21.9" customHeight="1" s="251">
      <c r="A25" s="104" t="inlineStr">
        <is>
          <t>ASH 저장조</t>
        </is>
      </c>
      <c r="B25" s="278" t="n"/>
      <c r="C25" s="279" t="n"/>
      <c r="D25" s="104">
        <f>'11'!G25</f>
        <v/>
      </c>
      <c r="E25" s="278" t="n"/>
      <c r="F25" s="279" t="n"/>
      <c r="G25" s="104" t="n">
        <v>33176.5</v>
      </c>
      <c r="H25" s="278" t="n"/>
      <c r="I25" s="279" t="n"/>
      <c r="J25" s="104">
        <f>G25-D25</f>
        <v/>
      </c>
      <c r="K25" s="278" t="n"/>
      <c r="L25" s="279" t="n"/>
      <c r="M25" s="288">
        <f>'11'!M25+J25</f>
        <v/>
      </c>
      <c r="N25" s="275" t="n"/>
      <c r="P25" s="104" t="inlineStr">
        <is>
          <t>복류수</t>
        </is>
      </c>
      <c r="Q25" s="278" t="n"/>
      <c r="R25" s="279" t="n"/>
      <c r="S25" s="288">
        <f>'11'!V25</f>
        <v/>
      </c>
      <c r="T25" s="274" t="n"/>
      <c r="U25" s="275" t="n"/>
      <c r="V25" s="280" t="n">
        <v>60.8</v>
      </c>
      <c r="W25" s="278" t="n"/>
      <c r="X25" s="279" t="n"/>
      <c r="Y25" s="276">
        <f>'11'!Y25+'12'!V25</f>
        <v/>
      </c>
      <c r="Z25" s="265" t="n"/>
    </row>
    <row r="26" ht="21.9" customHeight="1" s="251">
      <c r="A26" s="104" t="inlineStr">
        <is>
          <t>BAG FILTER</t>
        </is>
      </c>
      <c r="B26" s="278" t="n"/>
      <c r="C26" s="279" t="n"/>
      <c r="D26" s="104">
        <f>'11'!G26</f>
        <v/>
      </c>
      <c r="E26" s="278" t="n"/>
      <c r="F26" s="279" t="n"/>
      <c r="G26" s="104" t="n">
        <v>24550</v>
      </c>
      <c r="H26" s="278" t="n"/>
      <c r="I26" s="279" t="n"/>
      <c r="J26" s="104">
        <f>G26-D26</f>
        <v/>
      </c>
      <c r="K26" s="278" t="n"/>
      <c r="L26" s="279" t="n"/>
      <c r="M26" s="288">
        <f>'11'!M26+J26</f>
        <v/>
      </c>
      <c r="N26" s="275" t="n"/>
      <c r="P26" s="104" t="inlineStr">
        <is>
          <t>응축수</t>
        </is>
      </c>
      <c r="Q26" s="278" t="n"/>
      <c r="R26" s="279" t="n"/>
      <c r="S26" s="288">
        <f>'11'!V26</f>
        <v/>
      </c>
      <c r="T26" s="274" t="n"/>
      <c r="U26" s="275" t="n"/>
      <c r="V26" s="280" t="n">
        <v>521.6</v>
      </c>
      <c r="W26" s="278" t="n"/>
      <c r="X26" s="279" t="n"/>
      <c r="Y26" s="276">
        <f>'11'!Y26+'12'!V26</f>
        <v/>
      </c>
      <c r="Z26" s="265" t="n"/>
    </row>
    <row r="27" ht="21.9" customHeight="1" s="251">
      <c r="A27" s="104" t="inlineStr">
        <is>
          <t>SCRUBBER</t>
        </is>
      </c>
      <c r="B27" s="278" t="n"/>
      <c r="C27" s="279" t="n"/>
      <c r="D27" s="104">
        <f>'11'!G27</f>
        <v/>
      </c>
      <c r="E27" s="278" t="n"/>
      <c r="F27" s="279" t="n"/>
      <c r="G27" s="104" t="n">
        <v>1381000</v>
      </c>
      <c r="H27" s="278" t="n"/>
      <c r="I27" s="279" t="n"/>
      <c r="J27" s="104">
        <f>G27-D27</f>
        <v/>
      </c>
      <c r="K27" s="278" t="n"/>
      <c r="L27" s="279" t="n"/>
      <c r="M27" s="288">
        <f>'11'!M27+J27</f>
        <v/>
      </c>
      <c r="N27" s="275" t="n"/>
      <c r="P27" s="104" t="inlineStr">
        <is>
          <t>보일러 급수</t>
        </is>
      </c>
      <c r="Q27" s="278" t="n"/>
      <c r="R27" s="279" t="n"/>
      <c r="S27" s="288">
        <f>'11'!V27</f>
        <v/>
      </c>
      <c r="T27" s="274" t="n"/>
      <c r="U27" s="275" t="n"/>
      <c r="V27" s="280" t="n">
        <v>516.5</v>
      </c>
      <c r="W27" s="278" t="n"/>
      <c r="X27" s="279" t="n"/>
      <c r="Y27" s="276">
        <f>'11'!Y27+'12'!V27</f>
        <v/>
      </c>
      <c r="Z27" s="265" t="n"/>
    </row>
    <row r="28" ht="21.9" customHeight="1" s="251">
      <c r="A28" s="104" t="inlineStr">
        <is>
          <t>활성탄 공급</t>
        </is>
      </c>
      <c r="B28" s="278" t="n"/>
      <c r="C28" s="279" t="n"/>
      <c r="D28" s="104">
        <f>'11'!G28</f>
        <v/>
      </c>
      <c r="E28" s="278" t="n"/>
      <c r="F28" s="279" t="n"/>
      <c r="G28" s="104" t="n">
        <v>5620</v>
      </c>
      <c r="H28" s="278" t="n"/>
      <c r="I28" s="279" t="n"/>
      <c r="J28" s="104">
        <f>G28-D28</f>
        <v/>
      </c>
      <c r="K28" s="278" t="n"/>
      <c r="L28" s="279" t="n"/>
      <c r="M28" s="288">
        <f>'11'!M28+J28</f>
        <v/>
      </c>
      <c r="N28" s="275" t="n"/>
      <c r="P28" s="104" t="inlineStr">
        <is>
          <t>폐 수</t>
        </is>
      </c>
      <c r="Q28" s="278" t="n"/>
      <c r="R28" s="279" t="n"/>
      <c r="S28" s="288">
        <f>'11'!V28</f>
        <v/>
      </c>
      <c r="T28" s="274" t="n"/>
      <c r="U28" s="275" t="n"/>
      <c r="V28" s="280" t="n">
        <v>0</v>
      </c>
      <c r="W28" s="278" t="n"/>
      <c r="X28" s="279" t="n"/>
      <c r="Y28" s="276">
        <f>'11'!Y28+'12'!V28</f>
        <v/>
      </c>
      <c r="Z28" s="265" t="n"/>
    </row>
    <row r="29" ht="21.9" customHeight="1" s="251">
      <c r="A29" s="104" t="inlineStr">
        <is>
          <t>소석회 공급</t>
        </is>
      </c>
      <c r="B29" s="278" t="n"/>
      <c r="C29" s="279" t="n"/>
      <c r="D29" s="104">
        <f>'11'!G29</f>
        <v/>
      </c>
      <c r="E29" s="278" t="n"/>
      <c r="F29" s="279" t="n"/>
      <c r="G29" s="104" t="n">
        <v>66220</v>
      </c>
      <c r="H29" s="278" t="n"/>
      <c r="I29" s="279" t="n"/>
      <c r="J29" s="104">
        <f>G29-D29</f>
        <v/>
      </c>
      <c r="K29" s="278" t="n"/>
      <c r="L29" s="279" t="n"/>
      <c r="M29" s="288">
        <f>'11'!M29+J29</f>
        <v/>
      </c>
      <c r="N29" s="275" t="n"/>
      <c r="P29" s="104" t="inlineStr">
        <is>
          <t>연 수</t>
        </is>
      </c>
      <c r="Q29" s="278" t="n"/>
      <c r="R29" s="279" t="n"/>
      <c r="S29" s="288">
        <f>'11'!V29</f>
        <v/>
      </c>
      <c r="T29" s="274" t="n"/>
      <c r="U29" s="275" t="n"/>
      <c r="V29" s="280" t="n">
        <v>68.90000000000001</v>
      </c>
      <c r="W29" s="278" t="n"/>
      <c r="X29" s="279" t="n"/>
      <c r="Y29" s="276">
        <f>'11'!Y29+'12'!V29</f>
        <v/>
      </c>
      <c r="Z29" s="265" t="n"/>
    </row>
    <row r="30" ht="21.9" customHeight="1" s="251">
      <c r="A30" s="104" t="inlineStr">
        <is>
          <t>요소수 공급</t>
        </is>
      </c>
      <c r="B30" s="278" t="n"/>
      <c r="C30" s="279" t="n"/>
      <c r="D30" s="104">
        <f>'11'!G30</f>
        <v/>
      </c>
      <c r="E30" s="278" t="n"/>
      <c r="F30" s="279" t="n"/>
      <c r="G30" s="104" t="n">
        <v>53380</v>
      </c>
      <c r="H30" s="278" t="n"/>
      <c r="I30" s="279" t="n"/>
      <c r="J30" s="104">
        <f>G30-D30</f>
        <v/>
      </c>
      <c r="K30" s="278" t="n"/>
      <c r="L30" s="279" t="n"/>
      <c r="M30" s="288">
        <f>'11'!M30+J30</f>
        <v/>
      </c>
      <c r="N30" s="275" t="n"/>
      <c r="P30" s="104" t="inlineStr">
        <is>
          <t>계</t>
        </is>
      </c>
      <c r="Q30" s="278" t="n"/>
      <c r="R30" s="279" t="n"/>
      <c r="S30" s="104">
        <f>SUM(S24:U29)</f>
        <v/>
      </c>
      <c r="T30" s="278" t="n"/>
      <c r="U30" s="279" t="n"/>
      <c r="V30" s="280" t="n"/>
      <c r="W30" s="278" t="n"/>
      <c r="X30" s="279" t="n"/>
      <c r="Y30" s="276">
        <f>'11'!Y30+'12'!V30</f>
        <v/>
      </c>
      <c r="Z30" s="265" t="n"/>
    </row>
    <row r="31" ht="21.9" customHeight="1" s="251">
      <c r="A31" s="104" t="inlineStr">
        <is>
          <t xml:space="preserve">F.D </t>
        </is>
      </c>
      <c r="B31" s="278" t="n"/>
      <c r="C31" s="279" t="n"/>
      <c r="D31" s="104">
        <f>'11'!G31</f>
        <v/>
      </c>
      <c r="E31" s="278" t="n"/>
      <c r="F31" s="279" t="n"/>
      <c r="G31" s="288" t="n">
        <v>6297139</v>
      </c>
      <c r="H31" s="274" t="n"/>
      <c r="I31" s="275" t="n"/>
      <c r="J31" s="288">
        <f>G31-D31</f>
        <v/>
      </c>
      <c r="K31" s="274" t="n"/>
      <c r="L31" s="275" t="n"/>
      <c r="M31" s="288">
        <f>'11'!M31+J31</f>
        <v/>
      </c>
      <c r="N31" s="275" t="n"/>
      <c r="P31" s="172" t="n"/>
      <c r="Q31" s="172" t="n"/>
      <c r="R31" s="172" t="n"/>
      <c r="S31" s="172" t="n"/>
      <c r="T31" s="172" t="n"/>
      <c r="U31" s="172" t="n"/>
      <c r="V31" s="305" t="n"/>
      <c r="W31" s="305" t="n"/>
      <c r="X31" s="305" t="n"/>
      <c r="Y31" s="305" t="n"/>
      <c r="Z31" s="305" t="n"/>
    </row>
    <row r="32" ht="21.9" customHeight="1" s="251">
      <c r="A32" s="104" t="inlineStr">
        <is>
          <t>활성탄 BAG</t>
        </is>
      </c>
      <c r="B32" s="278" t="n"/>
      <c r="C32" s="279" t="n"/>
      <c r="D32" s="104">
        <f>'11'!G32</f>
        <v/>
      </c>
      <c r="E32" s="278" t="n"/>
      <c r="F32" s="279" t="n"/>
      <c r="G32" s="288" t="n">
        <v>1.7</v>
      </c>
      <c r="H32" s="274" t="n"/>
      <c r="I32" s="275" t="n"/>
      <c r="J32" s="288">
        <f>G32-D32</f>
        <v/>
      </c>
      <c r="K32" s="274" t="n"/>
      <c r="L32" s="275" t="n"/>
      <c r="M32" s="288">
        <f>'11'!M32+J32</f>
        <v/>
      </c>
      <c r="N32" s="275" t="n"/>
      <c r="P32" s="172" t="n"/>
      <c r="Q32" s="172" t="n"/>
      <c r="R32" s="172" t="n"/>
      <c r="S32" s="172" t="n"/>
      <c r="T32" s="172" t="n"/>
      <c r="U32" s="172" t="n"/>
      <c r="V32" s="305" t="n"/>
      <c r="W32" s="305" t="n"/>
      <c r="X32" s="305" t="n"/>
      <c r="Y32" s="305" t="n"/>
      <c r="Z32" s="305" t="n"/>
    </row>
    <row r="33" ht="21.9" customHeight="1" s="251">
      <c r="A33" s="104" t="inlineStr">
        <is>
          <t>소석회 BAG</t>
        </is>
      </c>
      <c r="B33" s="278" t="n"/>
      <c r="C33" s="279" t="n"/>
      <c r="D33" s="104">
        <f>'11'!G33</f>
        <v/>
      </c>
      <c r="E33" s="278" t="n"/>
      <c r="F33" s="279" t="n"/>
      <c r="G33" s="316" t="n">
        <v>0</v>
      </c>
      <c r="H33" s="274" t="n"/>
      <c r="I33" s="275" t="n"/>
      <c r="J33" s="288">
        <f>G33-D33</f>
        <v/>
      </c>
      <c r="K33" s="274" t="n"/>
      <c r="L33" s="275" t="n"/>
      <c r="M33" s="288">
        <f>'11'!M33+J33</f>
        <v/>
      </c>
      <c r="N33" s="275" t="n"/>
      <c r="P33" s="172" t="n"/>
      <c r="Q33" s="172" t="n"/>
      <c r="R33" s="172" t="n"/>
      <c r="S33" s="172" t="n"/>
      <c r="T33" s="172" t="n"/>
      <c r="U33" s="172" t="n"/>
      <c r="V33" s="305" t="n"/>
      <c r="W33" s="305" t="n"/>
      <c r="X33" s="305" t="n"/>
      <c r="Y33" s="305" t="n"/>
      <c r="Z33" s="305" t="n"/>
    </row>
  </sheetData>
  <mergeCells count="217">
    <mergeCell ref="V24:X24"/>
    <mergeCell ref="A15:B15"/>
    <mergeCell ref="P27:R27"/>
    <mergeCell ref="S23:U23"/>
    <mergeCell ref="C15:D15"/>
    <mergeCell ref="J27:L27"/>
    <mergeCell ref="S14:V15"/>
    <mergeCell ref="Y24:Z24"/>
    <mergeCell ref="U7:W7"/>
    <mergeCell ref="A26:C26"/>
    <mergeCell ref="J25:L25"/>
    <mergeCell ref="G24:I24"/>
    <mergeCell ref="D28:F28"/>
    <mergeCell ref="I16:J16"/>
    <mergeCell ref="A23:C23"/>
    <mergeCell ref="S24:U24"/>
    <mergeCell ref="P6:Q6"/>
    <mergeCell ref="P28:R28"/>
    <mergeCell ref="W1:X1"/>
    <mergeCell ref="Y1:Z1"/>
    <mergeCell ref="G26:I26"/>
    <mergeCell ref="S16:T17"/>
    <mergeCell ref="D30:F30"/>
    <mergeCell ref="G18:H18"/>
    <mergeCell ref="U8:W8"/>
    <mergeCell ref="B1:C1"/>
    <mergeCell ref="I18:J18"/>
    <mergeCell ref="H3:S3"/>
    <mergeCell ref="M16:N16"/>
    <mergeCell ref="P30:R30"/>
    <mergeCell ref="M25:N25"/>
    <mergeCell ref="D29:F29"/>
    <mergeCell ref="D23:F23"/>
    <mergeCell ref="Y25:Z25"/>
    <mergeCell ref="M18:N18"/>
    <mergeCell ref="M33:N33"/>
    <mergeCell ref="A17:B17"/>
    <mergeCell ref="S25:U25"/>
    <mergeCell ref="C17:D17"/>
    <mergeCell ref="U18:V20"/>
    <mergeCell ref="J29:L29"/>
    <mergeCell ref="M17:N17"/>
    <mergeCell ref="W18:X20"/>
    <mergeCell ref="G20:H20"/>
    <mergeCell ref="I20:J20"/>
    <mergeCell ref="S27:U27"/>
    <mergeCell ref="A19:B19"/>
    <mergeCell ref="V23:X23"/>
    <mergeCell ref="C19:D19"/>
    <mergeCell ref="A6:C6"/>
    <mergeCell ref="Y2:Z3"/>
    <mergeCell ref="Y18:Z20"/>
    <mergeCell ref="M19:N19"/>
    <mergeCell ref="P22:U22"/>
    <mergeCell ref="I13:J13"/>
    <mergeCell ref="K13:L13"/>
    <mergeCell ref="X7:Z7"/>
    <mergeCell ref="E12:F12"/>
    <mergeCell ref="J24:L24"/>
    <mergeCell ref="G12:H12"/>
    <mergeCell ref="G28:I28"/>
    <mergeCell ref="D27:F27"/>
    <mergeCell ref="G6:I6"/>
    <mergeCell ref="I15:J15"/>
    <mergeCell ref="A11:B11"/>
    <mergeCell ref="K15:L15"/>
    <mergeCell ref="S28:U28"/>
    <mergeCell ref="C14:D14"/>
    <mergeCell ref="E14:F14"/>
    <mergeCell ref="J26:L26"/>
    <mergeCell ref="G30:I30"/>
    <mergeCell ref="J7:L7"/>
    <mergeCell ref="V27:X27"/>
    <mergeCell ref="A32:C32"/>
    <mergeCell ref="A29:C29"/>
    <mergeCell ref="D25:F25"/>
    <mergeCell ref="V25:X25"/>
    <mergeCell ref="Y26:Z26"/>
    <mergeCell ref="M13:N13"/>
    <mergeCell ref="G32:I32"/>
    <mergeCell ref="J33:L33"/>
    <mergeCell ref="W14:Z15"/>
    <mergeCell ref="A31:C31"/>
    <mergeCell ref="S26:U26"/>
    <mergeCell ref="M27:N27"/>
    <mergeCell ref="I17:J17"/>
    <mergeCell ref="A24:C24"/>
    <mergeCell ref="Y27:Z27"/>
    <mergeCell ref="K17:L17"/>
    <mergeCell ref="P29:R29"/>
    <mergeCell ref="M24:N24"/>
    <mergeCell ref="E16:F16"/>
    <mergeCell ref="J28:L28"/>
    <mergeCell ref="G27:I27"/>
    <mergeCell ref="G16:H16"/>
    <mergeCell ref="D31:F31"/>
    <mergeCell ref="U2:V3"/>
    <mergeCell ref="I19:J19"/>
    <mergeCell ref="U1:V1"/>
    <mergeCell ref="G8:I8"/>
    <mergeCell ref="K19:L19"/>
    <mergeCell ref="C18:D18"/>
    <mergeCell ref="A7:C7"/>
    <mergeCell ref="V29:X29"/>
    <mergeCell ref="E18:F18"/>
    <mergeCell ref="J30:L30"/>
    <mergeCell ref="R6:T6"/>
    <mergeCell ref="K16:L16"/>
    <mergeCell ref="A25:C25"/>
    <mergeCell ref="J6:L6"/>
    <mergeCell ref="D1:E1"/>
    <mergeCell ref="D32:F32"/>
    <mergeCell ref="G11:H11"/>
    <mergeCell ref="I11:J11"/>
    <mergeCell ref="P23:R23"/>
    <mergeCell ref="W11:Z11"/>
    <mergeCell ref="D7:F7"/>
    <mergeCell ref="Y16:Z17"/>
    <mergeCell ref="S18:T20"/>
    <mergeCell ref="C20:D20"/>
    <mergeCell ref="Y30:Z30"/>
    <mergeCell ref="E20:F20"/>
    <mergeCell ref="K11:L11"/>
    <mergeCell ref="J32:L32"/>
    <mergeCell ref="M11:N11"/>
    <mergeCell ref="Y29:Z29"/>
    <mergeCell ref="H1:S2"/>
    <mergeCell ref="V26:X26"/>
    <mergeCell ref="E13:F13"/>
    <mergeCell ref="S30:U30"/>
    <mergeCell ref="G13:H13"/>
    <mergeCell ref="M31:N31"/>
    <mergeCell ref="G29:I29"/>
    <mergeCell ref="D8:F8"/>
    <mergeCell ref="D33:F33"/>
    <mergeCell ref="W12:Z13"/>
    <mergeCell ref="A12:B12"/>
    <mergeCell ref="A28:C28"/>
    <mergeCell ref="S29:U29"/>
    <mergeCell ref="C12:D12"/>
    <mergeCell ref="A1:A3"/>
    <mergeCell ref="M15:N15"/>
    <mergeCell ref="E15:F15"/>
    <mergeCell ref="M12:N12"/>
    <mergeCell ref="G15:H15"/>
    <mergeCell ref="G31:I31"/>
    <mergeCell ref="Y28:Z28"/>
    <mergeCell ref="P18:R20"/>
    <mergeCell ref="A14:B14"/>
    <mergeCell ref="J8:L8"/>
    <mergeCell ref="A30:C30"/>
    <mergeCell ref="M26:N26"/>
    <mergeCell ref="U6:W6"/>
    <mergeCell ref="P25:R25"/>
    <mergeCell ref="M29:N29"/>
    <mergeCell ref="M23:N23"/>
    <mergeCell ref="F2:G3"/>
    <mergeCell ref="G23:I23"/>
    <mergeCell ref="Y23:Z23"/>
    <mergeCell ref="U16:V17"/>
    <mergeCell ref="W16:X17"/>
    <mergeCell ref="G7:I7"/>
    <mergeCell ref="K18:L18"/>
    <mergeCell ref="P12:R13"/>
    <mergeCell ref="D6:F6"/>
    <mergeCell ref="F1:G1"/>
    <mergeCell ref="T1:T3"/>
    <mergeCell ref="V28:X28"/>
    <mergeCell ref="P11:R11"/>
    <mergeCell ref="P14:R15"/>
    <mergeCell ref="A27:C27"/>
    <mergeCell ref="V30:X30"/>
    <mergeCell ref="W2:X3"/>
    <mergeCell ref="E17:F17"/>
    <mergeCell ref="G17:H17"/>
    <mergeCell ref="G33:I33"/>
    <mergeCell ref="X6:Z6"/>
    <mergeCell ref="A33:C33"/>
    <mergeCell ref="K20:L20"/>
    <mergeCell ref="A16:B16"/>
    <mergeCell ref="C16:D16"/>
    <mergeCell ref="M20:N20"/>
    <mergeCell ref="A8:C8"/>
    <mergeCell ref="E19:F19"/>
    <mergeCell ref="P8:Q8"/>
    <mergeCell ref="J31:L31"/>
    <mergeCell ref="G19:H19"/>
    <mergeCell ref="A18:B18"/>
    <mergeCell ref="G25:I25"/>
    <mergeCell ref="D24:F24"/>
    <mergeCell ref="M30:N30"/>
    <mergeCell ref="I12:J12"/>
    <mergeCell ref="K12:L12"/>
    <mergeCell ref="P24:R24"/>
    <mergeCell ref="P7:Q7"/>
    <mergeCell ref="C11:D11"/>
    <mergeCell ref="M28:N28"/>
    <mergeCell ref="E11:F11"/>
    <mergeCell ref="J23:L23"/>
    <mergeCell ref="D26:F26"/>
    <mergeCell ref="G14:H14"/>
    <mergeCell ref="S11:V11"/>
    <mergeCell ref="I14:J14"/>
    <mergeCell ref="R8:T8"/>
    <mergeCell ref="K14:L14"/>
    <mergeCell ref="P26:R26"/>
    <mergeCell ref="P16:R17"/>
    <mergeCell ref="A20:B20"/>
    <mergeCell ref="B2:C3"/>
    <mergeCell ref="D2:E3"/>
    <mergeCell ref="M32:N32"/>
    <mergeCell ref="M14:N14"/>
    <mergeCell ref="X8:Z8"/>
    <mergeCell ref="A13:B13"/>
    <mergeCell ref="C13:D13"/>
    <mergeCell ref="R7:T7"/>
    <mergeCell ref="S12:V13"/>
  </mergeCells>
  <pageMargins left="0.7086614173228347" right="0.7086614173228347" top="0.7480314960629921" bottom="0.7480314960629921" header="0.3149606299212598" footer="0.3149606299212598"/>
  <pageSetup orientation="portrait" paperSize="9" scale="59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AE33"/>
  <sheetViews>
    <sheetView zoomScaleNormal="100" zoomScaleSheetLayoutView="100" workbookViewId="0">
      <selection activeCell="F2" sqref="F2:G3"/>
    </sheetView>
  </sheetViews>
  <sheetFormatPr baseColWidth="8" defaultRowHeight="17.4"/>
  <cols>
    <col width="2.8984375" customWidth="1" style="251" min="1" max="1"/>
    <col width="5.59765625" customWidth="1" style="251" min="2" max="14"/>
    <col width="3.59765625" customWidth="1" style="251" min="15" max="15"/>
    <col width="4.59765625" customWidth="1" style="251" min="16" max="22"/>
    <col width="5.59765625" customWidth="1" style="251" min="23" max="26"/>
  </cols>
  <sheetData>
    <row r="1" ht="18.75" customHeight="1" s="251">
      <c r="A1" s="122" t="inlineStr">
        <is>
          <t>근
무
자</t>
        </is>
      </c>
      <c r="B1" s="120" t="inlineStr">
        <is>
          <t>오  전</t>
        </is>
      </c>
      <c r="C1" s="252" t="n"/>
      <c r="D1" s="120" t="inlineStr">
        <is>
          <t>오  후</t>
        </is>
      </c>
      <c r="E1" s="252" t="n"/>
      <c r="F1" s="120" t="inlineStr">
        <is>
          <t>야  간</t>
        </is>
      </c>
      <c r="G1" s="252" t="n"/>
      <c r="H1" s="253" t="inlineStr">
        <is>
          <t>유동상소각로 운전일지</t>
        </is>
      </c>
      <c r="S1" s="254" t="n"/>
      <c r="T1" s="255" t="inlineStr">
        <is>
          <t>결
재</t>
        </is>
      </c>
      <c r="U1" s="120" t="inlineStr">
        <is>
          <t>반장</t>
        </is>
      </c>
      <c r="V1" s="252" t="n"/>
      <c r="W1" s="120" t="inlineStr">
        <is>
          <t>대리</t>
        </is>
      </c>
      <c r="X1" s="252" t="n"/>
      <c r="Y1" s="120" t="inlineStr">
        <is>
          <t>팀장</t>
        </is>
      </c>
      <c r="Z1" s="252" t="n"/>
    </row>
    <row r="2" ht="14.25" customHeight="1" s="251">
      <c r="A2" s="256" t="n"/>
      <c r="B2" s="257" t="inlineStr">
        <is>
          <t>김동욱</t>
        </is>
      </c>
      <c r="C2" s="258" t="n"/>
      <c r="D2" s="322" t="inlineStr">
        <is>
          <t>김동욱,김문한</t>
        </is>
      </c>
      <c r="E2" s="258" t="n"/>
      <c r="F2" s="257" t="inlineStr">
        <is>
          <t>김문한</t>
        </is>
      </c>
      <c r="G2" s="258" t="n"/>
      <c r="H2" s="259" t="n"/>
      <c r="I2" s="260" t="n"/>
      <c r="J2" s="260" t="n"/>
      <c r="K2" s="260" t="n"/>
      <c r="L2" s="260" t="n"/>
      <c r="M2" s="260" t="n"/>
      <c r="N2" s="260" t="n"/>
      <c r="O2" s="260" t="n"/>
      <c r="P2" s="260" t="n"/>
      <c r="Q2" s="260" t="n"/>
      <c r="R2" s="260" t="n"/>
      <c r="S2" s="261" t="n"/>
      <c r="T2" s="262" t="n"/>
      <c r="U2" s="105" t="n"/>
      <c r="V2" s="254" t="n"/>
      <c r="W2" s="105" t="n"/>
      <c r="X2" s="254" t="n"/>
      <c r="Y2" s="105" t="n"/>
      <c r="Z2" s="254" t="n"/>
    </row>
    <row r="3" ht="37.5" customHeight="1" s="251">
      <c r="A3" s="263" t="n"/>
      <c r="B3" s="264" t="n"/>
      <c r="C3" s="265" t="n"/>
      <c r="D3" s="264" t="n"/>
      <c r="E3" s="265" t="n"/>
      <c r="F3" s="264" t="n"/>
      <c r="G3" s="265" t="n"/>
      <c r="H3" s="266" t="n">
        <v>46216</v>
      </c>
      <c r="I3" s="267" t="n"/>
      <c r="J3" s="267" t="n"/>
      <c r="K3" s="267" t="n"/>
      <c r="L3" s="267" t="n"/>
      <c r="M3" s="267" t="n"/>
      <c r="N3" s="267" t="n"/>
      <c r="O3" s="267" t="n"/>
      <c r="P3" s="267" t="n"/>
      <c r="Q3" s="267" t="n"/>
      <c r="R3" s="267" t="n"/>
      <c r="S3" s="268" t="n"/>
      <c r="T3" s="269" t="n"/>
      <c r="U3" s="264" t="n"/>
      <c r="V3" s="265" t="n"/>
      <c r="W3" s="264" t="n"/>
      <c r="X3" s="265" t="n"/>
      <c r="Y3" s="264" t="n"/>
      <c r="Z3" s="265" t="n"/>
    </row>
    <row r="4" ht="13.5" customHeight="1" s="25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inlineStr">
        <is>
          <t>1. 소각현황(KG)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inlineStr">
        <is>
          <t>2. BOILER 운전현황(TON, HR)</t>
        </is>
      </c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2.5" customHeight="1" s="251" thickBot="1">
      <c r="A6" s="136" t="inlineStr">
        <is>
          <t>구 분</t>
        </is>
      </c>
      <c r="B6" s="270" t="n"/>
      <c r="C6" s="271" t="n"/>
      <c r="D6" s="136" t="inlineStr">
        <is>
          <t>SRF소각량</t>
        </is>
      </c>
      <c r="E6" s="270" t="n"/>
      <c r="F6" s="271" t="n"/>
      <c r="G6" s="136" t="inlineStr">
        <is>
          <t>SLUDGE 소각량</t>
        </is>
      </c>
      <c r="H6" s="270" t="n"/>
      <c r="I6" s="271" t="n"/>
      <c r="J6" s="136" t="inlineStr">
        <is>
          <t>합 계</t>
        </is>
      </c>
      <c r="K6" s="270" t="n"/>
      <c r="L6" s="271" t="n"/>
      <c r="M6" s="1" t="n"/>
      <c r="N6" s="1" t="n"/>
      <c r="O6" s="1" t="n"/>
      <c r="P6" s="136" t="inlineStr">
        <is>
          <t>구 분</t>
        </is>
      </c>
      <c r="Q6" s="271" t="n"/>
      <c r="R6" s="136" t="inlineStr">
        <is>
          <t>스팀 생산량</t>
        </is>
      </c>
      <c r="S6" s="270" t="n"/>
      <c r="T6" s="271" t="n"/>
      <c r="U6" s="136" t="inlineStr">
        <is>
          <t>스팀 송기량</t>
        </is>
      </c>
      <c r="V6" s="270" t="n"/>
      <c r="W6" s="271" t="n"/>
      <c r="X6" s="136" t="inlineStr">
        <is>
          <t>가동시간</t>
        </is>
      </c>
      <c r="Y6" s="270" t="n"/>
      <c r="Z6" s="271" t="n"/>
    </row>
    <row r="7" ht="30" customHeight="1" s="251" thickTop="1">
      <c r="A7" s="105" t="inlineStr">
        <is>
          <t>금 일</t>
        </is>
      </c>
      <c r="B7" s="272" t="n"/>
      <c r="C7" s="265" t="n"/>
      <c r="D7" s="139" t="n">
        <v>76475</v>
      </c>
      <c r="E7" s="272" t="n"/>
      <c r="F7" s="265" t="n"/>
      <c r="G7" s="139" t="n">
        <v>137100</v>
      </c>
      <c r="H7" s="272" t="n"/>
      <c r="I7" s="265" t="n"/>
      <c r="J7" s="154">
        <f>D7+G7</f>
        <v/>
      </c>
      <c r="K7" s="278" t="n"/>
      <c r="L7" s="279" t="n"/>
      <c r="M7" s="1" t="n"/>
      <c r="N7" s="1" t="n"/>
      <c r="O7" s="1" t="n"/>
      <c r="P7" s="105" t="inlineStr">
        <is>
          <t>금 일</t>
        </is>
      </c>
      <c r="Q7" s="265" t="n"/>
      <c r="R7" s="276" t="n">
        <v>487.2</v>
      </c>
      <c r="S7" s="272" t="n"/>
      <c r="T7" s="265" t="n"/>
      <c r="U7" s="276" t="n">
        <v>338.4</v>
      </c>
      <c r="V7" s="272" t="n"/>
      <c r="W7" s="265" t="n"/>
      <c r="X7" s="277" t="n">
        <v>24</v>
      </c>
      <c r="Y7" s="272" t="n"/>
      <c r="Z7" s="265" t="n"/>
    </row>
    <row r="8" ht="30" customHeight="1" s="251">
      <c r="A8" s="104" t="inlineStr">
        <is>
          <t>누 계</t>
        </is>
      </c>
      <c r="B8" s="278" t="n"/>
      <c r="C8" s="279" t="n"/>
      <c r="D8" s="154">
        <f>'12'!D8+D7</f>
        <v/>
      </c>
      <c r="E8" s="278" t="n"/>
      <c r="F8" s="279" t="n"/>
      <c r="G8" s="154">
        <f>'12'!G8+G7</f>
        <v/>
      </c>
      <c r="H8" s="278" t="n"/>
      <c r="I8" s="279" t="n"/>
      <c r="J8" s="154">
        <f>D8+G8</f>
        <v/>
      </c>
      <c r="K8" s="278" t="n"/>
      <c r="L8" s="279" t="n"/>
      <c r="M8" s="1" t="n"/>
      <c r="N8" s="1" t="n"/>
      <c r="O8" s="1" t="n"/>
      <c r="P8" s="104" t="inlineStr">
        <is>
          <t>누 계</t>
        </is>
      </c>
      <c r="Q8" s="279" t="n"/>
      <c r="R8" s="280">
        <f>'12'!R8+'13'!R7</f>
        <v/>
      </c>
      <c r="S8" s="278" t="n"/>
      <c r="T8" s="279" t="n"/>
      <c r="U8" s="280">
        <f>'12'!U8+'13'!U7</f>
        <v/>
      </c>
      <c r="V8" s="278" t="n"/>
      <c r="W8" s="279" t="n"/>
      <c r="X8" s="281">
        <f>'12'!X8+X7</f>
        <v/>
      </c>
      <c r="Y8" s="278" t="n"/>
      <c r="Z8" s="279" t="n"/>
    </row>
    <row r="9" ht="12" customHeight="1" s="25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inlineStr">
        <is>
          <t>3. 약품 사용현황 (KG)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inlineStr">
        <is>
          <t>4. 소각재 발생량 (TON, 대)</t>
        </is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30.75" customHeight="1" s="251" thickBot="1">
      <c r="A11" s="136" t="inlineStr">
        <is>
          <t>품 명</t>
        </is>
      </c>
      <c r="B11" s="271" t="n"/>
      <c r="C11" s="150" t="inlineStr">
        <is>
          <t>전일 
재고량</t>
        </is>
      </c>
      <c r="D11" s="271" t="n"/>
      <c r="E11" s="136" t="inlineStr">
        <is>
          <t>입고량</t>
        </is>
      </c>
      <c r="F11" s="271" t="n"/>
      <c r="G11" s="136" t="inlineStr">
        <is>
          <t>사용량</t>
        </is>
      </c>
      <c r="H11" s="271" t="n"/>
      <c r="I11" s="282" t="inlineStr">
        <is>
          <t>재고량</t>
        </is>
      </c>
      <c r="J11" s="271" t="n"/>
      <c r="K11" s="150" t="inlineStr">
        <is>
          <t>입고량 
누계</t>
        </is>
      </c>
      <c r="L11" s="271" t="n"/>
      <c r="M11" s="150" t="inlineStr">
        <is>
          <t>사용량 
누계</t>
        </is>
      </c>
      <c r="N11" s="271" t="n"/>
      <c r="O11" s="1" t="n"/>
      <c r="P11" s="136" t="inlineStr">
        <is>
          <t xml:space="preserve"> 구 분</t>
        </is>
      </c>
      <c r="Q11" s="270" t="n"/>
      <c r="R11" s="271" t="n"/>
      <c r="S11" s="282" t="inlineStr">
        <is>
          <t>반출량</t>
        </is>
      </c>
      <c r="T11" s="270" t="n"/>
      <c r="U11" s="270" t="n"/>
      <c r="V11" s="271" t="n"/>
      <c r="W11" s="282" t="inlineStr">
        <is>
          <t>누계</t>
        </is>
      </c>
      <c r="X11" s="270" t="n"/>
      <c r="Y11" s="270" t="n"/>
      <c r="Z11" s="271" t="n"/>
    </row>
    <row r="12" ht="21.9" customHeight="1" s="251" thickTop="1">
      <c r="A12" s="142" t="inlineStr">
        <is>
          <t>탄산암모늄</t>
        </is>
      </c>
      <c r="B12" s="265" t="n"/>
      <c r="C12" s="310">
        <f>'12'!I12</f>
        <v/>
      </c>
      <c r="D12" s="265" t="n"/>
      <c r="E12" s="105" t="n">
        <v>11350</v>
      </c>
      <c r="F12" s="265" t="n"/>
      <c r="G12" s="105" t="n">
        <v>3941</v>
      </c>
      <c r="H12" s="265" t="n"/>
      <c r="I12" s="164">
        <f>C12+E12-G12</f>
        <v/>
      </c>
      <c r="J12" s="283" t="n"/>
      <c r="K12" s="105">
        <f>'12'!K12+E12</f>
        <v/>
      </c>
      <c r="L12" s="265" t="n"/>
      <c r="M12" s="105">
        <f>'12'!M12+'13'!G12</f>
        <v/>
      </c>
      <c r="N12" s="265" t="n"/>
      <c r="O12" s="1" t="n"/>
      <c r="P12" s="149" t="inlineStr">
        <is>
          <t xml:space="preserve">
비산재
</t>
        </is>
      </c>
      <c r="R12" s="254" t="n"/>
      <c r="S12" s="284" t="n">
        <v>26.67</v>
      </c>
      <c r="T12" s="285" t="n"/>
      <c r="U12" s="285" t="n"/>
      <c r="V12" s="285" t="n"/>
      <c r="W12" s="318">
        <f>'12'!W12+'13'!S12</f>
        <v/>
      </c>
      <c r="X12" s="285" t="n"/>
      <c r="Y12" s="285" t="n"/>
      <c r="Z12" s="287" t="n"/>
    </row>
    <row r="13" ht="21.9" customHeight="1" s="251">
      <c r="A13" s="104" t="inlineStr">
        <is>
          <t>청관제</t>
        </is>
      </c>
      <c r="B13" s="279" t="n"/>
      <c r="C13" s="310">
        <f>'12'!I13</f>
        <v/>
      </c>
      <c r="D13" s="265" t="n"/>
      <c r="E13" s="104" t="n">
        <v>910</v>
      </c>
      <c r="F13" s="279" t="n"/>
      <c r="G13" s="104" t="n">
        <v>100</v>
      </c>
      <c r="H13" s="279" t="n"/>
      <c r="I13" s="288">
        <f>C13+E13-G13</f>
        <v/>
      </c>
      <c r="J13" s="275" t="n"/>
      <c r="K13" s="105">
        <f>'12'!K13+E13</f>
        <v/>
      </c>
      <c r="L13" s="265" t="n"/>
      <c r="M13" s="105">
        <f>'12'!M13+'13'!G13</f>
        <v/>
      </c>
      <c r="N13" s="265" t="n"/>
      <c r="O13" s="1" t="n"/>
      <c r="P13" s="264" t="n"/>
      <c r="Q13" s="272" t="n"/>
      <c r="R13" s="265" t="n"/>
      <c r="S13" s="289" t="n"/>
      <c r="T13" s="290" t="n"/>
      <c r="U13" s="290" t="n"/>
      <c r="V13" s="290" t="n"/>
      <c r="W13" s="264" t="n"/>
      <c r="X13" s="272" t="n"/>
      <c r="Y13" s="272" t="n"/>
      <c r="Z13" s="265" t="n"/>
    </row>
    <row r="14" ht="21.9" customHeight="1" s="251">
      <c r="A14" s="104" t="inlineStr">
        <is>
          <t>활성탄</t>
        </is>
      </c>
      <c r="B14" s="279" t="n"/>
      <c r="C14" s="310">
        <f>'12'!I14</f>
        <v/>
      </c>
      <c r="D14" s="265" t="n"/>
      <c r="E14" s="104" t="n">
        <v>0</v>
      </c>
      <c r="F14" s="279" t="n"/>
      <c r="G14" s="104" t="n">
        <v>120</v>
      </c>
      <c r="H14" s="279" t="n"/>
      <c r="I14" s="288">
        <f>C14+E14-G14</f>
        <v/>
      </c>
      <c r="J14" s="275" t="n"/>
      <c r="K14" s="105">
        <f>'12'!K14+E14</f>
        <v/>
      </c>
      <c r="L14" s="265" t="n"/>
      <c r="M14" s="105">
        <f>'12'!M14+'13'!G14</f>
        <v/>
      </c>
      <c r="N14" s="265" t="n"/>
      <c r="O14" s="1" t="n"/>
      <c r="P14" s="104" t="inlineStr">
        <is>
          <t>바닥재</t>
        </is>
      </c>
      <c r="Q14" s="291" t="n"/>
      <c r="R14" s="292" t="n"/>
      <c r="S14" s="293" t="n">
        <v>0</v>
      </c>
      <c r="T14" s="291" t="n"/>
      <c r="U14" s="291" t="n"/>
      <c r="V14" s="291" t="n"/>
      <c r="W14" s="311">
        <f>'12'!W14+'13'!S14</f>
        <v/>
      </c>
      <c r="X14" s="291" t="n"/>
      <c r="Y14" s="291" t="n"/>
      <c r="Z14" s="295" t="n"/>
    </row>
    <row r="15" ht="21.9" customHeight="1" s="251">
      <c r="A15" s="104" t="inlineStr">
        <is>
          <t>가성소다</t>
        </is>
      </c>
      <c r="B15" s="279" t="n"/>
      <c r="C15" s="310">
        <f>'12'!I15</f>
        <v/>
      </c>
      <c r="D15" s="265" t="n"/>
      <c r="E15" s="104" t="n">
        <v>0</v>
      </c>
      <c r="F15" s="279" t="n"/>
      <c r="G15" s="104" t="n">
        <v>31</v>
      </c>
      <c r="H15" s="279" t="n"/>
      <c r="I15" s="288">
        <f>C15+E15-G15</f>
        <v/>
      </c>
      <c r="J15" s="275" t="n"/>
      <c r="K15" s="105">
        <f>'12'!K15+E15</f>
        <v/>
      </c>
      <c r="L15" s="265" t="n"/>
      <c r="M15" s="105">
        <f>'12'!M15+'13'!G15</f>
        <v/>
      </c>
      <c r="N15" s="265" t="n"/>
      <c r="O15" s="1" t="n"/>
      <c r="P15" s="296" t="n"/>
      <c r="Q15" s="290" t="n"/>
      <c r="R15" s="297" t="n"/>
      <c r="S15" s="296" t="n"/>
      <c r="T15" s="290" t="n"/>
      <c r="U15" s="290" t="n"/>
      <c r="V15" s="290" t="n"/>
      <c r="W15" s="298" t="n"/>
      <c r="X15" s="272" t="n"/>
      <c r="Y15" s="272" t="n"/>
      <c r="Z15" s="265" t="n"/>
    </row>
    <row r="16" ht="21.9" customHeight="1" s="251">
      <c r="A16" s="104" t="inlineStr">
        <is>
          <t>소석회</t>
        </is>
      </c>
      <c r="B16" s="279" t="n"/>
      <c r="C16" s="310">
        <f>'12'!I16</f>
        <v/>
      </c>
      <c r="D16" s="265" t="n"/>
      <c r="E16" s="104" t="n">
        <v>0</v>
      </c>
      <c r="F16" s="279" t="n"/>
      <c r="G16" s="104" t="n">
        <v>20</v>
      </c>
      <c r="H16" s="279" t="n"/>
      <c r="I16" s="288">
        <f>C16+E16-G16</f>
        <v/>
      </c>
      <c r="J16" s="275" t="n"/>
      <c r="K16" s="105">
        <f>'12'!K16+E16</f>
        <v/>
      </c>
      <c r="L16" s="265" t="n"/>
      <c r="M16" s="105">
        <f>'12'!M16+'13'!G16</f>
        <v/>
      </c>
      <c r="N16" s="265" t="n"/>
      <c r="O16" s="1" t="n"/>
      <c r="P16" s="162" t="inlineStr">
        <is>
          <t>구분</t>
        </is>
      </c>
      <c r="Q16" s="291" t="n"/>
      <c r="R16" s="292" t="n"/>
      <c r="S16" s="299" t="inlineStr">
        <is>
          <t>주간</t>
        </is>
      </c>
      <c r="T16" s="292" t="n"/>
      <c r="U16" s="299" t="inlineStr">
        <is>
          <t>야간</t>
        </is>
      </c>
      <c r="V16" s="292" t="n"/>
      <c r="W16" s="299" t="inlineStr">
        <is>
          <t>합계</t>
        </is>
      </c>
      <c r="X16" s="292" t="n"/>
      <c r="Y16" s="299" t="inlineStr">
        <is>
          <t>누계</t>
        </is>
      </c>
      <c r="Z16" s="292" t="n"/>
    </row>
    <row r="17" ht="21.9" customHeight="1" s="251" thickBot="1">
      <c r="A17" s="104" t="inlineStr">
        <is>
          <t>소 금</t>
        </is>
      </c>
      <c r="B17" s="279" t="n"/>
      <c r="C17" s="310">
        <f>'12'!I17</f>
        <v/>
      </c>
      <c r="D17" s="265" t="n"/>
      <c r="E17" s="104" t="n">
        <v>0</v>
      </c>
      <c r="F17" s="279" t="n"/>
      <c r="G17" s="104" t="n">
        <v>200</v>
      </c>
      <c r="H17" s="279" t="n"/>
      <c r="I17" s="288">
        <f>C17+E17-G17</f>
        <v/>
      </c>
      <c r="J17" s="275" t="n"/>
      <c r="K17" s="105">
        <f>'12'!K17+E17</f>
        <v/>
      </c>
      <c r="L17" s="265" t="n"/>
      <c r="M17" s="105">
        <f>'12'!M17+'13'!G17</f>
        <v/>
      </c>
      <c r="N17" s="265" t="n"/>
      <c r="O17" s="1" t="n"/>
      <c r="P17" s="296" t="n"/>
      <c r="Q17" s="290" t="n"/>
      <c r="R17" s="297" t="n"/>
      <c r="S17" s="300" t="n"/>
      <c r="T17" s="301" t="n"/>
      <c r="U17" s="300" t="n"/>
      <c r="V17" s="301" t="n"/>
      <c r="W17" s="300" t="n"/>
      <c r="X17" s="301" t="n"/>
      <c r="Y17" s="300" t="n"/>
      <c r="Z17" s="301" t="n"/>
      <c r="AE17" s="302" t="n"/>
    </row>
    <row r="18" ht="21.9" customHeight="1" s="251" thickTop="1">
      <c r="A18" s="104" t="inlineStr">
        <is>
          <t>경 유</t>
        </is>
      </c>
      <c r="B18" s="279" t="n"/>
      <c r="C18" s="310">
        <f>'12'!I18</f>
        <v/>
      </c>
      <c r="D18" s="265" t="n"/>
      <c r="E18" s="104" t="n">
        <v>0</v>
      </c>
      <c r="F18" s="279" t="n"/>
      <c r="G18" s="104" t="n">
        <v>0</v>
      </c>
      <c r="H18" s="279" t="n"/>
      <c r="I18" s="288">
        <f>C18+E18-G18</f>
        <v/>
      </c>
      <c r="J18" s="275" t="n"/>
      <c r="K18" s="105">
        <f>'12'!K18+E18</f>
        <v/>
      </c>
      <c r="L18" s="265" t="n"/>
      <c r="M18" s="105">
        <f>'12'!M18+'13'!G18</f>
        <v/>
      </c>
      <c r="N18" s="265" t="n"/>
      <c r="O18" s="1" t="n"/>
      <c r="P18" s="164" t="inlineStr">
        <is>
          <t>불연물</t>
        </is>
      </c>
      <c r="Q18" s="285" t="n"/>
      <c r="R18" s="287" t="n"/>
      <c r="S18" s="303" t="n">
        <v>1</v>
      </c>
      <c r="T18" s="287" t="n"/>
      <c r="U18" s="303" t="n">
        <v>2</v>
      </c>
      <c r="V18" s="287" t="n"/>
      <c r="W18" s="303">
        <f>S18+U18</f>
        <v/>
      </c>
      <c r="X18" s="287" t="n"/>
      <c r="Y18" s="303">
        <f>'12'!Y18+'13'!W18</f>
        <v/>
      </c>
      <c r="Z18" s="287" t="n"/>
    </row>
    <row r="19" ht="21.9" customHeight="1" s="251">
      <c r="A19" s="153" t="inlineStr">
        <is>
          <t>SRF</t>
        </is>
      </c>
      <c r="B19" s="279" t="n"/>
      <c r="C19" s="310">
        <f>'12'!I19</f>
        <v/>
      </c>
      <c r="D19" s="265" t="n"/>
      <c r="E19" s="154" t="n">
        <v>74790</v>
      </c>
      <c r="F19" s="279" t="n"/>
      <c r="G19" s="154">
        <f>D7</f>
        <v/>
      </c>
      <c r="H19" s="279" t="n"/>
      <c r="I19" s="273">
        <f>C19+E19-G19</f>
        <v/>
      </c>
      <c r="J19" s="275" t="n"/>
      <c r="K19" s="139">
        <f>'12'!K19+E19</f>
        <v/>
      </c>
      <c r="L19" s="265" t="n"/>
      <c r="M19" s="139">
        <f>'12'!M19+'13'!G19</f>
        <v/>
      </c>
      <c r="N19" s="265" t="n"/>
      <c r="O19" s="1" t="n"/>
      <c r="P19" s="256" t="n"/>
      <c r="R19" s="254" t="n"/>
      <c r="S19" s="256" t="n"/>
      <c r="T19" s="254" t="n"/>
      <c r="U19" s="256" t="n"/>
      <c r="V19" s="254" t="n"/>
      <c r="W19" s="256" t="n"/>
      <c r="X19" s="254" t="n"/>
      <c r="Y19" s="256" t="n"/>
      <c r="Z19" s="254" t="n"/>
    </row>
    <row r="20" ht="21.9" customHeight="1" s="251">
      <c r="A20" s="104" t="inlineStr">
        <is>
          <t>규 사</t>
        </is>
      </c>
      <c r="B20" s="279" t="n"/>
      <c r="C20" s="310">
        <f>'12'!I20</f>
        <v/>
      </c>
      <c r="D20" s="265" t="n"/>
      <c r="E20" s="288" t="n">
        <v>0</v>
      </c>
      <c r="F20" s="275" t="n"/>
      <c r="G20" s="104" t="n">
        <v>0</v>
      </c>
      <c r="H20" s="279" t="n"/>
      <c r="I20" s="288" t="inlineStr">
        <is>
          <t>-</t>
        </is>
      </c>
      <c r="J20" s="275" t="n"/>
      <c r="K20" s="105">
        <f>'12'!K20+'13'!E20</f>
        <v/>
      </c>
      <c r="L20" s="265" t="n"/>
      <c r="M20" s="139">
        <f>'12'!M20+'13'!G20</f>
        <v/>
      </c>
      <c r="N20" s="265" t="n"/>
      <c r="O20" s="1" t="n"/>
      <c r="P20" s="264" t="n"/>
      <c r="Q20" s="272" t="n"/>
      <c r="R20" s="265" t="n"/>
      <c r="S20" s="264" t="n"/>
      <c r="T20" s="265" t="n"/>
      <c r="U20" s="264" t="n"/>
      <c r="V20" s="265" t="n"/>
      <c r="W20" s="264" t="n"/>
      <c r="X20" s="265" t="n"/>
      <c r="Y20" s="264" t="n"/>
      <c r="Z20" s="265" t="n"/>
    </row>
    <row r="21" ht="12" customHeight="1" s="25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 t="inlineStr">
        <is>
          <t>5. 전력 사용량 (KWH)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10" t="inlineStr">
        <is>
          <t>6. 유틸리티 사용현황 (㎥)</t>
        </is>
      </c>
      <c r="Q22" s="290" t="n"/>
      <c r="R22" s="290" t="n"/>
      <c r="S22" s="290" t="n"/>
      <c r="T22" s="290" t="n"/>
      <c r="U22" s="290" t="n"/>
      <c r="V22" s="1" t="n"/>
      <c r="W22" s="1" t="n"/>
      <c r="X22" s="1" t="n"/>
      <c r="Y22" s="1" t="n"/>
      <c r="Z22" s="1" t="n"/>
    </row>
    <row r="23" ht="28.5" customHeight="1" s="251" thickBot="1">
      <c r="A23" s="136" t="inlineStr">
        <is>
          <t>구 분</t>
        </is>
      </c>
      <c r="B23" s="270" t="n"/>
      <c r="C23" s="271" t="n"/>
      <c r="D23" s="136" t="inlineStr">
        <is>
          <t>전일지침</t>
        </is>
      </c>
      <c r="E23" s="270" t="n"/>
      <c r="F23" s="271" t="n"/>
      <c r="G23" s="136" t="inlineStr">
        <is>
          <t>금일지침</t>
        </is>
      </c>
      <c r="H23" s="270" t="n"/>
      <c r="I23" s="271" t="n"/>
      <c r="J23" s="136" t="inlineStr">
        <is>
          <t>사용량</t>
        </is>
      </c>
      <c r="K23" s="270" t="n"/>
      <c r="L23" s="271" t="n"/>
      <c r="M23" s="136" t="inlineStr">
        <is>
          <t>누 계</t>
        </is>
      </c>
      <c r="N23" s="271" t="n"/>
      <c r="P23" s="136" t="inlineStr">
        <is>
          <t>구 분</t>
        </is>
      </c>
      <c r="Q23" s="270" t="n"/>
      <c r="R23" s="271" t="n"/>
      <c r="S23" s="136" t="inlineStr">
        <is>
          <t>전일 사용량</t>
        </is>
      </c>
      <c r="T23" s="270" t="n"/>
      <c r="U23" s="271" t="n"/>
      <c r="V23" s="136" t="inlineStr">
        <is>
          <t>금일 사용량</t>
        </is>
      </c>
      <c r="W23" s="270" t="n"/>
      <c r="X23" s="271" t="n"/>
      <c r="Y23" s="136" t="inlineStr">
        <is>
          <t>누 계</t>
        </is>
      </c>
      <c r="Z23" s="271" t="n"/>
    </row>
    <row r="24" ht="21.9" customHeight="1" s="251" thickTop="1">
      <c r="A24" s="105" t="inlineStr">
        <is>
          <t>MAIN</t>
        </is>
      </c>
      <c r="B24" s="272" t="n"/>
      <c r="C24" s="265" t="n"/>
      <c r="D24" s="187">
        <f>'12'!G24</f>
        <v/>
      </c>
      <c r="E24" s="285" t="n"/>
      <c r="F24" s="287" t="n"/>
      <c r="G24" s="164" t="n">
        <v>3971350</v>
      </c>
      <c r="H24" s="304" t="n"/>
      <c r="I24" s="283" t="n"/>
      <c r="J24" s="164">
        <f>G24-D24</f>
        <v/>
      </c>
      <c r="K24" s="304" t="n"/>
      <c r="L24" s="283" t="n"/>
      <c r="M24" s="164">
        <f>'12'!M24+J24</f>
        <v/>
      </c>
      <c r="N24" s="283" t="n"/>
      <c r="P24" s="105" t="inlineStr">
        <is>
          <t>재이용수</t>
        </is>
      </c>
      <c r="Q24" s="272" t="n"/>
      <c r="R24" s="265" t="n"/>
      <c r="S24" s="105">
        <f>'12'!V24</f>
        <v/>
      </c>
      <c r="T24" s="272" t="n"/>
      <c r="U24" s="265" t="n"/>
      <c r="V24" s="276" t="n">
        <v>561.3</v>
      </c>
      <c r="W24" s="272" t="n"/>
      <c r="X24" s="265" t="n"/>
      <c r="Y24" s="276">
        <f>'12'!Y24+V24</f>
        <v/>
      </c>
      <c r="Z24" s="265" t="n"/>
    </row>
    <row r="25" ht="21.9" customHeight="1" s="251">
      <c r="A25" s="104" t="inlineStr">
        <is>
          <t>ASH 저장조</t>
        </is>
      </c>
      <c r="B25" s="278" t="n"/>
      <c r="C25" s="279" t="n"/>
      <c r="D25" s="104">
        <f>'12'!G25</f>
        <v/>
      </c>
      <c r="E25" s="278" t="n"/>
      <c r="F25" s="279" t="n"/>
      <c r="G25" s="104" t="n">
        <v>33206.6</v>
      </c>
      <c r="H25" s="278" t="n"/>
      <c r="I25" s="279" t="n"/>
      <c r="J25" s="104">
        <f>G25-D25</f>
        <v/>
      </c>
      <c r="K25" s="278" t="n"/>
      <c r="L25" s="279" t="n"/>
      <c r="M25" s="288">
        <f>'12'!M25+J25</f>
        <v/>
      </c>
      <c r="N25" s="275" t="n"/>
      <c r="P25" s="104" t="inlineStr">
        <is>
          <t>복류수</t>
        </is>
      </c>
      <c r="Q25" s="278" t="n"/>
      <c r="R25" s="279" t="n"/>
      <c r="S25" s="288">
        <f>'12'!V25</f>
        <v/>
      </c>
      <c r="T25" s="274" t="n"/>
      <c r="U25" s="275" t="n"/>
      <c r="V25" s="280" t="n">
        <v>60.6</v>
      </c>
      <c r="W25" s="278" t="n"/>
      <c r="X25" s="279" t="n"/>
      <c r="Y25" s="276">
        <f>'12'!Y25+V25</f>
        <v/>
      </c>
      <c r="Z25" s="265" t="n"/>
    </row>
    <row r="26" ht="21.9" customHeight="1" s="251">
      <c r="A26" s="104" t="inlineStr">
        <is>
          <t>BAG FILTER</t>
        </is>
      </c>
      <c r="B26" s="278" t="n"/>
      <c r="C26" s="279" t="n"/>
      <c r="D26" s="104">
        <f>'12'!G26</f>
        <v/>
      </c>
      <c r="E26" s="278" t="n"/>
      <c r="F26" s="279" t="n"/>
      <c r="G26" s="104" t="n">
        <v>24570</v>
      </c>
      <c r="H26" s="278" t="n"/>
      <c r="I26" s="279" t="n"/>
      <c r="J26" s="104">
        <f>G26-D26</f>
        <v/>
      </c>
      <c r="K26" s="278" t="n"/>
      <c r="L26" s="279" t="n"/>
      <c r="M26" s="288">
        <f>'12'!M26+J26</f>
        <v/>
      </c>
      <c r="N26" s="275" t="n"/>
      <c r="P26" s="104" t="inlineStr">
        <is>
          <t>응축수</t>
        </is>
      </c>
      <c r="Q26" s="278" t="n"/>
      <c r="R26" s="279" t="n"/>
      <c r="S26" s="288">
        <f>'12'!V26</f>
        <v/>
      </c>
      <c r="T26" s="274" t="n"/>
      <c r="U26" s="275" t="n"/>
      <c r="V26" s="280" t="n">
        <v>525.1</v>
      </c>
      <c r="W26" s="278" t="n"/>
      <c r="X26" s="279" t="n"/>
      <c r="Y26" s="276">
        <f>'12'!Y26+V26</f>
        <v/>
      </c>
      <c r="Z26" s="265" t="n"/>
    </row>
    <row r="27" ht="21.9" customHeight="1" s="251">
      <c r="A27" s="104" t="inlineStr">
        <is>
          <t>SCRUBBER</t>
        </is>
      </c>
      <c r="B27" s="278" t="n"/>
      <c r="C27" s="279" t="n"/>
      <c r="D27" s="104">
        <f>'12'!G27</f>
        <v/>
      </c>
      <c r="E27" s="278" t="n"/>
      <c r="F27" s="279" t="n"/>
      <c r="G27" s="104" t="n">
        <v>1384000</v>
      </c>
      <c r="H27" s="278" t="n"/>
      <c r="I27" s="279" t="n"/>
      <c r="J27" s="104">
        <f>G27-D27</f>
        <v/>
      </c>
      <c r="K27" s="278" t="n"/>
      <c r="L27" s="279" t="n"/>
      <c r="M27" s="288">
        <f>'12'!M27+J27</f>
        <v/>
      </c>
      <c r="N27" s="275" t="n"/>
      <c r="P27" s="104" t="inlineStr">
        <is>
          <t>보일러 급수</t>
        </is>
      </c>
      <c r="Q27" s="278" t="n"/>
      <c r="R27" s="279" t="n"/>
      <c r="S27" s="288">
        <f>'12'!V27</f>
        <v/>
      </c>
      <c r="T27" s="274" t="n"/>
      <c r="U27" s="275" t="n"/>
      <c r="V27" s="280" t="n">
        <v>577.6</v>
      </c>
      <c r="W27" s="278" t="n"/>
      <c r="X27" s="279" t="n"/>
      <c r="Y27" s="276">
        <f>'12'!Y27+V27</f>
        <v/>
      </c>
      <c r="Z27" s="265" t="n"/>
    </row>
    <row r="28" ht="21.9" customHeight="1" s="251">
      <c r="A28" s="104" t="inlineStr">
        <is>
          <t>활성탄 공급</t>
        </is>
      </c>
      <c r="B28" s="278" t="n"/>
      <c r="C28" s="279" t="n"/>
      <c r="D28" s="104">
        <f>'12'!G28</f>
        <v/>
      </c>
      <c r="E28" s="278" t="n"/>
      <c r="F28" s="279" t="n"/>
      <c r="G28" s="104" t="n">
        <v>5669</v>
      </c>
      <c r="H28" s="278" t="n"/>
      <c r="I28" s="279" t="n"/>
      <c r="J28" s="104">
        <f>G28-D28</f>
        <v/>
      </c>
      <c r="K28" s="278" t="n"/>
      <c r="L28" s="279" t="n"/>
      <c r="M28" s="288">
        <f>'12'!M28+J28</f>
        <v/>
      </c>
      <c r="N28" s="275" t="n"/>
      <c r="P28" s="104" t="inlineStr">
        <is>
          <t>폐 수</t>
        </is>
      </c>
      <c r="Q28" s="278" t="n"/>
      <c r="R28" s="279" t="n"/>
      <c r="S28" s="288">
        <f>'12'!V28</f>
        <v/>
      </c>
      <c r="T28" s="274" t="n"/>
      <c r="U28" s="275" t="n"/>
      <c r="V28" s="280" t="n">
        <v>0</v>
      </c>
      <c r="W28" s="278" t="n"/>
      <c r="X28" s="279" t="n"/>
      <c r="Y28" s="276">
        <f>'12'!Y28+V28</f>
        <v/>
      </c>
      <c r="Z28" s="265" t="n"/>
    </row>
    <row r="29" ht="21.9" customHeight="1" s="251">
      <c r="A29" s="104" t="inlineStr">
        <is>
          <t>소석회 공급</t>
        </is>
      </c>
      <c r="B29" s="278" t="n"/>
      <c r="C29" s="279" t="n"/>
      <c r="D29" s="104">
        <f>'12'!G29</f>
        <v/>
      </c>
      <c r="E29" s="278" t="n"/>
      <c r="F29" s="279" t="n"/>
      <c r="G29" s="104" t="n">
        <v>66220</v>
      </c>
      <c r="H29" s="278" t="n"/>
      <c r="I29" s="279" t="n"/>
      <c r="J29" s="104">
        <f>G29-D29</f>
        <v/>
      </c>
      <c r="K29" s="278" t="n"/>
      <c r="L29" s="279" t="n"/>
      <c r="M29" s="288">
        <f>'12'!M29+J29</f>
        <v/>
      </c>
      <c r="N29" s="275" t="n"/>
      <c r="P29" s="104" t="inlineStr">
        <is>
          <t>연 수</t>
        </is>
      </c>
      <c r="Q29" s="278" t="n"/>
      <c r="R29" s="279" t="n"/>
      <c r="S29" s="288">
        <f>'12'!V29</f>
        <v/>
      </c>
      <c r="T29" s="274" t="n"/>
      <c r="U29" s="275" t="n"/>
      <c r="V29" s="280" t="n">
        <v>75.59999999999999</v>
      </c>
      <c r="W29" s="278" t="n"/>
      <c r="X29" s="279" t="n"/>
      <c r="Y29" s="276">
        <f>'12'!Y29+V29</f>
        <v/>
      </c>
      <c r="Z29" s="265" t="n"/>
    </row>
    <row r="30" ht="21.9" customHeight="1" s="251">
      <c r="A30" s="104" t="inlineStr">
        <is>
          <t>요소수 공급</t>
        </is>
      </c>
      <c r="B30" s="278" t="n"/>
      <c r="C30" s="279" t="n"/>
      <c r="D30" s="104">
        <f>'12'!G30</f>
        <v/>
      </c>
      <c r="E30" s="278" t="n"/>
      <c r="F30" s="279" t="n"/>
      <c r="G30" s="104" t="n">
        <v>53390</v>
      </c>
      <c r="H30" s="278" t="n"/>
      <c r="I30" s="279" t="n"/>
      <c r="J30" s="104">
        <f>G30-D30</f>
        <v/>
      </c>
      <c r="K30" s="278" t="n"/>
      <c r="L30" s="279" t="n"/>
      <c r="M30" s="288">
        <f>'12'!M30+J30</f>
        <v/>
      </c>
      <c r="N30" s="275" t="n"/>
      <c r="P30" s="104" t="inlineStr">
        <is>
          <t>계</t>
        </is>
      </c>
      <c r="Q30" s="278" t="n"/>
      <c r="R30" s="279" t="n"/>
      <c r="S30" s="104">
        <f>SUM(S24:U29)</f>
        <v/>
      </c>
      <c r="T30" s="278" t="n"/>
      <c r="U30" s="279" t="n"/>
      <c r="V30" s="280" t="n"/>
      <c r="W30" s="278" t="n"/>
      <c r="X30" s="279" t="n"/>
      <c r="Y30" s="276">
        <f>'12'!Y30+V30</f>
        <v/>
      </c>
      <c r="Z30" s="265" t="n"/>
    </row>
    <row r="31" ht="21.9" customHeight="1" s="251">
      <c r="A31" s="104" t="inlineStr">
        <is>
          <t xml:space="preserve">F.D </t>
        </is>
      </c>
      <c r="B31" s="278" t="n"/>
      <c r="C31" s="279" t="n"/>
      <c r="D31" s="104">
        <f>'12'!G31</f>
        <v/>
      </c>
      <c r="E31" s="278" t="n"/>
      <c r="F31" s="279" t="n"/>
      <c r="G31" s="288" t="n">
        <v>6304835</v>
      </c>
      <c r="H31" s="274" t="n"/>
      <c r="I31" s="275" t="n"/>
      <c r="J31" s="288">
        <f>G31-D31</f>
        <v/>
      </c>
      <c r="K31" s="274" t="n"/>
      <c r="L31" s="275" t="n"/>
      <c r="M31" s="288">
        <f>'12'!M31+J31</f>
        <v/>
      </c>
      <c r="N31" s="275" t="n"/>
      <c r="P31" s="172" t="n"/>
      <c r="Q31" s="172" t="n"/>
      <c r="R31" s="172" t="n"/>
      <c r="S31" s="172" t="n"/>
      <c r="T31" s="172" t="n"/>
      <c r="U31" s="172" t="n"/>
      <c r="V31" s="305" t="n"/>
      <c r="W31" s="305" t="n"/>
      <c r="X31" s="305" t="n"/>
      <c r="Y31" s="305" t="n"/>
      <c r="Z31" s="305" t="n"/>
    </row>
    <row r="32" ht="21.9" customHeight="1" s="251">
      <c r="A32" s="104" t="inlineStr">
        <is>
          <t>활성탄 BAG</t>
        </is>
      </c>
      <c r="B32" s="278" t="n"/>
      <c r="C32" s="279" t="n"/>
      <c r="D32" s="104">
        <f>'12'!G32</f>
        <v/>
      </c>
      <c r="E32" s="278" t="n"/>
      <c r="F32" s="279" t="n"/>
      <c r="G32" s="288" t="n">
        <v>1.7</v>
      </c>
      <c r="H32" s="274" t="n"/>
      <c r="I32" s="275" t="n"/>
      <c r="J32" s="288">
        <f>G32-D32</f>
        <v/>
      </c>
      <c r="K32" s="274" t="n"/>
      <c r="L32" s="275" t="n"/>
      <c r="M32" s="288">
        <f>'12'!M32+J32</f>
        <v/>
      </c>
      <c r="N32" s="275" t="n"/>
      <c r="P32" s="172" t="n"/>
      <c r="Q32" s="172" t="n"/>
      <c r="R32" s="172" t="n"/>
      <c r="S32" s="172" t="n"/>
      <c r="T32" s="172" t="n"/>
      <c r="U32" s="172" t="n"/>
      <c r="V32" s="305" t="n"/>
      <c r="W32" s="305" t="n"/>
      <c r="X32" s="305" t="n"/>
      <c r="Y32" s="305" t="n"/>
      <c r="Z32" s="305" t="n"/>
    </row>
    <row r="33" ht="21.9" customHeight="1" s="251">
      <c r="A33" s="104" t="inlineStr">
        <is>
          <t>소석회 BAG</t>
        </is>
      </c>
      <c r="B33" s="278" t="n"/>
      <c r="C33" s="279" t="n"/>
      <c r="D33" s="280">
        <f>'12'!G33</f>
        <v/>
      </c>
      <c r="E33" s="278" t="n"/>
      <c r="F33" s="279" t="n"/>
      <c r="G33" s="288" t="n">
        <v>0</v>
      </c>
      <c r="H33" s="274" t="n"/>
      <c r="I33" s="275" t="n"/>
      <c r="J33" s="288">
        <f>G33-D33</f>
        <v/>
      </c>
      <c r="K33" s="274" t="n"/>
      <c r="L33" s="275" t="n"/>
      <c r="M33" s="288">
        <f>'12'!M33+J33</f>
        <v/>
      </c>
      <c r="N33" s="275" t="n"/>
      <c r="P33" s="172" t="n"/>
      <c r="Q33" s="172" t="n"/>
      <c r="R33" s="172" t="n"/>
      <c r="S33" s="172" t="n"/>
      <c r="T33" s="172" t="n"/>
      <c r="U33" s="172" t="n"/>
      <c r="V33" s="305" t="n"/>
      <c r="W33" s="305" t="n"/>
      <c r="X33" s="305" t="n"/>
      <c r="Y33" s="305" t="n"/>
      <c r="Z33" s="305" t="n"/>
    </row>
  </sheetData>
  <mergeCells count="217">
    <mergeCell ref="V24:X24"/>
    <mergeCell ref="A15:B15"/>
    <mergeCell ref="P27:R27"/>
    <mergeCell ref="S23:U23"/>
    <mergeCell ref="C15:D15"/>
    <mergeCell ref="J27:L27"/>
    <mergeCell ref="S14:V15"/>
    <mergeCell ref="Y24:Z24"/>
    <mergeCell ref="U7:W7"/>
    <mergeCell ref="A26:C26"/>
    <mergeCell ref="J25:L25"/>
    <mergeCell ref="G24:I24"/>
    <mergeCell ref="D28:F28"/>
    <mergeCell ref="I16:J16"/>
    <mergeCell ref="A23:C23"/>
    <mergeCell ref="S24:U24"/>
    <mergeCell ref="P6:Q6"/>
    <mergeCell ref="P28:R28"/>
    <mergeCell ref="W1:X1"/>
    <mergeCell ref="Y1:Z1"/>
    <mergeCell ref="G26:I26"/>
    <mergeCell ref="S16:T17"/>
    <mergeCell ref="D30:F30"/>
    <mergeCell ref="G18:H18"/>
    <mergeCell ref="B1:C1"/>
    <mergeCell ref="U8:W8"/>
    <mergeCell ref="I18:J18"/>
    <mergeCell ref="H3:S3"/>
    <mergeCell ref="M16:N16"/>
    <mergeCell ref="P30:R30"/>
    <mergeCell ref="M25:N25"/>
    <mergeCell ref="D29:F29"/>
    <mergeCell ref="D23:F23"/>
    <mergeCell ref="Y25:Z25"/>
    <mergeCell ref="M18:N18"/>
    <mergeCell ref="M33:N33"/>
    <mergeCell ref="A17:B17"/>
    <mergeCell ref="S25:U25"/>
    <mergeCell ref="C17:D17"/>
    <mergeCell ref="U18:V20"/>
    <mergeCell ref="J29:L29"/>
    <mergeCell ref="W18:X20"/>
    <mergeCell ref="M17:N17"/>
    <mergeCell ref="G20:H20"/>
    <mergeCell ref="I20:J20"/>
    <mergeCell ref="S27:U27"/>
    <mergeCell ref="A19:B19"/>
    <mergeCell ref="V23:X23"/>
    <mergeCell ref="C19:D19"/>
    <mergeCell ref="A6:C6"/>
    <mergeCell ref="Y2:Z3"/>
    <mergeCell ref="Y18:Z20"/>
    <mergeCell ref="M19:N19"/>
    <mergeCell ref="P22:U22"/>
    <mergeCell ref="I13:J13"/>
    <mergeCell ref="K13:L13"/>
    <mergeCell ref="X7:Z7"/>
    <mergeCell ref="E12:F12"/>
    <mergeCell ref="J24:L24"/>
    <mergeCell ref="G12:H12"/>
    <mergeCell ref="G28:I28"/>
    <mergeCell ref="D27:F27"/>
    <mergeCell ref="G6:I6"/>
    <mergeCell ref="I15:J15"/>
    <mergeCell ref="A11:B11"/>
    <mergeCell ref="K15:L15"/>
    <mergeCell ref="S28:U28"/>
    <mergeCell ref="C14:D14"/>
    <mergeCell ref="E14:F14"/>
    <mergeCell ref="J26:L26"/>
    <mergeCell ref="G30:I30"/>
    <mergeCell ref="J7:L7"/>
    <mergeCell ref="V27:X27"/>
    <mergeCell ref="A32:C32"/>
    <mergeCell ref="A29:C29"/>
    <mergeCell ref="D25:F25"/>
    <mergeCell ref="V25:X25"/>
    <mergeCell ref="Y26:Z26"/>
    <mergeCell ref="M13:N13"/>
    <mergeCell ref="G32:I32"/>
    <mergeCell ref="J33:L33"/>
    <mergeCell ref="W14:Z15"/>
    <mergeCell ref="A31:C31"/>
    <mergeCell ref="S26:U26"/>
    <mergeCell ref="M27:N27"/>
    <mergeCell ref="I17:J17"/>
    <mergeCell ref="A24:C24"/>
    <mergeCell ref="Y27:Z27"/>
    <mergeCell ref="K17:L17"/>
    <mergeCell ref="P29:R29"/>
    <mergeCell ref="M24:N24"/>
    <mergeCell ref="E16:F16"/>
    <mergeCell ref="J28:L28"/>
    <mergeCell ref="G27:I27"/>
    <mergeCell ref="G16:H16"/>
    <mergeCell ref="D31:F31"/>
    <mergeCell ref="U2:V3"/>
    <mergeCell ref="I19:J19"/>
    <mergeCell ref="U1:V1"/>
    <mergeCell ref="G8:I8"/>
    <mergeCell ref="K19:L19"/>
    <mergeCell ref="C18:D18"/>
    <mergeCell ref="A7:C7"/>
    <mergeCell ref="E18:F18"/>
    <mergeCell ref="V29:X29"/>
    <mergeCell ref="J30:L30"/>
    <mergeCell ref="R6:T6"/>
    <mergeCell ref="K16:L16"/>
    <mergeCell ref="A25:C25"/>
    <mergeCell ref="J6:L6"/>
    <mergeCell ref="D1:E1"/>
    <mergeCell ref="D32:F32"/>
    <mergeCell ref="G11:H11"/>
    <mergeCell ref="I11:J11"/>
    <mergeCell ref="P23:R23"/>
    <mergeCell ref="W11:Z11"/>
    <mergeCell ref="D7:F7"/>
    <mergeCell ref="Y16:Z17"/>
    <mergeCell ref="S18:T20"/>
    <mergeCell ref="Y30:Z30"/>
    <mergeCell ref="C20:D20"/>
    <mergeCell ref="E20:F20"/>
    <mergeCell ref="K11:L11"/>
    <mergeCell ref="J32:L32"/>
    <mergeCell ref="M11:N11"/>
    <mergeCell ref="Y29:Z29"/>
    <mergeCell ref="H1:S2"/>
    <mergeCell ref="V26:X26"/>
    <mergeCell ref="E13:F13"/>
    <mergeCell ref="S30:U30"/>
    <mergeCell ref="G13:H13"/>
    <mergeCell ref="M31:N31"/>
    <mergeCell ref="G29:I29"/>
    <mergeCell ref="D8:F8"/>
    <mergeCell ref="D33:F33"/>
    <mergeCell ref="W12:Z13"/>
    <mergeCell ref="A12:B12"/>
    <mergeCell ref="A28:C28"/>
    <mergeCell ref="S29:U29"/>
    <mergeCell ref="C12:D12"/>
    <mergeCell ref="A1:A3"/>
    <mergeCell ref="M15:N15"/>
    <mergeCell ref="E15:F15"/>
    <mergeCell ref="M12:N12"/>
    <mergeCell ref="G15:H15"/>
    <mergeCell ref="G31:I31"/>
    <mergeCell ref="Y28:Z28"/>
    <mergeCell ref="P18:R20"/>
    <mergeCell ref="A14:B14"/>
    <mergeCell ref="J8:L8"/>
    <mergeCell ref="A30:C30"/>
    <mergeCell ref="M26:N26"/>
    <mergeCell ref="U6:W6"/>
    <mergeCell ref="P25:R25"/>
    <mergeCell ref="M29:N29"/>
    <mergeCell ref="M23:N23"/>
    <mergeCell ref="F2:G3"/>
    <mergeCell ref="G23:I23"/>
    <mergeCell ref="Y23:Z23"/>
    <mergeCell ref="U16:V17"/>
    <mergeCell ref="W16:X17"/>
    <mergeCell ref="G7:I7"/>
    <mergeCell ref="K18:L18"/>
    <mergeCell ref="P12:R13"/>
    <mergeCell ref="F1:G1"/>
    <mergeCell ref="D6:F6"/>
    <mergeCell ref="T1:T3"/>
    <mergeCell ref="V28:X28"/>
    <mergeCell ref="P11:R11"/>
    <mergeCell ref="P14:R15"/>
    <mergeCell ref="A27:C27"/>
    <mergeCell ref="W2:X3"/>
    <mergeCell ref="V30:X30"/>
    <mergeCell ref="E17:F17"/>
    <mergeCell ref="G17:H17"/>
    <mergeCell ref="G33:I33"/>
    <mergeCell ref="X6:Z6"/>
    <mergeCell ref="A33:C33"/>
    <mergeCell ref="K20:L20"/>
    <mergeCell ref="A16:B16"/>
    <mergeCell ref="C16:D16"/>
    <mergeCell ref="M20:N20"/>
    <mergeCell ref="A8:C8"/>
    <mergeCell ref="E19:F19"/>
    <mergeCell ref="P8:Q8"/>
    <mergeCell ref="J31:L31"/>
    <mergeCell ref="G19:H19"/>
    <mergeCell ref="A18:B18"/>
    <mergeCell ref="G25:I25"/>
    <mergeCell ref="D24:F24"/>
    <mergeCell ref="M30:N30"/>
    <mergeCell ref="I12:J12"/>
    <mergeCell ref="K12:L12"/>
    <mergeCell ref="P24:R24"/>
    <mergeCell ref="P7:Q7"/>
    <mergeCell ref="C11:D11"/>
    <mergeCell ref="M28:N28"/>
    <mergeCell ref="E11:F11"/>
    <mergeCell ref="J23:L23"/>
    <mergeCell ref="D26:F26"/>
    <mergeCell ref="G14:H14"/>
    <mergeCell ref="S11:V11"/>
    <mergeCell ref="I14:J14"/>
    <mergeCell ref="R8:T8"/>
    <mergeCell ref="K14:L14"/>
    <mergeCell ref="P26:R26"/>
    <mergeCell ref="P16:R17"/>
    <mergeCell ref="A20:B20"/>
    <mergeCell ref="B2:C3"/>
    <mergeCell ref="D2:E3"/>
    <mergeCell ref="M32:N32"/>
    <mergeCell ref="M14:N14"/>
    <mergeCell ref="X8:Z8"/>
    <mergeCell ref="A13:B13"/>
    <mergeCell ref="C13:D13"/>
    <mergeCell ref="R7:T7"/>
    <mergeCell ref="S12:V13"/>
  </mergeCells>
  <pageMargins left="0.7086614173228347" right="0.7086614173228347" top="0.7480314960629921" bottom="0.7480314960629921" header="0.3149606299212598" footer="0.3149606299212598"/>
  <pageSetup orientation="portrait" paperSize="9" scale="59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AE33"/>
  <sheetViews>
    <sheetView zoomScaleNormal="100" zoomScaleSheetLayoutView="100" workbookViewId="0">
      <selection activeCell="V30" sqref="V30:X30"/>
    </sheetView>
  </sheetViews>
  <sheetFormatPr baseColWidth="8" defaultRowHeight="17.4"/>
  <cols>
    <col width="2.8984375" customWidth="1" style="251" min="1" max="1"/>
    <col width="5.59765625" customWidth="1" style="251" min="2" max="14"/>
    <col width="3.59765625" customWidth="1" style="251" min="15" max="15"/>
    <col width="4.59765625" customWidth="1" style="251" min="16" max="22"/>
    <col width="5.59765625" customWidth="1" style="251" min="23" max="26"/>
  </cols>
  <sheetData>
    <row r="1" ht="18.75" customHeight="1" s="251">
      <c r="A1" s="122" t="inlineStr">
        <is>
          <t>근
무
자</t>
        </is>
      </c>
      <c r="B1" s="120" t="inlineStr">
        <is>
          <t>오  전</t>
        </is>
      </c>
      <c r="C1" s="252" t="n"/>
      <c r="D1" s="120" t="inlineStr">
        <is>
          <t>오  후</t>
        </is>
      </c>
      <c r="E1" s="252" t="n"/>
      <c r="F1" s="120" t="inlineStr">
        <is>
          <t>야  간</t>
        </is>
      </c>
      <c r="G1" s="252" t="n"/>
      <c r="H1" s="253" t="inlineStr">
        <is>
          <t>유동상소각로 운전일지</t>
        </is>
      </c>
      <c r="S1" s="254" t="n"/>
      <c r="T1" s="255" t="inlineStr">
        <is>
          <t>결
재</t>
        </is>
      </c>
      <c r="U1" s="120" t="inlineStr">
        <is>
          <t>반장</t>
        </is>
      </c>
      <c r="V1" s="252" t="n"/>
      <c r="W1" s="120" t="inlineStr">
        <is>
          <t>대리</t>
        </is>
      </c>
      <c r="X1" s="252" t="n"/>
      <c r="Y1" s="120" t="inlineStr">
        <is>
          <t>팀장</t>
        </is>
      </c>
      <c r="Z1" s="252" t="n"/>
    </row>
    <row r="2" ht="14.25" customHeight="1" s="251">
      <c r="A2" s="256" t="n"/>
      <c r="B2" s="257" t="inlineStr">
        <is>
          <t>권정민</t>
        </is>
      </c>
      <c r="C2" s="258" t="n"/>
      <c r="D2" s="322" t="inlineStr">
        <is>
          <t>권정민,김문한</t>
        </is>
      </c>
      <c r="E2" s="258" t="n"/>
      <c r="F2" s="257" t="inlineStr">
        <is>
          <t>김문한</t>
        </is>
      </c>
      <c r="G2" s="258" t="n"/>
      <c r="H2" s="259" t="n"/>
      <c r="I2" s="260" t="n"/>
      <c r="J2" s="260" t="n"/>
      <c r="K2" s="260" t="n"/>
      <c r="L2" s="260" t="n"/>
      <c r="M2" s="260" t="n"/>
      <c r="N2" s="260" t="n"/>
      <c r="O2" s="260" t="n"/>
      <c r="P2" s="260" t="n"/>
      <c r="Q2" s="260" t="n"/>
      <c r="R2" s="260" t="n"/>
      <c r="S2" s="261" t="n"/>
      <c r="T2" s="262" t="n"/>
      <c r="U2" s="105" t="n"/>
      <c r="V2" s="254" t="n"/>
      <c r="W2" s="105" t="n"/>
      <c r="X2" s="254" t="n"/>
      <c r="Y2" s="105" t="n"/>
      <c r="Z2" s="254" t="n"/>
    </row>
    <row r="3" ht="37.5" customHeight="1" s="251">
      <c r="A3" s="263" t="n"/>
      <c r="B3" s="264" t="n"/>
      <c r="C3" s="265" t="n"/>
      <c r="D3" s="264" t="n"/>
      <c r="E3" s="265" t="n"/>
      <c r="F3" s="264" t="n"/>
      <c r="G3" s="265" t="n"/>
      <c r="H3" s="266" t="n">
        <v>46217</v>
      </c>
      <c r="I3" s="267" t="n"/>
      <c r="J3" s="267" t="n"/>
      <c r="K3" s="267" t="n"/>
      <c r="L3" s="267" t="n"/>
      <c r="M3" s="267" t="n"/>
      <c r="N3" s="267" t="n"/>
      <c r="O3" s="267" t="n"/>
      <c r="P3" s="267" t="n"/>
      <c r="Q3" s="267" t="n"/>
      <c r="R3" s="267" t="n"/>
      <c r="S3" s="268" t="n"/>
      <c r="T3" s="269" t="n"/>
      <c r="U3" s="264" t="n"/>
      <c r="V3" s="265" t="n"/>
      <c r="W3" s="264" t="n"/>
      <c r="X3" s="265" t="n"/>
      <c r="Y3" s="264" t="n"/>
      <c r="Z3" s="265" t="n"/>
    </row>
    <row r="4" ht="13.5" customHeight="1" s="25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inlineStr">
        <is>
          <t>1. 소각현황(KG)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inlineStr">
        <is>
          <t>2. BOILER 운전현황(TON, HR)</t>
        </is>
      </c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2.5" customHeight="1" s="251" thickBot="1">
      <c r="A6" s="136" t="inlineStr">
        <is>
          <t>구 분</t>
        </is>
      </c>
      <c r="B6" s="270" t="n"/>
      <c r="C6" s="271" t="n"/>
      <c r="D6" s="136" t="inlineStr">
        <is>
          <t>SRF소각량</t>
        </is>
      </c>
      <c r="E6" s="270" t="n"/>
      <c r="F6" s="271" t="n"/>
      <c r="G6" s="136" t="inlineStr">
        <is>
          <t>SLUDGE 소각량</t>
        </is>
      </c>
      <c r="H6" s="270" t="n"/>
      <c r="I6" s="271" t="n"/>
      <c r="J6" s="136" t="inlineStr">
        <is>
          <t>합 계</t>
        </is>
      </c>
      <c r="K6" s="270" t="n"/>
      <c r="L6" s="271" t="n"/>
      <c r="M6" s="1" t="n"/>
      <c r="N6" s="1" t="n"/>
      <c r="O6" s="1" t="n"/>
      <c r="P6" s="136" t="inlineStr">
        <is>
          <t>구 분</t>
        </is>
      </c>
      <c r="Q6" s="271" t="n"/>
      <c r="R6" s="136" t="inlineStr">
        <is>
          <t>스팀 생산량</t>
        </is>
      </c>
      <c r="S6" s="270" t="n"/>
      <c r="T6" s="271" t="n"/>
      <c r="U6" s="136" t="inlineStr">
        <is>
          <t>스팀 송기량</t>
        </is>
      </c>
      <c r="V6" s="270" t="n"/>
      <c r="W6" s="271" t="n"/>
      <c r="X6" s="136" t="inlineStr">
        <is>
          <t>가동시간</t>
        </is>
      </c>
      <c r="Y6" s="270" t="n"/>
      <c r="Z6" s="271" t="n"/>
    </row>
    <row r="7" ht="30" customHeight="1" s="251" thickTop="1">
      <c r="A7" s="105" t="inlineStr">
        <is>
          <t>금 일</t>
        </is>
      </c>
      <c r="B7" s="272" t="n"/>
      <c r="C7" s="265" t="n"/>
      <c r="D7" s="139" t="n">
        <v>69312</v>
      </c>
      <c r="E7" s="272" t="n"/>
      <c r="F7" s="265" t="n"/>
      <c r="G7" s="139" t="n">
        <v>148900</v>
      </c>
      <c r="H7" s="272" t="n"/>
      <c r="I7" s="265" t="n"/>
      <c r="J7" s="154">
        <f>D7+G7</f>
        <v/>
      </c>
      <c r="K7" s="278" t="n"/>
      <c r="L7" s="279" t="n"/>
      <c r="M7" s="1" t="n"/>
      <c r="N7" s="1" t="n"/>
      <c r="O7" s="1" t="n"/>
      <c r="P7" s="105" t="inlineStr">
        <is>
          <t>금 일</t>
        </is>
      </c>
      <c r="Q7" s="265" t="n"/>
      <c r="R7" s="276" t="n">
        <v>487.8</v>
      </c>
      <c r="S7" s="272" t="n"/>
      <c r="T7" s="265" t="n"/>
      <c r="U7" s="276" t="n">
        <v>86.59999999999999</v>
      </c>
      <c r="V7" s="272" t="n"/>
      <c r="W7" s="265" t="n"/>
      <c r="X7" s="277" t="n">
        <v>24</v>
      </c>
      <c r="Y7" s="272" t="n"/>
      <c r="Z7" s="265" t="n"/>
    </row>
    <row r="8" ht="30" customHeight="1" s="251">
      <c r="A8" s="104" t="inlineStr">
        <is>
          <t>누 계</t>
        </is>
      </c>
      <c r="B8" s="278" t="n"/>
      <c r="C8" s="279" t="n"/>
      <c r="D8" s="154">
        <f>'13'!D8+D7</f>
        <v/>
      </c>
      <c r="E8" s="278" t="n"/>
      <c r="F8" s="279" t="n"/>
      <c r="G8" s="154">
        <f>'13'!G8+G7</f>
        <v/>
      </c>
      <c r="H8" s="278" t="n"/>
      <c r="I8" s="279" t="n"/>
      <c r="J8" s="154">
        <f>D8+G8</f>
        <v/>
      </c>
      <c r="K8" s="278" t="n"/>
      <c r="L8" s="279" t="n"/>
      <c r="M8" s="1" t="n"/>
      <c r="N8" s="1" t="n"/>
      <c r="O8" s="1" t="n"/>
      <c r="P8" s="104" t="inlineStr">
        <is>
          <t>누 계</t>
        </is>
      </c>
      <c r="Q8" s="279" t="n"/>
      <c r="R8" s="280">
        <f>'13'!R8+'14'!R7</f>
        <v/>
      </c>
      <c r="S8" s="278" t="n"/>
      <c r="T8" s="279" t="n"/>
      <c r="U8" s="280">
        <f>'13'!U8+U7</f>
        <v/>
      </c>
      <c r="V8" s="278" t="n"/>
      <c r="W8" s="279" t="n"/>
      <c r="X8" s="281">
        <f>'13'!X8+'14'!X7</f>
        <v/>
      </c>
      <c r="Y8" s="278" t="n"/>
      <c r="Z8" s="279" t="n"/>
    </row>
    <row r="9" ht="12" customHeight="1" s="25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inlineStr">
        <is>
          <t>3. 약품 사용현황 (KG)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inlineStr">
        <is>
          <t>4. 소각재 발생량 (TON, 대)</t>
        </is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30.75" customHeight="1" s="251" thickBot="1">
      <c r="A11" s="136" t="inlineStr">
        <is>
          <t>품 명</t>
        </is>
      </c>
      <c r="B11" s="271" t="n"/>
      <c r="C11" s="150" t="inlineStr">
        <is>
          <t>전일 
재고량</t>
        </is>
      </c>
      <c r="D11" s="271" t="n"/>
      <c r="E11" s="136" t="inlineStr">
        <is>
          <t>입고량</t>
        </is>
      </c>
      <c r="F11" s="271" t="n"/>
      <c r="G11" s="136" t="inlineStr">
        <is>
          <t>사용량</t>
        </is>
      </c>
      <c r="H11" s="271" t="n"/>
      <c r="I11" s="282" t="inlineStr">
        <is>
          <t>재고량</t>
        </is>
      </c>
      <c r="J11" s="271" t="n"/>
      <c r="K11" s="150" t="inlineStr">
        <is>
          <t>입고량 
누계</t>
        </is>
      </c>
      <c r="L11" s="271" t="n"/>
      <c r="M11" s="150" t="inlineStr">
        <is>
          <t>사용량 
누계</t>
        </is>
      </c>
      <c r="N11" s="271" t="n"/>
      <c r="O11" s="1" t="n"/>
      <c r="P11" s="136" t="inlineStr">
        <is>
          <t xml:space="preserve"> 구 분</t>
        </is>
      </c>
      <c r="Q11" s="270" t="n"/>
      <c r="R11" s="271" t="n"/>
      <c r="S11" s="282" t="inlineStr">
        <is>
          <t>반출량</t>
        </is>
      </c>
      <c r="T11" s="270" t="n"/>
      <c r="U11" s="270" t="n"/>
      <c r="V11" s="271" t="n"/>
      <c r="W11" s="282" t="inlineStr">
        <is>
          <t>누계</t>
        </is>
      </c>
      <c r="X11" s="270" t="n"/>
      <c r="Y11" s="270" t="n"/>
      <c r="Z11" s="271" t="n"/>
    </row>
    <row r="12" ht="21.9" customHeight="1" s="251" thickTop="1">
      <c r="A12" s="142" t="inlineStr">
        <is>
          <t>탄산암모늄</t>
        </is>
      </c>
      <c r="B12" s="265" t="n"/>
      <c r="C12" s="310">
        <f>'13'!I12</f>
        <v/>
      </c>
      <c r="D12" s="265" t="n"/>
      <c r="E12" s="105" t="n">
        <v>0</v>
      </c>
      <c r="F12" s="265" t="n"/>
      <c r="G12" s="105" t="n">
        <v>4270</v>
      </c>
      <c r="H12" s="265" t="n"/>
      <c r="I12" s="164">
        <f>C12+E12-G12</f>
        <v/>
      </c>
      <c r="J12" s="283" t="n"/>
      <c r="K12" s="105">
        <f>'13'!K12+'14'!E12</f>
        <v/>
      </c>
      <c r="L12" s="265" t="n"/>
      <c r="M12" s="105">
        <f>'13'!M12+G12</f>
        <v/>
      </c>
      <c r="N12" s="265" t="n"/>
      <c r="O12" s="1" t="n"/>
      <c r="P12" s="149" t="inlineStr">
        <is>
          <t xml:space="preserve">
비산재
</t>
        </is>
      </c>
      <c r="R12" s="254" t="n"/>
      <c r="S12" s="284" t="n">
        <v>59.94</v>
      </c>
      <c r="T12" s="285" t="n"/>
      <c r="U12" s="285" t="n"/>
      <c r="V12" s="285" t="n"/>
      <c r="W12" s="318">
        <f>'13'!W12+'14'!S12</f>
        <v/>
      </c>
      <c r="X12" s="285" t="n"/>
      <c r="Y12" s="285" t="n"/>
      <c r="Z12" s="287" t="n"/>
    </row>
    <row r="13" ht="21.9" customHeight="1" s="251">
      <c r="A13" s="104" t="inlineStr">
        <is>
          <t>청관제</t>
        </is>
      </c>
      <c r="B13" s="279" t="n"/>
      <c r="C13" s="310">
        <f>'13'!I13</f>
        <v/>
      </c>
      <c r="D13" s="265" t="n"/>
      <c r="E13" s="104" t="n">
        <v>0</v>
      </c>
      <c r="F13" s="279" t="n"/>
      <c r="G13" s="104" t="n">
        <v>90</v>
      </c>
      <c r="H13" s="279" t="n"/>
      <c r="I13" s="288">
        <f>C13+E13-G13</f>
        <v/>
      </c>
      <c r="J13" s="275" t="n"/>
      <c r="K13" s="105">
        <f>'13'!K13+'14'!E13</f>
        <v/>
      </c>
      <c r="L13" s="265" t="n"/>
      <c r="M13" s="105">
        <f>'13'!M13+G13</f>
        <v/>
      </c>
      <c r="N13" s="265" t="n"/>
      <c r="O13" s="1" t="n"/>
      <c r="P13" s="264" t="n"/>
      <c r="Q13" s="272" t="n"/>
      <c r="R13" s="265" t="n"/>
      <c r="S13" s="289" t="n"/>
      <c r="T13" s="290" t="n"/>
      <c r="U13" s="290" t="n"/>
      <c r="V13" s="290" t="n"/>
      <c r="W13" s="264" t="n"/>
      <c r="X13" s="272" t="n"/>
      <c r="Y13" s="272" t="n"/>
      <c r="Z13" s="265" t="n"/>
    </row>
    <row r="14" ht="21.9" customHeight="1" s="251">
      <c r="A14" s="104" t="inlineStr">
        <is>
          <t>활성탄</t>
        </is>
      </c>
      <c r="B14" s="279" t="n"/>
      <c r="C14" s="310">
        <f>'13'!I14</f>
        <v/>
      </c>
      <c r="D14" s="265" t="n"/>
      <c r="E14" s="104" t="n">
        <v>0</v>
      </c>
      <c r="F14" s="279" t="n"/>
      <c r="G14" s="104" t="n">
        <v>120</v>
      </c>
      <c r="H14" s="279" t="n"/>
      <c r="I14" s="288">
        <f>C14+E14-G14</f>
        <v/>
      </c>
      <c r="J14" s="275" t="n"/>
      <c r="K14" s="105">
        <f>'13'!K14+'14'!E14</f>
        <v/>
      </c>
      <c r="L14" s="265" t="n"/>
      <c r="M14" s="105">
        <f>'13'!M14+G14</f>
        <v/>
      </c>
      <c r="N14" s="265" t="n"/>
      <c r="O14" s="1" t="n"/>
      <c r="P14" s="104" t="inlineStr">
        <is>
          <t>바닥재</t>
        </is>
      </c>
      <c r="Q14" s="291" t="n"/>
      <c r="R14" s="292" t="n"/>
      <c r="S14" s="293" t="n">
        <v>24.69</v>
      </c>
      <c r="T14" s="291" t="n"/>
      <c r="U14" s="291" t="n"/>
      <c r="V14" s="291" t="n"/>
      <c r="W14" s="294">
        <f>'13'!W14+'14'!S14</f>
        <v/>
      </c>
      <c r="X14" s="291" t="n"/>
      <c r="Y14" s="291" t="n"/>
      <c r="Z14" s="295" t="n"/>
    </row>
    <row r="15" ht="21.9" customHeight="1" s="251">
      <c r="A15" s="104" t="inlineStr">
        <is>
          <t>가성소다</t>
        </is>
      </c>
      <c r="B15" s="279" t="n"/>
      <c r="C15" s="310">
        <f>'13'!I15</f>
        <v/>
      </c>
      <c r="D15" s="265" t="n"/>
      <c r="E15" s="104" t="n">
        <v>0</v>
      </c>
      <c r="F15" s="279" t="n"/>
      <c r="G15" s="104" t="n">
        <v>24</v>
      </c>
      <c r="H15" s="279" t="n"/>
      <c r="I15" s="288">
        <f>C15+E15-G15</f>
        <v/>
      </c>
      <c r="J15" s="275" t="n"/>
      <c r="K15" s="105">
        <f>'13'!K15+'14'!E15</f>
        <v/>
      </c>
      <c r="L15" s="265" t="n"/>
      <c r="M15" s="105">
        <f>'13'!M15+G15</f>
        <v/>
      </c>
      <c r="N15" s="265" t="n"/>
      <c r="O15" s="1" t="n"/>
      <c r="P15" s="296" t="n"/>
      <c r="Q15" s="290" t="n"/>
      <c r="R15" s="297" t="n"/>
      <c r="S15" s="296" t="n"/>
      <c r="T15" s="290" t="n"/>
      <c r="U15" s="290" t="n"/>
      <c r="V15" s="290" t="n"/>
      <c r="W15" s="298" t="n"/>
      <c r="X15" s="272" t="n"/>
      <c r="Y15" s="272" t="n"/>
      <c r="Z15" s="265" t="n"/>
    </row>
    <row r="16" ht="21.9" customHeight="1" s="251">
      <c r="A16" s="104" t="inlineStr">
        <is>
          <t>소석회</t>
        </is>
      </c>
      <c r="B16" s="279" t="n"/>
      <c r="C16" s="310">
        <f>'13'!I16</f>
        <v/>
      </c>
      <c r="D16" s="265" t="n"/>
      <c r="E16" s="104" t="n">
        <v>0</v>
      </c>
      <c r="F16" s="279" t="n"/>
      <c r="G16" s="104" t="n">
        <v>20</v>
      </c>
      <c r="H16" s="279" t="n"/>
      <c r="I16" s="288">
        <f>C16+E16-G16</f>
        <v/>
      </c>
      <c r="J16" s="275" t="n"/>
      <c r="K16" s="105">
        <f>'13'!K16+'14'!E16</f>
        <v/>
      </c>
      <c r="L16" s="265" t="n"/>
      <c r="M16" s="105">
        <f>'13'!M16+G16</f>
        <v/>
      </c>
      <c r="N16" s="265" t="n"/>
      <c r="O16" s="1" t="n"/>
      <c r="P16" s="162" t="inlineStr">
        <is>
          <t>구분</t>
        </is>
      </c>
      <c r="Q16" s="291" t="n"/>
      <c r="R16" s="292" t="n"/>
      <c r="S16" s="299" t="inlineStr">
        <is>
          <t>주간</t>
        </is>
      </c>
      <c r="T16" s="292" t="n"/>
      <c r="U16" s="299" t="inlineStr">
        <is>
          <t>야간</t>
        </is>
      </c>
      <c r="V16" s="292" t="n"/>
      <c r="W16" s="299" t="inlineStr">
        <is>
          <t>합계</t>
        </is>
      </c>
      <c r="X16" s="292" t="n"/>
      <c r="Y16" s="299" t="inlineStr">
        <is>
          <t>누계</t>
        </is>
      </c>
      <c r="Z16" s="292" t="n"/>
    </row>
    <row r="17" ht="21.9" customHeight="1" s="251" thickBot="1">
      <c r="A17" s="104" t="inlineStr">
        <is>
          <t>소 금</t>
        </is>
      </c>
      <c r="B17" s="279" t="n"/>
      <c r="C17" s="310">
        <f>'13'!I17</f>
        <v/>
      </c>
      <c r="D17" s="265" t="n"/>
      <c r="E17" s="104" t="n">
        <v>0</v>
      </c>
      <c r="F17" s="279" t="n"/>
      <c r="G17" s="104" t="n">
        <v>200</v>
      </c>
      <c r="H17" s="279" t="n"/>
      <c r="I17" s="288">
        <f>C17+E17-G17</f>
        <v/>
      </c>
      <c r="J17" s="275" t="n"/>
      <c r="K17" s="105">
        <f>'13'!K17+'14'!E17</f>
        <v/>
      </c>
      <c r="L17" s="265" t="n"/>
      <c r="M17" s="105">
        <f>'13'!M17+G17</f>
        <v/>
      </c>
      <c r="N17" s="265" t="n"/>
      <c r="O17" s="1" t="n"/>
      <c r="P17" s="296" t="n"/>
      <c r="Q17" s="290" t="n"/>
      <c r="R17" s="297" t="n"/>
      <c r="S17" s="300" t="n"/>
      <c r="T17" s="301" t="n"/>
      <c r="U17" s="300" t="n"/>
      <c r="V17" s="301" t="n"/>
      <c r="W17" s="300" t="n"/>
      <c r="X17" s="301" t="n"/>
      <c r="Y17" s="300" t="n"/>
      <c r="Z17" s="301" t="n"/>
      <c r="AE17" s="302" t="n"/>
    </row>
    <row r="18" ht="21.9" customHeight="1" s="251" thickTop="1">
      <c r="A18" s="104" t="inlineStr">
        <is>
          <t>경 유</t>
        </is>
      </c>
      <c r="B18" s="279" t="n"/>
      <c r="C18" s="310">
        <f>'13'!I18</f>
        <v/>
      </c>
      <c r="D18" s="265" t="n"/>
      <c r="E18" s="104" t="n">
        <v>0</v>
      </c>
      <c r="F18" s="279" t="n"/>
      <c r="G18" s="104" t="n">
        <v>0</v>
      </c>
      <c r="H18" s="279" t="n"/>
      <c r="I18" s="288">
        <f>C18+E18-G18</f>
        <v/>
      </c>
      <c r="J18" s="275" t="n"/>
      <c r="K18" s="105">
        <f>'13'!K18+'14'!E18</f>
        <v/>
      </c>
      <c r="L18" s="265" t="n"/>
      <c r="M18" s="105">
        <f>'13'!M18+G18</f>
        <v/>
      </c>
      <c r="N18" s="265" t="n"/>
      <c r="O18" s="1" t="n"/>
      <c r="P18" s="164" t="inlineStr">
        <is>
          <t>불연물</t>
        </is>
      </c>
      <c r="Q18" s="285" t="n"/>
      <c r="R18" s="287" t="n"/>
      <c r="S18" s="303" t="n">
        <v>1</v>
      </c>
      <c r="T18" s="287" t="n"/>
      <c r="U18" s="303" t="n">
        <v>2</v>
      </c>
      <c r="V18" s="287" t="n"/>
      <c r="W18" s="303">
        <f>S18+U18</f>
        <v/>
      </c>
      <c r="X18" s="287" t="n"/>
      <c r="Y18" s="303">
        <f>'13'!Y18+'14'!W18</f>
        <v/>
      </c>
      <c r="Z18" s="287" t="n"/>
    </row>
    <row r="19" ht="21.9" customHeight="1" s="251">
      <c r="A19" s="153" t="inlineStr">
        <is>
          <t>SRF</t>
        </is>
      </c>
      <c r="B19" s="279" t="n"/>
      <c r="C19" s="310">
        <f>'13'!I19</f>
        <v/>
      </c>
      <c r="D19" s="265" t="n"/>
      <c r="E19" s="154" t="n">
        <v>67100</v>
      </c>
      <c r="F19" s="279" t="n"/>
      <c r="G19" s="154">
        <f>D7</f>
        <v/>
      </c>
      <c r="H19" s="279" t="n"/>
      <c r="I19" s="273">
        <f>C19+E19-G19</f>
        <v/>
      </c>
      <c r="J19" s="275" t="n"/>
      <c r="K19" s="139">
        <f>'13'!K19+'14'!E19</f>
        <v/>
      </c>
      <c r="L19" s="265" t="n"/>
      <c r="M19" s="139">
        <f>'13'!M19+G19</f>
        <v/>
      </c>
      <c r="N19" s="265" t="n"/>
      <c r="O19" s="1" t="n"/>
      <c r="P19" s="256" t="n"/>
      <c r="R19" s="254" t="n"/>
      <c r="S19" s="256" t="n"/>
      <c r="T19" s="254" t="n"/>
      <c r="U19" s="256" t="n"/>
      <c r="V19" s="254" t="n"/>
      <c r="W19" s="256" t="n"/>
      <c r="X19" s="254" t="n"/>
      <c r="Y19" s="256" t="n"/>
      <c r="Z19" s="254" t="n"/>
    </row>
    <row r="20" ht="21.9" customHeight="1" s="251">
      <c r="A20" s="104" t="inlineStr">
        <is>
          <t>규 사</t>
        </is>
      </c>
      <c r="B20" s="279" t="n"/>
      <c r="C20" s="310">
        <f>'13'!I20</f>
        <v/>
      </c>
      <c r="D20" s="265" t="n"/>
      <c r="E20" s="288" t="n">
        <v>0</v>
      </c>
      <c r="F20" s="275" t="n"/>
      <c r="G20" s="154" t="n">
        <v>0</v>
      </c>
      <c r="H20" s="279" t="n"/>
      <c r="I20" s="288" t="inlineStr">
        <is>
          <t>-</t>
        </is>
      </c>
      <c r="J20" s="275" t="n"/>
      <c r="K20" s="105">
        <f>'13'!K20+'14'!E20</f>
        <v/>
      </c>
      <c r="L20" s="265" t="n"/>
      <c r="M20" s="139">
        <f>'13'!M20+G20</f>
        <v/>
      </c>
      <c r="N20" s="265" t="n"/>
      <c r="O20" s="1" t="n"/>
      <c r="P20" s="264" t="n"/>
      <c r="Q20" s="272" t="n"/>
      <c r="R20" s="265" t="n"/>
      <c r="S20" s="264" t="n"/>
      <c r="T20" s="265" t="n"/>
      <c r="U20" s="264" t="n"/>
      <c r="V20" s="265" t="n"/>
      <c r="W20" s="264" t="n"/>
      <c r="X20" s="265" t="n"/>
      <c r="Y20" s="264" t="n"/>
      <c r="Z20" s="265" t="n"/>
    </row>
    <row r="21" ht="12" customHeight="1" s="25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 t="inlineStr">
        <is>
          <t>5. 전력 사용량 (KWH)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10" t="inlineStr">
        <is>
          <t>6. 유틸리티 사용현황 (㎥)</t>
        </is>
      </c>
      <c r="Q22" s="290" t="n"/>
      <c r="R22" s="290" t="n"/>
      <c r="S22" s="290" t="n"/>
      <c r="T22" s="290" t="n"/>
      <c r="U22" s="290" t="n"/>
      <c r="V22" s="1" t="n"/>
      <c r="W22" s="1" t="n"/>
      <c r="X22" s="1" t="n"/>
      <c r="Y22" s="1" t="n"/>
      <c r="Z22" s="1" t="n"/>
    </row>
    <row r="23" ht="28.5" customHeight="1" s="251" thickBot="1">
      <c r="A23" s="136" t="inlineStr">
        <is>
          <t>구 분</t>
        </is>
      </c>
      <c r="B23" s="270" t="n"/>
      <c r="C23" s="271" t="n"/>
      <c r="D23" s="136" t="inlineStr">
        <is>
          <t>전일지침</t>
        </is>
      </c>
      <c r="E23" s="270" t="n"/>
      <c r="F23" s="271" t="n"/>
      <c r="G23" s="136" t="inlineStr">
        <is>
          <t>금일지침</t>
        </is>
      </c>
      <c r="H23" s="270" t="n"/>
      <c r="I23" s="271" t="n"/>
      <c r="J23" s="136" t="inlineStr">
        <is>
          <t>사용량</t>
        </is>
      </c>
      <c r="K23" s="270" t="n"/>
      <c r="L23" s="271" t="n"/>
      <c r="M23" s="136" t="inlineStr">
        <is>
          <t>누 계</t>
        </is>
      </c>
      <c r="N23" s="271" t="n"/>
      <c r="P23" s="136" t="inlineStr">
        <is>
          <t>구 분</t>
        </is>
      </c>
      <c r="Q23" s="270" t="n"/>
      <c r="R23" s="271" t="n"/>
      <c r="S23" s="136" t="inlineStr">
        <is>
          <t>전일 사용량</t>
        </is>
      </c>
      <c r="T23" s="270" t="n"/>
      <c r="U23" s="271" t="n"/>
      <c r="V23" s="136" t="inlineStr">
        <is>
          <t>금일 사용량</t>
        </is>
      </c>
      <c r="W23" s="270" t="n"/>
      <c r="X23" s="271" t="n"/>
      <c r="Y23" s="136" t="inlineStr">
        <is>
          <t>누 계</t>
        </is>
      </c>
      <c r="Z23" s="271" t="n"/>
    </row>
    <row r="24" ht="21.9" customHeight="1" s="251" thickTop="1">
      <c r="A24" s="105" t="inlineStr">
        <is>
          <t>MAIN</t>
        </is>
      </c>
      <c r="B24" s="272" t="n"/>
      <c r="C24" s="265" t="n"/>
      <c r="D24" s="187">
        <f>'13'!G24</f>
        <v/>
      </c>
      <c r="E24" s="285" t="n"/>
      <c r="F24" s="287" t="n"/>
      <c r="G24" s="164" t="n">
        <v>3993645</v>
      </c>
      <c r="H24" s="304" t="n"/>
      <c r="I24" s="283" t="n"/>
      <c r="J24" s="164">
        <f>G24-D24</f>
        <v/>
      </c>
      <c r="K24" s="304" t="n"/>
      <c r="L24" s="283" t="n"/>
      <c r="M24" s="164">
        <f>'13'!M24+'14'!J24</f>
        <v/>
      </c>
      <c r="N24" s="283" t="n"/>
      <c r="P24" s="105" t="inlineStr">
        <is>
          <t>재이용수</t>
        </is>
      </c>
      <c r="Q24" s="272" t="n"/>
      <c r="R24" s="265" t="n"/>
      <c r="S24" s="105">
        <f>'13'!V24</f>
        <v/>
      </c>
      <c r="T24" s="272" t="n"/>
      <c r="U24" s="265" t="n"/>
      <c r="V24" s="276" t="n">
        <v>559.9</v>
      </c>
      <c r="W24" s="272" t="n"/>
      <c r="X24" s="265" t="n"/>
      <c r="Y24" s="276">
        <f>'13'!Y24+V24</f>
        <v/>
      </c>
      <c r="Z24" s="265" t="n"/>
    </row>
    <row r="25" ht="21.9" customHeight="1" s="251">
      <c r="A25" s="104" t="inlineStr">
        <is>
          <t>ASH 저장조</t>
        </is>
      </c>
      <c r="B25" s="278" t="n"/>
      <c r="C25" s="279" t="n"/>
      <c r="D25" s="104">
        <f>'13'!G25</f>
        <v/>
      </c>
      <c r="E25" s="278" t="n"/>
      <c r="F25" s="279" t="n"/>
      <c r="G25" s="104" t="n">
        <v>33239.9</v>
      </c>
      <c r="H25" s="278" t="n"/>
      <c r="I25" s="279" t="n"/>
      <c r="J25" s="104">
        <f>G25-D25</f>
        <v/>
      </c>
      <c r="K25" s="278" t="n"/>
      <c r="L25" s="279" t="n"/>
      <c r="M25" s="288">
        <f>'13'!M25+'14'!J25</f>
        <v/>
      </c>
      <c r="N25" s="275" t="n"/>
      <c r="P25" s="104" t="inlineStr">
        <is>
          <t>복류수</t>
        </is>
      </c>
      <c r="Q25" s="278" t="n"/>
      <c r="R25" s="279" t="n"/>
      <c r="S25" s="288">
        <f>'13'!V25</f>
        <v/>
      </c>
      <c r="T25" s="274" t="n"/>
      <c r="U25" s="275" t="n"/>
      <c r="V25" s="280" t="n">
        <v>61.1</v>
      </c>
      <c r="W25" s="278" t="n"/>
      <c r="X25" s="279" t="n"/>
      <c r="Y25" s="276">
        <f>'13'!Y25+V25</f>
        <v/>
      </c>
      <c r="Z25" s="265" t="n"/>
    </row>
    <row r="26" ht="21.9" customHeight="1" s="251">
      <c r="A26" s="104" t="inlineStr">
        <is>
          <t>BAG FILTER</t>
        </is>
      </c>
      <c r="B26" s="278" t="n"/>
      <c r="C26" s="279" t="n"/>
      <c r="D26" s="104">
        <f>'13'!G26</f>
        <v/>
      </c>
      <c r="E26" s="278" t="n"/>
      <c r="F26" s="279" t="n"/>
      <c r="G26" s="104" t="n">
        <v>24590</v>
      </c>
      <c r="H26" s="278" t="n"/>
      <c r="I26" s="279" t="n"/>
      <c r="J26" s="104">
        <f>G26-D26</f>
        <v/>
      </c>
      <c r="K26" s="278" t="n"/>
      <c r="L26" s="279" t="n"/>
      <c r="M26" s="288">
        <f>'13'!M26+'14'!J26</f>
        <v/>
      </c>
      <c r="N26" s="275" t="n"/>
      <c r="P26" s="104" t="inlineStr">
        <is>
          <t>응축수</t>
        </is>
      </c>
      <c r="Q26" s="278" t="n"/>
      <c r="R26" s="279" t="n"/>
      <c r="S26" s="288">
        <f>'13'!V26</f>
        <v/>
      </c>
      <c r="T26" s="274" t="n"/>
      <c r="U26" s="275" t="n"/>
      <c r="V26" s="280" t="n">
        <v>472.2</v>
      </c>
      <c r="W26" s="278" t="n"/>
      <c r="X26" s="279" t="n"/>
      <c r="Y26" s="276">
        <f>'13'!Y26+V26</f>
        <v/>
      </c>
      <c r="Z26" s="265" t="n"/>
    </row>
    <row r="27" ht="21.9" customHeight="1" s="251">
      <c r="A27" s="104" t="inlineStr">
        <is>
          <t>SCRUBBER</t>
        </is>
      </c>
      <c r="B27" s="278" t="n"/>
      <c r="C27" s="279" t="n"/>
      <c r="D27" s="104">
        <f>'13'!G27</f>
        <v/>
      </c>
      <c r="E27" s="278" t="n"/>
      <c r="F27" s="279" t="n"/>
      <c r="G27" s="104" t="n">
        <v>1387000</v>
      </c>
      <c r="H27" s="278" t="n"/>
      <c r="I27" s="279" t="n"/>
      <c r="J27" s="104">
        <f>G27-D27</f>
        <v/>
      </c>
      <c r="K27" s="278" t="n"/>
      <c r="L27" s="279" t="n"/>
      <c r="M27" s="288">
        <f>'13'!M27+'14'!J27</f>
        <v/>
      </c>
      <c r="N27" s="275" t="n"/>
      <c r="P27" s="104" t="inlineStr">
        <is>
          <t>보일러 급수</t>
        </is>
      </c>
      <c r="Q27" s="278" t="n"/>
      <c r="R27" s="279" t="n"/>
      <c r="S27" s="288">
        <f>'13'!V27</f>
        <v/>
      </c>
      <c r="T27" s="274" t="n"/>
      <c r="U27" s="275" t="n"/>
      <c r="V27" s="280" t="n">
        <v>482.6</v>
      </c>
      <c r="W27" s="278" t="n"/>
      <c r="X27" s="279" t="n"/>
      <c r="Y27" s="276">
        <f>'13'!Y27+V27</f>
        <v/>
      </c>
      <c r="Z27" s="265" t="n"/>
    </row>
    <row r="28" ht="21.9" customHeight="1" s="251">
      <c r="A28" s="104" t="inlineStr">
        <is>
          <t>활성탄 공급</t>
        </is>
      </c>
      <c r="B28" s="278" t="n"/>
      <c r="C28" s="279" t="n"/>
      <c r="D28" s="104">
        <f>'13'!G28</f>
        <v/>
      </c>
      <c r="E28" s="278" t="n"/>
      <c r="F28" s="279" t="n"/>
      <c r="G28" s="104" t="n">
        <v>5719</v>
      </c>
      <c r="H28" s="278" t="n"/>
      <c r="I28" s="279" t="n"/>
      <c r="J28" s="104">
        <f>G28-D28</f>
        <v/>
      </c>
      <c r="K28" s="278" t="n"/>
      <c r="L28" s="279" t="n"/>
      <c r="M28" s="288">
        <f>'13'!M28+'14'!J28</f>
        <v/>
      </c>
      <c r="N28" s="275" t="n"/>
      <c r="P28" s="104" t="inlineStr">
        <is>
          <t>폐 수</t>
        </is>
      </c>
      <c r="Q28" s="278" t="n"/>
      <c r="R28" s="279" t="n"/>
      <c r="S28" s="288">
        <f>'13'!V28</f>
        <v/>
      </c>
      <c r="T28" s="274" t="n"/>
      <c r="U28" s="275" t="n"/>
      <c r="V28" s="280" t="n">
        <v>0</v>
      </c>
      <c r="W28" s="278" t="n"/>
      <c r="X28" s="279" t="n"/>
      <c r="Y28" s="276">
        <f>'13'!Y28+V28</f>
        <v/>
      </c>
      <c r="Z28" s="265" t="n"/>
    </row>
    <row r="29" ht="21.9" customHeight="1" s="251">
      <c r="A29" s="104" t="inlineStr">
        <is>
          <t>소석회 공급</t>
        </is>
      </c>
      <c r="B29" s="278" t="n"/>
      <c r="C29" s="279" t="n"/>
      <c r="D29" s="104">
        <f>'13'!G29</f>
        <v/>
      </c>
      <c r="E29" s="278" t="n"/>
      <c r="F29" s="279" t="n"/>
      <c r="G29" s="104" t="n">
        <v>66230</v>
      </c>
      <c r="H29" s="278" t="n"/>
      <c r="I29" s="279" t="n"/>
      <c r="J29" s="104">
        <f>G29-D29</f>
        <v/>
      </c>
      <c r="K29" s="278" t="n"/>
      <c r="L29" s="279" t="n"/>
      <c r="M29" s="288">
        <f>'13'!M29+'14'!J29</f>
        <v/>
      </c>
      <c r="N29" s="275" t="n"/>
      <c r="P29" s="104" t="inlineStr">
        <is>
          <t>연 수</t>
        </is>
      </c>
      <c r="Q29" s="278" t="n"/>
      <c r="R29" s="279" t="n"/>
      <c r="S29" s="288">
        <f>'13'!V29</f>
        <v/>
      </c>
      <c r="T29" s="274" t="n"/>
      <c r="U29" s="275" t="n"/>
      <c r="V29" s="280" t="n">
        <v>69</v>
      </c>
      <c r="W29" s="278" t="n"/>
      <c r="X29" s="279" t="n"/>
      <c r="Y29" s="276">
        <f>'13'!Y29+V29</f>
        <v/>
      </c>
      <c r="Z29" s="265" t="n"/>
    </row>
    <row r="30" ht="21.9" customHeight="1" s="251">
      <c r="A30" s="104" t="inlineStr">
        <is>
          <t>요소수 공급</t>
        </is>
      </c>
      <c r="B30" s="278" t="n"/>
      <c r="C30" s="279" t="n"/>
      <c r="D30" s="104">
        <f>'13'!G30</f>
        <v/>
      </c>
      <c r="E30" s="278" t="n"/>
      <c r="F30" s="279" t="n"/>
      <c r="G30" s="104" t="n">
        <v>53400</v>
      </c>
      <c r="H30" s="278" t="n"/>
      <c r="I30" s="279" t="n"/>
      <c r="J30" s="104">
        <f>G30-D30</f>
        <v/>
      </c>
      <c r="K30" s="278" t="n"/>
      <c r="L30" s="279" t="n"/>
      <c r="M30" s="288">
        <f>'13'!M30+'14'!J30</f>
        <v/>
      </c>
      <c r="N30" s="275" t="n"/>
      <c r="P30" s="104" t="inlineStr">
        <is>
          <t>계</t>
        </is>
      </c>
      <c r="Q30" s="278" t="n"/>
      <c r="R30" s="279" t="n"/>
      <c r="S30" s="104">
        <f>SUM(S24:U29)</f>
        <v/>
      </c>
      <c r="T30" s="278" t="n"/>
      <c r="U30" s="279" t="n"/>
      <c r="V30" s="280" t="n"/>
      <c r="W30" s="278" t="n"/>
      <c r="X30" s="279" t="n"/>
      <c r="Y30" s="276">
        <f>'13'!Y30+V30</f>
        <v/>
      </c>
      <c r="Z30" s="265" t="n"/>
    </row>
    <row r="31" ht="21.9" customHeight="1" s="251">
      <c r="A31" s="104" t="inlineStr">
        <is>
          <t xml:space="preserve">F.D </t>
        </is>
      </c>
      <c r="B31" s="278" t="n"/>
      <c r="C31" s="279" t="n"/>
      <c r="D31" s="104">
        <f>'13'!G31</f>
        <v/>
      </c>
      <c r="E31" s="278" t="n"/>
      <c r="F31" s="279" t="n"/>
      <c r="G31" s="288" t="n">
        <v>6312416</v>
      </c>
      <c r="H31" s="274" t="n"/>
      <c r="I31" s="275" t="n"/>
      <c r="J31" s="104">
        <f>G31-D31</f>
        <v/>
      </c>
      <c r="K31" s="278" t="n"/>
      <c r="L31" s="279" t="n"/>
      <c r="M31" s="288">
        <f>'13'!M31+J31</f>
        <v/>
      </c>
      <c r="N31" s="275" t="n"/>
      <c r="P31" s="172" t="n"/>
      <c r="Q31" s="172" t="n"/>
      <c r="R31" s="172" t="n"/>
      <c r="S31" s="172" t="n"/>
      <c r="T31" s="172" t="n"/>
      <c r="U31" s="172" t="n"/>
      <c r="V31" s="305" t="n"/>
      <c r="W31" s="305" t="n"/>
      <c r="X31" s="305" t="n"/>
      <c r="Y31" s="305" t="n"/>
      <c r="Z31" s="305" t="n"/>
    </row>
    <row r="32" ht="21.9" customHeight="1" s="251">
      <c r="A32" s="104" t="inlineStr">
        <is>
          <t>활성탄 BAG</t>
        </is>
      </c>
      <c r="B32" s="278" t="n"/>
      <c r="C32" s="279" t="n"/>
      <c r="D32" s="104">
        <f>'13'!G32</f>
        <v/>
      </c>
      <c r="E32" s="278" t="n"/>
      <c r="F32" s="279" t="n"/>
      <c r="G32" s="288" t="n">
        <v>1.7</v>
      </c>
      <c r="H32" s="274" t="n"/>
      <c r="I32" s="275" t="n"/>
      <c r="J32" s="288">
        <f>G32-D32</f>
        <v/>
      </c>
      <c r="K32" s="274" t="n"/>
      <c r="L32" s="275" t="n"/>
      <c r="M32" s="288">
        <f>'13'!M32+J32</f>
        <v/>
      </c>
      <c r="N32" s="275" t="n"/>
      <c r="P32" s="172" t="n"/>
      <c r="Q32" s="172" t="n"/>
      <c r="R32" s="172" t="n"/>
      <c r="S32" s="172" t="n"/>
      <c r="T32" s="172" t="n"/>
      <c r="U32" s="172" t="n"/>
      <c r="V32" s="305" t="n"/>
      <c r="W32" s="305" t="n"/>
      <c r="X32" s="305" t="n"/>
      <c r="Y32" s="305" t="n"/>
      <c r="Z32" s="305" t="n"/>
    </row>
    <row r="33" ht="21.9" customHeight="1" s="251">
      <c r="A33" s="104" t="inlineStr">
        <is>
          <t>소석회 BAG</t>
        </is>
      </c>
      <c r="B33" s="278" t="n"/>
      <c r="C33" s="279" t="n"/>
      <c r="D33" s="104">
        <f>'13'!G33</f>
        <v/>
      </c>
      <c r="E33" s="278" t="n"/>
      <c r="F33" s="279" t="n"/>
      <c r="G33" s="288" t="n">
        <v>0</v>
      </c>
      <c r="H33" s="274" t="n"/>
      <c r="I33" s="275" t="n"/>
      <c r="J33" s="288">
        <f>G33-D33</f>
        <v/>
      </c>
      <c r="K33" s="274" t="n"/>
      <c r="L33" s="275" t="n"/>
      <c r="M33" s="288">
        <f>'13'!M33+J33</f>
        <v/>
      </c>
      <c r="N33" s="275" t="n"/>
      <c r="P33" s="172" t="n"/>
      <c r="Q33" s="172" t="n"/>
      <c r="R33" s="172" t="n"/>
      <c r="S33" s="172" t="n"/>
      <c r="T33" s="172" t="n"/>
      <c r="U33" s="172" t="n"/>
      <c r="V33" s="305" t="n"/>
      <c r="W33" s="305" t="n"/>
      <c r="X33" s="305" t="n"/>
      <c r="Y33" s="305" t="n"/>
      <c r="Z33" s="305" t="n"/>
    </row>
  </sheetData>
  <mergeCells count="217">
    <mergeCell ref="V24:X24"/>
    <mergeCell ref="A15:B15"/>
    <mergeCell ref="P27:R27"/>
    <mergeCell ref="S23:U23"/>
    <mergeCell ref="C15:D15"/>
    <mergeCell ref="J27:L27"/>
    <mergeCell ref="S14:V15"/>
    <mergeCell ref="Y24:Z24"/>
    <mergeCell ref="U7:W7"/>
    <mergeCell ref="A26:C26"/>
    <mergeCell ref="J25:L25"/>
    <mergeCell ref="G24:I24"/>
    <mergeCell ref="D28:F28"/>
    <mergeCell ref="I16:J16"/>
    <mergeCell ref="A23:C23"/>
    <mergeCell ref="S24:U24"/>
    <mergeCell ref="P6:Q6"/>
    <mergeCell ref="P28:R28"/>
    <mergeCell ref="W1:X1"/>
    <mergeCell ref="Y1:Z1"/>
    <mergeCell ref="G26:I26"/>
    <mergeCell ref="S16:T17"/>
    <mergeCell ref="D30:F30"/>
    <mergeCell ref="G18:H18"/>
    <mergeCell ref="U8:W8"/>
    <mergeCell ref="B1:C1"/>
    <mergeCell ref="I18:J18"/>
    <mergeCell ref="H3:S3"/>
    <mergeCell ref="M16:N16"/>
    <mergeCell ref="P30:R30"/>
    <mergeCell ref="M25:N25"/>
    <mergeCell ref="D29:F29"/>
    <mergeCell ref="D23:F23"/>
    <mergeCell ref="Y25:Z25"/>
    <mergeCell ref="M18:N18"/>
    <mergeCell ref="M33:N33"/>
    <mergeCell ref="A17:B17"/>
    <mergeCell ref="S25:U25"/>
    <mergeCell ref="C17:D17"/>
    <mergeCell ref="U18:V20"/>
    <mergeCell ref="J29:L29"/>
    <mergeCell ref="M17:N17"/>
    <mergeCell ref="W18:X20"/>
    <mergeCell ref="G20:H20"/>
    <mergeCell ref="I20:J20"/>
    <mergeCell ref="S27:U27"/>
    <mergeCell ref="A19:B19"/>
    <mergeCell ref="V23:X23"/>
    <mergeCell ref="C19:D19"/>
    <mergeCell ref="A6:C6"/>
    <mergeCell ref="Y2:Z3"/>
    <mergeCell ref="Y18:Z20"/>
    <mergeCell ref="M19:N19"/>
    <mergeCell ref="P22:U22"/>
    <mergeCell ref="I13:J13"/>
    <mergeCell ref="K13:L13"/>
    <mergeCell ref="X7:Z7"/>
    <mergeCell ref="E12:F12"/>
    <mergeCell ref="J24:L24"/>
    <mergeCell ref="G12:H12"/>
    <mergeCell ref="G28:I28"/>
    <mergeCell ref="D27:F27"/>
    <mergeCell ref="G6:I6"/>
    <mergeCell ref="I15:J15"/>
    <mergeCell ref="A11:B11"/>
    <mergeCell ref="K15:L15"/>
    <mergeCell ref="S28:U28"/>
    <mergeCell ref="C14:D14"/>
    <mergeCell ref="E14:F14"/>
    <mergeCell ref="J26:L26"/>
    <mergeCell ref="G30:I30"/>
    <mergeCell ref="J7:L7"/>
    <mergeCell ref="V27:X27"/>
    <mergeCell ref="A32:C32"/>
    <mergeCell ref="A29:C29"/>
    <mergeCell ref="D25:F25"/>
    <mergeCell ref="V25:X25"/>
    <mergeCell ref="Y26:Z26"/>
    <mergeCell ref="M13:N13"/>
    <mergeCell ref="G32:I32"/>
    <mergeCell ref="J33:L33"/>
    <mergeCell ref="W14:Z15"/>
    <mergeCell ref="A31:C31"/>
    <mergeCell ref="S26:U26"/>
    <mergeCell ref="M27:N27"/>
    <mergeCell ref="I17:J17"/>
    <mergeCell ref="A24:C24"/>
    <mergeCell ref="Y27:Z27"/>
    <mergeCell ref="K17:L17"/>
    <mergeCell ref="P29:R29"/>
    <mergeCell ref="M24:N24"/>
    <mergeCell ref="E16:F16"/>
    <mergeCell ref="J28:L28"/>
    <mergeCell ref="G27:I27"/>
    <mergeCell ref="G16:H16"/>
    <mergeCell ref="D31:F31"/>
    <mergeCell ref="U2:V3"/>
    <mergeCell ref="I19:J19"/>
    <mergeCell ref="U1:V1"/>
    <mergeCell ref="G8:I8"/>
    <mergeCell ref="K19:L19"/>
    <mergeCell ref="C18:D18"/>
    <mergeCell ref="A7:C7"/>
    <mergeCell ref="V29:X29"/>
    <mergeCell ref="E18:F18"/>
    <mergeCell ref="J30:L30"/>
    <mergeCell ref="R6:T6"/>
    <mergeCell ref="K16:L16"/>
    <mergeCell ref="A25:C25"/>
    <mergeCell ref="J6:L6"/>
    <mergeCell ref="D1:E1"/>
    <mergeCell ref="D32:F32"/>
    <mergeCell ref="G11:H11"/>
    <mergeCell ref="I11:J11"/>
    <mergeCell ref="P23:R23"/>
    <mergeCell ref="W11:Z11"/>
    <mergeCell ref="D7:F7"/>
    <mergeCell ref="Y16:Z17"/>
    <mergeCell ref="S18:T20"/>
    <mergeCell ref="C20:D20"/>
    <mergeCell ref="Y30:Z30"/>
    <mergeCell ref="E20:F20"/>
    <mergeCell ref="K11:L11"/>
    <mergeCell ref="J32:L32"/>
    <mergeCell ref="M11:N11"/>
    <mergeCell ref="Y29:Z29"/>
    <mergeCell ref="H1:S2"/>
    <mergeCell ref="V26:X26"/>
    <mergeCell ref="E13:F13"/>
    <mergeCell ref="S30:U30"/>
    <mergeCell ref="G13:H13"/>
    <mergeCell ref="M31:N31"/>
    <mergeCell ref="G29:I29"/>
    <mergeCell ref="D8:F8"/>
    <mergeCell ref="D33:F33"/>
    <mergeCell ref="W12:Z13"/>
    <mergeCell ref="A12:B12"/>
    <mergeCell ref="A28:C28"/>
    <mergeCell ref="S29:U29"/>
    <mergeCell ref="C12:D12"/>
    <mergeCell ref="A1:A3"/>
    <mergeCell ref="M15:N15"/>
    <mergeCell ref="E15:F15"/>
    <mergeCell ref="M12:N12"/>
    <mergeCell ref="G15:H15"/>
    <mergeCell ref="G31:I31"/>
    <mergeCell ref="Y28:Z28"/>
    <mergeCell ref="P18:R20"/>
    <mergeCell ref="A14:B14"/>
    <mergeCell ref="J8:L8"/>
    <mergeCell ref="A30:C30"/>
    <mergeCell ref="M26:N26"/>
    <mergeCell ref="U6:W6"/>
    <mergeCell ref="P25:R25"/>
    <mergeCell ref="M29:N29"/>
    <mergeCell ref="M23:N23"/>
    <mergeCell ref="F2:G3"/>
    <mergeCell ref="G23:I23"/>
    <mergeCell ref="Y23:Z23"/>
    <mergeCell ref="U16:V17"/>
    <mergeCell ref="W16:X17"/>
    <mergeCell ref="G7:I7"/>
    <mergeCell ref="K18:L18"/>
    <mergeCell ref="P12:R13"/>
    <mergeCell ref="D6:F6"/>
    <mergeCell ref="F1:G1"/>
    <mergeCell ref="T1:T3"/>
    <mergeCell ref="V28:X28"/>
    <mergeCell ref="P11:R11"/>
    <mergeCell ref="P14:R15"/>
    <mergeCell ref="A27:C27"/>
    <mergeCell ref="V30:X30"/>
    <mergeCell ref="W2:X3"/>
    <mergeCell ref="E17:F17"/>
    <mergeCell ref="G17:H17"/>
    <mergeCell ref="G33:I33"/>
    <mergeCell ref="X6:Z6"/>
    <mergeCell ref="A33:C33"/>
    <mergeCell ref="K20:L20"/>
    <mergeCell ref="A16:B16"/>
    <mergeCell ref="C16:D16"/>
    <mergeCell ref="M20:N20"/>
    <mergeCell ref="A8:C8"/>
    <mergeCell ref="E19:F19"/>
    <mergeCell ref="P8:Q8"/>
    <mergeCell ref="J31:L31"/>
    <mergeCell ref="G19:H19"/>
    <mergeCell ref="A18:B18"/>
    <mergeCell ref="G25:I25"/>
    <mergeCell ref="D24:F24"/>
    <mergeCell ref="M30:N30"/>
    <mergeCell ref="I12:J12"/>
    <mergeCell ref="K12:L12"/>
    <mergeCell ref="P24:R24"/>
    <mergeCell ref="P7:Q7"/>
    <mergeCell ref="C11:D11"/>
    <mergeCell ref="M28:N28"/>
    <mergeCell ref="E11:F11"/>
    <mergeCell ref="J23:L23"/>
    <mergeCell ref="D26:F26"/>
    <mergeCell ref="G14:H14"/>
    <mergeCell ref="S11:V11"/>
    <mergeCell ref="I14:J14"/>
    <mergeCell ref="R8:T8"/>
    <mergeCell ref="K14:L14"/>
    <mergeCell ref="P26:R26"/>
    <mergeCell ref="P16:R17"/>
    <mergeCell ref="A20:B20"/>
    <mergeCell ref="B2:C3"/>
    <mergeCell ref="D2:E3"/>
    <mergeCell ref="M32:N32"/>
    <mergeCell ref="M14:N14"/>
    <mergeCell ref="X8:Z8"/>
    <mergeCell ref="A13:B13"/>
    <mergeCell ref="C13:D13"/>
    <mergeCell ref="R7:T7"/>
    <mergeCell ref="S12:V13"/>
  </mergeCells>
  <pageMargins left="0.7086614173228347" right="0.7086614173228347" top="0.7480314960629921" bottom="0.7480314960629921" header="0.3149606299212598" footer="0.3149606299212598"/>
  <pageSetup orientation="portrait" paperSize="9" scale="59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AE33"/>
  <sheetViews>
    <sheetView topLeftCell="A19" zoomScaleNormal="100" zoomScaleSheetLayoutView="100" workbookViewId="0">
      <selection activeCell="G34" sqref="G34"/>
    </sheetView>
  </sheetViews>
  <sheetFormatPr baseColWidth="8" defaultRowHeight="17.4"/>
  <cols>
    <col width="2.8984375" customWidth="1" style="251" min="1" max="1"/>
    <col width="5.59765625" customWidth="1" style="251" min="2" max="14"/>
    <col width="3.59765625" customWidth="1" style="251" min="15" max="15"/>
    <col width="4.59765625" customWidth="1" style="251" min="16" max="22"/>
    <col width="5.59765625" customWidth="1" style="251" min="23" max="26"/>
  </cols>
  <sheetData>
    <row r="1" ht="18.75" customHeight="1" s="251">
      <c r="A1" s="122" t="inlineStr">
        <is>
          <t>근
무
자</t>
        </is>
      </c>
      <c r="B1" s="120" t="inlineStr">
        <is>
          <t>오  전</t>
        </is>
      </c>
      <c r="C1" s="252" t="n"/>
      <c r="D1" s="120" t="inlineStr">
        <is>
          <t>오  후</t>
        </is>
      </c>
      <c r="E1" s="252" t="n"/>
      <c r="F1" s="120" t="inlineStr">
        <is>
          <t>야  간</t>
        </is>
      </c>
      <c r="G1" s="252" t="n"/>
      <c r="H1" s="253" t="inlineStr">
        <is>
          <t>유동상소각로 운전일지</t>
        </is>
      </c>
      <c r="S1" s="254" t="n"/>
      <c r="T1" s="255" t="inlineStr">
        <is>
          <t>결
재</t>
        </is>
      </c>
      <c r="U1" s="120" t="inlineStr">
        <is>
          <t>반장</t>
        </is>
      </c>
      <c r="V1" s="252" t="n"/>
      <c r="W1" s="120" t="inlineStr">
        <is>
          <t>대리</t>
        </is>
      </c>
      <c r="X1" s="252" t="n"/>
      <c r="Y1" s="120" t="inlineStr">
        <is>
          <t>팀장</t>
        </is>
      </c>
      <c r="Z1" s="252" t="n"/>
    </row>
    <row r="2" ht="14.25" customHeight="1" s="251">
      <c r="A2" s="256" t="n"/>
      <c r="B2" s="257" t="inlineStr">
        <is>
          <t>임종민</t>
        </is>
      </c>
      <c r="C2" s="258" t="n"/>
      <c r="D2" s="324" t="inlineStr">
        <is>
          <t>임종민,김문한</t>
        </is>
      </c>
      <c r="E2" s="258" t="n"/>
      <c r="F2" s="257" t="inlineStr">
        <is>
          <t>김문한</t>
        </is>
      </c>
      <c r="G2" s="258" t="n"/>
      <c r="H2" s="259" t="n"/>
      <c r="I2" s="260" t="n"/>
      <c r="J2" s="260" t="n"/>
      <c r="K2" s="260" t="n"/>
      <c r="L2" s="260" t="n"/>
      <c r="M2" s="260" t="n"/>
      <c r="N2" s="260" t="n"/>
      <c r="O2" s="260" t="n"/>
      <c r="P2" s="260" t="n"/>
      <c r="Q2" s="260" t="n"/>
      <c r="R2" s="260" t="n"/>
      <c r="S2" s="261" t="n"/>
      <c r="T2" s="262" t="n"/>
      <c r="U2" s="105" t="n"/>
      <c r="V2" s="254" t="n"/>
      <c r="W2" s="105" t="n"/>
      <c r="X2" s="254" t="n"/>
      <c r="Y2" s="105" t="n"/>
      <c r="Z2" s="254" t="n"/>
    </row>
    <row r="3" ht="37.5" customHeight="1" s="251">
      <c r="A3" s="263" t="n"/>
      <c r="B3" s="264" t="n"/>
      <c r="C3" s="265" t="n"/>
      <c r="D3" s="264" t="n"/>
      <c r="E3" s="265" t="n"/>
      <c r="F3" s="264" t="n"/>
      <c r="G3" s="265" t="n"/>
      <c r="H3" s="266" t="n">
        <v>46218</v>
      </c>
      <c r="I3" s="267" t="n"/>
      <c r="J3" s="267" t="n"/>
      <c r="K3" s="267" t="n"/>
      <c r="L3" s="267" t="n"/>
      <c r="M3" s="267" t="n"/>
      <c r="N3" s="267" t="n"/>
      <c r="O3" s="267" t="n"/>
      <c r="P3" s="267" t="n"/>
      <c r="Q3" s="267" t="n"/>
      <c r="R3" s="267" t="n"/>
      <c r="S3" s="268" t="n"/>
      <c r="T3" s="269" t="n"/>
      <c r="U3" s="264" t="n"/>
      <c r="V3" s="265" t="n"/>
      <c r="W3" s="264" t="n"/>
      <c r="X3" s="265" t="n"/>
      <c r="Y3" s="264" t="n"/>
      <c r="Z3" s="265" t="n"/>
    </row>
    <row r="4" ht="13.5" customHeight="1" s="25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inlineStr">
        <is>
          <t>1. 소각현황(KG)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inlineStr">
        <is>
          <t>2. BOILER 운전현황(TON, HR)</t>
        </is>
      </c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2.5" customHeight="1" s="251" thickBot="1">
      <c r="A6" s="136" t="inlineStr">
        <is>
          <t>구 분</t>
        </is>
      </c>
      <c r="B6" s="270" t="n"/>
      <c r="C6" s="271" t="n"/>
      <c r="D6" s="136" t="inlineStr">
        <is>
          <t>SRF소각량</t>
        </is>
      </c>
      <c r="E6" s="270" t="n"/>
      <c r="F6" s="271" t="n"/>
      <c r="G6" s="136" t="inlineStr">
        <is>
          <t>SLUDGE 소각량</t>
        </is>
      </c>
      <c r="H6" s="270" t="n"/>
      <c r="I6" s="271" t="n"/>
      <c r="J6" s="136" t="inlineStr">
        <is>
          <t>합 계</t>
        </is>
      </c>
      <c r="K6" s="270" t="n"/>
      <c r="L6" s="271" t="n"/>
      <c r="M6" s="1" t="n"/>
      <c r="N6" s="1" t="n"/>
      <c r="O6" s="1" t="n"/>
      <c r="P6" s="136" t="inlineStr">
        <is>
          <t>구 분</t>
        </is>
      </c>
      <c r="Q6" s="271" t="n"/>
      <c r="R6" s="136" t="inlineStr">
        <is>
          <t>스팀 생산량</t>
        </is>
      </c>
      <c r="S6" s="270" t="n"/>
      <c r="T6" s="271" t="n"/>
      <c r="U6" s="136" t="inlineStr">
        <is>
          <t>스팀 송기량</t>
        </is>
      </c>
      <c r="V6" s="270" t="n"/>
      <c r="W6" s="271" t="n"/>
      <c r="X6" s="136" t="inlineStr">
        <is>
          <t>가동시간</t>
        </is>
      </c>
      <c r="Y6" s="270" t="n"/>
      <c r="Z6" s="271" t="n"/>
    </row>
    <row r="7" ht="30" customHeight="1" s="251" thickTop="1">
      <c r="A7" s="105" t="inlineStr">
        <is>
          <t>금 일</t>
        </is>
      </c>
      <c r="B7" s="272" t="n"/>
      <c r="C7" s="265" t="n"/>
      <c r="D7" s="139" t="n">
        <v>61510</v>
      </c>
      <c r="E7" s="272" t="n"/>
      <c r="F7" s="265" t="n"/>
      <c r="G7" s="139" t="n">
        <v>171100</v>
      </c>
      <c r="H7" s="272" t="n"/>
      <c r="I7" s="265" t="n"/>
      <c r="J7" s="154">
        <f>D7+G7</f>
        <v/>
      </c>
      <c r="K7" s="278" t="n"/>
      <c r="L7" s="279" t="n"/>
      <c r="M7" s="1" t="n"/>
      <c r="N7" s="1" t="n"/>
      <c r="O7" s="1" t="n"/>
      <c r="P7" s="105" t="inlineStr">
        <is>
          <t>금 일</t>
        </is>
      </c>
      <c r="Q7" s="265" t="n"/>
      <c r="R7" s="276" t="n">
        <v>495.2</v>
      </c>
      <c r="S7" s="272" t="n"/>
      <c r="T7" s="265" t="n"/>
      <c r="U7" s="276" t="n">
        <v>124.8</v>
      </c>
      <c r="V7" s="272" t="n"/>
      <c r="W7" s="265" t="n"/>
      <c r="X7" s="277" t="n">
        <v>24</v>
      </c>
      <c r="Y7" s="272" t="n"/>
      <c r="Z7" s="265" t="n"/>
    </row>
    <row r="8" ht="30" customHeight="1" s="251">
      <c r="A8" s="104" t="inlineStr">
        <is>
          <t>누 계</t>
        </is>
      </c>
      <c r="B8" s="278" t="n"/>
      <c r="C8" s="279" t="n"/>
      <c r="D8" s="154">
        <f>'14'!D8+D7</f>
        <v/>
      </c>
      <c r="E8" s="278" t="n"/>
      <c r="F8" s="279" t="n"/>
      <c r="G8" s="154">
        <f>'14'!G8+G7</f>
        <v/>
      </c>
      <c r="H8" s="278" t="n"/>
      <c r="I8" s="279" t="n"/>
      <c r="J8" s="154">
        <f>D8+G8</f>
        <v/>
      </c>
      <c r="K8" s="278" t="n"/>
      <c r="L8" s="279" t="n"/>
      <c r="M8" s="1" t="n"/>
      <c r="N8" s="1" t="n"/>
      <c r="O8" s="1" t="n"/>
      <c r="P8" s="104" t="inlineStr">
        <is>
          <t>누 계</t>
        </is>
      </c>
      <c r="Q8" s="279" t="n"/>
      <c r="R8" s="280">
        <f>'14'!R8+'15'!R7</f>
        <v/>
      </c>
      <c r="S8" s="278" t="n"/>
      <c r="T8" s="279" t="n"/>
      <c r="U8" s="280">
        <f>'14'!U8+U7</f>
        <v/>
      </c>
      <c r="V8" s="278" t="n"/>
      <c r="W8" s="279" t="n"/>
      <c r="X8" s="281">
        <f>'14'!X8+X7</f>
        <v/>
      </c>
      <c r="Y8" s="278" t="n"/>
      <c r="Z8" s="279" t="n"/>
    </row>
    <row r="9" ht="12" customHeight="1" s="25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inlineStr">
        <is>
          <t>3. 약품 사용현황 (KG)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inlineStr">
        <is>
          <t>4. 소각재 발생량 (TON, 대)</t>
        </is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30.75" customHeight="1" s="251" thickBot="1">
      <c r="A11" s="136" t="inlineStr">
        <is>
          <t>품 명</t>
        </is>
      </c>
      <c r="B11" s="271" t="n"/>
      <c r="C11" s="150" t="inlineStr">
        <is>
          <t>전일 
재고량</t>
        </is>
      </c>
      <c r="D11" s="271" t="n"/>
      <c r="E11" s="136" t="inlineStr">
        <is>
          <t>입고량</t>
        </is>
      </c>
      <c r="F11" s="271" t="n"/>
      <c r="G11" s="136" t="inlineStr">
        <is>
          <t>사용량</t>
        </is>
      </c>
      <c r="H11" s="271" t="n"/>
      <c r="I11" s="282" t="inlineStr">
        <is>
          <t>재고량</t>
        </is>
      </c>
      <c r="J11" s="271" t="n"/>
      <c r="K11" s="150" t="inlineStr">
        <is>
          <t>입고량 
누계</t>
        </is>
      </c>
      <c r="L11" s="271" t="n"/>
      <c r="M11" s="150" t="inlineStr">
        <is>
          <t>사용량 
누계</t>
        </is>
      </c>
      <c r="N11" s="271" t="n"/>
      <c r="O11" s="1" t="n"/>
      <c r="P11" s="136" t="inlineStr">
        <is>
          <t xml:space="preserve"> 구 분</t>
        </is>
      </c>
      <c r="Q11" s="270" t="n"/>
      <c r="R11" s="271" t="n"/>
      <c r="S11" s="282" t="inlineStr">
        <is>
          <t>반출량</t>
        </is>
      </c>
      <c r="T11" s="270" t="n"/>
      <c r="U11" s="270" t="n"/>
      <c r="V11" s="271" t="n"/>
      <c r="W11" s="282" t="inlineStr">
        <is>
          <t>누계</t>
        </is>
      </c>
      <c r="X11" s="270" t="n"/>
      <c r="Y11" s="270" t="n"/>
      <c r="Z11" s="271" t="n"/>
    </row>
    <row r="12" ht="21.9" customHeight="1" s="251" thickTop="1">
      <c r="A12" s="142" t="inlineStr">
        <is>
          <t>탄산암모늄</t>
        </is>
      </c>
      <c r="B12" s="265" t="n"/>
      <c r="C12" s="310">
        <f>'14'!I12</f>
        <v/>
      </c>
      <c r="D12" s="265" t="n"/>
      <c r="E12" s="288" t="n">
        <v>0</v>
      </c>
      <c r="F12" s="275" t="n"/>
      <c r="G12" s="105" t="n">
        <v>4082</v>
      </c>
      <c r="H12" s="265" t="n"/>
      <c r="I12" s="164">
        <f>C12+E12-G12</f>
        <v/>
      </c>
      <c r="J12" s="283" t="n"/>
      <c r="K12" s="164">
        <f>'14'!K12+'15'!E12</f>
        <v/>
      </c>
      <c r="L12" s="283" t="n"/>
      <c r="M12" s="105">
        <f>'14'!M12+G12</f>
        <v/>
      </c>
      <c r="N12" s="265" t="n"/>
      <c r="O12" s="1" t="n"/>
      <c r="P12" s="149" t="inlineStr">
        <is>
          <t xml:space="preserve">
비산재
</t>
        </is>
      </c>
      <c r="R12" s="254" t="n"/>
      <c r="S12" s="284" t="n">
        <v>54.94</v>
      </c>
      <c r="T12" s="285" t="n"/>
      <c r="U12" s="285" t="n"/>
      <c r="V12" s="285" t="n"/>
      <c r="W12" s="318">
        <f>'14'!W12+'15'!S12</f>
        <v/>
      </c>
      <c r="X12" s="285" t="n"/>
      <c r="Y12" s="285" t="n"/>
      <c r="Z12" s="287" t="n"/>
    </row>
    <row r="13" ht="21.9" customHeight="1" s="251">
      <c r="A13" s="104" t="inlineStr">
        <is>
          <t>청관제</t>
        </is>
      </c>
      <c r="B13" s="279" t="n"/>
      <c r="C13" s="310">
        <f>'14'!I13</f>
        <v/>
      </c>
      <c r="D13" s="265" t="n"/>
      <c r="E13" s="104" t="n">
        <v>0</v>
      </c>
      <c r="F13" s="279" t="n"/>
      <c r="G13" s="104" t="n">
        <v>90</v>
      </c>
      <c r="H13" s="279" t="n"/>
      <c r="I13" s="288">
        <f>C13+E13-G13</f>
        <v/>
      </c>
      <c r="J13" s="275" t="n"/>
      <c r="K13" s="105">
        <f>'14'!K13+'15'!E13</f>
        <v/>
      </c>
      <c r="L13" s="265" t="n"/>
      <c r="M13" s="105">
        <f>'14'!M13+G13</f>
        <v/>
      </c>
      <c r="N13" s="265" t="n"/>
      <c r="O13" s="1" t="n"/>
      <c r="P13" s="264" t="n"/>
      <c r="Q13" s="272" t="n"/>
      <c r="R13" s="265" t="n"/>
      <c r="S13" s="289" t="n"/>
      <c r="T13" s="290" t="n"/>
      <c r="U13" s="290" t="n"/>
      <c r="V13" s="290" t="n"/>
      <c r="W13" s="264" t="n"/>
      <c r="X13" s="272" t="n"/>
      <c r="Y13" s="272" t="n"/>
      <c r="Z13" s="265" t="n"/>
    </row>
    <row r="14" ht="21.9" customHeight="1" s="251">
      <c r="A14" s="104" t="inlineStr">
        <is>
          <t>활성탄</t>
        </is>
      </c>
      <c r="B14" s="279" t="n"/>
      <c r="C14" s="310">
        <f>'14'!I14</f>
        <v/>
      </c>
      <c r="D14" s="265" t="n"/>
      <c r="E14" s="104" t="n">
        <v>0</v>
      </c>
      <c r="F14" s="279" t="n"/>
      <c r="G14" s="104" t="n">
        <v>120</v>
      </c>
      <c r="H14" s="279" t="n"/>
      <c r="I14" s="288">
        <f>C14+E14-G14</f>
        <v/>
      </c>
      <c r="J14" s="275" t="n"/>
      <c r="K14" s="105">
        <f>'14'!K14+'15'!E14</f>
        <v/>
      </c>
      <c r="L14" s="265" t="n"/>
      <c r="M14" s="105">
        <f>'14'!M14+G14</f>
        <v/>
      </c>
      <c r="N14" s="265" t="n"/>
      <c r="O14" s="1" t="n"/>
      <c r="P14" s="104" t="inlineStr">
        <is>
          <t>바닥재</t>
        </is>
      </c>
      <c r="Q14" s="291" t="n"/>
      <c r="R14" s="292" t="n"/>
      <c r="S14" s="293" t="n">
        <v>0</v>
      </c>
      <c r="T14" s="291" t="n"/>
      <c r="U14" s="291" t="n"/>
      <c r="V14" s="291" t="n"/>
      <c r="W14" s="311">
        <f>'14'!W14+'15'!S14</f>
        <v/>
      </c>
      <c r="X14" s="291" t="n"/>
      <c r="Y14" s="291" t="n"/>
      <c r="Z14" s="295" t="n"/>
    </row>
    <row r="15" ht="21.9" customHeight="1" s="251">
      <c r="A15" s="104" t="inlineStr">
        <is>
          <t>가성소다</t>
        </is>
      </c>
      <c r="B15" s="279" t="n"/>
      <c r="C15" s="310">
        <f>'14'!I15</f>
        <v/>
      </c>
      <c r="D15" s="265" t="n"/>
      <c r="E15" s="104" t="n">
        <v>0</v>
      </c>
      <c r="F15" s="279" t="n"/>
      <c r="G15" s="104" t="n">
        <v>40</v>
      </c>
      <c r="H15" s="279" t="n"/>
      <c r="I15" s="288">
        <f>C15+E15-G15</f>
        <v/>
      </c>
      <c r="J15" s="275" t="n"/>
      <c r="K15" s="105">
        <f>'14'!K15+'15'!E15</f>
        <v/>
      </c>
      <c r="L15" s="265" t="n"/>
      <c r="M15" s="105">
        <f>'14'!M15+G15</f>
        <v/>
      </c>
      <c r="N15" s="265" t="n"/>
      <c r="O15" s="1" t="n"/>
      <c r="P15" s="296" t="n"/>
      <c r="Q15" s="290" t="n"/>
      <c r="R15" s="297" t="n"/>
      <c r="S15" s="296" t="n"/>
      <c r="T15" s="290" t="n"/>
      <c r="U15" s="290" t="n"/>
      <c r="V15" s="290" t="n"/>
      <c r="W15" s="298" t="n"/>
      <c r="X15" s="272" t="n"/>
      <c r="Y15" s="272" t="n"/>
      <c r="Z15" s="265" t="n"/>
    </row>
    <row r="16" ht="21.9" customHeight="1" s="251">
      <c r="A16" s="104" t="inlineStr">
        <is>
          <t>소석회</t>
        </is>
      </c>
      <c r="B16" s="279" t="n"/>
      <c r="C16" s="310">
        <f>'14'!I16</f>
        <v/>
      </c>
      <c r="D16" s="265" t="n"/>
      <c r="E16" s="104" t="n">
        <v>0</v>
      </c>
      <c r="F16" s="279" t="n"/>
      <c r="G16" s="104" t="n">
        <v>20</v>
      </c>
      <c r="H16" s="279" t="n"/>
      <c r="I16" s="288">
        <f>C16+E16-G16</f>
        <v/>
      </c>
      <c r="J16" s="275" t="n"/>
      <c r="K16" s="105">
        <f>'14'!K16+'15'!E16</f>
        <v/>
      </c>
      <c r="L16" s="265" t="n"/>
      <c r="M16" s="105">
        <f>'14'!M16+G16</f>
        <v/>
      </c>
      <c r="N16" s="265" t="n"/>
      <c r="O16" s="1" t="n"/>
      <c r="P16" s="162" t="inlineStr">
        <is>
          <t>구분</t>
        </is>
      </c>
      <c r="Q16" s="291" t="n"/>
      <c r="R16" s="292" t="n"/>
      <c r="S16" s="299" t="inlineStr">
        <is>
          <t>주간</t>
        </is>
      </c>
      <c r="T16" s="292" t="n"/>
      <c r="U16" s="299" t="inlineStr">
        <is>
          <t>야간</t>
        </is>
      </c>
      <c r="V16" s="292" t="n"/>
      <c r="W16" s="299" t="inlineStr">
        <is>
          <t>합계</t>
        </is>
      </c>
      <c r="X16" s="292" t="n"/>
      <c r="Y16" s="299" t="inlineStr">
        <is>
          <t>누계</t>
        </is>
      </c>
      <c r="Z16" s="292" t="n"/>
    </row>
    <row r="17" ht="21.9" customHeight="1" s="251" thickBot="1">
      <c r="A17" s="104" t="inlineStr">
        <is>
          <t>소 금</t>
        </is>
      </c>
      <c r="B17" s="279" t="n"/>
      <c r="C17" s="310">
        <f>'14'!I17</f>
        <v/>
      </c>
      <c r="D17" s="265" t="n"/>
      <c r="E17" s="104" t="n">
        <v>0</v>
      </c>
      <c r="F17" s="279" t="n"/>
      <c r="G17" s="104" t="n">
        <v>200</v>
      </c>
      <c r="H17" s="279" t="n"/>
      <c r="I17" s="288">
        <f>C17+E17-G17</f>
        <v/>
      </c>
      <c r="J17" s="275" t="n"/>
      <c r="K17" s="105">
        <f>'14'!K17+'15'!E17</f>
        <v/>
      </c>
      <c r="L17" s="265" t="n"/>
      <c r="M17" s="105">
        <f>'14'!M17+G17</f>
        <v/>
      </c>
      <c r="N17" s="265" t="n"/>
      <c r="O17" s="1" t="n"/>
      <c r="P17" s="296" t="n"/>
      <c r="Q17" s="290" t="n"/>
      <c r="R17" s="297" t="n"/>
      <c r="S17" s="300" t="n"/>
      <c r="T17" s="301" t="n"/>
      <c r="U17" s="300" t="n"/>
      <c r="V17" s="301" t="n"/>
      <c r="W17" s="300" t="n"/>
      <c r="X17" s="301" t="n"/>
      <c r="Y17" s="300" t="n"/>
      <c r="Z17" s="301" t="n"/>
      <c r="AE17" s="302" t="n"/>
    </row>
    <row r="18" ht="21.9" customHeight="1" s="251" thickTop="1">
      <c r="A18" s="104" t="inlineStr">
        <is>
          <t>경 유</t>
        </is>
      </c>
      <c r="B18" s="279" t="n"/>
      <c r="C18" s="310">
        <f>'14'!I18</f>
        <v/>
      </c>
      <c r="D18" s="265" t="n"/>
      <c r="E18" s="104" t="n">
        <v>0</v>
      </c>
      <c r="F18" s="279" t="n"/>
      <c r="G18" s="104" t="n">
        <v>0</v>
      </c>
      <c r="H18" s="279" t="n"/>
      <c r="I18" s="288">
        <f>C18+E18-G18</f>
        <v/>
      </c>
      <c r="J18" s="275" t="n"/>
      <c r="K18" s="105">
        <f>'14'!K18+'15'!E18</f>
        <v/>
      </c>
      <c r="L18" s="265" t="n"/>
      <c r="M18" s="105">
        <f>'14'!M18+G18</f>
        <v/>
      </c>
      <c r="N18" s="265" t="n"/>
      <c r="O18" s="1" t="n"/>
      <c r="P18" s="164" t="inlineStr">
        <is>
          <t>불연물</t>
        </is>
      </c>
      <c r="Q18" s="285" t="n"/>
      <c r="R18" s="287" t="n"/>
      <c r="S18" s="303" t="n">
        <v>1</v>
      </c>
      <c r="T18" s="287" t="n"/>
      <c r="U18" s="303" t="n">
        <v>2</v>
      </c>
      <c r="V18" s="287" t="n"/>
      <c r="W18" s="303">
        <f>S18+U18</f>
        <v/>
      </c>
      <c r="X18" s="287" t="n"/>
      <c r="Y18" s="303">
        <f>'14'!Y18+'15'!W18</f>
        <v/>
      </c>
      <c r="Z18" s="287" t="n"/>
    </row>
    <row r="19" ht="21.9" customHeight="1" s="251">
      <c r="A19" s="153" t="inlineStr">
        <is>
          <t>SRF</t>
        </is>
      </c>
      <c r="B19" s="279" t="n"/>
      <c r="C19" s="310">
        <f>'14'!I19</f>
        <v/>
      </c>
      <c r="D19" s="265" t="n"/>
      <c r="E19" s="154" t="n">
        <v>94630</v>
      </c>
      <c r="F19" s="279" t="n"/>
      <c r="G19" s="154">
        <f>D7</f>
        <v/>
      </c>
      <c r="H19" s="279" t="n"/>
      <c r="I19" s="273">
        <f>C19+E19-G19</f>
        <v/>
      </c>
      <c r="J19" s="275" t="n"/>
      <c r="K19" s="139">
        <f>'14'!K19+'15'!E19</f>
        <v/>
      </c>
      <c r="L19" s="265" t="n"/>
      <c r="M19" s="139">
        <f>'14'!M19+G19</f>
        <v/>
      </c>
      <c r="N19" s="265" t="n"/>
      <c r="O19" s="1" t="n"/>
      <c r="P19" s="256" t="n"/>
      <c r="R19" s="254" t="n"/>
      <c r="S19" s="256" t="n"/>
      <c r="T19" s="254" t="n"/>
      <c r="U19" s="256" t="n"/>
      <c r="V19" s="254" t="n"/>
      <c r="W19" s="256" t="n"/>
      <c r="X19" s="254" t="n"/>
      <c r="Y19" s="256" t="n"/>
      <c r="Z19" s="254" t="n"/>
    </row>
    <row r="20" ht="21.9" customHeight="1" s="251">
      <c r="A20" s="104" t="inlineStr">
        <is>
          <t>규 사</t>
        </is>
      </c>
      <c r="B20" s="279" t="n"/>
      <c r="C20" s="310">
        <f>'14'!I20</f>
        <v/>
      </c>
      <c r="D20" s="265" t="n"/>
      <c r="E20" s="288" t="n"/>
      <c r="F20" s="275" t="n"/>
      <c r="G20" s="104" t="n"/>
      <c r="H20" s="279" t="n"/>
      <c r="I20" s="288" t="inlineStr">
        <is>
          <t>-</t>
        </is>
      </c>
      <c r="J20" s="275" t="n"/>
      <c r="K20" s="105">
        <f>'14'!K20+'15'!E20</f>
        <v/>
      </c>
      <c r="L20" s="265" t="n"/>
      <c r="M20" s="139">
        <f>'14'!M20+G20</f>
        <v/>
      </c>
      <c r="N20" s="265" t="n"/>
      <c r="O20" s="1" t="n"/>
      <c r="P20" s="264" t="n"/>
      <c r="Q20" s="272" t="n"/>
      <c r="R20" s="265" t="n"/>
      <c r="S20" s="264" t="n"/>
      <c r="T20" s="265" t="n"/>
      <c r="U20" s="264" t="n"/>
      <c r="V20" s="265" t="n"/>
      <c r="W20" s="264" t="n"/>
      <c r="X20" s="265" t="n"/>
      <c r="Y20" s="264" t="n"/>
      <c r="Z20" s="265" t="n"/>
    </row>
    <row r="21" ht="12" customHeight="1" s="25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 t="inlineStr">
        <is>
          <t>5. 전력 사용량 (KWH)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10" t="inlineStr">
        <is>
          <t>6. 유틸리티 사용현황 (㎥)</t>
        </is>
      </c>
      <c r="Q22" s="290" t="n"/>
      <c r="R22" s="290" t="n"/>
      <c r="S22" s="290" t="n"/>
      <c r="T22" s="290" t="n"/>
      <c r="U22" s="290" t="n"/>
      <c r="V22" s="1" t="n"/>
      <c r="W22" s="1" t="n"/>
      <c r="X22" s="1" t="n"/>
      <c r="Y22" s="1" t="n"/>
      <c r="Z22" s="1" t="n"/>
    </row>
    <row r="23" ht="28.5" customHeight="1" s="251" thickBot="1">
      <c r="A23" s="136" t="inlineStr">
        <is>
          <t>구 분</t>
        </is>
      </c>
      <c r="B23" s="270" t="n"/>
      <c r="C23" s="271" t="n"/>
      <c r="D23" s="136" t="inlineStr">
        <is>
          <t>전일지침</t>
        </is>
      </c>
      <c r="E23" s="270" t="n"/>
      <c r="F23" s="271" t="n"/>
      <c r="G23" s="136" t="inlineStr">
        <is>
          <t>금일지침</t>
        </is>
      </c>
      <c r="H23" s="270" t="n"/>
      <c r="I23" s="271" t="n"/>
      <c r="J23" s="136" t="inlineStr">
        <is>
          <t>사용량</t>
        </is>
      </c>
      <c r="K23" s="270" t="n"/>
      <c r="L23" s="271" t="n"/>
      <c r="M23" s="136" t="inlineStr">
        <is>
          <t>누 계</t>
        </is>
      </c>
      <c r="N23" s="271" t="n"/>
      <c r="P23" s="136" t="inlineStr">
        <is>
          <t>구 분</t>
        </is>
      </c>
      <c r="Q23" s="270" t="n"/>
      <c r="R23" s="271" t="n"/>
      <c r="S23" s="136" t="inlineStr">
        <is>
          <t>전일 사용량</t>
        </is>
      </c>
      <c r="T23" s="270" t="n"/>
      <c r="U23" s="271" t="n"/>
      <c r="V23" s="136" t="inlineStr">
        <is>
          <t>금일 사용량</t>
        </is>
      </c>
      <c r="W23" s="270" t="n"/>
      <c r="X23" s="271" t="n"/>
      <c r="Y23" s="136" t="inlineStr">
        <is>
          <t>누 계</t>
        </is>
      </c>
      <c r="Z23" s="271" t="n"/>
    </row>
    <row r="24" ht="21.9" customHeight="1" s="251" thickTop="1">
      <c r="A24" s="105" t="inlineStr">
        <is>
          <t>MAIN</t>
        </is>
      </c>
      <c r="B24" s="272" t="n"/>
      <c r="C24" s="265" t="n"/>
      <c r="D24" s="187">
        <f>'14'!G24</f>
        <v/>
      </c>
      <c r="E24" s="285" t="n"/>
      <c r="F24" s="287" t="n"/>
      <c r="G24" s="164" t="n">
        <v>4016997</v>
      </c>
      <c r="H24" s="304" t="n"/>
      <c r="I24" s="283" t="n"/>
      <c r="J24" s="164">
        <f>G24-D24</f>
        <v/>
      </c>
      <c r="K24" s="304" t="n"/>
      <c r="L24" s="283" t="n"/>
      <c r="M24" s="164">
        <f>'14'!M24+'15'!J24</f>
        <v/>
      </c>
      <c r="N24" s="283" t="n"/>
      <c r="P24" s="105" t="inlineStr">
        <is>
          <t>재이용수</t>
        </is>
      </c>
      <c r="Q24" s="272" t="n"/>
      <c r="R24" s="265" t="n"/>
      <c r="S24" s="105">
        <f>'14'!V24</f>
        <v/>
      </c>
      <c r="T24" s="272" t="n"/>
      <c r="U24" s="265" t="n"/>
      <c r="V24" s="276" t="n">
        <v>559.3</v>
      </c>
      <c r="W24" s="272" t="n"/>
      <c r="X24" s="265" t="n"/>
      <c r="Y24" s="276">
        <f>'14'!Y24+'15'!V24</f>
        <v/>
      </c>
      <c r="Z24" s="265" t="n"/>
    </row>
    <row r="25" ht="21.9" customHeight="1" s="251">
      <c r="A25" s="104" t="inlineStr">
        <is>
          <t>ASH 저장조</t>
        </is>
      </c>
      <c r="B25" s="278" t="n"/>
      <c r="C25" s="279" t="n"/>
      <c r="D25" s="104">
        <f>'14'!G25</f>
        <v/>
      </c>
      <c r="E25" s="278" t="n"/>
      <c r="F25" s="279" t="n"/>
      <c r="G25" s="104" t="n">
        <v>33273.7</v>
      </c>
      <c r="H25" s="278" t="n"/>
      <c r="I25" s="279" t="n"/>
      <c r="J25" s="104">
        <f>G25-D25</f>
        <v/>
      </c>
      <c r="K25" s="278" t="n"/>
      <c r="L25" s="279" t="n"/>
      <c r="M25" s="288">
        <f>'14'!M25+'15'!J25</f>
        <v/>
      </c>
      <c r="N25" s="275" t="n"/>
      <c r="P25" s="104" t="inlineStr">
        <is>
          <t>복류수</t>
        </is>
      </c>
      <c r="Q25" s="278" t="n"/>
      <c r="R25" s="279" t="n"/>
      <c r="S25" s="288">
        <f>'14'!V25</f>
        <v/>
      </c>
      <c r="T25" s="274" t="n"/>
      <c r="U25" s="275" t="n"/>
      <c r="V25" s="280" t="n">
        <v>55.6</v>
      </c>
      <c r="W25" s="278" t="n"/>
      <c r="X25" s="279" t="n"/>
      <c r="Y25" s="276">
        <f>'14'!Y25+'15'!V25</f>
        <v/>
      </c>
      <c r="Z25" s="265" t="n"/>
    </row>
    <row r="26" ht="21.9" customHeight="1" s="251">
      <c r="A26" s="104" t="inlineStr">
        <is>
          <t>BAG FILTER</t>
        </is>
      </c>
      <c r="B26" s="278" t="n"/>
      <c r="C26" s="279" t="n"/>
      <c r="D26" s="104">
        <f>'14'!G26</f>
        <v/>
      </c>
      <c r="E26" s="278" t="n"/>
      <c r="F26" s="279" t="n"/>
      <c r="G26" s="104" t="n">
        <v>24610</v>
      </c>
      <c r="H26" s="278" t="n"/>
      <c r="I26" s="279" t="n"/>
      <c r="J26" s="104">
        <f>G26-D26</f>
        <v/>
      </c>
      <c r="K26" s="278" t="n"/>
      <c r="L26" s="279" t="n"/>
      <c r="M26" s="288">
        <f>'14'!M26+'15'!J26</f>
        <v/>
      </c>
      <c r="N26" s="275" t="n"/>
      <c r="P26" s="104" t="inlineStr">
        <is>
          <t>응축수</t>
        </is>
      </c>
      <c r="Q26" s="278" t="n"/>
      <c r="R26" s="279" t="n"/>
      <c r="S26" s="288">
        <f>'14'!V26</f>
        <v/>
      </c>
      <c r="T26" s="274" t="n"/>
      <c r="U26" s="275" t="n"/>
      <c r="V26" s="280" t="n">
        <v>480.7</v>
      </c>
      <c r="W26" s="278" t="n"/>
      <c r="X26" s="279" t="n"/>
      <c r="Y26" s="276">
        <f>'14'!Y26+'15'!V26</f>
        <v/>
      </c>
      <c r="Z26" s="265" t="n"/>
    </row>
    <row r="27" ht="21.9" customHeight="1" s="251">
      <c r="A27" s="104" t="inlineStr">
        <is>
          <t>SCRUBBER</t>
        </is>
      </c>
      <c r="B27" s="278" t="n"/>
      <c r="C27" s="279" t="n"/>
      <c r="D27" s="104">
        <f>'14'!G27</f>
        <v/>
      </c>
      <c r="E27" s="278" t="n"/>
      <c r="F27" s="279" t="n"/>
      <c r="G27" s="104" t="n">
        <v>1390000</v>
      </c>
      <c r="H27" s="278" t="n"/>
      <c r="I27" s="279" t="n"/>
      <c r="J27" s="104">
        <f>G27-D27</f>
        <v/>
      </c>
      <c r="K27" s="278" t="n"/>
      <c r="L27" s="279" t="n"/>
      <c r="M27" s="288">
        <f>'14'!M27+'15'!J27</f>
        <v/>
      </c>
      <c r="N27" s="275" t="n"/>
      <c r="P27" s="104" t="inlineStr">
        <is>
          <t>보일러 급수</t>
        </is>
      </c>
      <c r="Q27" s="278" t="n"/>
      <c r="R27" s="279" t="n"/>
      <c r="S27" s="288">
        <f>'14'!V27</f>
        <v/>
      </c>
      <c r="T27" s="274" t="n"/>
      <c r="U27" s="275" t="n"/>
      <c r="V27" s="280" t="n">
        <v>490.9</v>
      </c>
      <c r="W27" s="278" t="n"/>
      <c r="X27" s="279" t="n"/>
      <c r="Y27" s="276">
        <f>'14'!Y27+'15'!V27</f>
        <v/>
      </c>
      <c r="Z27" s="265" t="n"/>
    </row>
    <row r="28" ht="21.9" customHeight="1" s="251">
      <c r="A28" s="104" t="inlineStr">
        <is>
          <t>활성탄 공급</t>
        </is>
      </c>
      <c r="B28" s="278" t="n"/>
      <c r="C28" s="279" t="n"/>
      <c r="D28" s="104">
        <f>'14'!G28</f>
        <v/>
      </c>
      <c r="E28" s="278" t="n"/>
      <c r="F28" s="279" t="n"/>
      <c r="G28" s="104" t="n">
        <v>5772</v>
      </c>
      <c r="H28" s="278" t="n"/>
      <c r="I28" s="279" t="n"/>
      <c r="J28" s="104">
        <f>G28-D28</f>
        <v/>
      </c>
      <c r="K28" s="278" t="n"/>
      <c r="L28" s="279" t="n"/>
      <c r="M28" s="288">
        <f>'14'!M28+'15'!J28</f>
        <v/>
      </c>
      <c r="N28" s="275" t="n"/>
      <c r="P28" s="104" t="inlineStr">
        <is>
          <t>폐 수</t>
        </is>
      </c>
      <c r="Q28" s="278" t="n"/>
      <c r="R28" s="279" t="n"/>
      <c r="S28" s="288">
        <f>'14'!V28</f>
        <v/>
      </c>
      <c r="T28" s="274" t="n"/>
      <c r="U28" s="275" t="n"/>
      <c r="V28" s="280" t="n">
        <v>0</v>
      </c>
      <c r="W28" s="278" t="n"/>
      <c r="X28" s="279" t="n"/>
      <c r="Y28" s="276">
        <f>'14'!Y28+'15'!V28</f>
        <v/>
      </c>
      <c r="Z28" s="265" t="n"/>
    </row>
    <row r="29" ht="21.9" customHeight="1" s="251">
      <c r="A29" s="104" t="inlineStr">
        <is>
          <t>소석회 공급</t>
        </is>
      </c>
      <c r="B29" s="278" t="n"/>
      <c r="C29" s="279" t="n"/>
      <c r="D29" s="104">
        <f>'14'!G29</f>
        <v/>
      </c>
      <c r="E29" s="278" t="n"/>
      <c r="F29" s="279" t="n"/>
      <c r="G29" s="104" t="n">
        <v>66230</v>
      </c>
      <c r="H29" s="278" t="n"/>
      <c r="I29" s="279" t="n"/>
      <c r="J29" s="104">
        <f>G29-D29</f>
        <v/>
      </c>
      <c r="K29" s="278" t="n"/>
      <c r="L29" s="279" t="n"/>
      <c r="M29" s="288">
        <f>'14'!M29+'15'!J29</f>
        <v/>
      </c>
      <c r="N29" s="275" t="n"/>
      <c r="P29" s="104" t="inlineStr">
        <is>
          <t>연 수</t>
        </is>
      </c>
      <c r="Q29" s="278" t="n"/>
      <c r="R29" s="279" t="n"/>
      <c r="S29" s="288">
        <f>'14'!V29</f>
        <v/>
      </c>
      <c r="T29" s="274" t="n"/>
      <c r="U29" s="275" t="n"/>
      <c r="V29" s="280" t="n">
        <v>66.59999999999999</v>
      </c>
      <c r="W29" s="278" t="n"/>
      <c r="X29" s="279" t="n"/>
      <c r="Y29" s="276">
        <f>'14'!Y29+'15'!V29</f>
        <v/>
      </c>
      <c r="Z29" s="265" t="n"/>
    </row>
    <row r="30" ht="21.9" customHeight="1" s="251">
      <c r="A30" s="104" t="inlineStr">
        <is>
          <t>요소수 공급</t>
        </is>
      </c>
      <c r="B30" s="278" t="n"/>
      <c r="C30" s="279" t="n"/>
      <c r="D30" s="104">
        <f>'14'!G30</f>
        <v/>
      </c>
      <c r="E30" s="278" t="n"/>
      <c r="F30" s="279" t="n"/>
      <c r="G30" s="104" t="n">
        <v>53410</v>
      </c>
      <c r="H30" s="278" t="n"/>
      <c r="I30" s="279" t="n"/>
      <c r="J30" s="104">
        <f>G30-D30</f>
        <v/>
      </c>
      <c r="K30" s="278" t="n"/>
      <c r="L30" s="279" t="n"/>
      <c r="M30" s="288">
        <f>'14'!M30+'15'!J30</f>
        <v/>
      </c>
      <c r="N30" s="275" t="n"/>
      <c r="P30" s="104" t="inlineStr">
        <is>
          <t>계</t>
        </is>
      </c>
      <c r="Q30" s="278" t="n"/>
      <c r="R30" s="279" t="n"/>
      <c r="S30" s="104">
        <f>SUM(S24:U29)</f>
        <v/>
      </c>
      <c r="T30" s="278" t="n"/>
      <c r="U30" s="279" t="n"/>
      <c r="V30" s="280" t="n"/>
      <c r="W30" s="278" t="n"/>
      <c r="X30" s="279" t="n"/>
      <c r="Y30" s="276">
        <f>'14'!Y30+'15'!V30</f>
        <v/>
      </c>
      <c r="Z30" s="265" t="n"/>
    </row>
    <row r="31" ht="21.9" customHeight="1" s="251">
      <c r="A31" s="104" t="inlineStr">
        <is>
          <t xml:space="preserve">F.D </t>
        </is>
      </c>
      <c r="B31" s="278" t="n"/>
      <c r="C31" s="279" t="n"/>
      <c r="D31" s="104">
        <f>'14'!G31</f>
        <v/>
      </c>
      <c r="E31" s="278" t="n"/>
      <c r="F31" s="279" t="n"/>
      <c r="G31" s="288" t="n">
        <v>6320513</v>
      </c>
      <c r="H31" s="274" t="n"/>
      <c r="I31" s="275" t="n"/>
      <c r="J31" s="104">
        <f>G31-D31</f>
        <v/>
      </c>
      <c r="K31" s="278" t="n"/>
      <c r="L31" s="279" t="n"/>
      <c r="M31" s="288">
        <f>'14'!M31+J31</f>
        <v/>
      </c>
      <c r="N31" s="275" t="n"/>
      <c r="P31" s="172" t="n"/>
      <c r="Q31" s="172" t="n"/>
      <c r="R31" s="172" t="n"/>
      <c r="S31" s="172" t="n"/>
      <c r="T31" s="172" t="n"/>
      <c r="U31" s="172" t="n"/>
      <c r="V31" s="305" t="n"/>
      <c r="W31" s="305" t="n"/>
      <c r="X31" s="305" t="n"/>
      <c r="Y31" s="305" t="n"/>
      <c r="Z31" s="305" t="n"/>
    </row>
    <row r="32" ht="21.9" customHeight="1" s="251">
      <c r="A32" s="104" t="inlineStr">
        <is>
          <t>활성탄 BAG</t>
        </is>
      </c>
      <c r="B32" s="278" t="n"/>
      <c r="C32" s="279" t="n"/>
      <c r="D32" s="104">
        <f>'14'!G32</f>
        <v/>
      </c>
      <c r="E32" s="278" t="n"/>
      <c r="F32" s="279" t="n"/>
      <c r="G32" s="288" t="n">
        <v>1.7</v>
      </c>
      <c r="H32" s="274" t="n"/>
      <c r="I32" s="275" t="n"/>
      <c r="J32" s="288">
        <f>G32-D32</f>
        <v/>
      </c>
      <c r="K32" s="274" t="n"/>
      <c r="L32" s="275" t="n"/>
      <c r="M32" s="288">
        <f>'14'!M32+J32</f>
        <v/>
      </c>
      <c r="N32" s="275" t="n"/>
      <c r="P32" s="172" t="n"/>
      <c r="Q32" s="172" t="n"/>
      <c r="R32" s="172" t="n"/>
      <c r="S32" s="172" t="n"/>
      <c r="T32" s="172" t="n"/>
      <c r="U32" s="172" t="n"/>
      <c r="V32" s="305" t="n"/>
      <c r="W32" s="305" t="n"/>
      <c r="X32" s="305" t="n"/>
      <c r="Y32" s="305" t="n"/>
      <c r="Z32" s="305" t="n"/>
    </row>
    <row r="33" ht="21.9" customHeight="1" s="251">
      <c r="A33" s="104" t="inlineStr">
        <is>
          <t>소석회 BAG</t>
        </is>
      </c>
      <c r="B33" s="278" t="n"/>
      <c r="C33" s="279" t="n"/>
      <c r="D33" s="104">
        <f>'14'!G33</f>
        <v/>
      </c>
      <c r="E33" s="278" t="n"/>
      <c r="F33" s="279" t="n"/>
      <c r="G33" s="288" t="n">
        <v>0</v>
      </c>
      <c r="H33" s="274" t="n"/>
      <c r="I33" s="275" t="n"/>
      <c r="J33" s="288">
        <f>G33-D33</f>
        <v/>
      </c>
      <c r="K33" s="274" t="n"/>
      <c r="L33" s="275" t="n"/>
      <c r="M33" s="288">
        <f>'14'!M33+J33</f>
        <v/>
      </c>
      <c r="N33" s="275" t="n"/>
      <c r="P33" s="172" t="n"/>
      <c r="Q33" s="172" t="n"/>
      <c r="R33" s="172" t="n"/>
      <c r="S33" s="172" t="n"/>
      <c r="T33" s="172" t="n"/>
      <c r="U33" s="172" t="n"/>
      <c r="V33" s="305" t="n"/>
      <c r="W33" s="305" t="n"/>
      <c r="X33" s="305" t="n"/>
      <c r="Y33" s="305" t="n"/>
      <c r="Z33" s="305" t="n"/>
    </row>
  </sheetData>
  <mergeCells count="217">
    <mergeCell ref="V24:X24"/>
    <mergeCell ref="A15:B15"/>
    <mergeCell ref="P27:R27"/>
    <mergeCell ref="S23:U23"/>
    <mergeCell ref="C15:D15"/>
    <mergeCell ref="J27:L27"/>
    <mergeCell ref="S14:V15"/>
    <mergeCell ref="Y24:Z24"/>
    <mergeCell ref="U7:W7"/>
    <mergeCell ref="A26:C26"/>
    <mergeCell ref="J25:L25"/>
    <mergeCell ref="G24:I24"/>
    <mergeCell ref="D28:F28"/>
    <mergeCell ref="I16:J16"/>
    <mergeCell ref="A23:C23"/>
    <mergeCell ref="S24:U24"/>
    <mergeCell ref="P6:Q6"/>
    <mergeCell ref="P28:R28"/>
    <mergeCell ref="W1:X1"/>
    <mergeCell ref="Y1:Z1"/>
    <mergeCell ref="G26:I26"/>
    <mergeCell ref="S16:T17"/>
    <mergeCell ref="D30:F30"/>
    <mergeCell ref="G18:H18"/>
    <mergeCell ref="B1:C1"/>
    <mergeCell ref="U8:W8"/>
    <mergeCell ref="I18:J18"/>
    <mergeCell ref="H3:S3"/>
    <mergeCell ref="M16:N16"/>
    <mergeCell ref="P30:R30"/>
    <mergeCell ref="M25:N25"/>
    <mergeCell ref="D29:F29"/>
    <mergeCell ref="D23:F23"/>
    <mergeCell ref="Y25:Z25"/>
    <mergeCell ref="M18:N18"/>
    <mergeCell ref="M33:N33"/>
    <mergeCell ref="A17:B17"/>
    <mergeCell ref="S25:U25"/>
    <mergeCell ref="C17:D17"/>
    <mergeCell ref="U18:V20"/>
    <mergeCell ref="J29:L29"/>
    <mergeCell ref="M17:N17"/>
    <mergeCell ref="W18:X20"/>
    <mergeCell ref="G20:H20"/>
    <mergeCell ref="I20:J20"/>
    <mergeCell ref="S27:U27"/>
    <mergeCell ref="A19:B19"/>
    <mergeCell ref="V23:X23"/>
    <mergeCell ref="C19:D19"/>
    <mergeCell ref="A6:C6"/>
    <mergeCell ref="Y2:Z3"/>
    <mergeCell ref="Y18:Z20"/>
    <mergeCell ref="P22:U22"/>
    <mergeCell ref="M19:N19"/>
    <mergeCell ref="I13:J13"/>
    <mergeCell ref="K13:L13"/>
    <mergeCell ref="X7:Z7"/>
    <mergeCell ref="E12:F12"/>
    <mergeCell ref="J24:L24"/>
    <mergeCell ref="G12:H12"/>
    <mergeCell ref="G28:I28"/>
    <mergeCell ref="D27:F27"/>
    <mergeCell ref="G6:I6"/>
    <mergeCell ref="I15:J15"/>
    <mergeCell ref="A11:B11"/>
    <mergeCell ref="K15:L15"/>
    <mergeCell ref="S28:U28"/>
    <mergeCell ref="C14:D14"/>
    <mergeCell ref="E14:F14"/>
    <mergeCell ref="J26:L26"/>
    <mergeCell ref="G30:I30"/>
    <mergeCell ref="J7:L7"/>
    <mergeCell ref="V27:X27"/>
    <mergeCell ref="A32:C32"/>
    <mergeCell ref="A29:C29"/>
    <mergeCell ref="D25:F25"/>
    <mergeCell ref="V25:X25"/>
    <mergeCell ref="Y26:Z26"/>
    <mergeCell ref="M13:N13"/>
    <mergeCell ref="G32:I32"/>
    <mergeCell ref="J33:L33"/>
    <mergeCell ref="W14:Z15"/>
    <mergeCell ref="A31:C31"/>
    <mergeCell ref="S26:U26"/>
    <mergeCell ref="M27:N27"/>
    <mergeCell ref="I17:J17"/>
    <mergeCell ref="A24:C24"/>
    <mergeCell ref="Y27:Z27"/>
    <mergeCell ref="K17:L17"/>
    <mergeCell ref="P29:R29"/>
    <mergeCell ref="M24:N24"/>
    <mergeCell ref="E16:F16"/>
    <mergeCell ref="J28:L28"/>
    <mergeCell ref="G27:I27"/>
    <mergeCell ref="G16:H16"/>
    <mergeCell ref="D31:F31"/>
    <mergeCell ref="U2:V3"/>
    <mergeCell ref="I19:J19"/>
    <mergeCell ref="U1:V1"/>
    <mergeCell ref="G8:I8"/>
    <mergeCell ref="K19:L19"/>
    <mergeCell ref="C18:D18"/>
    <mergeCell ref="A7:C7"/>
    <mergeCell ref="V29:X29"/>
    <mergeCell ref="E18:F18"/>
    <mergeCell ref="J30:L30"/>
    <mergeCell ref="R6:T6"/>
    <mergeCell ref="K16:L16"/>
    <mergeCell ref="A25:C25"/>
    <mergeCell ref="J6:L6"/>
    <mergeCell ref="D1:E1"/>
    <mergeCell ref="D32:F32"/>
    <mergeCell ref="G11:H11"/>
    <mergeCell ref="I11:J11"/>
    <mergeCell ref="P23:R23"/>
    <mergeCell ref="W11:Z11"/>
    <mergeCell ref="D7:F7"/>
    <mergeCell ref="Y16:Z17"/>
    <mergeCell ref="S18:T20"/>
    <mergeCell ref="Y30:Z30"/>
    <mergeCell ref="C20:D20"/>
    <mergeCell ref="E20:F20"/>
    <mergeCell ref="K11:L11"/>
    <mergeCell ref="J32:L32"/>
    <mergeCell ref="M11:N11"/>
    <mergeCell ref="Y29:Z29"/>
    <mergeCell ref="H1:S2"/>
    <mergeCell ref="V26:X26"/>
    <mergeCell ref="E13:F13"/>
    <mergeCell ref="S30:U30"/>
    <mergeCell ref="G13:H13"/>
    <mergeCell ref="M31:N31"/>
    <mergeCell ref="G29:I29"/>
    <mergeCell ref="D8:F8"/>
    <mergeCell ref="D33:F33"/>
    <mergeCell ref="W12:Z13"/>
    <mergeCell ref="A12:B12"/>
    <mergeCell ref="A28:C28"/>
    <mergeCell ref="S29:U29"/>
    <mergeCell ref="C12:D12"/>
    <mergeCell ref="A1:A3"/>
    <mergeCell ref="M15:N15"/>
    <mergeCell ref="E15:F15"/>
    <mergeCell ref="M12:N12"/>
    <mergeCell ref="G15:H15"/>
    <mergeCell ref="G31:I31"/>
    <mergeCell ref="Y28:Z28"/>
    <mergeCell ref="P18:R20"/>
    <mergeCell ref="A14:B14"/>
    <mergeCell ref="J8:L8"/>
    <mergeCell ref="A30:C30"/>
    <mergeCell ref="M26:N26"/>
    <mergeCell ref="U6:W6"/>
    <mergeCell ref="P25:R25"/>
    <mergeCell ref="M29:N29"/>
    <mergeCell ref="M23:N23"/>
    <mergeCell ref="F2:G3"/>
    <mergeCell ref="G23:I23"/>
    <mergeCell ref="Y23:Z23"/>
    <mergeCell ref="U16:V17"/>
    <mergeCell ref="W16:X17"/>
    <mergeCell ref="G7:I7"/>
    <mergeCell ref="K18:L18"/>
    <mergeCell ref="P12:R13"/>
    <mergeCell ref="D6:F6"/>
    <mergeCell ref="F1:G1"/>
    <mergeCell ref="T1:T3"/>
    <mergeCell ref="V28:X28"/>
    <mergeCell ref="P11:R11"/>
    <mergeCell ref="P14:R15"/>
    <mergeCell ref="A27:C27"/>
    <mergeCell ref="V30:X30"/>
    <mergeCell ref="W2:X3"/>
    <mergeCell ref="E17:F17"/>
    <mergeCell ref="G17:H17"/>
    <mergeCell ref="G33:I33"/>
    <mergeCell ref="X6:Z6"/>
    <mergeCell ref="A33:C33"/>
    <mergeCell ref="K20:L20"/>
    <mergeCell ref="A16:B16"/>
    <mergeCell ref="C16:D16"/>
    <mergeCell ref="M20:N20"/>
    <mergeCell ref="A8:C8"/>
    <mergeCell ref="E19:F19"/>
    <mergeCell ref="P8:Q8"/>
    <mergeCell ref="J31:L31"/>
    <mergeCell ref="G19:H19"/>
    <mergeCell ref="A18:B18"/>
    <mergeCell ref="G25:I25"/>
    <mergeCell ref="D24:F24"/>
    <mergeCell ref="M30:N30"/>
    <mergeCell ref="I12:J12"/>
    <mergeCell ref="K12:L12"/>
    <mergeCell ref="P24:R24"/>
    <mergeCell ref="P7:Q7"/>
    <mergeCell ref="C11:D11"/>
    <mergeCell ref="M28:N28"/>
    <mergeCell ref="E11:F11"/>
    <mergeCell ref="J23:L23"/>
    <mergeCell ref="D26:F26"/>
    <mergeCell ref="G14:H14"/>
    <mergeCell ref="S11:V11"/>
    <mergeCell ref="I14:J14"/>
    <mergeCell ref="R8:T8"/>
    <mergeCell ref="K14:L14"/>
    <mergeCell ref="P26:R26"/>
    <mergeCell ref="P16:R17"/>
    <mergeCell ref="A20:B20"/>
    <mergeCell ref="B2:C3"/>
    <mergeCell ref="D2:E3"/>
    <mergeCell ref="M32:N32"/>
    <mergeCell ref="M14:N14"/>
    <mergeCell ref="X8:Z8"/>
    <mergeCell ref="A13:B13"/>
    <mergeCell ref="C13:D13"/>
    <mergeCell ref="R7:T7"/>
    <mergeCell ref="S12:V13"/>
  </mergeCells>
  <pageMargins left="0.7086614173228347" right="0.7086614173228347" top="0.7480314960629921" bottom="0.7480314960629921" header="0.3149606299212598" footer="0.3149606299212598"/>
  <pageSetup orientation="portrait" paperSize="9" scale="59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AE33"/>
  <sheetViews>
    <sheetView zoomScaleNormal="100" zoomScaleSheetLayoutView="100" workbookViewId="0">
      <selection activeCell="B2" sqref="B2:G3"/>
    </sheetView>
  </sheetViews>
  <sheetFormatPr baseColWidth="8" defaultRowHeight="17.4"/>
  <cols>
    <col width="2.8984375" customWidth="1" style="251" min="1" max="1"/>
    <col width="5.59765625" customWidth="1" style="251" min="2" max="14"/>
    <col width="3.59765625" customWidth="1" style="251" min="15" max="15"/>
    <col width="4.59765625" customWidth="1" style="251" min="16" max="22"/>
    <col width="5.59765625" customWidth="1" style="251" min="23" max="26"/>
  </cols>
  <sheetData>
    <row r="1" ht="18.75" customHeight="1" s="251">
      <c r="A1" s="122" t="inlineStr">
        <is>
          <t>근
무
자</t>
        </is>
      </c>
      <c r="B1" s="120" t="inlineStr">
        <is>
          <t>오  전</t>
        </is>
      </c>
      <c r="C1" s="252" t="n"/>
      <c r="D1" s="120" t="inlineStr">
        <is>
          <t>오  후</t>
        </is>
      </c>
      <c r="E1" s="252" t="n"/>
      <c r="F1" s="120" t="inlineStr">
        <is>
          <t>야  간</t>
        </is>
      </c>
      <c r="G1" s="252" t="n"/>
      <c r="H1" s="253" t="inlineStr">
        <is>
          <t>유동상소각로 운전일지</t>
        </is>
      </c>
      <c r="S1" s="254" t="n"/>
      <c r="T1" s="255" t="inlineStr">
        <is>
          <t>결
재</t>
        </is>
      </c>
      <c r="U1" s="120" t="inlineStr">
        <is>
          <t>반장</t>
        </is>
      </c>
      <c r="V1" s="252" t="n"/>
      <c r="W1" s="120" t="inlineStr">
        <is>
          <t>대리</t>
        </is>
      </c>
      <c r="X1" s="252" t="n"/>
      <c r="Y1" s="120" t="inlineStr">
        <is>
          <t>팀장</t>
        </is>
      </c>
      <c r="Z1" s="252" t="n"/>
    </row>
    <row r="2" ht="14.25" customHeight="1" s="251">
      <c r="A2" s="256" t="n"/>
      <c r="B2" s="257" t="inlineStr">
        <is>
          <t>임종민</t>
        </is>
      </c>
      <c r="C2" s="258" t="n"/>
      <c r="D2" s="257" t="inlineStr">
        <is>
          <t>권정민</t>
        </is>
      </c>
      <c r="E2" s="258" t="n"/>
      <c r="F2" s="257" t="inlineStr">
        <is>
          <t>김동욱</t>
        </is>
      </c>
      <c r="G2" s="258" t="n"/>
      <c r="H2" s="259" t="n"/>
      <c r="I2" s="260" t="n"/>
      <c r="J2" s="260" t="n"/>
      <c r="K2" s="260" t="n"/>
      <c r="L2" s="260" t="n"/>
      <c r="M2" s="260" t="n"/>
      <c r="N2" s="260" t="n"/>
      <c r="O2" s="260" t="n"/>
      <c r="P2" s="260" t="n"/>
      <c r="Q2" s="260" t="n"/>
      <c r="R2" s="260" t="n"/>
      <c r="S2" s="261" t="n"/>
      <c r="T2" s="262" t="n"/>
      <c r="U2" s="105" t="n"/>
      <c r="V2" s="254" t="n"/>
      <c r="W2" s="105" t="n"/>
      <c r="X2" s="254" t="n"/>
      <c r="Y2" s="105" t="n"/>
      <c r="Z2" s="254" t="n"/>
    </row>
    <row r="3" ht="37.5" customHeight="1" s="251">
      <c r="A3" s="263" t="n"/>
      <c r="B3" s="264" t="n"/>
      <c r="C3" s="265" t="n"/>
      <c r="D3" s="264" t="n"/>
      <c r="E3" s="265" t="n"/>
      <c r="F3" s="264" t="n"/>
      <c r="G3" s="265" t="n"/>
      <c r="H3" s="266" t="n">
        <v>46219</v>
      </c>
      <c r="I3" s="267" t="n"/>
      <c r="J3" s="267" t="n"/>
      <c r="K3" s="267" t="n"/>
      <c r="L3" s="267" t="n"/>
      <c r="M3" s="267" t="n"/>
      <c r="N3" s="267" t="n"/>
      <c r="O3" s="267" t="n"/>
      <c r="P3" s="267" t="n"/>
      <c r="Q3" s="267" t="n"/>
      <c r="R3" s="267" t="n"/>
      <c r="S3" s="268" t="n"/>
      <c r="T3" s="269" t="n"/>
      <c r="U3" s="264" t="n"/>
      <c r="V3" s="265" t="n"/>
      <c r="W3" s="264" t="n"/>
      <c r="X3" s="265" t="n"/>
      <c r="Y3" s="264" t="n"/>
      <c r="Z3" s="265" t="n"/>
    </row>
    <row r="4" ht="13.5" customHeight="1" s="25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inlineStr">
        <is>
          <t>1. 소각현황(KG)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inlineStr">
        <is>
          <t>2. BOILER 운전현황(TON, HR)</t>
        </is>
      </c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2.5" customHeight="1" s="251" thickBot="1">
      <c r="A6" s="136" t="inlineStr">
        <is>
          <t>구 분</t>
        </is>
      </c>
      <c r="B6" s="270" t="n"/>
      <c r="C6" s="271" t="n"/>
      <c r="D6" s="136" t="inlineStr">
        <is>
          <t>SRF소각량</t>
        </is>
      </c>
      <c r="E6" s="270" t="n"/>
      <c r="F6" s="271" t="n"/>
      <c r="G6" s="136" t="inlineStr">
        <is>
          <t>SLUDGE 소각량</t>
        </is>
      </c>
      <c r="H6" s="270" t="n"/>
      <c r="I6" s="271" t="n"/>
      <c r="J6" s="136" t="inlineStr">
        <is>
          <t>합 계</t>
        </is>
      </c>
      <c r="K6" s="270" t="n"/>
      <c r="L6" s="271" t="n"/>
      <c r="M6" s="1" t="n"/>
      <c r="N6" s="1" t="n"/>
      <c r="O6" s="1" t="n"/>
      <c r="P6" s="136" t="inlineStr">
        <is>
          <t>구 분</t>
        </is>
      </c>
      <c r="Q6" s="271" t="n"/>
      <c r="R6" s="136" t="inlineStr">
        <is>
          <t>스팀 생산량</t>
        </is>
      </c>
      <c r="S6" s="270" t="n"/>
      <c r="T6" s="271" t="n"/>
      <c r="U6" s="136" t="inlineStr">
        <is>
          <t>스팀 송기량</t>
        </is>
      </c>
      <c r="V6" s="270" t="n"/>
      <c r="W6" s="271" t="n"/>
      <c r="X6" s="136" t="inlineStr">
        <is>
          <t>가동시간</t>
        </is>
      </c>
      <c r="Y6" s="270" t="n"/>
      <c r="Z6" s="271" t="n"/>
    </row>
    <row r="7" ht="30" customHeight="1" s="251" thickTop="1">
      <c r="A7" s="105" t="inlineStr">
        <is>
          <t>금 일</t>
        </is>
      </c>
      <c r="B7" s="272" t="n"/>
      <c r="C7" s="265" t="n"/>
      <c r="D7" s="139" t="n">
        <v>67599</v>
      </c>
      <c r="E7" s="272" t="n"/>
      <c r="F7" s="265" t="n"/>
      <c r="G7" s="139" t="n">
        <v>145400</v>
      </c>
      <c r="H7" s="272" t="n"/>
      <c r="I7" s="265" t="n"/>
      <c r="J7" s="154">
        <f>D7+G7</f>
        <v/>
      </c>
      <c r="K7" s="278" t="n"/>
      <c r="L7" s="279" t="n"/>
      <c r="M7" s="1" t="n"/>
      <c r="N7" s="1" t="n"/>
      <c r="O7" s="1" t="n"/>
      <c r="P7" s="105" t="inlineStr">
        <is>
          <t>금 일</t>
        </is>
      </c>
      <c r="Q7" s="265" t="n"/>
      <c r="R7" s="276" t="n">
        <v>495.5</v>
      </c>
      <c r="S7" s="272" t="n"/>
      <c r="T7" s="265" t="n"/>
      <c r="U7" s="276" t="n">
        <v>405.4</v>
      </c>
      <c r="V7" s="272" t="n"/>
      <c r="W7" s="265" t="n"/>
      <c r="X7" s="277" t="n">
        <v>24</v>
      </c>
      <c r="Y7" s="272" t="n"/>
      <c r="Z7" s="265" t="n"/>
    </row>
    <row r="8" ht="30" customHeight="1" s="251">
      <c r="A8" s="104" t="inlineStr">
        <is>
          <t>누 계</t>
        </is>
      </c>
      <c r="B8" s="278" t="n"/>
      <c r="C8" s="279" t="n"/>
      <c r="D8" s="154">
        <f>'15'!D8+D7</f>
        <v/>
      </c>
      <c r="E8" s="278" t="n"/>
      <c r="F8" s="279" t="n"/>
      <c r="G8" s="154">
        <f>'15'!G8+G7</f>
        <v/>
      </c>
      <c r="H8" s="278" t="n"/>
      <c r="I8" s="279" t="n"/>
      <c r="J8" s="154">
        <f>D8+G8</f>
        <v/>
      </c>
      <c r="K8" s="278" t="n"/>
      <c r="L8" s="279" t="n"/>
      <c r="M8" s="1" t="n"/>
      <c r="N8" s="1" t="n"/>
      <c r="O8" s="1" t="n"/>
      <c r="P8" s="104" t="inlineStr">
        <is>
          <t>누 계</t>
        </is>
      </c>
      <c r="Q8" s="279" t="n"/>
      <c r="R8" s="280">
        <f>'15'!R8+R7</f>
        <v/>
      </c>
      <c r="S8" s="278" t="n"/>
      <c r="T8" s="279" t="n"/>
      <c r="U8" s="280">
        <f>'15'!U8+U7</f>
        <v/>
      </c>
      <c r="V8" s="278" t="n"/>
      <c r="W8" s="279" t="n"/>
      <c r="X8" s="281">
        <f>'15'!X8+'16'!X7</f>
        <v/>
      </c>
      <c r="Y8" s="278" t="n"/>
      <c r="Z8" s="279" t="n"/>
    </row>
    <row r="9" ht="12" customHeight="1" s="25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inlineStr">
        <is>
          <t>3. 약품 사용현황 (KG)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inlineStr">
        <is>
          <t>4. 소각재 발생량 (TON, 대)</t>
        </is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30.75" customHeight="1" s="251" thickBot="1">
      <c r="A11" s="136" t="inlineStr">
        <is>
          <t>품 명</t>
        </is>
      </c>
      <c r="B11" s="271" t="n"/>
      <c r="C11" s="150" t="inlineStr">
        <is>
          <t>전일 
재고량</t>
        </is>
      </c>
      <c r="D11" s="271" t="n"/>
      <c r="E11" s="136" t="inlineStr">
        <is>
          <t>입고량</t>
        </is>
      </c>
      <c r="F11" s="271" t="n"/>
      <c r="G11" s="136" t="inlineStr">
        <is>
          <t>사용량</t>
        </is>
      </c>
      <c r="H11" s="271" t="n"/>
      <c r="I11" s="282" t="inlineStr">
        <is>
          <t>재고량</t>
        </is>
      </c>
      <c r="J11" s="271" t="n"/>
      <c r="K11" s="150" t="inlineStr">
        <is>
          <t>입고량 
누계</t>
        </is>
      </c>
      <c r="L11" s="271" t="n"/>
      <c r="M11" s="150" t="inlineStr">
        <is>
          <t>사용량 
누계</t>
        </is>
      </c>
      <c r="N11" s="271" t="n"/>
      <c r="O11" s="1" t="n"/>
      <c r="P11" s="136" t="inlineStr">
        <is>
          <t xml:space="preserve"> 구 분</t>
        </is>
      </c>
      <c r="Q11" s="270" t="n"/>
      <c r="R11" s="271" t="n"/>
      <c r="S11" s="282" t="inlineStr">
        <is>
          <t>반출량</t>
        </is>
      </c>
      <c r="T11" s="270" t="n"/>
      <c r="U11" s="270" t="n"/>
      <c r="V11" s="271" t="n"/>
      <c r="W11" s="282" t="inlineStr">
        <is>
          <t>누계</t>
        </is>
      </c>
      <c r="X11" s="270" t="n"/>
      <c r="Y11" s="270" t="n"/>
      <c r="Z11" s="271" t="n"/>
    </row>
    <row r="12" ht="21.9" customHeight="1" s="251" thickTop="1">
      <c r="A12" s="142" t="inlineStr">
        <is>
          <t>탄산암모늄</t>
        </is>
      </c>
      <c r="B12" s="265" t="n"/>
      <c r="C12" s="310">
        <f>'15'!I12</f>
        <v/>
      </c>
      <c r="D12" s="265" t="n"/>
      <c r="E12" s="105" t="n">
        <v>12190</v>
      </c>
      <c r="F12" s="265" t="n"/>
      <c r="G12" s="105" t="n">
        <v>4223</v>
      </c>
      <c r="H12" s="265" t="n"/>
      <c r="I12" s="164">
        <f>C12+E12-G12</f>
        <v/>
      </c>
      <c r="J12" s="283" t="n"/>
      <c r="K12" s="105">
        <f>'15'!K12+'16'!E12</f>
        <v/>
      </c>
      <c r="L12" s="265" t="n"/>
      <c r="M12" s="105">
        <f>'15'!M12+G12</f>
        <v/>
      </c>
      <c r="N12" s="265" t="n"/>
      <c r="O12" s="1" t="n"/>
      <c r="P12" s="149" t="inlineStr">
        <is>
          <t xml:space="preserve">
비산재
</t>
        </is>
      </c>
      <c r="R12" s="254" t="n"/>
      <c r="S12" s="284" t="n">
        <v>29.21</v>
      </c>
      <c r="T12" s="285" t="n"/>
      <c r="U12" s="285" t="n"/>
      <c r="V12" s="285" t="n"/>
      <c r="W12" s="318">
        <f>'15'!W12+'16'!S12</f>
        <v/>
      </c>
      <c r="X12" s="285" t="n"/>
      <c r="Y12" s="285" t="n"/>
      <c r="Z12" s="287" t="n"/>
    </row>
    <row r="13" ht="21.9" customHeight="1" s="251">
      <c r="A13" s="104" t="inlineStr">
        <is>
          <t>청관제</t>
        </is>
      </c>
      <c r="B13" s="279" t="n"/>
      <c r="C13" s="310">
        <f>'15'!I13</f>
        <v/>
      </c>
      <c r="D13" s="265" t="n"/>
      <c r="E13" s="104" t="n">
        <v>0</v>
      </c>
      <c r="F13" s="279" t="n"/>
      <c r="G13" s="104" t="n">
        <v>90</v>
      </c>
      <c r="H13" s="279" t="n"/>
      <c r="I13" s="288">
        <f>C13+E13-G13</f>
        <v/>
      </c>
      <c r="J13" s="275" t="n"/>
      <c r="K13" s="105">
        <f>'15'!K13+'16'!E13</f>
        <v/>
      </c>
      <c r="L13" s="265" t="n"/>
      <c r="M13" s="105">
        <f>'15'!M13+G13</f>
        <v/>
      </c>
      <c r="N13" s="265" t="n"/>
      <c r="O13" s="1" t="n"/>
      <c r="P13" s="264" t="n"/>
      <c r="Q13" s="272" t="n"/>
      <c r="R13" s="265" t="n"/>
      <c r="S13" s="289" t="n"/>
      <c r="T13" s="290" t="n"/>
      <c r="U13" s="290" t="n"/>
      <c r="V13" s="290" t="n"/>
      <c r="W13" s="264" t="n"/>
      <c r="X13" s="272" t="n"/>
      <c r="Y13" s="272" t="n"/>
      <c r="Z13" s="265" t="n"/>
    </row>
    <row r="14" ht="21.9" customHeight="1" s="251">
      <c r="A14" s="104" t="inlineStr">
        <is>
          <t>활성탄</t>
        </is>
      </c>
      <c r="B14" s="279" t="n"/>
      <c r="C14" s="310">
        <f>'15'!I14</f>
        <v/>
      </c>
      <c r="D14" s="265" t="n"/>
      <c r="E14" s="104" t="n">
        <v>0</v>
      </c>
      <c r="F14" s="279" t="n"/>
      <c r="G14" s="104" t="n">
        <v>120</v>
      </c>
      <c r="H14" s="279" t="n"/>
      <c r="I14" s="288">
        <f>C14+E14-G14</f>
        <v/>
      </c>
      <c r="J14" s="275" t="n"/>
      <c r="K14" s="105">
        <f>'15'!K14+'16'!E14</f>
        <v/>
      </c>
      <c r="L14" s="265" t="n"/>
      <c r="M14" s="105">
        <f>'15'!M14+G14</f>
        <v/>
      </c>
      <c r="N14" s="265" t="n"/>
      <c r="O14" s="1" t="n"/>
      <c r="P14" s="104" t="inlineStr">
        <is>
          <t>바닥재</t>
        </is>
      </c>
      <c r="Q14" s="291" t="n"/>
      <c r="R14" s="292" t="n"/>
      <c r="S14" s="293" t="n">
        <v>0</v>
      </c>
      <c r="T14" s="291" t="n"/>
      <c r="U14" s="291" t="n"/>
      <c r="V14" s="291" t="n"/>
      <c r="W14" s="311">
        <f>'15'!W14+'16'!S14</f>
        <v/>
      </c>
      <c r="X14" s="291" t="n"/>
      <c r="Y14" s="291" t="n"/>
      <c r="Z14" s="295" t="n"/>
    </row>
    <row r="15" ht="21.9" customHeight="1" s="251">
      <c r="A15" s="104" t="inlineStr">
        <is>
          <t>가성소다</t>
        </is>
      </c>
      <c r="B15" s="279" t="n"/>
      <c r="C15" s="310">
        <f>'15'!I15</f>
        <v/>
      </c>
      <c r="D15" s="265" t="n"/>
      <c r="E15" s="104" t="n">
        <v>0</v>
      </c>
      <c r="F15" s="279" t="n"/>
      <c r="G15" s="104" t="n">
        <v>31</v>
      </c>
      <c r="H15" s="279" t="n"/>
      <c r="I15" s="288">
        <f>C15+E15-G15</f>
        <v/>
      </c>
      <c r="J15" s="275" t="n"/>
      <c r="K15" s="105">
        <f>'15'!K15+'16'!E15</f>
        <v/>
      </c>
      <c r="L15" s="265" t="n"/>
      <c r="M15" s="105">
        <f>'15'!M15+G15</f>
        <v/>
      </c>
      <c r="N15" s="265" t="n"/>
      <c r="O15" s="1" t="n"/>
      <c r="P15" s="296" t="n"/>
      <c r="Q15" s="290" t="n"/>
      <c r="R15" s="297" t="n"/>
      <c r="S15" s="296" t="n"/>
      <c r="T15" s="290" t="n"/>
      <c r="U15" s="290" t="n"/>
      <c r="V15" s="290" t="n"/>
      <c r="W15" s="298" t="n"/>
      <c r="X15" s="272" t="n"/>
      <c r="Y15" s="272" t="n"/>
      <c r="Z15" s="265" t="n"/>
    </row>
    <row r="16" ht="21.9" customHeight="1" s="251">
      <c r="A16" s="104" t="inlineStr">
        <is>
          <t>소석회</t>
        </is>
      </c>
      <c r="B16" s="279" t="n"/>
      <c r="C16" s="310">
        <f>'15'!I16</f>
        <v/>
      </c>
      <c r="D16" s="265" t="n"/>
      <c r="E16" s="104" t="n">
        <v>0</v>
      </c>
      <c r="F16" s="279" t="n"/>
      <c r="G16" s="104" t="n">
        <v>20</v>
      </c>
      <c r="H16" s="279" t="n"/>
      <c r="I16" s="288">
        <f>C16+E16-G16</f>
        <v/>
      </c>
      <c r="J16" s="275" t="n"/>
      <c r="K16" s="105">
        <f>'15'!K16+'16'!E16</f>
        <v/>
      </c>
      <c r="L16" s="265" t="n"/>
      <c r="M16" s="105">
        <f>'15'!M16+G16</f>
        <v/>
      </c>
      <c r="N16" s="265" t="n"/>
      <c r="O16" s="1" t="n"/>
      <c r="P16" s="162" t="inlineStr">
        <is>
          <t>구분</t>
        </is>
      </c>
      <c r="Q16" s="291" t="n"/>
      <c r="R16" s="292" t="n"/>
      <c r="S16" s="299" t="inlineStr">
        <is>
          <t>주간</t>
        </is>
      </c>
      <c r="T16" s="292" t="n"/>
      <c r="U16" s="299" t="inlineStr">
        <is>
          <t>야간</t>
        </is>
      </c>
      <c r="V16" s="292" t="n"/>
      <c r="W16" s="299" t="inlineStr">
        <is>
          <t>합계</t>
        </is>
      </c>
      <c r="X16" s="292" t="n"/>
      <c r="Y16" s="299" t="inlineStr">
        <is>
          <t>누계</t>
        </is>
      </c>
      <c r="Z16" s="292" t="n"/>
    </row>
    <row r="17" ht="21.9" customHeight="1" s="251" thickBot="1">
      <c r="A17" s="104" t="inlineStr">
        <is>
          <t>소 금</t>
        </is>
      </c>
      <c r="B17" s="279" t="n"/>
      <c r="C17" s="310">
        <f>'15'!I17</f>
        <v/>
      </c>
      <c r="D17" s="265" t="n"/>
      <c r="E17" s="104" t="n">
        <v>0</v>
      </c>
      <c r="F17" s="279" t="n"/>
      <c r="G17" s="104" t="n">
        <v>200</v>
      </c>
      <c r="H17" s="279" t="n"/>
      <c r="I17" s="288">
        <f>C17+E17-G17</f>
        <v/>
      </c>
      <c r="J17" s="275" t="n"/>
      <c r="K17" s="105">
        <f>'15'!K17+'16'!E17</f>
        <v/>
      </c>
      <c r="L17" s="265" t="n"/>
      <c r="M17" s="105">
        <f>'15'!M17+G17</f>
        <v/>
      </c>
      <c r="N17" s="265" t="n"/>
      <c r="O17" s="1" t="n"/>
      <c r="P17" s="296" t="n"/>
      <c r="Q17" s="290" t="n"/>
      <c r="R17" s="297" t="n"/>
      <c r="S17" s="300" t="n"/>
      <c r="T17" s="301" t="n"/>
      <c r="U17" s="300" t="n"/>
      <c r="V17" s="301" t="n"/>
      <c r="W17" s="300" t="n"/>
      <c r="X17" s="301" t="n"/>
      <c r="Y17" s="300" t="n"/>
      <c r="Z17" s="301" t="n"/>
      <c r="AE17" s="302" t="n"/>
    </row>
    <row r="18" ht="21.9" customHeight="1" s="251" thickTop="1">
      <c r="A18" s="104" t="inlineStr">
        <is>
          <t>경 유</t>
        </is>
      </c>
      <c r="B18" s="279" t="n"/>
      <c r="C18" s="310">
        <f>'15'!I18</f>
        <v/>
      </c>
      <c r="D18" s="265" t="n"/>
      <c r="E18" s="104" t="n">
        <v>0</v>
      </c>
      <c r="F18" s="279" t="n"/>
      <c r="G18" s="104" t="n">
        <v>0</v>
      </c>
      <c r="H18" s="279" t="n"/>
      <c r="I18" s="288">
        <f>C18+E18-G18</f>
        <v/>
      </c>
      <c r="J18" s="275" t="n"/>
      <c r="K18" s="105">
        <f>'15'!K18+'16'!E18</f>
        <v/>
      </c>
      <c r="L18" s="265" t="n"/>
      <c r="M18" s="105">
        <f>'15'!M18+G18</f>
        <v/>
      </c>
      <c r="N18" s="265" t="n"/>
      <c r="O18" s="1" t="n"/>
      <c r="P18" s="164" t="inlineStr">
        <is>
          <t>불연물</t>
        </is>
      </c>
      <c r="Q18" s="285" t="n"/>
      <c r="R18" s="287" t="n"/>
      <c r="S18" s="303" t="n">
        <v>0</v>
      </c>
      <c r="T18" s="287" t="n"/>
      <c r="U18" s="303" t="n">
        <v>2</v>
      </c>
      <c r="V18" s="287" t="n"/>
      <c r="W18" s="303">
        <f>S18+U18</f>
        <v/>
      </c>
      <c r="X18" s="287" t="n"/>
      <c r="Y18" s="303">
        <f>'15'!Y18+'16'!W18</f>
        <v/>
      </c>
      <c r="Z18" s="287" t="n"/>
    </row>
    <row r="19" ht="21.9" customHeight="1" s="251">
      <c r="A19" s="153" t="inlineStr">
        <is>
          <t>SRF</t>
        </is>
      </c>
      <c r="B19" s="279" t="n"/>
      <c r="C19" s="310">
        <f>'15'!I19</f>
        <v/>
      </c>
      <c r="D19" s="265" t="n"/>
      <c r="E19" s="154" t="n">
        <v>48570</v>
      </c>
      <c r="F19" s="279" t="n"/>
      <c r="G19" s="154">
        <f>D7</f>
        <v/>
      </c>
      <c r="H19" s="279" t="n"/>
      <c r="I19" s="273">
        <f>C19+E19-G19</f>
        <v/>
      </c>
      <c r="J19" s="275" t="n"/>
      <c r="K19" s="139">
        <f>'15'!K19+'16'!E19</f>
        <v/>
      </c>
      <c r="L19" s="265" t="n"/>
      <c r="M19" s="139">
        <f>'15'!M19+G19</f>
        <v/>
      </c>
      <c r="N19" s="265" t="n"/>
      <c r="O19" s="1" t="n"/>
      <c r="P19" s="256" t="n"/>
      <c r="R19" s="254" t="n"/>
      <c r="S19" s="256" t="n"/>
      <c r="T19" s="254" t="n"/>
      <c r="U19" s="256" t="n"/>
      <c r="V19" s="254" t="n"/>
      <c r="W19" s="256" t="n"/>
      <c r="X19" s="254" t="n"/>
      <c r="Y19" s="256" t="n"/>
      <c r="Z19" s="254" t="n"/>
    </row>
    <row r="20" ht="21.9" customHeight="1" s="251">
      <c r="A20" s="104" t="inlineStr">
        <is>
          <t>규 사</t>
        </is>
      </c>
      <c r="B20" s="279" t="n"/>
      <c r="C20" s="310">
        <f>'15'!I20</f>
        <v/>
      </c>
      <c r="D20" s="265" t="n"/>
      <c r="E20" s="288" t="n"/>
      <c r="F20" s="275" t="n"/>
      <c r="G20" s="104" t="n"/>
      <c r="H20" s="279" t="n"/>
      <c r="I20" s="288" t="inlineStr">
        <is>
          <t>-</t>
        </is>
      </c>
      <c r="J20" s="275" t="n"/>
      <c r="K20" s="105">
        <f>'15'!K20+'16'!E20</f>
        <v/>
      </c>
      <c r="L20" s="265" t="n"/>
      <c r="M20" s="139">
        <f>'15'!M20+G20</f>
        <v/>
      </c>
      <c r="N20" s="265" t="n"/>
      <c r="O20" s="1" t="n"/>
      <c r="P20" s="264" t="n"/>
      <c r="Q20" s="272" t="n"/>
      <c r="R20" s="265" t="n"/>
      <c r="S20" s="264" t="n"/>
      <c r="T20" s="265" t="n"/>
      <c r="U20" s="264" t="n"/>
      <c r="V20" s="265" t="n"/>
      <c r="W20" s="264" t="n"/>
      <c r="X20" s="265" t="n"/>
      <c r="Y20" s="264" t="n"/>
      <c r="Z20" s="265" t="n"/>
    </row>
    <row r="21" ht="12" customHeight="1" s="25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 t="inlineStr">
        <is>
          <t>5. 전력 사용량 (KWH)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10" t="inlineStr">
        <is>
          <t>6. 유틸리티 사용현황 (㎥)</t>
        </is>
      </c>
      <c r="Q22" s="290" t="n"/>
      <c r="R22" s="290" t="n"/>
      <c r="S22" s="290" t="n"/>
      <c r="T22" s="290" t="n"/>
      <c r="U22" s="290" t="n"/>
      <c r="V22" s="1" t="n"/>
      <c r="W22" s="1" t="n"/>
      <c r="X22" s="1" t="n"/>
      <c r="Y22" s="1" t="n"/>
      <c r="Z22" s="1" t="n"/>
    </row>
    <row r="23" ht="28.5" customHeight="1" s="251" thickBot="1">
      <c r="A23" s="136" t="inlineStr">
        <is>
          <t>구 분</t>
        </is>
      </c>
      <c r="B23" s="270" t="n"/>
      <c r="C23" s="271" t="n"/>
      <c r="D23" s="136" t="inlineStr">
        <is>
          <t>전일지침</t>
        </is>
      </c>
      <c r="E23" s="270" t="n"/>
      <c r="F23" s="271" t="n"/>
      <c r="G23" s="136" t="inlineStr">
        <is>
          <t>금일지침</t>
        </is>
      </c>
      <c r="H23" s="270" t="n"/>
      <c r="I23" s="271" t="n"/>
      <c r="J23" s="136" t="inlineStr">
        <is>
          <t>사용량</t>
        </is>
      </c>
      <c r="K23" s="270" t="n"/>
      <c r="L23" s="271" t="n"/>
      <c r="M23" s="136" t="inlineStr">
        <is>
          <t>누 계</t>
        </is>
      </c>
      <c r="N23" s="271" t="n"/>
      <c r="P23" s="136" t="inlineStr">
        <is>
          <t>구 분</t>
        </is>
      </c>
      <c r="Q23" s="270" t="n"/>
      <c r="R23" s="271" t="n"/>
      <c r="S23" s="136" t="inlineStr">
        <is>
          <t>전일 사용량</t>
        </is>
      </c>
      <c r="T23" s="270" t="n"/>
      <c r="U23" s="271" t="n"/>
      <c r="V23" s="136" t="inlineStr">
        <is>
          <t>금일 사용량</t>
        </is>
      </c>
      <c r="W23" s="270" t="n"/>
      <c r="X23" s="271" t="n"/>
      <c r="Y23" s="136" t="inlineStr">
        <is>
          <t>누 계</t>
        </is>
      </c>
      <c r="Z23" s="271" t="n"/>
    </row>
    <row r="24" ht="21.9" customHeight="1" s="251" thickTop="1">
      <c r="A24" s="105" t="inlineStr">
        <is>
          <t>MAIN</t>
        </is>
      </c>
      <c r="B24" s="272" t="n"/>
      <c r="C24" s="265" t="n"/>
      <c r="D24" s="187">
        <f>'15'!G24</f>
        <v/>
      </c>
      <c r="E24" s="285" t="n"/>
      <c r="F24" s="287" t="n"/>
      <c r="G24" s="164" t="n">
        <v>4039538</v>
      </c>
      <c r="H24" s="304" t="n"/>
      <c r="I24" s="283" t="n"/>
      <c r="J24" s="164">
        <f>G24-D24</f>
        <v/>
      </c>
      <c r="K24" s="304" t="n"/>
      <c r="L24" s="283" t="n"/>
      <c r="M24" s="164">
        <f>'15'!M24+'16'!J24</f>
        <v/>
      </c>
      <c r="N24" s="283" t="n"/>
      <c r="P24" s="105" t="inlineStr">
        <is>
          <t>재이용수</t>
        </is>
      </c>
      <c r="Q24" s="272" t="n"/>
      <c r="R24" s="265" t="n"/>
      <c r="S24" s="105">
        <f>'15'!V24</f>
        <v/>
      </c>
      <c r="T24" s="272" t="n"/>
      <c r="U24" s="265" t="n"/>
      <c r="V24" s="276" t="n">
        <v>561.4</v>
      </c>
      <c r="W24" s="272" t="n"/>
      <c r="X24" s="265" t="n"/>
      <c r="Y24" s="276">
        <f>'15'!Y24+'16'!V24</f>
        <v/>
      </c>
      <c r="Z24" s="265" t="n"/>
    </row>
    <row r="25" ht="21.9" customHeight="1" s="251">
      <c r="A25" s="104" t="inlineStr">
        <is>
          <t>ASH 저장조</t>
        </is>
      </c>
      <c r="B25" s="278" t="n"/>
      <c r="C25" s="279" t="n"/>
      <c r="D25" s="104">
        <f>'15'!G25</f>
        <v/>
      </c>
      <c r="E25" s="278" t="n"/>
      <c r="F25" s="279" t="n"/>
      <c r="G25" s="104" t="n">
        <v>33307.8</v>
      </c>
      <c r="H25" s="278" t="n"/>
      <c r="I25" s="279" t="n"/>
      <c r="J25" s="104">
        <f>G25-D25</f>
        <v/>
      </c>
      <c r="K25" s="278" t="n"/>
      <c r="L25" s="279" t="n"/>
      <c r="M25" s="288">
        <f>'15'!M25+'16'!J25</f>
        <v/>
      </c>
      <c r="N25" s="275" t="n"/>
      <c r="P25" s="104" t="inlineStr">
        <is>
          <t>복류수</t>
        </is>
      </c>
      <c r="Q25" s="278" t="n"/>
      <c r="R25" s="279" t="n"/>
      <c r="S25" s="288">
        <f>'15'!V25</f>
        <v/>
      </c>
      <c r="T25" s="274" t="n"/>
      <c r="U25" s="275" t="n"/>
      <c r="V25" s="280" t="n">
        <v>66.8</v>
      </c>
      <c r="W25" s="278" t="n"/>
      <c r="X25" s="279" t="n"/>
      <c r="Y25" s="276">
        <f>'15'!Y25+'16'!V25</f>
        <v/>
      </c>
      <c r="Z25" s="265" t="n"/>
    </row>
    <row r="26" ht="21.9" customHeight="1" s="251">
      <c r="A26" s="104" t="inlineStr">
        <is>
          <t>BAG FILTER</t>
        </is>
      </c>
      <c r="B26" s="278" t="n"/>
      <c r="C26" s="279" t="n"/>
      <c r="D26" s="104">
        <f>'15'!G26</f>
        <v/>
      </c>
      <c r="E26" s="278" t="n"/>
      <c r="F26" s="279" t="n"/>
      <c r="G26" s="104" t="n">
        <v>24630</v>
      </c>
      <c r="H26" s="278" t="n"/>
      <c r="I26" s="279" t="n"/>
      <c r="J26" s="104">
        <f>G26-D26</f>
        <v/>
      </c>
      <c r="K26" s="278" t="n"/>
      <c r="L26" s="279" t="n"/>
      <c r="M26" s="288">
        <f>'15'!M26+'16'!J26</f>
        <v/>
      </c>
      <c r="N26" s="275" t="n"/>
      <c r="P26" s="104" t="inlineStr">
        <is>
          <t>응축수</t>
        </is>
      </c>
      <c r="Q26" s="278" t="n"/>
      <c r="R26" s="279" t="n"/>
      <c r="S26" s="288">
        <f>'15'!V26</f>
        <v/>
      </c>
      <c r="T26" s="274" t="n"/>
      <c r="U26" s="275" t="n"/>
      <c r="V26" s="280" t="n">
        <v>485.3</v>
      </c>
      <c r="W26" s="278" t="n"/>
      <c r="X26" s="279" t="n"/>
      <c r="Y26" s="276">
        <f>'15'!Y26+'16'!V26</f>
        <v/>
      </c>
      <c r="Z26" s="265" t="n"/>
    </row>
    <row r="27" ht="21.9" customHeight="1" s="251">
      <c r="A27" s="104" t="inlineStr">
        <is>
          <t>SCRUBBER</t>
        </is>
      </c>
      <c r="B27" s="278" t="n"/>
      <c r="C27" s="279" t="n"/>
      <c r="D27" s="104">
        <f>'15'!G27</f>
        <v/>
      </c>
      <c r="E27" s="278" t="n"/>
      <c r="F27" s="279" t="n"/>
      <c r="G27" s="104" t="n">
        <v>1393000</v>
      </c>
      <c r="H27" s="278" t="n"/>
      <c r="I27" s="279" t="n"/>
      <c r="J27" s="104">
        <f>G27-D27</f>
        <v/>
      </c>
      <c r="K27" s="278" t="n"/>
      <c r="L27" s="279" t="n"/>
      <c r="M27" s="288">
        <f>'15'!M27+'16'!J27</f>
        <v/>
      </c>
      <c r="N27" s="275" t="n"/>
      <c r="P27" s="104" t="inlineStr">
        <is>
          <t>보일러 급수</t>
        </is>
      </c>
      <c r="Q27" s="278" t="n"/>
      <c r="R27" s="279" t="n"/>
      <c r="S27" s="288">
        <f>'15'!V27</f>
        <v/>
      </c>
      <c r="T27" s="274" t="n"/>
      <c r="U27" s="275" t="n"/>
      <c r="V27" s="280" t="n">
        <v>508.4</v>
      </c>
      <c r="W27" s="278" t="n"/>
      <c r="X27" s="279" t="n"/>
      <c r="Y27" s="276">
        <f>'15'!Y27+'16'!V27</f>
        <v/>
      </c>
      <c r="Z27" s="265" t="n"/>
    </row>
    <row r="28" ht="21.9" customHeight="1" s="251">
      <c r="A28" s="104" t="inlineStr">
        <is>
          <t>활성탄 공급</t>
        </is>
      </c>
      <c r="B28" s="278" t="n"/>
      <c r="C28" s="279" t="n"/>
      <c r="D28" s="104">
        <f>'15'!G28</f>
        <v/>
      </c>
      <c r="E28" s="278" t="n"/>
      <c r="F28" s="279" t="n"/>
      <c r="G28" s="104" t="n">
        <v>5823</v>
      </c>
      <c r="H28" s="278" t="n"/>
      <c r="I28" s="279" t="n"/>
      <c r="J28" s="104">
        <f>G28-D28</f>
        <v/>
      </c>
      <c r="K28" s="278" t="n"/>
      <c r="L28" s="279" t="n"/>
      <c r="M28" s="288">
        <f>'15'!M28+'16'!J28</f>
        <v/>
      </c>
      <c r="N28" s="275" t="n"/>
      <c r="P28" s="104" t="inlineStr">
        <is>
          <t>폐 수</t>
        </is>
      </c>
      <c r="Q28" s="278" t="n"/>
      <c r="R28" s="279" t="n"/>
      <c r="S28" s="288">
        <f>'15'!V28</f>
        <v/>
      </c>
      <c r="T28" s="274" t="n"/>
      <c r="U28" s="275" t="n"/>
      <c r="V28" s="280" t="n">
        <v>0</v>
      </c>
      <c r="W28" s="278" t="n"/>
      <c r="X28" s="279" t="n"/>
      <c r="Y28" s="276">
        <f>'15'!Y28+'16'!V28</f>
        <v/>
      </c>
      <c r="Z28" s="265" t="n"/>
    </row>
    <row r="29" ht="21.9" customHeight="1" s="251">
      <c r="A29" s="104" t="inlineStr">
        <is>
          <t>소석회 공급</t>
        </is>
      </c>
      <c r="B29" s="278" t="n"/>
      <c r="C29" s="279" t="n"/>
      <c r="D29" s="104">
        <f>'15'!G29</f>
        <v/>
      </c>
      <c r="E29" s="278" t="n"/>
      <c r="F29" s="279" t="n"/>
      <c r="G29" s="104" t="n">
        <v>66230</v>
      </c>
      <c r="H29" s="278" t="n"/>
      <c r="I29" s="279" t="n"/>
      <c r="J29" s="104">
        <f>G29-D29</f>
        <v/>
      </c>
      <c r="K29" s="278" t="n"/>
      <c r="L29" s="279" t="n"/>
      <c r="M29" s="288">
        <f>'15'!M29+'16'!J29</f>
        <v/>
      </c>
      <c r="N29" s="275" t="n"/>
      <c r="P29" s="104" t="inlineStr">
        <is>
          <t>연 수</t>
        </is>
      </c>
      <c r="Q29" s="278" t="n"/>
      <c r="R29" s="279" t="n"/>
      <c r="S29" s="288">
        <f>'15'!V29</f>
        <v/>
      </c>
      <c r="T29" s="274" t="n"/>
      <c r="U29" s="275" t="n"/>
      <c r="V29" s="280" t="n">
        <v>75.2</v>
      </c>
      <c r="W29" s="278" t="n"/>
      <c r="X29" s="279" t="n"/>
      <c r="Y29" s="276">
        <f>'15'!Y29+'16'!V29</f>
        <v/>
      </c>
      <c r="Z29" s="265" t="n"/>
    </row>
    <row r="30" ht="21.9" customHeight="1" s="251">
      <c r="A30" s="104" t="inlineStr">
        <is>
          <t>요소수 공급</t>
        </is>
      </c>
      <c r="B30" s="278" t="n"/>
      <c r="C30" s="279" t="n"/>
      <c r="D30" s="104">
        <f>'15'!G30</f>
        <v/>
      </c>
      <c r="E30" s="278" t="n"/>
      <c r="F30" s="279" t="n"/>
      <c r="G30" s="104" t="n">
        <v>53430</v>
      </c>
      <c r="H30" s="278" t="n"/>
      <c r="I30" s="279" t="n"/>
      <c r="J30" s="104">
        <f>G30-D30</f>
        <v/>
      </c>
      <c r="K30" s="278" t="n"/>
      <c r="L30" s="279" t="n"/>
      <c r="M30" s="288">
        <f>'15'!M30+'16'!J30</f>
        <v/>
      </c>
      <c r="N30" s="275" t="n"/>
      <c r="P30" s="104" t="inlineStr">
        <is>
          <t>계</t>
        </is>
      </c>
      <c r="Q30" s="278" t="n"/>
      <c r="R30" s="279" t="n"/>
      <c r="S30" s="288">
        <f>'15'!V30</f>
        <v/>
      </c>
      <c r="T30" s="274" t="n"/>
      <c r="U30" s="275" t="n"/>
      <c r="V30" s="280" t="n"/>
      <c r="W30" s="278" t="n"/>
      <c r="X30" s="279" t="n"/>
      <c r="Y30" s="276">
        <f>'15'!Y30+'16'!V30</f>
        <v/>
      </c>
      <c r="Z30" s="265" t="n"/>
    </row>
    <row r="31" ht="21.9" customHeight="1" s="251">
      <c r="A31" s="104" t="inlineStr">
        <is>
          <t xml:space="preserve">F.D </t>
        </is>
      </c>
      <c r="B31" s="278" t="n"/>
      <c r="C31" s="279" t="n"/>
      <c r="D31" s="104">
        <f>'15'!G31</f>
        <v/>
      </c>
      <c r="E31" s="278" t="n"/>
      <c r="F31" s="279" t="n"/>
      <c r="G31" s="288" t="n">
        <v>6328164</v>
      </c>
      <c r="H31" s="274" t="n"/>
      <c r="I31" s="275" t="n"/>
      <c r="J31" s="104">
        <f>G31-D31</f>
        <v/>
      </c>
      <c r="K31" s="278" t="n"/>
      <c r="L31" s="279" t="n"/>
      <c r="M31" s="288">
        <f>'15'!M31+J31</f>
        <v/>
      </c>
      <c r="N31" s="275" t="n"/>
      <c r="P31" s="172" t="n"/>
      <c r="Q31" s="172" t="n"/>
      <c r="R31" s="172" t="n"/>
      <c r="S31" s="172" t="n"/>
      <c r="T31" s="172" t="n"/>
      <c r="U31" s="172" t="n"/>
      <c r="V31" s="305" t="n"/>
      <c r="W31" s="305" t="n"/>
      <c r="X31" s="305" t="n"/>
      <c r="Y31" s="305" t="n"/>
      <c r="Z31" s="305" t="n"/>
    </row>
    <row r="32" ht="21.9" customHeight="1" s="251">
      <c r="A32" s="104" t="inlineStr">
        <is>
          <t>활성탄 BAG</t>
        </is>
      </c>
      <c r="B32" s="278" t="n"/>
      <c r="C32" s="279" t="n"/>
      <c r="D32" s="104">
        <f>'15'!G32</f>
        <v/>
      </c>
      <c r="E32" s="278" t="n"/>
      <c r="F32" s="279" t="n"/>
      <c r="G32" s="288" t="n">
        <v>1.7</v>
      </c>
      <c r="H32" s="274" t="n"/>
      <c r="I32" s="275" t="n"/>
      <c r="J32" s="288">
        <f>G32-D32</f>
        <v/>
      </c>
      <c r="K32" s="274" t="n"/>
      <c r="L32" s="275" t="n"/>
      <c r="M32" s="288">
        <f>'15'!M32+J32</f>
        <v/>
      </c>
      <c r="N32" s="275" t="n"/>
      <c r="P32" s="172" t="n"/>
      <c r="Q32" s="172" t="n"/>
      <c r="R32" s="172" t="n"/>
      <c r="S32" s="172" t="n"/>
      <c r="T32" s="172" t="n"/>
      <c r="U32" s="172" t="n"/>
      <c r="V32" s="305" t="n"/>
      <c r="W32" s="305" t="n"/>
      <c r="X32" s="305" t="n"/>
      <c r="Y32" s="305" t="n"/>
      <c r="Z32" s="305" t="n"/>
    </row>
    <row r="33" ht="21.9" customHeight="1" s="251">
      <c r="A33" s="104" t="inlineStr">
        <is>
          <t>소석회 BAG</t>
        </is>
      </c>
      <c r="B33" s="278" t="n"/>
      <c r="C33" s="279" t="n"/>
      <c r="D33" s="104">
        <f>'15'!G33</f>
        <v/>
      </c>
      <c r="E33" s="278" t="n"/>
      <c r="F33" s="279" t="n"/>
      <c r="G33" s="288" t="n">
        <v>0</v>
      </c>
      <c r="H33" s="274" t="n"/>
      <c r="I33" s="275" t="n"/>
      <c r="J33" s="288">
        <f>G33-D33</f>
        <v/>
      </c>
      <c r="K33" s="274" t="n"/>
      <c r="L33" s="275" t="n"/>
      <c r="M33" s="288">
        <f>'15'!M33+J33</f>
        <v/>
      </c>
      <c r="N33" s="275" t="n"/>
      <c r="P33" s="172" t="n"/>
      <c r="Q33" s="172" t="n"/>
      <c r="R33" s="172" t="n"/>
      <c r="S33" s="172" t="n"/>
      <c r="T33" s="172" t="n"/>
      <c r="U33" s="172" t="n"/>
      <c r="V33" s="305" t="n"/>
      <c r="W33" s="305" t="n"/>
      <c r="X33" s="305" t="n"/>
      <c r="Y33" s="305" t="n"/>
      <c r="Z33" s="305" t="n"/>
    </row>
  </sheetData>
  <mergeCells count="217">
    <mergeCell ref="V24:X24"/>
    <mergeCell ref="A15:B15"/>
    <mergeCell ref="P27:R27"/>
    <mergeCell ref="S23:U23"/>
    <mergeCell ref="C15:D15"/>
    <mergeCell ref="J27:L27"/>
    <mergeCell ref="S14:V15"/>
    <mergeCell ref="Y24:Z24"/>
    <mergeCell ref="U7:W7"/>
    <mergeCell ref="A26:C26"/>
    <mergeCell ref="J25:L25"/>
    <mergeCell ref="G24:I24"/>
    <mergeCell ref="D28:F28"/>
    <mergeCell ref="I16:J16"/>
    <mergeCell ref="A23:C23"/>
    <mergeCell ref="S24:U24"/>
    <mergeCell ref="P6:Q6"/>
    <mergeCell ref="P28:R28"/>
    <mergeCell ref="W1:X1"/>
    <mergeCell ref="Y1:Z1"/>
    <mergeCell ref="G26:I26"/>
    <mergeCell ref="S16:T17"/>
    <mergeCell ref="D30:F30"/>
    <mergeCell ref="G18:H18"/>
    <mergeCell ref="U8:W8"/>
    <mergeCell ref="B1:C1"/>
    <mergeCell ref="I18:J18"/>
    <mergeCell ref="H3:S3"/>
    <mergeCell ref="M16:N16"/>
    <mergeCell ref="P30:R30"/>
    <mergeCell ref="M25:N25"/>
    <mergeCell ref="D29:F29"/>
    <mergeCell ref="D23:F23"/>
    <mergeCell ref="Y25:Z25"/>
    <mergeCell ref="M18:N18"/>
    <mergeCell ref="M33:N33"/>
    <mergeCell ref="A17:B17"/>
    <mergeCell ref="S25:U25"/>
    <mergeCell ref="C17:D17"/>
    <mergeCell ref="U18:V20"/>
    <mergeCell ref="J29:L29"/>
    <mergeCell ref="M17:N17"/>
    <mergeCell ref="W18:X20"/>
    <mergeCell ref="G20:H20"/>
    <mergeCell ref="I20:J20"/>
    <mergeCell ref="S27:U27"/>
    <mergeCell ref="A19:B19"/>
    <mergeCell ref="V23:X23"/>
    <mergeCell ref="C19:D19"/>
    <mergeCell ref="A6:C6"/>
    <mergeCell ref="Y2:Z3"/>
    <mergeCell ref="Y18:Z20"/>
    <mergeCell ref="M19:N19"/>
    <mergeCell ref="P22:U22"/>
    <mergeCell ref="I13:J13"/>
    <mergeCell ref="K13:L13"/>
    <mergeCell ref="X7:Z7"/>
    <mergeCell ref="E12:F12"/>
    <mergeCell ref="J24:L24"/>
    <mergeCell ref="G12:H12"/>
    <mergeCell ref="G28:I28"/>
    <mergeCell ref="D27:F27"/>
    <mergeCell ref="G6:I6"/>
    <mergeCell ref="I15:J15"/>
    <mergeCell ref="A11:B11"/>
    <mergeCell ref="K15:L15"/>
    <mergeCell ref="S28:U28"/>
    <mergeCell ref="C14:D14"/>
    <mergeCell ref="E14:F14"/>
    <mergeCell ref="J26:L26"/>
    <mergeCell ref="G30:I30"/>
    <mergeCell ref="J7:L7"/>
    <mergeCell ref="V27:X27"/>
    <mergeCell ref="A32:C32"/>
    <mergeCell ref="A29:C29"/>
    <mergeCell ref="D25:F25"/>
    <mergeCell ref="V25:X25"/>
    <mergeCell ref="Y26:Z26"/>
    <mergeCell ref="M13:N13"/>
    <mergeCell ref="G32:I32"/>
    <mergeCell ref="J33:L33"/>
    <mergeCell ref="W14:Z15"/>
    <mergeCell ref="A31:C31"/>
    <mergeCell ref="S26:U26"/>
    <mergeCell ref="M27:N27"/>
    <mergeCell ref="I17:J17"/>
    <mergeCell ref="A24:C24"/>
    <mergeCell ref="Y27:Z27"/>
    <mergeCell ref="K17:L17"/>
    <mergeCell ref="P29:R29"/>
    <mergeCell ref="M24:N24"/>
    <mergeCell ref="E16:F16"/>
    <mergeCell ref="J28:L28"/>
    <mergeCell ref="G27:I27"/>
    <mergeCell ref="G16:H16"/>
    <mergeCell ref="D31:F31"/>
    <mergeCell ref="U2:V3"/>
    <mergeCell ref="I19:J19"/>
    <mergeCell ref="U1:V1"/>
    <mergeCell ref="G8:I8"/>
    <mergeCell ref="K19:L19"/>
    <mergeCell ref="C18:D18"/>
    <mergeCell ref="A7:C7"/>
    <mergeCell ref="V29:X29"/>
    <mergeCell ref="E18:F18"/>
    <mergeCell ref="J30:L30"/>
    <mergeCell ref="R6:T6"/>
    <mergeCell ref="K16:L16"/>
    <mergeCell ref="A25:C25"/>
    <mergeCell ref="J6:L6"/>
    <mergeCell ref="D1:E1"/>
    <mergeCell ref="D32:F32"/>
    <mergeCell ref="G11:H11"/>
    <mergeCell ref="I11:J11"/>
    <mergeCell ref="P23:R23"/>
    <mergeCell ref="W11:Z11"/>
    <mergeCell ref="D7:F7"/>
    <mergeCell ref="Y16:Z17"/>
    <mergeCell ref="S18:T20"/>
    <mergeCell ref="C20:D20"/>
    <mergeCell ref="Y30:Z30"/>
    <mergeCell ref="E20:F20"/>
    <mergeCell ref="K11:L11"/>
    <mergeCell ref="J32:L32"/>
    <mergeCell ref="M11:N11"/>
    <mergeCell ref="Y29:Z29"/>
    <mergeCell ref="H1:S2"/>
    <mergeCell ref="V26:X26"/>
    <mergeCell ref="E13:F13"/>
    <mergeCell ref="S30:U30"/>
    <mergeCell ref="G13:H13"/>
    <mergeCell ref="M31:N31"/>
    <mergeCell ref="G29:I29"/>
    <mergeCell ref="D8:F8"/>
    <mergeCell ref="D33:F33"/>
    <mergeCell ref="W12:Z13"/>
    <mergeCell ref="A12:B12"/>
    <mergeCell ref="A28:C28"/>
    <mergeCell ref="S29:U29"/>
    <mergeCell ref="C12:D12"/>
    <mergeCell ref="A1:A3"/>
    <mergeCell ref="M15:N15"/>
    <mergeCell ref="E15:F15"/>
    <mergeCell ref="M12:N12"/>
    <mergeCell ref="G15:H15"/>
    <mergeCell ref="G31:I31"/>
    <mergeCell ref="Y28:Z28"/>
    <mergeCell ref="P18:R20"/>
    <mergeCell ref="A14:B14"/>
    <mergeCell ref="J8:L8"/>
    <mergeCell ref="A30:C30"/>
    <mergeCell ref="M26:N26"/>
    <mergeCell ref="U6:W6"/>
    <mergeCell ref="P25:R25"/>
    <mergeCell ref="M29:N29"/>
    <mergeCell ref="M23:N23"/>
    <mergeCell ref="F2:G3"/>
    <mergeCell ref="G23:I23"/>
    <mergeCell ref="Y23:Z23"/>
    <mergeCell ref="U16:V17"/>
    <mergeCell ref="W16:X17"/>
    <mergeCell ref="G7:I7"/>
    <mergeCell ref="K18:L18"/>
    <mergeCell ref="P12:R13"/>
    <mergeCell ref="D6:F6"/>
    <mergeCell ref="F1:G1"/>
    <mergeCell ref="T1:T3"/>
    <mergeCell ref="V28:X28"/>
    <mergeCell ref="P11:R11"/>
    <mergeCell ref="P14:R15"/>
    <mergeCell ref="A27:C27"/>
    <mergeCell ref="V30:X30"/>
    <mergeCell ref="W2:X3"/>
    <mergeCell ref="E17:F17"/>
    <mergeCell ref="G17:H17"/>
    <mergeCell ref="G33:I33"/>
    <mergeCell ref="X6:Z6"/>
    <mergeCell ref="A33:C33"/>
    <mergeCell ref="K20:L20"/>
    <mergeCell ref="A16:B16"/>
    <mergeCell ref="C16:D16"/>
    <mergeCell ref="M20:N20"/>
    <mergeCell ref="A8:C8"/>
    <mergeCell ref="E19:F19"/>
    <mergeCell ref="P8:Q8"/>
    <mergeCell ref="J31:L31"/>
    <mergeCell ref="G19:H19"/>
    <mergeCell ref="A18:B18"/>
    <mergeCell ref="G25:I25"/>
    <mergeCell ref="D24:F24"/>
    <mergeCell ref="M30:N30"/>
    <mergeCell ref="I12:J12"/>
    <mergeCell ref="K12:L12"/>
    <mergeCell ref="P24:R24"/>
    <mergeCell ref="P7:Q7"/>
    <mergeCell ref="C11:D11"/>
    <mergeCell ref="M28:N28"/>
    <mergeCell ref="E11:F11"/>
    <mergeCell ref="J23:L23"/>
    <mergeCell ref="D26:F26"/>
    <mergeCell ref="G14:H14"/>
    <mergeCell ref="S11:V11"/>
    <mergeCell ref="I14:J14"/>
    <mergeCell ref="R8:T8"/>
    <mergeCell ref="K14:L14"/>
    <mergeCell ref="P26:R26"/>
    <mergeCell ref="P16:R17"/>
    <mergeCell ref="A20:B20"/>
    <mergeCell ref="B2:C3"/>
    <mergeCell ref="D2:E3"/>
    <mergeCell ref="M32:N32"/>
    <mergeCell ref="M14:N14"/>
    <mergeCell ref="X8:Z8"/>
    <mergeCell ref="A13:B13"/>
    <mergeCell ref="C13:D13"/>
    <mergeCell ref="R7:T7"/>
    <mergeCell ref="S12:V13"/>
  </mergeCells>
  <pageMargins left="0.7086614173228347" right="0.7086614173228347" top="0.7480314960629921" bottom="0.7480314960629921" header="0.3149606299212598" footer="0.3149606299212598"/>
  <pageSetup orientation="portrait" paperSize="9" scale="59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AE33"/>
  <sheetViews>
    <sheetView topLeftCell="A19" zoomScaleNormal="100" zoomScaleSheetLayoutView="100" workbookViewId="0">
      <selection activeCell="B2" sqref="B2:G3"/>
    </sheetView>
  </sheetViews>
  <sheetFormatPr baseColWidth="8" defaultRowHeight="17.4"/>
  <cols>
    <col width="2.8984375" customWidth="1" style="251" min="1" max="1"/>
    <col width="5.59765625" customWidth="1" style="251" min="2" max="14"/>
    <col width="3.59765625" customWidth="1" style="251" min="15" max="15"/>
    <col width="4.59765625" customWidth="1" style="251" min="16" max="22"/>
    <col width="5.59765625" customWidth="1" style="251" min="23" max="26"/>
  </cols>
  <sheetData>
    <row r="1" ht="18.75" customHeight="1" s="251">
      <c r="A1" s="122" t="inlineStr">
        <is>
          <t>근
무
자</t>
        </is>
      </c>
      <c r="B1" s="120" t="inlineStr">
        <is>
          <t>오  전</t>
        </is>
      </c>
      <c r="C1" s="252" t="n"/>
      <c r="D1" s="120" t="inlineStr">
        <is>
          <t>오  후</t>
        </is>
      </c>
      <c r="E1" s="252" t="n"/>
      <c r="F1" s="120" t="inlineStr">
        <is>
          <t>야  간</t>
        </is>
      </c>
      <c r="G1" s="252" t="n"/>
      <c r="H1" s="253" t="inlineStr">
        <is>
          <t>유동상소각로 운전일지</t>
        </is>
      </c>
      <c r="S1" s="254" t="n"/>
      <c r="T1" s="255" t="inlineStr">
        <is>
          <t>결
재</t>
        </is>
      </c>
      <c r="U1" s="120" t="inlineStr">
        <is>
          <t>반장</t>
        </is>
      </c>
      <c r="V1" s="252" t="n"/>
      <c r="W1" s="120" t="inlineStr">
        <is>
          <t>대리</t>
        </is>
      </c>
      <c r="X1" s="252" t="n"/>
      <c r="Y1" s="120" t="inlineStr">
        <is>
          <t>팀장</t>
        </is>
      </c>
      <c r="Z1" s="252" t="n"/>
    </row>
    <row r="2" ht="14.25" customHeight="1" s="251">
      <c r="A2" s="256" t="n"/>
      <c r="B2" s="257" t="inlineStr">
        <is>
          <t>임종민</t>
        </is>
      </c>
      <c r="C2" s="258" t="n"/>
      <c r="D2" s="257" t="inlineStr">
        <is>
          <t>권정민</t>
        </is>
      </c>
      <c r="E2" s="258" t="n"/>
      <c r="F2" s="257" t="inlineStr">
        <is>
          <t>김동욱</t>
        </is>
      </c>
      <c r="G2" s="258" t="n"/>
      <c r="H2" s="259" t="n"/>
      <c r="I2" s="260" t="n"/>
      <c r="J2" s="260" t="n"/>
      <c r="K2" s="260" t="n"/>
      <c r="L2" s="260" t="n"/>
      <c r="M2" s="260" t="n"/>
      <c r="N2" s="260" t="n"/>
      <c r="O2" s="260" t="n"/>
      <c r="P2" s="260" t="n"/>
      <c r="Q2" s="260" t="n"/>
      <c r="R2" s="260" t="n"/>
      <c r="S2" s="261" t="n"/>
      <c r="T2" s="262" t="n"/>
      <c r="U2" s="105" t="n"/>
      <c r="V2" s="254" t="n"/>
      <c r="W2" s="105" t="n"/>
      <c r="X2" s="254" t="n"/>
      <c r="Y2" s="105" t="n"/>
      <c r="Z2" s="254" t="n"/>
    </row>
    <row r="3" ht="37.5" customHeight="1" s="251">
      <c r="A3" s="263" t="n"/>
      <c r="B3" s="264" t="n"/>
      <c r="C3" s="265" t="n"/>
      <c r="D3" s="264" t="n"/>
      <c r="E3" s="265" t="n"/>
      <c r="F3" s="264" t="n"/>
      <c r="G3" s="265" t="n"/>
      <c r="H3" s="266" t="n">
        <v>46220</v>
      </c>
      <c r="I3" s="267" t="n"/>
      <c r="J3" s="267" t="n"/>
      <c r="K3" s="267" t="n"/>
      <c r="L3" s="267" t="n"/>
      <c r="M3" s="267" t="n"/>
      <c r="N3" s="267" t="n"/>
      <c r="O3" s="267" t="n"/>
      <c r="P3" s="267" t="n"/>
      <c r="Q3" s="267" t="n"/>
      <c r="R3" s="267" t="n"/>
      <c r="S3" s="268" t="n"/>
      <c r="T3" s="269" t="n"/>
      <c r="U3" s="264" t="n"/>
      <c r="V3" s="265" t="n"/>
      <c r="W3" s="264" t="n"/>
      <c r="X3" s="265" t="n"/>
      <c r="Y3" s="264" t="n"/>
      <c r="Z3" s="265" t="n"/>
    </row>
    <row r="4" ht="13.5" customHeight="1" s="25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inlineStr">
        <is>
          <t>1. 소각현황(KG)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inlineStr">
        <is>
          <t>2. BOILER 운전현황(TON, HR)</t>
        </is>
      </c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2.5" customHeight="1" s="251" thickBot="1">
      <c r="A6" s="136" t="inlineStr">
        <is>
          <t>구 분</t>
        </is>
      </c>
      <c r="B6" s="270" t="n"/>
      <c r="C6" s="271" t="n"/>
      <c r="D6" s="136" t="inlineStr">
        <is>
          <t>SRF소각량</t>
        </is>
      </c>
      <c r="E6" s="270" t="n"/>
      <c r="F6" s="271" t="n"/>
      <c r="G6" s="136" t="inlineStr">
        <is>
          <t>SLUDGE 소각량</t>
        </is>
      </c>
      <c r="H6" s="270" t="n"/>
      <c r="I6" s="271" t="n"/>
      <c r="J6" s="136" t="inlineStr">
        <is>
          <t>합 계</t>
        </is>
      </c>
      <c r="K6" s="270" t="n"/>
      <c r="L6" s="271" t="n"/>
      <c r="M6" s="1" t="n"/>
      <c r="N6" s="1" t="n"/>
      <c r="O6" s="1" t="n"/>
      <c r="P6" s="136" t="inlineStr">
        <is>
          <t>구 분</t>
        </is>
      </c>
      <c r="Q6" s="271" t="n"/>
      <c r="R6" s="136" t="inlineStr">
        <is>
          <t>스팀 생산량</t>
        </is>
      </c>
      <c r="S6" s="270" t="n"/>
      <c r="T6" s="271" t="n"/>
      <c r="U6" s="136" t="inlineStr">
        <is>
          <t>스팀 송기량</t>
        </is>
      </c>
      <c r="V6" s="270" t="n"/>
      <c r="W6" s="271" t="n"/>
      <c r="X6" s="136" t="inlineStr">
        <is>
          <t>가동시간</t>
        </is>
      </c>
      <c r="Y6" s="270" t="n"/>
      <c r="Z6" s="271" t="n"/>
    </row>
    <row r="7" ht="30" customHeight="1" s="251" thickTop="1">
      <c r="A7" s="105" t="inlineStr">
        <is>
          <t>금 일</t>
        </is>
      </c>
      <c r="B7" s="272" t="n"/>
      <c r="C7" s="265" t="n"/>
      <c r="D7" s="139" t="n">
        <v>77111</v>
      </c>
      <c r="E7" s="272" t="n"/>
      <c r="F7" s="265" t="n"/>
      <c r="G7" s="139" t="n">
        <v>135800</v>
      </c>
      <c r="H7" s="272" t="n"/>
      <c r="I7" s="265" t="n"/>
      <c r="J7" s="154">
        <f>D7+G7</f>
        <v/>
      </c>
      <c r="K7" s="278" t="n"/>
      <c r="L7" s="279" t="n"/>
      <c r="M7" s="1" t="n"/>
      <c r="N7" s="1" t="n"/>
      <c r="O7" s="1" t="n"/>
      <c r="P7" s="105" t="inlineStr">
        <is>
          <t>금 일</t>
        </is>
      </c>
      <c r="Q7" s="265" t="n"/>
      <c r="R7" s="276" t="n">
        <v>514.7</v>
      </c>
      <c r="S7" s="272" t="n"/>
      <c r="T7" s="265" t="n"/>
      <c r="U7" s="276" t="n">
        <v>389.5</v>
      </c>
      <c r="V7" s="272" t="n"/>
      <c r="W7" s="265" t="n"/>
      <c r="X7" s="277" t="n">
        <v>24</v>
      </c>
      <c r="Y7" s="272" t="n"/>
      <c r="Z7" s="265" t="n"/>
    </row>
    <row r="8" ht="30" customHeight="1" s="251">
      <c r="A8" s="104" t="inlineStr">
        <is>
          <t>누 계</t>
        </is>
      </c>
      <c r="B8" s="278" t="n"/>
      <c r="C8" s="279" t="n"/>
      <c r="D8" s="154">
        <f>'16'!D8+'17'!D7</f>
        <v/>
      </c>
      <c r="E8" s="278" t="n"/>
      <c r="F8" s="279" t="n"/>
      <c r="G8" s="154">
        <f>'16'!G8+'17'!G7</f>
        <v/>
      </c>
      <c r="H8" s="278" t="n"/>
      <c r="I8" s="279" t="n"/>
      <c r="J8" s="154">
        <f>D8+G8</f>
        <v/>
      </c>
      <c r="K8" s="278" t="n"/>
      <c r="L8" s="279" t="n"/>
      <c r="M8" s="1" t="n"/>
      <c r="N8" s="1" t="n"/>
      <c r="O8" s="1" t="n"/>
      <c r="P8" s="104" t="inlineStr">
        <is>
          <t>누 계</t>
        </is>
      </c>
      <c r="Q8" s="279" t="n"/>
      <c r="R8" s="280">
        <f>'16'!R8+R7</f>
        <v/>
      </c>
      <c r="S8" s="278" t="n"/>
      <c r="T8" s="279" t="n"/>
      <c r="U8" s="280">
        <f>'16'!U8+'17'!U7</f>
        <v/>
      </c>
      <c r="V8" s="278" t="n"/>
      <c r="W8" s="279" t="n"/>
      <c r="X8" s="281">
        <f>'16'!X8+'17'!X7</f>
        <v/>
      </c>
      <c r="Y8" s="278" t="n"/>
      <c r="Z8" s="279" t="n"/>
    </row>
    <row r="9" ht="12" customHeight="1" s="25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inlineStr">
        <is>
          <t>3. 약품 사용현황 (KG)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inlineStr">
        <is>
          <t>4. 소각재 발생량 (TON, 대)</t>
        </is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30.75" customHeight="1" s="251" thickBot="1">
      <c r="A11" s="136" t="inlineStr">
        <is>
          <t>품 명</t>
        </is>
      </c>
      <c r="B11" s="271" t="n"/>
      <c r="C11" s="150" t="inlineStr">
        <is>
          <t>전일 
재고량</t>
        </is>
      </c>
      <c r="D11" s="271" t="n"/>
      <c r="E11" s="136" t="inlineStr">
        <is>
          <t>입고량</t>
        </is>
      </c>
      <c r="F11" s="271" t="n"/>
      <c r="G11" s="136" t="inlineStr">
        <is>
          <t>사용량</t>
        </is>
      </c>
      <c r="H11" s="271" t="n"/>
      <c r="I11" s="282" t="inlineStr">
        <is>
          <t>재고량</t>
        </is>
      </c>
      <c r="J11" s="271" t="n"/>
      <c r="K11" s="150" t="inlineStr">
        <is>
          <t>입고량 
누계</t>
        </is>
      </c>
      <c r="L11" s="271" t="n"/>
      <c r="M11" s="150" t="inlineStr">
        <is>
          <t>사용량 
누계</t>
        </is>
      </c>
      <c r="N11" s="271" t="n"/>
      <c r="O11" s="1" t="n"/>
      <c r="P11" s="136" t="inlineStr">
        <is>
          <t xml:space="preserve"> 구 분</t>
        </is>
      </c>
      <c r="Q11" s="270" t="n"/>
      <c r="R11" s="271" t="n"/>
      <c r="S11" s="282" t="inlineStr">
        <is>
          <t>반출량</t>
        </is>
      </c>
      <c r="T11" s="270" t="n"/>
      <c r="U11" s="270" t="n"/>
      <c r="V11" s="271" t="n"/>
      <c r="W11" s="282" t="inlineStr">
        <is>
          <t>누계</t>
        </is>
      </c>
      <c r="X11" s="270" t="n"/>
      <c r="Y11" s="270" t="n"/>
      <c r="Z11" s="271" t="n"/>
    </row>
    <row r="12" ht="21.9" customHeight="1" s="251" thickTop="1">
      <c r="A12" s="142" t="inlineStr">
        <is>
          <t>탄산암모늄</t>
        </is>
      </c>
      <c r="B12" s="265" t="n"/>
      <c r="C12" s="310">
        <f>'16'!I12</f>
        <v/>
      </c>
      <c r="D12" s="265" t="n"/>
      <c r="E12" s="105" t="n">
        <v>0</v>
      </c>
      <c r="F12" s="265" t="n"/>
      <c r="G12" s="105" t="n">
        <v>4670</v>
      </c>
      <c r="H12" s="265" t="n"/>
      <c r="I12" s="164">
        <f>C12+E12-G12</f>
        <v/>
      </c>
      <c r="J12" s="283" t="n"/>
      <c r="K12" s="105">
        <f>'16'!K12+'17'!E12</f>
        <v/>
      </c>
      <c r="L12" s="265" t="n"/>
      <c r="M12" s="105">
        <f>'16'!M12+G12</f>
        <v/>
      </c>
      <c r="N12" s="265" t="n"/>
      <c r="O12" s="1" t="n"/>
      <c r="P12" s="149" t="inlineStr">
        <is>
          <t xml:space="preserve">
비산재
</t>
        </is>
      </c>
      <c r="R12" s="254" t="n"/>
      <c r="S12" s="284" t="n">
        <v>55.46</v>
      </c>
      <c r="T12" s="285" t="n"/>
      <c r="U12" s="285" t="n"/>
      <c r="V12" s="285" t="n"/>
      <c r="W12" s="318">
        <f>'16'!W12+'17'!S12</f>
        <v/>
      </c>
      <c r="X12" s="285" t="n"/>
      <c r="Y12" s="285" t="n"/>
      <c r="Z12" s="287" t="n"/>
    </row>
    <row r="13" ht="21.9" customHeight="1" s="251">
      <c r="A13" s="104" t="inlineStr">
        <is>
          <t>청관제</t>
        </is>
      </c>
      <c r="B13" s="279" t="n"/>
      <c r="C13" s="310">
        <f>'16'!I13</f>
        <v/>
      </c>
      <c r="D13" s="265" t="n"/>
      <c r="E13" s="104" t="n">
        <v>0</v>
      </c>
      <c r="F13" s="279" t="n"/>
      <c r="G13" s="104" t="n">
        <v>100</v>
      </c>
      <c r="H13" s="279" t="n"/>
      <c r="I13" s="288">
        <f>C13+E13-G13</f>
        <v/>
      </c>
      <c r="J13" s="275" t="n"/>
      <c r="K13" s="105">
        <f>'16'!K13+'17'!E13</f>
        <v/>
      </c>
      <c r="L13" s="265" t="n"/>
      <c r="M13" s="105">
        <f>'16'!M13+G13</f>
        <v/>
      </c>
      <c r="N13" s="265" t="n"/>
      <c r="O13" s="1" t="n"/>
      <c r="P13" s="264" t="n"/>
      <c r="Q13" s="272" t="n"/>
      <c r="R13" s="265" t="n"/>
      <c r="S13" s="289" t="n"/>
      <c r="T13" s="290" t="n"/>
      <c r="U13" s="290" t="n"/>
      <c r="V13" s="290" t="n"/>
      <c r="W13" s="264" t="n"/>
      <c r="X13" s="272" t="n"/>
      <c r="Y13" s="272" t="n"/>
      <c r="Z13" s="265" t="n"/>
    </row>
    <row r="14" ht="21.9" customHeight="1" s="251">
      <c r="A14" s="104" t="inlineStr">
        <is>
          <t>활성탄</t>
        </is>
      </c>
      <c r="B14" s="279" t="n"/>
      <c r="C14" s="310">
        <f>'16'!I14</f>
        <v/>
      </c>
      <c r="D14" s="265" t="n"/>
      <c r="E14" s="104" t="n">
        <v>0</v>
      </c>
      <c r="F14" s="279" t="n"/>
      <c r="G14" s="104" t="n">
        <v>120</v>
      </c>
      <c r="H14" s="279" t="n"/>
      <c r="I14" s="288">
        <f>C14+E14-G14</f>
        <v/>
      </c>
      <c r="J14" s="275" t="n"/>
      <c r="K14" s="105">
        <f>'16'!K14+'17'!E14</f>
        <v/>
      </c>
      <c r="L14" s="265" t="n"/>
      <c r="M14" s="105">
        <f>'16'!M14+G14</f>
        <v/>
      </c>
      <c r="N14" s="265" t="n"/>
      <c r="O14" s="1" t="n"/>
      <c r="P14" s="104" t="inlineStr">
        <is>
          <t>바닥재</t>
        </is>
      </c>
      <c r="Q14" s="291" t="n"/>
      <c r="R14" s="292" t="n"/>
      <c r="S14" s="293" t="n">
        <v>0</v>
      </c>
      <c r="T14" s="291" t="n"/>
      <c r="U14" s="291" t="n"/>
      <c r="V14" s="291" t="n"/>
      <c r="W14" s="311">
        <f>'16'!W14+'17'!S14</f>
        <v/>
      </c>
      <c r="X14" s="291" t="n"/>
      <c r="Y14" s="291" t="n"/>
      <c r="Z14" s="295" t="n"/>
    </row>
    <row r="15" ht="21.9" customHeight="1" s="251">
      <c r="A15" s="104" t="inlineStr">
        <is>
          <t>가성소다</t>
        </is>
      </c>
      <c r="B15" s="279" t="n"/>
      <c r="C15" s="310">
        <f>'16'!I15</f>
        <v/>
      </c>
      <c r="D15" s="265" t="n"/>
      <c r="E15" s="104" t="n">
        <v>0</v>
      </c>
      <c r="F15" s="279" t="n"/>
      <c r="G15" s="104" t="n">
        <v>31</v>
      </c>
      <c r="H15" s="279" t="n"/>
      <c r="I15" s="288">
        <f>C15+E15-G15</f>
        <v/>
      </c>
      <c r="J15" s="275" t="n"/>
      <c r="K15" s="105">
        <f>'16'!K15+'17'!E15</f>
        <v/>
      </c>
      <c r="L15" s="265" t="n"/>
      <c r="M15" s="105">
        <f>'16'!M15+G15</f>
        <v/>
      </c>
      <c r="N15" s="265" t="n"/>
      <c r="O15" s="1" t="n"/>
      <c r="P15" s="296" t="n"/>
      <c r="Q15" s="290" t="n"/>
      <c r="R15" s="297" t="n"/>
      <c r="S15" s="296" t="n"/>
      <c r="T15" s="290" t="n"/>
      <c r="U15" s="290" t="n"/>
      <c r="V15" s="290" t="n"/>
      <c r="W15" s="298" t="n"/>
      <c r="X15" s="272" t="n"/>
      <c r="Y15" s="272" t="n"/>
      <c r="Z15" s="265" t="n"/>
    </row>
    <row r="16" ht="21.9" customHeight="1" s="251">
      <c r="A16" s="104" t="inlineStr">
        <is>
          <t>소석회</t>
        </is>
      </c>
      <c r="B16" s="279" t="n"/>
      <c r="C16" s="310">
        <f>'16'!I16</f>
        <v/>
      </c>
      <c r="D16" s="265" t="n"/>
      <c r="E16" s="104" t="n">
        <v>0</v>
      </c>
      <c r="F16" s="279" t="n"/>
      <c r="G16" s="104" t="n">
        <v>20</v>
      </c>
      <c r="H16" s="279" t="n"/>
      <c r="I16" s="288">
        <f>C16+E16-G16</f>
        <v/>
      </c>
      <c r="J16" s="275" t="n"/>
      <c r="K16" s="105">
        <f>'16'!K16+'17'!E16</f>
        <v/>
      </c>
      <c r="L16" s="265" t="n"/>
      <c r="M16" s="105">
        <f>'16'!M16+G16</f>
        <v/>
      </c>
      <c r="N16" s="265" t="n"/>
      <c r="O16" s="1" t="n"/>
      <c r="P16" s="162" t="inlineStr">
        <is>
          <t>구분</t>
        </is>
      </c>
      <c r="Q16" s="291" t="n"/>
      <c r="R16" s="292" t="n"/>
      <c r="S16" s="299" t="inlineStr">
        <is>
          <t>주간</t>
        </is>
      </c>
      <c r="T16" s="292" t="n"/>
      <c r="U16" s="299" t="inlineStr">
        <is>
          <t>야간</t>
        </is>
      </c>
      <c r="V16" s="292" t="n"/>
      <c r="W16" s="299" t="inlineStr">
        <is>
          <t>합계</t>
        </is>
      </c>
      <c r="X16" s="292" t="n"/>
      <c r="Y16" s="299" t="inlineStr">
        <is>
          <t>누계</t>
        </is>
      </c>
      <c r="Z16" s="292" t="n"/>
    </row>
    <row r="17" ht="21.9" customHeight="1" s="251" thickBot="1">
      <c r="A17" s="104" t="inlineStr">
        <is>
          <t>소 금</t>
        </is>
      </c>
      <c r="B17" s="279" t="n"/>
      <c r="C17" s="310">
        <f>'16'!I17</f>
        <v/>
      </c>
      <c r="D17" s="265" t="n"/>
      <c r="E17" s="104" t="n">
        <v>0</v>
      </c>
      <c r="F17" s="279" t="n"/>
      <c r="G17" s="104" t="n">
        <v>200</v>
      </c>
      <c r="H17" s="279" t="n"/>
      <c r="I17" s="288">
        <f>C17+E17-G17</f>
        <v/>
      </c>
      <c r="J17" s="275" t="n"/>
      <c r="K17" s="105">
        <f>'16'!K17+'17'!E17</f>
        <v/>
      </c>
      <c r="L17" s="265" t="n"/>
      <c r="M17" s="105">
        <f>'16'!M17+G17</f>
        <v/>
      </c>
      <c r="N17" s="265" t="n"/>
      <c r="O17" s="1" t="n"/>
      <c r="P17" s="296" t="n"/>
      <c r="Q17" s="290" t="n"/>
      <c r="R17" s="297" t="n"/>
      <c r="S17" s="300" t="n"/>
      <c r="T17" s="301" t="n"/>
      <c r="U17" s="300" t="n"/>
      <c r="V17" s="301" t="n"/>
      <c r="W17" s="300" t="n"/>
      <c r="X17" s="301" t="n"/>
      <c r="Y17" s="300" t="n"/>
      <c r="Z17" s="301" t="n"/>
      <c r="AE17" s="302" t="n"/>
    </row>
    <row r="18" ht="21.9" customHeight="1" s="251" thickTop="1">
      <c r="A18" s="104" t="inlineStr">
        <is>
          <t>경 유</t>
        </is>
      </c>
      <c r="B18" s="279" t="n"/>
      <c r="C18" s="310">
        <f>'16'!I18</f>
        <v/>
      </c>
      <c r="D18" s="265" t="n"/>
      <c r="E18" s="104" t="n">
        <v>0</v>
      </c>
      <c r="F18" s="279" t="n"/>
      <c r="G18" s="104" t="n">
        <v>0</v>
      </c>
      <c r="H18" s="279" t="n"/>
      <c r="I18" s="288">
        <f>C18+E18-G18</f>
        <v/>
      </c>
      <c r="J18" s="275" t="n"/>
      <c r="K18" s="105">
        <f>'16'!K18+'17'!E18</f>
        <v/>
      </c>
      <c r="L18" s="265" t="n"/>
      <c r="M18" s="105">
        <f>'16'!M18+G18</f>
        <v/>
      </c>
      <c r="N18" s="265" t="n"/>
      <c r="O18" s="1" t="n"/>
      <c r="P18" s="164" t="inlineStr">
        <is>
          <t>불연물</t>
        </is>
      </c>
      <c r="Q18" s="285" t="n"/>
      <c r="R18" s="287" t="n"/>
      <c r="S18" s="303" t="n">
        <v>1</v>
      </c>
      <c r="T18" s="287" t="n"/>
      <c r="U18" s="303" t="n">
        <v>1</v>
      </c>
      <c r="V18" s="287" t="n"/>
      <c r="W18" s="303">
        <f>S18+U18</f>
        <v/>
      </c>
      <c r="X18" s="287" t="n"/>
      <c r="Y18" s="303">
        <f>'16'!Y18+'17'!W18</f>
        <v/>
      </c>
      <c r="Z18" s="287" t="n"/>
    </row>
    <row r="19" ht="21.9" customHeight="1" s="251">
      <c r="A19" s="153" t="inlineStr">
        <is>
          <t>SRF</t>
        </is>
      </c>
      <c r="B19" s="279" t="n"/>
      <c r="C19" s="310">
        <f>'16'!I19</f>
        <v/>
      </c>
      <c r="D19" s="265" t="n"/>
      <c r="E19" s="154" t="n">
        <v>62710</v>
      </c>
      <c r="F19" s="279" t="n"/>
      <c r="G19" s="154">
        <f>D7</f>
        <v/>
      </c>
      <c r="H19" s="279" t="n"/>
      <c r="I19" s="273">
        <f>C19+E19-G19</f>
        <v/>
      </c>
      <c r="J19" s="275" t="n"/>
      <c r="K19" s="105">
        <f>'16'!K19+'17'!E19</f>
        <v/>
      </c>
      <c r="L19" s="265" t="n"/>
      <c r="M19" s="105">
        <f>'16'!M19+G19</f>
        <v/>
      </c>
      <c r="N19" s="265" t="n"/>
      <c r="O19" s="1" t="n"/>
      <c r="P19" s="256" t="n"/>
      <c r="R19" s="254" t="n"/>
      <c r="S19" s="256" t="n"/>
      <c r="T19" s="254" t="n"/>
      <c r="U19" s="256" t="n"/>
      <c r="V19" s="254" t="n"/>
      <c r="W19" s="256" t="n"/>
      <c r="X19" s="254" t="n"/>
      <c r="Y19" s="256" t="n"/>
      <c r="Z19" s="254" t="n"/>
    </row>
    <row r="20" ht="21.9" customHeight="1" s="251">
      <c r="A20" s="104" t="inlineStr">
        <is>
          <t>규 사</t>
        </is>
      </c>
      <c r="B20" s="279" t="n"/>
      <c r="C20" s="310">
        <f>'16'!I20</f>
        <v/>
      </c>
      <c r="D20" s="265" t="n"/>
      <c r="E20" s="288" t="n"/>
      <c r="F20" s="275" t="n"/>
      <c r="G20" s="104" t="n"/>
      <c r="H20" s="279" t="n"/>
      <c r="I20" s="288" t="inlineStr">
        <is>
          <t>-</t>
        </is>
      </c>
      <c r="J20" s="275" t="n"/>
      <c r="K20" s="105">
        <f>'18'!K20+'17'!E20</f>
        <v/>
      </c>
      <c r="L20" s="265" t="n"/>
      <c r="M20" s="139">
        <f>'18'!M20+G20</f>
        <v/>
      </c>
      <c r="N20" s="265" t="n"/>
      <c r="O20" s="1" t="n"/>
      <c r="P20" s="264" t="n"/>
      <c r="Q20" s="272" t="n"/>
      <c r="R20" s="265" t="n"/>
      <c r="S20" s="264" t="n"/>
      <c r="T20" s="265" t="n"/>
      <c r="U20" s="264" t="n"/>
      <c r="V20" s="265" t="n"/>
      <c r="W20" s="264" t="n"/>
      <c r="X20" s="265" t="n"/>
      <c r="Y20" s="264" t="n"/>
      <c r="Z20" s="265" t="n"/>
    </row>
    <row r="21" ht="12" customHeight="1" s="25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 t="inlineStr">
        <is>
          <t>5. 전력 사용량 (KWH)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10" t="inlineStr">
        <is>
          <t>6. 유틸리티 사용현황 (㎥)</t>
        </is>
      </c>
      <c r="Q22" s="290" t="n"/>
      <c r="R22" s="290" t="n"/>
      <c r="S22" s="290" t="n"/>
      <c r="T22" s="290" t="n"/>
      <c r="U22" s="290" t="n"/>
      <c r="V22" s="1" t="n"/>
      <c r="W22" s="1" t="n"/>
      <c r="X22" s="1" t="n"/>
      <c r="Y22" s="1" t="n"/>
      <c r="Z22" s="1" t="n"/>
    </row>
    <row r="23" ht="28.5" customHeight="1" s="251" thickBot="1">
      <c r="A23" s="136" t="inlineStr">
        <is>
          <t>구 분</t>
        </is>
      </c>
      <c r="B23" s="270" t="n"/>
      <c r="C23" s="271" t="n"/>
      <c r="D23" s="136" t="inlineStr">
        <is>
          <t>전일지침</t>
        </is>
      </c>
      <c r="E23" s="270" t="n"/>
      <c r="F23" s="271" t="n"/>
      <c r="G23" s="136" t="inlineStr">
        <is>
          <t>금일지침</t>
        </is>
      </c>
      <c r="H23" s="270" t="n"/>
      <c r="I23" s="271" t="n"/>
      <c r="J23" s="136" t="inlineStr">
        <is>
          <t>사용량</t>
        </is>
      </c>
      <c r="K23" s="270" t="n"/>
      <c r="L23" s="271" t="n"/>
      <c r="M23" s="136" t="inlineStr">
        <is>
          <t>누 계</t>
        </is>
      </c>
      <c r="N23" s="271" t="n"/>
      <c r="P23" s="136" t="inlineStr">
        <is>
          <t>구 분</t>
        </is>
      </c>
      <c r="Q23" s="270" t="n"/>
      <c r="R23" s="271" t="n"/>
      <c r="S23" s="136" t="inlineStr">
        <is>
          <t>전일 사용량</t>
        </is>
      </c>
      <c r="T23" s="270" t="n"/>
      <c r="U23" s="271" t="n"/>
      <c r="V23" s="136" t="inlineStr">
        <is>
          <t>금일 사용량</t>
        </is>
      </c>
      <c r="W23" s="270" t="n"/>
      <c r="X23" s="271" t="n"/>
      <c r="Y23" s="136" t="inlineStr">
        <is>
          <t>누 계</t>
        </is>
      </c>
      <c r="Z23" s="271" t="n"/>
    </row>
    <row r="24" ht="21.9" customHeight="1" s="251" thickTop="1">
      <c r="A24" s="105" t="inlineStr">
        <is>
          <t>MAIN</t>
        </is>
      </c>
      <c r="B24" s="272" t="n"/>
      <c r="C24" s="265" t="n"/>
      <c r="D24" s="187">
        <f>'16'!G24</f>
        <v/>
      </c>
      <c r="E24" s="285" t="n"/>
      <c r="F24" s="287" t="n"/>
      <c r="G24" s="164" t="n">
        <v>4062078</v>
      </c>
      <c r="H24" s="304" t="n"/>
      <c r="I24" s="283" t="n"/>
      <c r="J24" s="164">
        <f>G24-D24</f>
        <v/>
      </c>
      <c r="K24" s="304" t="n"/>
      <c r="L24" s="283" t="n"/>
      <c r="M24" s="164">
        <f>'16'!M24+J24</f>
        <v/>
      </c>
      <c r="N24" s="283" t="n"/>
      <c r="P24" s="105" t="inlineStr">
        <is>
          <t>재이용수</t>
        </is>
      </c>
      <c r="Q24" s="272" t="n"/>
      <c r="R24" s="265" t="n"/>
      <c r="S24" s="105">
        <f>'16'!V24</f>
        <v/>
      </c>
      <c r="T24" s="272" t="n"/>
      <c r="U24" s="265" t="n"/>
      <c r="V24" s="276" t="n">
        <v>565.1</v>
      </c>
      <c r="W24" s="272" t="n"/>
      <c r="X24" s="265" t="n"/>
      <c r="Y24" s="276">
        <f>'16'!Y24+'17'!V24</f>
        <v/>
      </c>
      <c r="Z24" s="265" t="n"/>
    </row>
    <row r="25" ht="21.9" customHeight="1" s="251">
      <c r="A25" s="104" t="inlineStr">
        <is>
          <t>ASH 저장조</t>
        </is>
      </c>
      <c r="B25" s="278" t="n"/>
      <c r="C25" s="279" t="n"/>
      <c r="D25" s="104">
        <f>'16'!G25</f>
        <v/>
      </c>
      <c r="E25" s="278" t="n"/>
      <c r="F25" s="279" t="n"/>
      <c r="G25" s="104" t="n">
        <v>33342.6</v>
      </c>
      <c r="H25" s="278" t="n"/>
      <c r="I25" s="279" t="n"/>
      <c r="J25" s="104">
        <f>G25-D25</f>
        <v/>
      </c>
      <c r="K25" s="278" t="n"/>
      <c r="L25" s="279" t="n"/>
      <c r="M25" s="288">
        <f>'16'!M25+J25</f>
        <v/>
      </c>
      <c r="N25" s="275" t="n"/>
      <c r="P25" s="104" t="inlineStr">
        <is>
          <t>복류수</t>
        </is>
      </c>
      <c r="Q25" s="278" t="n"/>
      <c r="R25" s="279" t="n"/>
      <c r="S25" s="105">
        <f>'16'!V25</f>
        <v/>
      </c>
      <c r="T25" s="272" t="n"/>
      <c r="U25" s="265" t="n"/>
      <c r="V25" s="280" t="n">
        <v>52.8</v>
      </c>
      <c r="W25" s="278" t="n"/>
      <c r="X25" s="279" t="n"/>
      <c r="Y25" s="276">
        <f>'16'!Y25+'17'!V25</f>
        <v/>
      </c>
      <c r="Z25" s="265" t="n"/>
    </row>
    <row r="26" ht="21.9" customHeight="1" s="251">
      <c r="A26" s="104" t="inlineStr">
        <is>
          <t>BAG FILTER</t>
        </is>
      </c>
      <c r="B26" s="278" t="n"/>
      <c r="C26" s="279" t="n"/>
      <c r="D26" s="104">
        <f>'16'!G26</f>
        <v/>
      </c>
      <c r="E26" s="278" t="n"/>
      <c r="F26" s="279" t="n"/>
      <c r="G26" s="104" t="n">
        <v>24650</v>
      </c>
      <c r="H26" s="278" t="n"/>
      <c r="I26" s="279" t="n"/>
      <c r="J26" s="104">
        <f>G26-D26</f>
        <v/>
      </c>
      <c r="K26" s="278" t="n"/>
      <c r="L26" s="279" t="n"/>
      <c r="M26" s="288">
        <f>'16'!M26+J26</f>
        <v/>
      </c>
      <c r="N26" s="275" t="n"/>
      <c r="P26" s="104" t="inlineStr">
        <is>
          <t>응축수</t>
        </is>
      </c>
      <c r="Q26" s="278" t="n"/>
      <c r="R26" s="279" t="n"/>
      <c r="S26" s="105">
        <f>'16'!V26</f>
        <v/>
      </c>
      <c r="T26" s="272" t="n"/>
      <c r="U26" s="265" t="n"/>
      <c r="V26" s="280" t="n">
        <v>504.6</v>
      </c>
      <c r="W26" s="278" t="n"/>
      <c r="X26" s="279" t="n"/>
      <c r="Y26" s="276">
        <f>'16'!Y26+'17'!V26</f>
        <v/>
      </c>
      <c r="Z26" s="265" t="n"/>
    </row>
    <row r="27" ht="21.9" customHeight="1" s="251">
      <c r="A27" s="104" t="inlineStr">
        <is>
          <t>SCRUBBER</t>
        </is>
      </c>
      <c r="B27" s="278" t="n"/>
      <c r="C27" s="279" t="n"/>
      <c r="D27" s="104">
        <f>'16'!G27</f>
        <v/>
      </c>
      <c r="E27" s="278" t="n"/>
      <c r="F27" s="279" t="n"/>
      <c r="G27" s="104" t="n">
        <v>1396000</v>
      </c>
      <c r="H27" s="278" t="n"/>
      <c r="I27" s="279" t="n"/>
      <c r="J27" s="104">
        <f>G27-D27</f>
        <v/>
      </c>
      <c r="K27" s="278" t="n"/>
      <c r="L27" s="279" t="n"/>
      <c r="M27" s="288">
        <f>'16'!M27+J27</f>
        <v/>
      </c>
      <c r="N27" s="275" t="n"/>
      <c r="P27" s="104" t="inlineStr">
        <is>
          <t>보일러 급수</t>
        </is>
      </c>
      <c r="Q27" s="278" t="n"/>
      <c r="R27" s="279" t="n"/>
      <c r="S27" s="105">
        <f>'16'!V27</f>
        <v/>
      </c>
      <c r="T27" s="272" t="n"/>
      <c r="U27" s="265" t="n"/>
      <c r="V27" s="280" t="n">
        <v>519.1</v>
      </c>
      <c r="W27" s="278" t="n"/>
      <c r="X27" s="279" t="n"/>
      <c r="Y27" s="276">
        <f>'16'!Y27+'17'!V27</f>
        <v/>
      </c>
      <c r="Z27" s="265" t="n"/>
    </row>
    <row r="28" ht="21.9" customHeight="1" s="251">
      <c r="A28" s="104" t="inlineStr">
        <is>
          <t>활성탄 공급</t>
        </is>
      </c>
      <c r="B28" s="278" t="n"/>
      <c r="C28" s="279" t="n"/>
      <c r="D28" s="104">
        <f>'16'!G28</f>
        <v/>
      </c>
      <c r="E28" s="278" t="n"/>
      <c r="F28" s="279" t="n"/>
      <c r="G28" s="104" t="n">
        <v>5875</v>
      </c>
      <c r="H28" s="278" t="n"/>
      <c r="I28" s="279" t="n"/>
      <c r="J28" s="104">
        <f>G28-D28</f>
        <v/>
      </c>
      <c r="K28" s="278" t="n"/>
      <c r="L28" s="279" t="n"/>
      <c r="M28" s="288">
        <f>'16'!M28+J28</f>
        <v/>
      </c>
      <c r="N28" s="275" t="n"/>
      <c r="P28" s="104" t="inlineStr">
        <is>
          <t>폐 수</t>
        </is>
      </c>
      <c r="Q28" s="278" t="n"/>
      <c r="R28" s="279" t="n"/>
      <c r="S28" s="105">
        <f>'16'!V28</f>
        <v/>
      </c>
      <c r="T28" s="272" t="n"/>
      <c r="U28" s="265" t="n"/>
      <c r="V28" s="280" t="n">
        <v>0</v>
      </c>
      <c r="W28" s="278" t="n"/>
      <c r="X28" s="279" t="n"/>
      <c r="Y28" s="276">
        <f>'16'!Y28+'17'!V28</f>
        <v/>
      </c>
      <c r="Z28" s="265" t="n"/>
    </row>
    <row r="29" ht="21.9" customHeight="1" s="251">
      <c r="A29" s="104" t="inlineStr">
        <is>
          <t>소석회 공급</t>
        </is>
      </c>
      <c r="B29" s="278" t="n"/>
      <c r="C29" s="279" t="n"/>
      <c r="D29" s="104">
        <f>'16'!G29</f>
        <v/>
      </c>
      <c r="E29" s="278" t="n"/>
      <c r="F29" s="279" t="n"/>
      <c r="G29" s="104" t="n">
        <v>66230</v>
      </c>
      <c r="H29" s="278" t="n"/>
      <c r="I29" s="279" t="n"/>
      <c r="J29" s="104">
        <f>G29-D29</f>
        <v/>
      </c>
      <c r="K29" s="278" t="n"/>
      <c r="L29" s="279" t="n"/>
      <c r="M29" s="288">
        <f>'16'!M29+J29</f>
        <v/>
      </c>
      <c r="N29" s="275" t="n"/>
      <c r="P29" s="104" t="inlineStr">
        <is>
          <t>연 수</t>
        </is>
      </c>
      <c r="Q29" s="278" t="n"/>
      <c r="R29" s="279" t="n"/>
      <c r="S29" s="105">
        <f>'16'!V29</f>
        <v/>
      </c>
      <c r="T29" s="272" t="n"/>
      <c r="U29" s="265" t="n"/>
      <c r="V29" s="280" t="n">
        <v>67.2</v>
      </c>
      <c r="W29" s="278" t="n"/>
      <c r="X29" s="279" t="n"/>
      <c r="Y29" s="276">
        <f>'16'!Y29+'17'!V29</f>
        <v/>
      </c>
      <c r="Z29" s="265" t="n"/>
    </row>
    <row r="30" ht="21.9" customHeight="1" s="251">
      <c r="A30" s="104" t="inlineStr">
        <is>
          <t>요소수 공급</t>
        </is>
      </c>
      <c r="B30" s="278" t="n"/>
      <c r="C30" s="279" t="n"/>
      <c r="D30" s="104">
        <f>'16'!G30</f>
        <v/>
      </c>
      <c r="E30" s="278" t="n"/>
      <c r="F30" s="279" t="n"/>
      <c r="G30" s="104" t="n">
        <v>53440</v>
      </c>
      <c r="H30" s="278" t="n"/>
      <c r="I30" s="279" t="n"/>
      <c r="J30" s="104">
        <f>G30-D30</f>
        <v/>
      </c>
      <c r="K30" s="278" t="n"/>
      <c r="L30" s="279" t="n"/>
      <c r="M30" s="288">
        <f>'16'!M30+J30</f>
        <v/>
      </c>
      <c r="N30" s="275" t="n"/>
      <c r="P30" s="104" t="inlineStr">
        <is>
          <t>계</t>
        </is>
      </c>
      <c r="Q30" s="278" t="n"/>
      <c r="R30" s="279" t="n"/>
      <c r="S30" s="104">
        <f>SUM(S24:U29)</f>
        <v/>
      </c>
      <c r="T30" s="278" t="n"/>
      <c r="U30" s="279" t="n"/>
      <c r="V30" s="280" t="n"/>
      <c r="W30" s="278" t="n"/>
      <c r="X30" s="279" t="n"/>
      <c r="Y30" s="276">
        <f>'16'!Y30+'17'!V30</f>
        <v/>
      </c>
      <c r="Z30" s="265" t="n"/>
    </row>
    <row r="31" ht="21.9" customHeight="1" s="251">
      <c r="A31" s="104" t="inlineStr">
        <is>
          <t xml:space="preserve">F.D </t>
        </is>
      </c>
      <c r="B31" s="278" t="n"/>
      <c r="C31" s="279" t="n"/>
      <c r="D31" s="104">
        <f>'16'!G31</f>
        <v/>
      </c>
      <c r="E31" s="278" t="n"/>
      <c r="F31" s="279" t="n"/>
      <c r="G31" s="288" t="n">
        <v>6336003</v>
      </c>
      <c r="H31" s="274" t="n"/>
      <c r="I31" s="275" t="n"/>
      <c r="J31" s="104">
        <f>G31-D31</f>
        <v/>
      </c>
      <c r="K31" s="278" t="n"/>
      <c r="L31" s="279" t="n"/>
      <c r="M31" s="288">
        <f>'16'!M31+J31</f>
        <v/>
      </c>
      <c r="N31" s="275" t="n"/>
      <c r="P31" s="172" t="n"/>
      <c r="Q31" s="172" t="n"/>
      <c r="R31" s="172" t="n"/>
      <c r="S31" s="172" t="n"/>
      <c r="T31" s="172" t="n"/>
      <c r="U31" s="172" t="n"/>
      <c r="V31" s="305" t="n"/>
      <c r="W31" s="305" t="n"/>
      <c r="X31" s="305" t="n"/>
      <c r="Y31" s="305" t="n"/>
      <c r="Z31" s="305" t="n"/>
    </row>
    <row r="32" ht="21.9" customHeight="1" s="251">
      <c r="A32" s="104" t="inlineStr">
        <is>
          <t>활성탄 BAG</t>
        </is>
      </c>
      <c r="B32" s="278" t="n"/>
      <c r="C32" s="279" t="n"/>
      <c r="D32" s="104">
        <f>'16'!G32</f>
        <v/>
      </c>
      <c r="E32" s="278" t="n"/>
      <c r="F32" s="279" t="n"/>
      <c r="G32" s="288" t="n">
        <v>1.7</v>
      </c>
      <c r="H32" s="274" t="n"/>
      <c r="I32" s="275" t="n"/>
      <c r="J32" s="288">
        <f>G32-D32</f>
        <v/>
      </c>
      <c r="K32" s="274" t="n"/>
      <c r="L32" s="275" t="n"/>
      <c r="M32" s="288">
        <f>'16'!M32+J32</f>
        <v/>
      </c>
      <c r="N32" s="275" t="n"/>
      <c r="P32" s="172" t="n"/>
      <c r="Q32" s="172" t="n"/>
      <c r="R32" s="172" t="n"/>
      <c r="S32" s="172" t="n"/>
      <c r="T32" s="172" t="n"/>
      <c r="U32" s="172" t="n"/>
      <c r="V32" s="305" t="n"/>
      <c r="W32" s="305" t="n"/>
      <c r="X32" s="305" t="n"/>
      <c r="Y32" s="305" t="n"/>
      <c r="Z32" s="305" t="n"/>
    </row>
    <row r="33" ht="21.9" customHeight="1" s="251">
      <c r="A33" s="104" t="inlineStr">
        <is>
          <t>소석회 BAG</t>
        </is>
      </c>
      <c r="B33" s="278" t="n"/>
      <c r="C33" s="279" t="n"/>
      <c r="D33" s="104">
        <f>'16'!G33</f>
        <v/>
      </c>
      <c r="E33" s="278" t="n"/>
      <c r="F33" s="279" t="n"/>
      <c r="G33" s="288" t="n">
        <v>0</v>
      </c>
      <c r="H33" s="274" t="n"/>
      <c r="I33" s="275" t="n"/>
      <c r="J33" s="288">
        <f>G33-D33</f>
        <v/>
      </c>
      <c r="K33" s="274" t="n"/>
      <c r="L33" s="275" t="n"/>
      <c r="M33" s="288">
        <f>'16'!M33+J33</f>
        <v/>
      </c>
      <c r="N33" s="275" t="n"/>
      <c r="P33" s="172" t="n"/>
      <c r="Q33" s="172" t="n"/>
      <c r="R33" s="172" t="n"/>
      <c r="S33" s="172" t="n"/>
      <c r="T33" s="172" t="n"/>
      <c r="U33" s="172" t="n"/>
      <c r="V33" s="305" t="n"/>
      <c r="W33" s="305" t="n"/>
      <c r="X33" s="305" t="n"/>
      <c r="Y33" s="305" t="n"/>
      <c r="Z33" s="305" t="n"/>
    </row>
  </sheetData>
  <mergeCells count="217">
    <mergeCell ref="V24:X24"/>
    <mergeCell ref="A15:B15"/>
    <mergeCell ref="P27:R27"/>
    <mergeCell ref="S23:U23"/>
    <mergeCell ref="C15:D15"/>
    <mergeCell ref="J27:L27"/>
    <mergeCell ref="S14:V15"/>
    <mergeCell ref="Y24:Z24"/>
    <mergeCell ref="U7:W7"/>
    <mergeCell ref="A26:C26"/>
    <mergeCell ref="J25:L25"/>
    <mergeCell ref="G24:I24"/>
    <mergeCell ref="D28:F28"/>
    <mergeCell ref="I16:J16"/>
    <mergeCell ref="A23:C23"/>
    <mergeCell ref="S24:U24"/>
    <mergeCell ref="P6:Q6"/>
    <mergeCell ref="P28:R28"/>
    <mergeCell ref="W1:X1"/>
    <mergeCell ref="Y1:Z1"/>
    <mergeCell ref="G26:I26"/>
    <mergeCell ref="S16:T17"/>
    <mergeCell ref="D30:F30"/>
    <mergeCell ref="G18:H18"/>
    <mergeCell ref="U8:W8"/>
    <mergeCell ref="B1:C1"/>
    <mergeCell ref="I18:J18"/>
    <mergeCell ref="H3:S3"/>
    <mergeCell ref="M16:N16"/>
    <mergeCell ref="P30:R30"/>
    <mergeCell ref="M25:N25"/>
    <mergeCell ref="D29:F29"/>
    <mergeCell ref="D23:F23"/>
    <mergeCell ref="Y25:Z25"/>
    <mergeCell ref="M18:N18"/>
    <mergeCell ref="M33:N33"/>
    <mergeCell ref="A17:B17"/>
    <mergeCell ref="S25:U25"/>
    <mergeCell ref="C17:D17"/>
    <mergeCell ref="U18:V20"/>
    <mergeCell ref="J29:L29"/>
    <mergeCell ref="M17:N17"/>
    <mergeCell ref="W18:X20"/>
    <mergeCell ref="G20:H20"/>
    <mergeCell ref="I20:J20"/>
    <mergeCell ref="S27:U27"/>
    <mergeCell ref="A19:B19"/>
    <mergeCell ref="V23:X23"/>
    <mergeCell ref="C19:D19"/>
    <mergeCell ref="A6:C6"/>
    <mergeCell ref="Y2:Z3"/>
    <mergeCell ref="Y18:Z20"/>
    <mergeCell ref="M19:N19"/>
    <mergeCell ref="P22:U22"/>
    <mergeCell ref="I13:J13"/>
    <mergeCell ref="K13:L13"/>
    <mergeCell ref="X7:Z7"/>
    <mergeCell ref="E12:F12"/>
    <mergeCell ref="J24:L24"/>
    <mergeCell ref="G12:H12"/>
    <mergeCell ref="G28:I28"/>
    <mergeCell ref="D27:F27"/>
    <mergeCell ref="G6:I6"/>
    <mergeCell ref="I15:J15"/>
    <mergeCell ref="A11:B11"/>
    <mergeCell ref="K15:L15"/>
    <mergeCell ref="S28:U28"/>
    <mergeCell ref="C14:D14"/>
    <mergeCell ref="E14:F14"/>
    <mergeCell ref="J26:L26"/>
    <mergeCell ref="G30:I30"/>
    <mergeCell ref="J7:L7"/>
    <mergeCell ref="V27:X27"/>
    <mergeCell ref="A32:C32"/>
    <mergeCell ref="A29:C29"/>
    <mergeCell ref="D25:F25"/>
    <mergeCell ref="V25:X25"/>
    <mergeCell ref="Y26:Z26"/>
    <mergeCell ref="M13:N13"/>
    <mergeCell ref="G32:I32"/>
    <mergeCell ref="J33:L33"/>
    <mergeCell ref="W14:Z15"/>
    <mergeCell ref="A31:C31"/>
    <mergeCell ref="S26:U26"/>
    <mergeCell ref="M27:N27"/>
    <mergeCell ref="I17:J17"/>
    <mergeCell ref="A24:C24"/>
    <mergeCell ref="Y27:Z27"/>
    <mergeCell ref="K17:L17"/>
    <mergeCell ref="P29:R29"/>
    <mergeCell ref="M24:N24"/>
    <mergeCell ref="E16:F16"/>
    <mergeCell ref="J28:L28"/>
    <mergeCell ref="G27:I27"/>
    <mergeCell ref="G16:H16"/>
    <mergeCell ref="D31:F31"/>
    <mergeCell ref="U2:V3"/>
    <mergeCell ref="I19:J19"/>
    <mergeCell ref="U1:V1"/>
    <mergeCell ref="G8:I8"/>
    <mergeCell ref="K19:L19"/>
    <mergeCell ref="C18:D18"/>
    <mergeCell ref="A7:C7"/>
    <mergeCell ref="V29:X29"/>
    <mergeCell ref="E18:F18"/>
    <mergeCell ref="J30:L30"/>
    <mergeCell ref="R6:T6"/>
    <mergeCell ref="K16:L16"/>
    <mergeCell ref="A25:C25"/>
    <mergeCell ref="J6:L6"/>
    <mergeCell ref="D1:E1"/>
    <mergeCell ref="D32:F32"/>
    <mergeCell ref="G11:H11"/>
    <mergeCell ref="I11:J11"/>
    <mergeCell ref="P23:R23"/>
    <mergeCell ref="W11:Z11"/>
    <mergeCell ref="D7:F7"/>
    <mergeCell ref="Y16:Z17"/>
    <mergeCell ref="S18:T20"/>
    <mergeCell ref="C20:D20"/>
    <mergeCell ref="Y30:Z30"/>
    <mergeCell ref="E20:F20"/>
    <mergeCell ref="K11:L11"/>
    <mergeCell ref="J32:L32"/>
    <mergeCell ref="M11:N11"/>
    <mergeCell ref="Y29:Z29"/>
    <mergeCell ref="H1:S2"/>
    <mergeCell ref="V26:X26"/>
    <mergeCell ref="E13:F13"/>
    <mergeCell ref="S30:U30"/>
    <mergeCell ref="G13:H13"/>
    <mergeCell ref="M31:N31"/>
    <mergeCell ref="G29:I29"/>
    <mergeCell ref="D8:F8"/>
    <mergeCell ref="D33:F33"/>
    <mergeCell ref="W12:Z13"/>
    <mergeCell ref="A12:B12"/>
    <mergeCell ref="A28:C28"/>
    <mergeCell ref="S29:U29"/>
    <mergeCell ref="C12:D12"/>
    <mergeCell ref="A1:A3"/>
    <mergeCell ref="M15:N15"/>
    <mergeCell ref="E15:F15"/>
    <mergeCell ref="M12:N12"/>
    <mergeCell ref="G15:H15"/>
    <mergeCell ref="G31:I31"/>
    <mergeCell ref="Y28:Z28"/>
    <mergeCell ref="P18:R20"/>
    <mergeCell ref="A14:B14"/>
    <mergeCell ref="J8:L8"/>
    <mergeCell ref="A30:C30"/>
    <mergeCell ref="M26:N26"/>
    <mergeCell ref="U6:W6"/>
    <mergeCell ref="P25:R25"/>
    <mergeCell ref="M29:N29"/>
    <mergeCell ref="M23:N23"/>
    <mergeCell ref="F2:G3"/>
    <mergeCell ref="G23:I23"/>
    <mergeCell ref="Y23:Z23"/>
    <mergeCell ref="U16:V17"/>
    <mergeCell ref="W16:X17"/>
    <mergeCell ref="G7:I7"/>
    <mergeCell ref="K18:L18"/>
    <mergeCell ref="P12:R13"/>
    <mergeCell ref="D6:F6"/>
    <mergeCell ref="F1:G1"/>
    <mergeCell ref="T1:T3"/>
    <mergeCell ref="V28:X28"/>
    <mergeCell ref="P11:R11"/>
    <mergeCell ref="P14:R15"/>
    <mergeCell ref="A27:C27"/>
    <mergeCell ref="V30:X30"/>
    <mergeCell ref="W2:X3"/>
    <mergeCell ref="E17:F17"/>
    <mergeCell ref="G17:H17"/>
    <mergeCell ref="G33:I33"/>
    <mergeCell ref="X6:Z6"/>
    <mergeCell ref="A33:C33"/>
    <mergeCell ref="K20:L20"/>
    <mergeCell ref="A16:B16"/>
    <mergeCell ref="C16:D16"/>
    <mergeCell ref="M20:N20"/>
    <mergeCell ref="A8:C8"/>
    <mergeCell ref="E19:F19"/>
    <mergeCell ref="P8:Q8"/>
    <mergeCell ref="J31:L31"/>
    <mergeCell ref="G19:H19"/>
    <mergeCell ref="A18:B18"/>
    <mergeCell ref="G25:I25"/>
    <mergeCell ref="D24:F24"/>
    <mergeCell ref="M30:N30"/>
    <mergeCell ref="I12:J12"/>
    <mergeCell ref="K12:L12"/>
    <mergeCell ref="P24:R24"/>
    <mergeCell ref="P7:Q7"/>
    <mergeCell ref="C11:D11"/>
    <mergeCell ref="M28:N28"/>
    <mergeCell ref="E11:F11"/>
    <mergeCell ref="J23:L23"/>
    <mergeCell ref="D26:F26"/>
    <mergeCell ref="G14:H14"/>
    <mergeCell ref="S11:V11"/>
    <mergeCell ref="I14:J14"/>
    <mergeCell ref="R8:T8"/>
    <mergeCell ref="K14:L14"/>
    <mergeCell ref="P26:R26"/>
    <mergeCell ref="P16:R17"/>
    <mergeCell ref="A20:B20"/>
    <mergeCell ref="B2:C3"/>
    <mergeCell ref="D2:E3"/>
    <mergeCell ref="M32:N32"/>
    <mergeCell ref="M14:N14"/>
    <mergeCell ref="X8:Z8"/>
    <mergeCell ref="A13:B13"/>
    <mergeCell ref="C13:D13"/>
    <mergeCell ref="R7:T7"/>
    <mergeCell ref="S12:V13"/>
  </mergeCells>
  <pageMargins left="0.7086614173228347" right="0.7086614173228347" top="0.7480314960629921" bottom="0.7480314960629921" header="0.3149606299212598" footer="0.3149606299212598"/>
  <pageSetup orientation="portrait" paperSize="9" scale="59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AE33"/>
  <sheetViews>
    <sheetView zoomScaleNormal="100" zoomScaleSheetLayoutView="100" workbookViewId="0">
      <selection activeCell="M19" sqref="M19:N19"/>
    </sheetView>
  </sheetViews>
  <sheetFormatPr baseColWidth="8" defaultRowHeight="17.4"/>
  <cols>
    <col width="2.8984375" customWidth="1" style="251" min="1" max="1"/>
    <col width="5.59765625" customWidth="1" style="251" min="2" max="14"/>
    <col width="3.59765625" customWidth="1" style="251" min="15" max="15"/>
    <col width="4.59765625" customWidth="1" style="251" min="16" max="22"/>
    <col width="5.59765625" customWidth="1" style="251" min="23" max="26"/>
  </cols>
  <sheetData>
    <row r="1" ht="18.75" customHeight="1" s="251">
      <c r="A1" s="122" t="inlineStr">
        <is>
          <t>근
무
자</t>
        </is>
      </c>
      <c r="B1" s="120" t="inlineStr">
        <is>
          <t>오  전</t>
        </is>
      </c>
      <c r="C1" s="252" t="n"/>
      <c r="D1" s="120" t="inlineStr">
        <is>
          <t>오  후</t>
        </is>
      </c>
      <c r="E1" s="252" t="n"/>
      <c r="F1" s="120" t="inlineStr">
        <is>
          <t>야  간</t>
        </is>
      </c>
      <c r="G1" s="252" t="n"/>
      <c r="H1" s="253" t="inlineStr">
        <is>
          <t>유동상소각로 운전일지</t>
        </is>
      </c>
      <c r="S1" s="254" t="n"/>
      <c r="T1" s="255" t="inlineStr">
        <is>
          <t>결
재</t>
        </is>
      </c>
      <c r="U1" s="120" t="inlineStr">
        <is>
          <t>반장</t>
        </is>
      </c>
      <c r="V1" s="252" t="n"/>
      <c r="W1" s="120" t="inlineStr">
        <is>
          <t>대리</t>
        </is>
      </c>
      <c r="X1" s="252" t="n"/>
      <c r="Y1" s="120" t="inlineStr">
        <is>
          <t>팀장</t>
        </is>
      </c>
      <c r="Z1" s="252" t="n"/>
    </row>
    <row r="2" ht="14.25" customHeight="1" s="251">
      <c r="A2" s="256" t="n"/>
      <c r="B2" s="257" t="inlineStr">
        <is>
          <t>임종민</t>
        </is>
      </c>
      <c r="C2" s="258" t="n"/>
      <c r="D2" s="257" t="inlineStr">
        <is>
          <t>김문한</t>
        </is>
      </c>
      <c r="E2" s="258" t="n"/>
      <c r="F2" s="257" t="inlineStr">
        <is>
          <t>김동욱</t>
        </is>
      </c>
      <c r="G2" s="258" t="n"/>
      <c r="H2" s="259" t="n"/>
      <c r="I2" s="260" t="n"/>
      <c r="J2" s="260" t="n"/>
      <c r="K2" s="260" t="n"/>
      <c r="L2" s="260" t="n"/>
      <c r="M2" s="260" t="n"/>
      <c r="N2" s="260" t="n"/>
      <c r="O2" s="260" t="n"/>
      <c r="P2" s="260" t="n"/>
      <c r="Q2" s="260" t="n"/>
      <c r="R2" s="260" t="n"/>
      <c r="S2" s="261" t="n"/>
      <c r="T2" s="262" t="n"/>
      <c r="U2" s="105" t="n"/>
      <c r="V2" s="254" t="n"/>
      <c r="W2" s="105" t="n"/>
      <c r="X2" s="254" t="n"/>
      <c r="Y2" s="105" t="n"/>
      <c r="Z2" s="254" t="n"/>
    </row>
    <row r="3" ht="37.5" customHeight="1" s="251">
      <c r="A3" s="263" t="n"/>
      <c r="B3" s="264" t="n"/>
      <c r="C3" s="265" t="n"/>
      <c r="D3" s="264" t="n"/>
      <c r="E3" s="265" t="n"/>
      <c r="F3" s="264" t="n"/>
      <c r="G3" s="265" t="n"/>
      <c r="H3" s="266" t="n">
        <v>46221</v>
      </c>
      <c r="I3" s="267" t="n"/>
      <c r="J3" s="267" t="n"/>
      <c r="K3" s="267" t="n"/>
      <c r="L3" s="267" t="n"/>
      <c r="M3" s="267" t="n"/>
      <c r="N3" s="267" t="n"/>
      <c r="O3" s="267" t="n"/>
      <c r="P3" s="267" t="n"/>
      <c r="Q3" s="267" t="n"/>
      <c r="R3" s="267" t="n"/>
      <c r="S3" s="268" t="n"/>
      <c r="T3" s="269" t="n"/>
      <c r="U3" s="264" t="n"/>
      <c r="V3" s="265" t="n"/>
      <c r="W3" s="264" t="n"/>
      <c r="X3" s="265" t="n"/>
      <c r="Y3" s="264" t="n"/>
      <c r="Z3" s="265" t="n"/>
    </row>
    <row r="4" ht="13.5" customHeight="1" s="25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inlineStr">
        <is>
          <t>1. 소각현황(KG)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inlineStr">
        <is>
          <t>2. BOILER 운전현황(TON, HR)</t>
        </is>
      </c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2.5" customHeight="1" s="251" thickBot="1">
      <c r="A6" s="136" t="inlineStr">
        <is>
          <t>구 분</t>
        </is>
      </c>
      <c r="B6" s="270" t="n"/>
      <c r="C6" s="271" t="n"/>
      <c r="D6" s="136" t="inlineStr">
        <is>
          <t>SRF소각량</t>
        </is>
      </c>
      <c r="E6" s="270" t="n"/>
      <c r="F6" s="271" t="n"/>
      <c r="G6" s="136" t="inlineStr">
        <is>
          <t>SLUDGE 소각량</t>
        </is>
      </c>
      <c r="H6" s="270" t="n"/>
      <c r="I6" s="271" t="n"/>
      <c r="J6" s="136" t="inlineStr">
        <is>
          <t>합 계</t>
        </is>
      </c>
      <c r="K6" s="270" t="n"/>
      <c r="L6" s="271" t="n"/>
      <c r="M6" s="1" t="n"/>
      <c r="N6" s="1" t="n"/>
      <c r="O6" s="1" t="n"/>
      <c r="P6" s="136" t="inlineStr">
        <is>
          <t>구 분</t>
        </is>
      </c>
      <c r="Q6" s="271" t="n"/>
      <c r="R6" s="136" t="inlineStr">
        <is>
          <t>스팀 생산량</t>
        </is>
      </c>
      <c r="S6" s="270" t="n"/>
      <c r="T6" s="271" t="n"/>
      <c r="U6" s="136" t="inlineStr">
        <is>
          <t>스팀 송기량</t>
        </is>
      </c>
      <c r="V6" s="270" t="n"/>
      <c r="W6" s="271" t="n"/>
      <c r="X6" s="136" t="inlineStr">
        <is>
          <t>가동시간</t>
        </is>
      </c>
      <c r="Y6" s="270" t="n"/>
      <c r="Z6" s="271" t="n"/>
    </row>
    <row r="7" ht="30" customHeight="1" s="251" thickTop="1">
      <c r="A7" s="105" t="inlineStr">
        <is>
          <t>금 일</t>
        </is>
      </c>
      <c r="B7" s="272" t="n"/>
      <c r="C7" s="265" t="n"/>
      <c r="D7" s="139" t="n">
        <v>68297</v>
      </c>
      <c r="E7" s="272" t="n"/>
      <c r="F7" s="265" t="n"/>
      <c r="G7" s="139" t="n">
        <v>150300</v>
      </c>
      <c r="H7" s="272" t="n"/>
      <c r="I7" s="265" t="n"/>
      <c r="J7" s="154">
        <f>D7+G7</f>
        <v/>
      </c>
      <c r="K7" s="278" t="n"/>
      <c r="L7" s="279" t="n"/>
      <c r="M7" s="1" t="n"/>
      <c r="N7" s="1" t="n"/>
      <c r="O7" s="1" t="n"/>
      <c r="P7" s="105" t="inlineStr">
        <is>
          <t>금 일</t>
        </is>
      </c>
      <c r="Q7" s="265" t="n"/>
      <c r="R7" s="276" t="n">
        <v>491.5</v>
      </c>
      <c r="S7" s="272" t="n"/>
      <c r="T7" s="265" t="n"/>
      <c r="U7" s="307" t="n">
        <v>295</v>
      </c>
      <c r="V7" s="304" t="n"/>
      <c r="W7" s="283" t="n"/>
      <c r="X7" s="277" t="n">
        <v>24</v>
      </c>
      <c r="Y7" s="272" t="n"/>
      <c r="Z7" s="265" t="n"/>
    </row>
    <row r="8" ht="30" customHeight="1" s="251">
      <c r="A8" s="104" t="inlineStr">
        <is>
          <t>누 계</t>
        </is>
      </c>
      <c r="B8" s="278" t="n"/>
      <c r="C8" s="279" t="n"/>
      <c r="D8" s="154">
        <f>'17'!D8+'18'!D7</f>
        <v/>
      </c>
      <c r="E8" s="278" t="n"/>
      <c r="F8" s="279" t="n"/>
      <c r="G8" s="154">
        <f>'17'!G8+G7</f>
        <v/>
      </c>
      <c r="H8" s="278" t="n"/>
      <c r="I8" s="279" t="n"/>
      <c r="J8" s="154">
        <f>D8+G8</f>
        <v/>
      </c>
      <c r="K8" s="278" t="n"/>
      <c r="L8" s="279" t="n"/>
      <c r="M8" s="1" t="n"/>
      <c r="N8" s="1" t="n"/>
      <c r="O8" s="1" t="n"/>
      <c r="P8" s="104" t="inlineStr">
        <is>
          <t>누 계</t>
        </is>
      </c>
      <c r="Q8" s="279" t="n"/>
      <c r="R8" s="280">
        <f>'17'!R8+'18'!R7</f>
        <v/>
      </c>
      <c r="S8" s="278" t="n"/>
      <c r="T8" s="279" t="n"/>
      <c r="U8" s="280">
        <f>'17'!U8+U7</f>
        <v/>
      </c>
      <c r="V8" s="278" t="n"/>
      <c r="W8" s="279" t="n"/>
      <c r="X8" s="281">
        <f>'17'!X8+X7</f>
        <v/>
      </c>
      <c r="Y8" s="278" t="n"/>
      <c r="Z8" s="279" t="n"/>
    </row>
    <row r="9" ht="12" customHeight="1" s="25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inlineStr">
        <is>
          <t>3. 약품 사용현황 (KG)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inlineStr">
        <is>
          <t>4. 소각재 발생량 (TON, 대)</t>
        </is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30.75" customHeight="1" s="251" thickBot="1">
      <c r="A11" s="136" t="inlineStr">
        <is>
          <t>품 명</t>
        </is>
      </c>
      <c r="B11" s="271" t="n"/>
      <c r="C11" s="150" t="inlineStr">
        <is>
          <t>전일 
재고량</t>
        </is>
      </c>
      <c r="D11" s="271" t="n"/>
      <c r="E11" s="136" t="inlineStr">
        <is>
          <t>입고량</t>
        </is>
      </c>
      <c r="F11" s="271" t="n"/>
      <c r="G11" s="136" t="inlineStr">
        <is>
          <t>사용량</t>
        </is>
      </c>
      <c r="H11" s="271" t="n"/>
      <c r="I11" s="282" t="inlineStr">
        <is>
          <t>재고량</t>
        </is>
      </c>
      <c r="J11" s="271" t="n"/>
      <c r="K11" s="150" t="inlineStr">
        <is>
          <t>입고량 
누계</t>
        </is>
      </c>
      <c r="L11" s="271" t="n"/>
      <c r="M11" s="150" t="inlineStr">
        <is>
          <t>사용량 
누계</t>
        </is>
      </c>
      <c r="N11" s="271" t="n"/>
      <c r="O11" s="1" t="n"/>
      <c r="P11" s="136" t="inlineStr">
        <is>
          <t xml:space="preserve"> 구 분</t>
        </is>
      </c>
      <c r="Q11" s="270" t="n"/>
      <c r="R11" s="271" t="n"/>
      <c r="S11" s="282" t="inlineStr">
        <is>
          <t>반출량</t>
        </is>
      </c>
      <c r="T11" s="270" t="n"/>
      <c r="U11" s="270" t="n"/>
      <c r="V11" s="271" t="n"/>
      <c r="W11" s="282" t="inlineStr">
        <is>
          <t>누계</t>
        </is>
      </c>
      <c r="X11" s="270" t="n"/>
      <c r="Y11" s="270" t="n"/>
      <c r="Z11" s="271" t="n"/>
    </row>
    <row r="12" ht="21.9" customHeight="1" s="251" thickTop="1">
      <c r="A12" s="142" t="inlineStr">
        <is>
          <t>탄산암모늄</t>
        </is>
      </c>
      <c r="B12" s="265" t="n"/>
      <c r="C12" s="310">
        <f>'17'!I12</f>
        <v/>
      </c>
      <c r="D12" s="265" t="n"/>
      <c r="E12" s="105" t="n">
        <v>0</v>
      </c>
      <c r="F12" s="265" t="n"/>
      <c r="G12" s="105" t="n">
        <v>4036</v>
      </c>
      <c r="H12" s="265" t="n"/>
      <c r="I12" s="164">
        <f>C12+E12-G12</f>
        <v/>
      </c>
      <c r="J12" s="283" t="n"/>
      <c r="K12" s="105">
        <f>'17'!K12+'18'!E12</f>
        <v/>
      </c>
      <c r="L12" s="265" t="n"/>
      <c r="M12" s="105">
        <f>'17'!M12+G12</f>
        <v/>
      </c>
      <c r="N12" s="265" t="n"/>
      <c r="O12" s="1" t="n"/>
      <c r="P12" s="149" t="inlineStr">
        <is>
          <t xml:space="preserve">
비산재
</t>
        </is>
      </c>
      <c r="R12" s="254" t="n"/>
      <c r="S12" s="284" t="n">
        <v>0</v>
      </c>
      <c r="T12" s="285" t="n"/>
      <c r="U12" s="285" t="n"/>
      <c r="V12" s="285" t="n"/>
      <c r="W12" s="318">
        <f>'17'!W12+'18'!S12</f>
        <v/>
      </c>
      <c r="X12" s="285" t="n"/>
      <c r="Y12" s="285" t="n"/>
      <c r="Z12" s="287" t="n"/>
    </row>
    <row r="13" ht="21.9" customHeight="1" s="251">
      <c r="A13" s="104" t="inlineStr">
        <is>
          <t>청관제</t>
        </is>
      </c>
      <c r="B13" s="279" t="n"/>
      <c r="C13" s="310">
        <f>'17'!I13</f>
        <v/>
      </c>
      <c r="D13" s="265" t="n"/>
      <c r="E13" s="104" t="n">
        <v>0</v>
      </c>
      <c r="F13" s="279" t="n"/>
      <c r="G13" s="104" t="n">
        <v>90</v>
      </c>
      <c r="H13" s="279" t="n"/>
      <c r="I13" s="288">
        <f>C13+E13-G13</f>
        <v/>
      </c>
      <c r="J13" s="275" t="n"/>
      <c r="K13" s="105">
        <f>'17'!K13+'18'!E13</f>
        <v/>
      </c>
      <c r="L13" s="265" t="n"/>
      <c r="M13" s="105">
        <f>'17'!M13+G13</f>
        <v/>
      </c>
      <c r="N13" s="265" t="n"/>
      <c r="O13" s="1" t="n"/>
      <c r="P13" s="264" t="n"/>
      <c r="Q13" s="272" t="n"/>
      <c r="R13" s="265" t="n"/>
      <c r="S13" s="289" t="n"/>
      <c r="T13" s="290" t="n"/>
      <c r="U13" s="290" t="n"/>
      <c r="V13" s="290" t="n"/>
      <c r="W13" s="264" t="n"/>
      <c r="X13" s="272" t="n"/>
      <c r="Y13" s="272" t="n"/>
      <c r="Z13" s="265" t="n"/>
    </row>
    <row r="14" ht="21.9" customHeight="1" s="251">
      <c r="A14" s="104" t="inlineStr">
        <is>
          <t>활성탄</t>
        </is>
      </c>
      <c r="B14" s="279" t="n"/>
      <c r="C14" s="310">
        <f>'17'!I14</f>
        <v/>
      </c>
      <c r="D14" s="265" t="n"/>
      <c r="E14" s="104" t="n">
        <v>0</v>
      </c>
      <c r="F14" s="279" t="n"/>
      <c r="G14" s="104" t="n">
        <v>120</v>
      </c>
      <c r="H14" s="279" t="n"/>
      <c r="I14" s="288">
        <f>C14+E14-G14</f>
        <v/>
      </c>
      <c r="J14" s="275" t="n"/>
      <c r="K14" s="105">
        <f>'17'!K14+'18'!E14</f>
        <v/>
      </c>
      <c r="L14" s="265" t="n"/>
      <c r="M14" s="105">
        <f>'17'!M14+G14</f>
        <v/>
      </c>
      <c r="N14" s="265" t="n"/>
      <c r="O14" s="1" t="n"/>
      <c r="P14" s="104" t="inlineStr">
        <is>
          <t>바닥재</t>
        </is>
      </c>
      <c r="Q14" s="291" t="n"/>
      <c r="R14" s="292" t="n"/>
      <c r="S14" s="293" t="n">
        <v>20.82</v>
      </c>
      <c r="T14" s="291" t="n"/>
      <c r="U14" s="291" t="n"/>
      <c r="V14" s="291" t="n"/>
      <c r="W14" s="311">
        <f>'17'!W14+'18'!S14</f>
        <v/>
      </c>
      <c r="X14" s="291" t="n"/>
      <c r="Y14" s="291" t="n"/>
      <c r="Z14" s="295" t="n"/>
    </row>
    <row r="15" ht="21.9" customHeight="1" s="251">
      <c r="A15" s="104" t="inlineStr">
        <is>
          <t>가성소다</t>
        </is>
      </c>
      <c r="B15" s="279" t="n"/>
      <c r="C15" s="310">
        <f>'17'!I15</f>
        <v/>
      </c>
      <c r="D15" s="265" t="n"/>
      <c r="E15" s="104" t="n">
        <v>0</v>
      </c>
      <c r="F15" s="279" t="n"/>
      <c r="G15" s="104" t="n">
        <v>40</v>
      </c>
      <c r="H15" s="279" t="n"/>
      <c r="I15" s="288">
        <f>C15+E15-G15</f>
        <v/>
      </c>
      <c r="J15" s="275" t="n"/>
      <c r="K15" s="105">
        <f>'17'!K15+'18'!E15</f>
        <v/>
      </c>
      <c r="L15" s="265" t="n"/>
      <c r="M15" s="105">
        <f>'17'!M15+G15</f>
        <v/>
      </c>
      <c r="N15" s="265" t="n"/>
      <c r="O15" s="1" t="n"/>
      <c r="P15" s="296" t="n"/>
      <c r="Q15" s="290" t="n"/>
      <c r="R15" s="297" t="n"/>
      <c r="S15" s="296" t="n"/>
      <c r="T15" s="290" t="n"/>
      <c r="U15" s="290" t="n"/>
      <c r="V15" s="290" t="n"/>
      <c r="W15" s="298" t="n"/>
      <c r="X15" s="272" t="n"/>
      <c r="Y15" s="272" t="n"/>
      <c r="Z15" s="265" t="n"/>
    </row>
    <row r="16" ht="21.9" customHeight="1" s="251">
      <c r="A16" s="104" t="inlineStr">
        <is>
          <t>소석회</t>
        </is>
      </c>
      <c r="B16" s="279" t="n"/>
      <c r="C16" s="310">
        <f>'17'!I16</f>
        <v/>
      </c>
      <c r="D16" s="265" t="n"/>
      <c r="E16" s="104" t="n">
        <v>0</v>
      </c>
      <c r="F16" s="279" t="n"/>
      <c r="G16" s="104" t="n">
        <v>20</v>
      </c>
      <c r="H16" s="279" t="n"/>
      <c r="I16" s="288">
        <f>C16+E16-G16</f>
        <v/>
      </c>
      <c r="J16" s="275" t="n"/>
      <c r="K16" s="105">
        <f>'17'!K16+'18'!E16</f>
        <v/>
      </c>
      <c r="L16" s="265" t="n"/>
      <c r="M16" s="105">
        <f>'17'!M16+G16</f>
        <v/>
      </c>
      <c r="N16" s="265" t="n"/>
      <c r="O16" s="1" t="n"/>
      <c r="P16" s="162" t="inlineStr">
        <is>
          <t>구분</t>
        </is>
      </c>
      <c r="Q16" s="291" t="n"/>
      <c r="R16" s="292" t="n"/>
      <c r="S16" s="299" t="inlineStr">
        <is>
          <t>주간</t>
        </is>
      </c>
      <c r="T16" s="292" t="n"/>
      <c r="U16" s="299" t="inlineStr">
        <is>
          <t>야간</t>
        </is>
      </c>
      <c r="V16" s="292" t="n"/>
      <c r="W16" s="299" t="inlineStr">
        <is>
          <t>합계</t>
        </is>
      </c>
      <c r="X16" s="292" t="n"/>
      <c r="Y16" s="299" t="inlineStr">
        <is>
          <t>누계</t>
        </is>
      </c>
      <c r="Z16" s="292" t="n"/>
    </row>
    <row r="17" ht="21.9" customHeight="1" s="251" thickBot="1">
      <c r="A17" s="104" t="inlineStr">
        <is>
          <t>소 금</t>
        </is>
      </c>
      <c r="B17" s="279" t="n"/>
      <c r="C17" s="310">
        <f>'17'!I17</f>
        <v/>
      </c>
      <c r="D17" s="265" t="n"/>
      <c r="E17" s="104" t="n">
        <v>0</v>
      </c>
      <c r="F17" s="279" t="n"/>
      <c r="G17" s="104" t="n">
        <v>200</v>
      </c>
      <c r="H17" s="279" t="n"/>
      <c r="I17" s="288">
        <f>C17+E17-G17</f>
        <v/>
      </c>
      <c r="J17" s="275" t="n"/>
      <c r="K17" s="105">
        <f>'17'!K17+'18'!E17</f>
        <v/>
      </c>
      <c r="L17" s="265" t="n"/>
      <c r="M17" s="105">
        <f>'17'!M17+G17</f>
        <v/>
      </c>
      <c r="N17" s="265" t="n"/>
      <c r="O17" s="1" t="n"/>
      <c r="P17" s="296" t="n"/>
      <c r="Q17" s="290" t="n"/>
      <c r="R17" s="297" t="n"/>
      <c r="S17" s="300" t="n"/>
      <c r="T17" s="301" t="n"/>
      <c r="U17" s="300" t="n"/>
      <c r="V17" s="301" t="n"/>
      <c r="W17" s="300" t="n"/>
      <c r="X17" s="301" t="n"/>
      <c r="Y17" s="300" t="n"/>
      <c r="Z17" s="301" t="n"/>
      <c r="AE17" s="302" t="n"/>
    </row>
    <row r="18" ht="21.9" customHeight="1" s="251" thickTop="1">
      <c r="A18" s="104" t="inlineStr">
        <is>
          <t>경 유</t>
        </is>
      </c>
      <c r="B18" s="279" t="n"/>
      <c r="C18" s="310">
        <f>'17'!I18</f>
        <v/>
      </c>
      <c r="D18" s="265" t="n"/>
      <c r="E18" s="104" t="n">
        <v>0</v>
      </c>
      <c r="F18" s="279" t="n"/>
      <c r="G18" s="104" t="n">
        <v>0</v>
      </c>
      <c r="H18" s="279" t="n"/>
      <c r="I18" s="288">
        <f>C18+E18-G18</f>
        <v/>
      </c>
      <c r="J18" s="275" t="n"/>
      <c r="K18" s="105">
        <f>'17'!K18+'18'!E18</f>
        <v/>
      </c>
      <c r="L18" s="265" t="n"/>
      <c r="M18" s="105">
        <f>'17'!M18+G18</f>
        <v/>
      </c>
      <c r="N18" s="265" t="n"/>
      <c r="O18" s="1" t="n"/>
      <c r="P18" s="164" t="inlineStr">
        <is>
          <t>불연물</t>
        </is>
      </c>
      <c r="Q18" s="285" t="n"/>
      <c r="R18" s="287" t="n"/>
      <c r="S18" s="303" t="n">
        <v>1</v>
      </c>
      <c r="T18" s="287" t="n"/>
      <c r="U18" s="303" t="n">
        <v>2</v>
      </c>
      <c r="V18" s="287" t="n"/>
      <c r="W18" s="303">
        <f>S18+U18</f>
        <v/>
      </c>
      <c r="X18" s="287" t="n"/>
      <c r="Y18" s="303">
        <f>'17'!Y18+'18'!W18</f>
        <v/>
      </c>
      <c r="Z18" s="287" t="n"/>
    </row>
    <row r="19" ht="21.9" customHeight="1" s="251">
      <c r="A19" s="153" t="inlineStr">
        <is>
          <t>SRF</t>
        </is>
      </c>
      <c r="B19" s="279" t="n"/>
      <c r="C19" s="310">
        <f>'17'!I19</f>
        <v/>
      </c>
      <c r="D19" s="265" t="n"/>
      <c r="E19" s="154" t="n">
        <v>89060</v>
      </c>
      <c r="F19" s="279" t="n"/>
      <c r="G19" s="154">
        <f>D7</f>
        <v/>
      </c>
      <c r="H19" s="279" t="n"/>
      <c r="I19" s="273">
        <f>C19+E19-G19</f>
        <v/>
      </c>
      <c r="J19" s="275" t="n"/>
      <c r="K19" s="105">
        <f>'17'!K19+'18'!E19</f>
        <v/>
      </c>
      <c r="L19" s="265" t="n"/>
      <c r="M19" s="105">
        <f>'17'!M19+G19</f>
        <v/>
      </c>
      <c r="N19" s="265" t="n"/>
      <c r="O19" s="1" t="n"/>
      <c r="P19" s="256" t="n"/>
      <c r="R19" s="254" t="n"/>
      <c r="S19" s="256" t="n"/>
      <c r="T19" s="254" t="n"/>
      <c r="U19" s="256" t="n"/>
      <c r="V19" s="254" t="n"/>
      <c r="W19" s="256" t="n"/>
      <c r="X19" s="254" t="n"/>
      <c r="Y19" s="256" t="n"/>
      <c r="Z19" s="254" t="n"/>
    </row>
    <row r="20" ht="21.9" customHeight="1" s="251">
      <c r="A20" s="104" t="inlineStr">
        <is>
          <t>규 사</t>
        </is>
      </c>
      <c r="B20" s="279" t="n"/>
      <c r="C20" s="310">
        <f>'17'!I20</f>
        <v/>
      </c>
      <c r="D20" s="265" t="n"/>
      <c r="E20" s="288" t="n"/>
      <c r="F20" s="275" t="n"/>
      <c r="G20" s="104" t="n"/>
      <c r="H20" s="279" t="n"/>
      <c r="I20" s="288" t="n"/>
      <c r="J20" s="275" t="n"/>
      <c r="K20" s="105" t="n">
        <v>0</v>
      </c>
      <c r="L20" s="265" t="n"/>
      <c r="M20" s="105" t="n">
        <v>0</v>
      </c>
      <c r="N20" s="265" t="n"/>
      <c r="O20" s="1" t="n"/>
      <c r="P20" s="264" t="n"/>
      <c r="Q20" s="272" t="n"/>
      <c r="R20" s="265" t="n"/>
      <c r="S20" s="264" t="n"/>
      <c r="T20" s="265" t="n"/>
      <c r="U20" s="264" t="n"/>
      <c r="V20" s="265" t="n"/>
      <c r="W20" s="264" t="n"/>
      <c r="X20" s="265" t="n"/>
      <c r="Y20" s="264" t="n"/>
      <c r="Z20" s="265" t="n"/>
    </row>
    <row r="21" ht="12" customHeight="1" s="25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 t="inlineStr">
        <is>
          <t>5. 전력 사용량 (KWH)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10" t="inlineStr">
        <is>
          <t>6. 유틸리티 사용현황 (㎥)</t>
        </is>
      </c>
      <c r="Q22" s="290" t="n"/>
      <c r="R22" s="290" t="n"/>
      <c r="S22" s="290" t="n"/>
      <c r="T22" s="290" t="n"/>
      <c r="U22" s="290" t="n"/>
      <c r="V22" s="1" t="n"/>
      <c r="W22" s="1" t="n"/>
      <c r="X22" s="1" t="n"/>
      <c r="Y22" s="1" t="n"/>
      <c r="Z22" s="1" t="n"/>
    </row>
    <row r="23" ht="28.5" customHeight="1" s="251" thickBot="1">
      <c r="A23" s="136" t="inlineStr">
        <is>
          <t>구 분</t>
        </is>
      </c>
      <c r="B23" s="270" t="n"/>
      <c r="C23" s="271" t="n"/>
      <c r="D23" s="136" t="inlineStr">
        <is>
          <t>전일지침</t>
        </is>
      </c>
      <c r="E23" s="270" t="n"/>
      <c r="F23" s="271" t="n"/>
      <c r="G23" s="136" t="inlineStr">
        <is>
          <t>금일지침</t>
        </is>
      </c>
      <c r="H23" s="270" t="n"/>
      <c r="I23" s="271" t="n"/>
      <c r="J23" s="136" t="inlineStr">
        <is>
          <t>사용량</t>
        </is>
      </c>
      <c r="K23" s="270" t="n"/>
      <c r="L23" s="271" t="n"/>
      <c r="M23" s="136" t="inlineStr">
        <is>
          <t>누 계</t>
        </is>
      </c>
      <c r="N23" s="271" t="n"/>
      <c r="P23" s="136" t="inlineStr">
        <is>
          <t>구 분</t>
        </is>
      </c>
      <c r="Q23" s="270" t="n"/>
      <c r="R23" s="271" t="n"/>
      <c r="S23" s="136" t="inlineStr">
        <is>
          <t>전일 사용량</t>
        </is>
      </c>
      <c r="T23" s="270" t="n"/>
      <c r="U23" s="271" t="n"/>
      <c r="V23" s="136" t="inlineStr">
        <is>
          <t>금일 사용량</t>
        </is>
      </c>
      <c r="W23" s="270" t="n"/>
      <c r="X23" s="271" t="n"/>
      <c r="Y23" s="136" t="inlineStr">
        <is>
          <t>누 계</t>
        </is>
      </c>
      <c r="Z23" s="271" t="n"/>
    </row>
    <row r="24" ht="21.9" customHeight="1" s="251" thickTop="1">
      <c r="A24" s="105" t="inlineStr">
        <is>
          <t>MAIN</t>
        </is>
      </c>
      <c r="B24" s="272" t="n"/>
      <c r="C24" s="265" t="n"/>
      <c r="D24" s="187">
        <f>'17'!G24</f>
        <v/>
      </c>
      <c r="E24" s="285" t="n"/>
      <c r="F24" s="287" t="n"/>
      <c r="G24" s="164" t="n">
        <v>4084502</v>
      </c>
      <c r="H24" s="304" t="n"/>
      <c r="I24" s="283" t="n"/>
      <c r="J24" s="164">
        <f>G24-D24</f>
        <v/>
      </c>
      <c r="K24" s="304" t="n"/>
      <c r="L24" s="283" t="n"/>
      <c r="M24" s="164">
        <f>'17'!M24+'18'!J24</f>
        <v/>
      </c>
      <c r="N24" s="283" t="n"/>
      <c r="P24" s="105" t="inlineStr">
        <is>
          <t>재이용수</t>
        </is>
      </c>
      <c r="Q24" s="272" t="n"/>
      <c r="R24" s="265" t="n"/>
      <c r="S24" s="105">
        <f>'17'!V24</f>
        <v/>
      </c>
      <c r="T24" s="272" t="n"/>
      <c r="U24" s="265" t="n"/>
      <c r="V24" s="276" t="n">
        <v>554.1</v>
      </c>
      <c r="W24" s="272" t="n"/>
      <c r="X24" s="265" t="n"/>
      <c r="Y24" s="276">
        <f>'17'!Y24+V24</f>
        <v/>
      </c>
      <c r="Z24" s="265" t="n"/>
    </row>
    <row r="25" ht="21.9" customHeight="1" s="251">
      <c r="A25" s="104" t="inlineStr">
        <is>
          <t>ASH 저장조</t>
        </is>
      </c>
      <c r="B25" s="278" t="n"/>
      <c r="C25" s="279" t="n"/>
      <c r="D25" s="104">
        <f>'17'!G25</f>
        <v/>
      </c>
      <c r="E25" s="278" t="n"/>
      <c r="F25" s="279" t="n"/>
      <c r="G25" s="104" t="n">
        <v>33377.2</v>
      </c>
      <c r="H25" s="278" t="n"/>
      <c r="I25" s="279" t="n"/>
      <c r="J25" s="104">
        <f>G25-D25</f>
        <v/>
      </c>
      <c r="K25" s="278" t="n"/>
      <c r="L25" s="279" t="n"/>
      <c r="M25" s="288">
        <f>'17'!M25+'18'!J25</f>
        <v/>
      </c>
      <c r="N25" s="275" t="n"/>
      <c r="P25" s="104" t="inlineStr">
        <is>
          <t>복류수</t>
        </is>
      </c>
      <c r="Q25" s="278" t="n"/>
      <c r="R25" s="279" t="n"/>
      <c r="S25" s="288">
        <f>'17'!V25</f>
        <v/>
      </c>
      <c r="T25" s="274" t="n"/>
      <c r="U25" s="275" t="n"/>
      <c r="V25" s="280" t="n">
        <v>60.8</v>
      </c>
      <c r="W25" s="278" t="n"/>
      <c r="X25" s="279" t="n"/>
      <c r="Y25" s="316">
        <f>'17'!Y25+V25</f>
        <v/>
      </c>
      <c r="Z25" s="275" t="n"/>
    </row>
    <row r="26" ht="21.9" customHeight="1" s="251">
      <c r="A26" s="104" t="inlineStr">
        <is>
          <t>BAG FILTER</t>
        </is>
      </c>
      <c r="B26" s="278" t="n"/>
      <c r="C26" s="279" t="n"/>
      <c r="D26" s="104">
        <f>'17'!G26</f>
        <v/>
      </c>
      <c r="E26" s="278" t="n"/>
      <c r="F26" s="279" t="n"/>
      <c r="G26" s="104" t="n">
        <v>24670</v>
      </c>
      <c r="H26" s="278" t="n"/>
      <c r="I26" s="279" t="n"/>
      <c r="J26" s="104">
        <f>G26-D26</f>
        <v/>
      </c>
      <c r="K26" s="278" t="n"/>
      <c r="L26" s="279" t="n"/>
      <c r="M26" s="288">
        <f>'17'!M26+'18'!J26</f>
        <v/>
      </c>
      <c r="N26" s="275" t="n"/>
      <c r="P26" s="104" t="inlineStr">
        <is>
          <t>응축수</t>
        </is>
      </c>
      <c r="Q26" s="278" t="n"/>
      <c r="R26" s="279" t="n"/>
      <c r="S26" s="288">
        <f>'17'!V26</f>
        <v/>
      </c>
      <c r="T26" s="274" t="n"/>
      <c r="U26" s="275" t="n"/>
      <c r="V26" s="280" t="n">
        <v>453.8</v>
      </c>
      <c r="W26" s="278" t="n"/>
      <c r="X26" s="279" t="n"/>
      <c r="Y26" s="316">
        <f>'17'!Y26+V26</f>
        <v/>
      </c>
      <c r="Z26" s="275" t="n"/>
    </row>
    <row r="27" ht="21.9" customHeight="1" s="251">
      <c r="A27" s="104" t="inlineStr">
        <is>
          <t>SCRUBBER</t>
        </is>
      </c>
      <c r="B27" s="278" t="n"/>
      <c r="C27" s="279" t="n"/>
      <c r="D27" s="104">
        <f>'17'!G27</f>
        <v/>
      </c>
      <c r="E27" s="278" t="n"/>
      <c r="F27" s="279" t="n"/>
      <c r="G27" s="104" t="n">
        <v>1399000</v>
      </c>
      <c r="H27" s="278" t="n"/>
      <c r="I27" s="279" t="n"/>
      <c r="J27" s="104">
        <f>G27-D27</f>
        <v/>
      </c>
      <c r="K27" s="278" t="n"/>
      <c r="L27" s="279" t="n"/>
      <c r="M27" s="288">
        <f>'17'!M27+'18'!J27</f>
        <v/>
      </c>
      <c r="N27" s="275" t="n"/>
      <c r="P27" s="104" t="inlineStr">
        <is>
          <t>보일러 급수</t>
        </is>
      </c>
      <c r="Q27" s="278" t="n"/>
      <c r="R27" s="279" t="n"/>
      <c r="S27" s="288">
        <f>'17'!V27</f>
        <v/>
      </c>
      <c r="T27" s="274" t="n"/>
      <c r="U27" s="275" t="n"/>
      <c r="V27" s="280" t="n">
        <v>490.4</v>
      </c>
      <c r="W27" s="278" t="n"/>
      <c r="X27" s="279" t="n"/>
      <c r="Y27" s="316">
        <f>'17'!Y27+V27</f>
        <v/>
      </c>
      <c r="Z27" s="275" t="n"/>
    </row>
    <row r="28" ht="21.9" customHeight="1" s="251">
      <c r="A28" s="104" t="inlineStr">
        <is>
          <t>활성탄 공급</t>
        </is>
      </c>
      <c r="B28" s="278" t="n"/>
      <c r="C28" s="279" t="n"/>
      <c r="D28" s="104">
        <f>'17'!G28</f>
        <v/>
      </c>
      <c r="E28" s="278" t="n"/>
      <c r="F28" s="279" t="n"/>
      <c r="G28" s="104" t="n">
        <v>5927</v>
      </c>
      <c r="H28" s="278" t="n"/>
      <c r="I28" s="279" t="n"/>
      <c r="J28" s="104">
        <f>G28-D28</f>
        <v/>
      </c>
      <c r="K28" s="278" t="n"/>
      <c r="L28" s="279" t="n"/>
      <c r="M28" s="288">
        <f>'17'!M28+'18'!J28</f>
        <v/>
      </c>
      <c r="N28" s="275" t="n"/>
      <c r="P28" s="104" t="inlineStr">
        <is>
          <t>폐 수</t>
        </is>
      </c>
      <c r="Q28" s="278" t="n"/>
      <c r="R28" s="279" t="n"/>
      <c r="S28" s="288">
        <f>'17'!V28</f>
        <v/>
      </c>
      <c r="T28" s="274" t="n"/>
      <c r="U28" s="275" t="n"/>
      <c r="V28" s="280" t="n">
        <v>0</v>
      </c>
      <c r="W28" s="278" t="n"/>
      <c r="X28" s="279" t="n"/>
      <c r="Y28" s="316">
        <f>'17'!Y28+V28</f>
        <v/>
      </c>
      <c r="Z28" s="275" t="n"/>
    </row>
    <row r="29" ht="21.9" customHeight="1" s="251">
      <c r="A29" s="104" t="inlineStr">
        <is>
          <t>소석회 공급</t>
        </is>
      </c>
      <c r="B29" s="278" t="n"/>
      <c r="C29" s="279" t="n"/>
      <c r="D29" s="104">
        <f>'17'!G29</f>
        <v/>
      </c>
      <c r="E29" s="278" t="n"/>
      <c r="F29" s="279" t="n"/>
      <c r="G29" s="104" t="n">
        <v>66240</v>
      </c>
      <c r="H29" s="278" t="n"/>
      <c r="I29" s="279" t="n"/>
      <c r="J29" s="104">
        <f>G29-D29</f>
        <v/>
      </c>
      <c r="K29" s="278" t="n"/>
      <c r="L29" s="279" t="n"/>
      <c r="M29" s="288">
        <f>'17'!M29+'18'!J29</f>
        <v/>
      </c>
      <c r="N29" s="275" t="n"/>
      <c r="P29" s="104" t="inlineStr">
        <is>
          <t>연 수</t>
        </is>
      </c>
      <c r="Q29" s="278" t="n"/>
      <c r="R29" s="279" t="n"/>
      <c r="S29" s="288">
        <f>'17'!V29</f>
        <v/>
      </c>
      <c r="T29" s="274" t="n"/>
      <c r="U29" s="275" t="n"/>
      <c r="V29" s="280" t="n">
        <v>70.09999999999999</v>
      </c>
      <c r="W29" s="278" t="n"/>
      <c r="X29" s="279" t="n"/>
      <c r="Y29" s="316">
        <f>'17'!Y29+V29</f>
        <v/>
      </c>
      <c r="Z29" s="275" t="n"/>
    </row>
    <row r="30" ht="21.9" customHeight="1" s="251">
      <c r="A30" s="104" t="inlineStr">
        <is>
          <t>요소수 공급</t>
        </is>
      </c>
      <c r="B30" s="278" t="n"/>
      <c r="C30" s="279" t="n"/>
      <c r="D30" s="104">
        <f>'17'!G30</f>
        <v/>
      </c>
      <c r="E30" s="278" t="n"/>
      <c r="F30" s="279" t="n"/>
      <c r="G30" s="104" t="n">
        <v>53450</v>
      </c>
      <c r="H30" s="278" t="n"/>
      <c r="I30" s="279" t="n"/>
      <c r="J30" s="104">
        <f>G30-D30</f>
        <v/>
      </c>
      <c r="K30" s="278" t="n"/>
      <c r="L30" s="279" t="n"/>
      <c r="M30" s="288">
        <f>'17'!M30+'18'!J30</f>
        <v/>
      </c>
      <c r="N30" s="275" t="n"/>
      <c r="P30" s="104" t="inlineStr">
        <is>
          <t>계</t>
        </is>
      </c>
      <c r="Q30" s="278" t="n"/>
      <c r="R30" s="279" t="n"/>
      <c r="S30" s="288">
        <f>'17'!V30</f>
        <v/>
      </c>
      <c r="T30" s="274" t="n"/>
      <c r="U30" s="275" t="n"/>
      <c r="V30" s="280" t="n"/>
      <c r="W30" s="278" t="n"/>
      <c r="X30" s="279" t="n"/>
      <c r="Y30" s="316">
        <f>'17'!Y30+V30</f>
        <v/>
      </c>
      <c r="Z30" s="275" t="n"/>
    </row>
    <row r="31" ht="21.9" customHeight="1" s="251">
      <c r="A31" s="104" t="inlineStr">
        <is>
          <t xml:space="preserve">F.D </t>
        </is>
      </c>
      <c r="B31" s="278" t="n"/>
      <c r="C31" s="279" t="n"/>
      <c r="D31" s="104">
        <f>'17'!G31</f>
        <v/>
      </c>
      <c r="E31" s="278" t="n"/>
      <c r="F31" s="279" t="n"/>
      <c r="G31" s="288" t="n">
        <v>6343653</v>
      </c>
      <c r="H31" s="274" t="n"/>
      <c r="I31" s="275" t="n"/>
      <c r="J31" s="104">
        <f>G31-D31</f>
        <v/>
      </c>
      <c r="K31" s="278" t="n"/>
      <c r="L31" s="279" t="n"/>
      <c r="M31" s="288">
        <f>'17'!M31+'18'!J31</f>
        <v/>
      </c>
      <c r="N31" s="275" t="n"/>
      <c r="P31" s="172" t="n"/>
      <c r="Q31" s="172" t="n"/>
      <c r="R31" s="172" t="n"/>
      <c r="S31" s="172" t="n"/>
      <c r="T31" s="172" t="n"/>
      <c r="U31" s="172" t="n"/>
      <c r="V31" s="305" t="n"/>
      <c r="W31" s="305" t="n"/>
      <c r="X31" s="305" t="n"/>
      <c r="Y31" s="305" t="n"/>
      <c r="Z31" s="305" t="n"/>
    </row>
    <row r="32" ht="21.9" customHeight="1" s="251">
      <c r="A32" s="104" t="inlineStr">
        <is>
          <t>활성탄 BAG</t>
        </is>
      </c>
      <c r="B32" s="278" t="n"/>
      <c r="C32" s="279" t="n"/>
      <c r="D32" s="104">
        <f>'17'!G32</f>
        <v/>
      </c>
      <c r="E32" s="278" t="n"/>
      <c r="F32" s="279" t="n"/>
      <c r="G32" s="288" t="n">
        <v>1.7</v>
      </c>
      <c r="H32" s="274" t="n"/>
      <c r="I32" s="275" t="n"/>
      <c r="J32" s="288">
        <f>G32-D32</f>
        <v/>
      </c>
      <c r="K32" s="274" t="n"/>
      <c r="L32" s="275" t="n"/>
      <c r="M32" s="288">
        <f>'17'!M32+'18'!J32</f>
        <v/>
      </c>
      <c r="N32" s="275" t="n"/>
      <c r="P32" s="172" t="n"/>
      <c r="Q32" s="172" t="n"/>
      <c r="R32" s="172" t="n"/>
      <c r="S32" s="172" t="n"/>
      <c r="T32" s="172" t="n"/>
      <c r="U32" s="172" t="n"/>
      <c r="V32" s="305" t="n"/>
      <c r="W32" s="305" t="n"/>
      <c r="X32" s="305" t="n"/>
      <c r="Y32" s="305" t="n"/>
      <c r="Z32" s="305" t="n"/>
    </row>
    <row r="33" ht="21.9" customHeight="1" s="251">
      <c r="A33" s="104" t="inlineStr">
        <is>
          <t>소석회 BAG</t>
        </is>
      </c>
      <c r="B33" s="278" t="n"/>
      <c r="C33" s="279" t="n"/>
      <c r="D33" s="104">
        <f>'17'!G33</f>
        <v/>
      </c>
      <c r="E33" s="278" t="n"/>
      <c r="F33" s="279" t="n"/>
      <c r="G33" s="288" t="n">
        <v>0</v>
      </c>
      <c r="H33" s="274" t="n"/>
      <c r="I33" s="275" t="n"/>
      <c r="J33" s="288">
        <f>G33-D33</f>
        <v/>
      </c>
      <c r="K33" s="274" t="n"/>
      <c r="L33" s="275" t="n"/>
      <c r="M33" s="288">
        <f>'17'!M33+'18'!J33</f>
        <v/>
      </c>
      <c r="N33" s="275" t="n"/>
      <c r="P33" s="172" t="n"/>
      <c r="Q33" s="172" t="n"/>
      <c r="R33" s="172" t="n"/>
      <c r="S33" s="172" t="n"/>
      <c r="T33" s="172" t="n"/>
      <c r="U33" s="172" t="n"/>
      <c r="V33" s="305" t="n"/>
      <c r="W33" s="305" t="n"/>
      <c r="X33" s="305" t="n"/>
      <c r="Y33" s="305" t="n"/>
      <c r="Z33" s="305" t="n"/>
    </row>
  </sheetData>
  <mergeCells count="217">
    <mergeCell ref="V24:X24"/>
    <mergeCell ref="A15:B15"/>
    <mergeCell ref="P27:R27"/>
    <mergeCell ref="S23:U23"/>
    <mergeCell ref="C15:D15"/>
    <mergeCell ref="J27:L27"/>
    <mergeCell ref="S14:V15"/>
    <mergeCell ref="Y24:Z24"/>
    <mergeCell ref="U7:W7"/>
    <mergeCell ref="A26:C26"/>
    <mergeCell ref="J25:L25"/>
    <mergeCell ref="G24:I24"/>
    <mergeCell ref="D28:F28"/>
    <mergeCell ref="I16:J16"/>
    <mergeCell ref="A23:C23"/>
    <mergeCell ref="S24:U24"/>
    <mergeCell ref="P6:Q6"/>
    <mergeCell ref="P28:R28"/>
    <mergeCell ref="W1:X1"/>
    <mergeCell ref="Y1:Z1"/>
    <mergeCell ref="G26:I26"/>
    <mergeCell ref="S16:T17"/>
    <mergeCell ref="D30:F30"/>
    <mergeCell ref="G18:H18"/>
    <mergeCell ref="U8:W8"/>
    <mergeCell ref="B1:C1"/>
    <mergeCell ref="I18:J18"/>
    <mergeCell ref="H3:S3"/>
    <mergeCell ref="M16:N16"/>
    <mergeCell ref="P30:R30"/>
    <mergeCell ref="M25:N25"/>
    <mergeCell ref="D29:F29"/>
    <mergeCell ref="D23:F23"/>
    <mergeCell ref="Y25:Z25"/>
    <mergeCell ref="M18:N18"/>
    <mergeCell ref="M33:N33"/>
    <mergeCell ref="A17:B17"/>
    <mergeCell ref="S25:U25"/>
    <mergeCell ref="C17:D17"/>
    <mergeCell ref="U18:V20"/>
    <mergeCell ref="J29:L29"/>
    <mergeCell ref="M17:N17"/>
    <mergeCell ref="W18:X20"/>
    <mergeCell ref="G20:H20"/>
    <mergeCell ref="I20:J20"/>
    <mergeCell ref="S27:U27"/>
    <mergeCell ref="A19:B19"/>
    <mergeCell ref="V23:X23"/>
    <mergeCell ref="C19:D19"/>
    <mergeCell ref="A6:C6"/>
    <mergeCell ref="Y2:Z3"/>
    <mergeCell ref="Y18:Z20"/>
    <mergeCell ref="M19:N19"/>
    <mergeCell ref="P22:U22"/>
    <mergeCell ref="I13:J13"/>
    <mergeCell ref="K13:L13"/>
    <mergeCell ref="X7:Z7"/>
    <mergeCell ref="E12:F12"/>
    <mergeCell ref="J24:L24"/>
    <mergeCell ref="G12:H12"/>
    <mergeCell ref="G28:I28"/>
    <mergeCell ref="D27:F27"/>
    <mergeCell ref="G6:I6"/>
    <mergeCell ref="I15:J15"/>
    <mergeCell ref="A11:B11"/>
    <mergeCell ref="K15:L15"/>
    <mergeCell ref="S28:U28"/>
    <mergeCell ref="C14:D14"/>
    <mergeCell ref="E14:F14"/>
    <mergeCell ref="J26:L26"/>
    <mergeCell ref="G30:I30"/>
    <mergeCell ref="J7:L7"/>
    <mergeCell ref="V27:X27"/>
    <mergeCell ref="A32:C32"/>
    <mergeCell ref="A29:C29"/>
    <mergeCell ref="D25:F25"/>
    <mergeCell ref="V25:X25"/>
    <mergeCell ref="Y26:Z26"/>
    <mergeCell ref="M13:N13"/>
    <mergeCell ref="G32:I32"/>
    <mergeCell ref="J33:L33"/>
    <mergeCell ref="W14:Z15"/>
    <mergeCell ref="A31:C31"/>
    <mergeCell ref="S26:U26"/>
    <mergeCell ref="M27:N27"/>
    <mergeCell ref="I17:J17"/>
    <mergeCell ref="A24:C24"/>
    <mergeCell ref="Y27:Z27"/>
    <mergeCell ref="K17:L17"/>
    <mergeCell ref="P29:R29"/>
    <mergeCell ref="M24:N24"/>
    <mergeCell ref="E16:F16"/>
    <mergeCell ref="J28:L28"/>
    <mergeCell ref="G27:I27"/>
    <mergeCell ref="G16:H16"/>
    <mergeCell ref="D31:F31"/>
    <mergeCell ref="U2:V3"/>
    <mergeCell ref="I19:J19"/>
    <mergeCell ref="U1:V1"/>
    <mergeCell ref="G8:I8"/>
    <mergeCell ref="K19:L19"/>
    <mergeCell ref="C18:D18"/>
    <mergeCell ref="A7:C7"/>
    <mergeCell ref="V29:X29"/>
    <mergeCell ref="E18:F18"/>
    <mergeCell ref="J30:L30"/>
    <mergeCell ref="R6:T6"/>
    <mergeCell ref="K16:L16"/>
    <mergeCell ref="A25:C25"/>
    <mergeCell ref="J6:L6"/>
    <mergeCell ref="D1:E1"/>
    <mergeCell ref="D32:F32"/>
    <mergeCell ref="G11:H11"/>
    <mergeCell ref="I11:J11"/>
    <mergeCell ref="P23:R23"/>
    <mergeCell ref="W11:Z11"/>
    <mergeCell ref="D7:F7"/>
    <mergeCell ref="Y16:Z17"/>
    <mergeCell ref="S18:T20"/>
    <mergeCell ref="C20:D20"/>
    <mergeCell ref="Y30:Z30"/>
    <mergeCell ref="E20:F20"/>
    <mergeCell ref="K11:L11"/>
    <mergeCell ref="J32:L32"/>
    <mergeCell ref="M11:N11"/>
    <mergeCell ref="Y29:Z29"/>
    <mergeCell ref="H1:S2"/>
    <mergeCell ref="V26:X26"/>
    <mergeCell ref="E13:F13"/>
    <mergeCell ref="S30:U30"/>
    <mergeCell ref="G13:H13"/>
    <mergeCell ref="M31:N31"/>
    <mergeCell ref="G29:I29"/>
    <mergeCell ref="D8:F8"/>
    <mergeCell ref="D33:F33"/>
    <mergeCell ref="W12:Z13"/>
    <mergeCell ref="A12:B12"/>
    <mergeCell ref="A28:C28"/>
    <mergeCell ref="S29:U29"/>
    <mergeCell ref="C12:D12"/>
    <mergeCell ref="A1:A3"/>
    <mergeCell ref="M15:N15"/>
    <mergeCell ref="E15:F15"/>
    <mergeCell ref="M12:N12"/>
    <mergeCell ref="G15:H15"/>
    <mergeCell ref="G31:I31"/>
    <mergeCell ref="Y28:Z28"/>
    <mergeCell ref="P18:R20"/>
    <mergeCell ref="A14:B14"/>
    <mergeCell ref="J8:L8"/>
    <mergeCell ref="A30:C30"/>
    <mergeCell ref="M26:N26"/>
    <mergeCell ref="U6:W6"/>
    <mergeCell ref="P25:R25"/>
    <mergeCell ref="M29:N29"/>
    <mergeCell ref="M23:N23"/>
    <mergeCell ref="F2:G3"/>
    <mergeCell ref="G23:I23"/>
    <mergeCell ref="Y23:Z23"/>
    <mergeCell ref="U16:V17"/>
    <mergeCell ref="W16:X17"/>
    <mergeCell ref="G7:I7"/>
    <mergeCell ref="K18:L18"/>
    <mergeCell ref="P12:R13"/>
    <mergeCell ref="D6:F6"/>
    <mergeCell ref="F1:G1"/>
    <mergeCell ref="T1:T3"/>
    <mergeCell ref="V28:X28"/>
    <mergeCell ref="P11:R11"/>
    <mergeCell ref="P14:R15"/>
    <mergeCell ref="A27:C27"/>
    <mergeCell ref="V30:X30"/>
    <mergeCell ref="W2:X3"/>
    <mergeCell ref="E17:F17"/>
    <mergeCell ref="G17:H17"/>
    <mergeCell ref="G33:I33"/>
    <mergeCell ref="X6:Z6"/>
    <mergeCell ref="A33:C33"/>
    <mergeCell ref="K20:L20"/>
    <mergeCell ref="A16:B16"/>
    <mergeCell ref="C16:D16"/>
    <mergeCell ref="M20:N20"/>
    <mergeCell ref="A8:C8"/>
    <mergeCell ref="E19:F19"/>
    <mergeCell ref="P8:Q8"/>
    <mergeCell ref="J31:L31"/>
    <mergeCell ref="G19:H19"/>
    <mergeCell ref="A18:B18"/>
    <mergeCell ref="G25:I25"/>
    <mergeCell ref="D24:F24"/>
    <mergeCell ref="M30:N30"/>
    <mergeCell ref="I12:J12"/>
    <mergeCell ref="K12:L12"/>
    <mergeCell ref="P24:R24"/>
    <mergeCell ref="P7:Q7"/>
    <mergeCell ref="C11:D11"/>
    <mergeCell ref="M28:N28"/>
    <mergeCell ref="E11:F11"/>
    <mergeCell ref="J23:L23"/>
    <mergeCell ref="D26:F26"/>
    <mergeCell ref="G14:H14"/>
    <mergeCell ref="S11:V11"/>
    <mergeCell ref="I14:J14"/>
    <mergeCell ref="R8:T8"/>
    <mergeCell ref="K14:L14"/>
    <mergeCell ref="P26:R26"/>
    <mergeCell ref="P16:R17"/>
    <mergeCell ref="A20:B20"/>
    <mergeCell ref="B2:C3"/>
    <mergeCell ref="D2:E3"/>
    <mergeCell ref="M32:N32"/>
    <mergeCell ref="M14:N14"/>
    <mergeCell ref="X8:Z8"/>
    <mergeCell ref="A13:B13"/>
    <mergeCell ref="C13:D13"/>
    <mergeCell ref="R7:T7"/>
    <mergeCell ref="S12:V13"/>
  </mergeCells>
  <pageMargins left="0.7086614173228347" right="0.7086614173228347" top="0.7480314960629921" bottom="0.7480314960629921" header="0.3149606299212598" footer="0.3149606299212598"/>
  <pageSetup orientation="portrait" paperSize="9" scale="59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AE33"/>
  <sheetViews>
    <sheetView zoomScaleNormal="100" zoomScaleSheetLayoutView="100" workbookViewId="0">
      <selection activeCell="B2" sqref="B2:C3"/>
    </sheetView>
  </sheetViews>
  <sheetFormatPr baseColWidth="8" defaultRowHeight="17.4"/>
  <cols>
    <col width="2.8984375" customWidth="1" style="251" min="1" max="1"/>
    <col width="5.59765625" customWidth="1" style="251" min="2" max="14"/>
    <col width="3.59765625" customWidth="1" style="251" min="15" max="15"/>
    <col width="4.59765625" customWidth="1" style="251" min="16" max="22"/>
    <col width="5.59765625" customWidth="1" style="251" min="23" max="26"/>
  </cols>
  <sheetData>
    <row r="1" ht="18.75" customHeight="1" s="251">
      <c r="A1" s="122" t="inlineStr">
        <is>
          <t>근
무
자</t>
        </is>
      </c>
      <c r="B1" s="120" t="inlineStr">
        <is>
          <t>오  전</t>
        </is>
      </c>
      <c r="C1" s="252" t="n"/>
      <c r="D1" s="120" t="inlineStr">
        <is>
          <t>오  후</t>
        </is>
      </c>
      <c r="E1" s="252" t="n"/>
      <c r="F1" s="120" t="inlineStr">
        <is>
          <t>야  간</t>
        </is>
      </c>
      <c r="G1" s="252" t="n"/>
      <c r="H1" s="253" t="inlineStr">
        <is>
          <t>유동상소각로 운전일지</t>
        </is>
      </c>
      <c r="S1" s="254" t="n"/>
      <c r="T1" s="255" t="inlineStr">
        <is>
          <t>결
재</t>
        </is>
      </c>
      <c r="U1" s="120" t="inlineStr">
        <is>
          <t>반장</t>
        </is>
      </c>
      <c r="V1" s="252" t="n"/>
      <c r="W1" s="120" t="inlineStr">
        <is>
          <t>대리</t>
        </is>
      </c>
      <c r="X1" s="252" t="n"/>
      <c r="Y1" s="120" t="inlineStr">
        <is>
          <t>팀장</t>
        </is>
      </c>
      <c r="Z1" s="252" t="n"/>
    </row>
    <row r="2" ht="14.25" customHeight="1" s="251">
      <c r="A2" s="256" t="n"/>
      <c r="B2" s="257" t="inlineStr">
        <is>
          <t>임종민</t>
        </is>
      </c>
      <c r="C2" s="258" t="n"/>
      <c r="D2" s="325" t="inlineStr">
        <is>
          <t>김문한</t>
        </is>
      </c>
      <c r="E2" s="258" t="n"/>
      <c r="F2" s="257" t="inlineStr">
        <is>
          <t>김동욱</t>
        </is>
      </c>
      <c r="G2" s="258" t="n"/>
      <c r="H2" s="259" t="n"/>
      <c r="I2" s="260" t="n"/>
      <c r="J2" s="260" t="n"/>
      <c r="K2" s="260" t="n"/>
      <c r="L2" s="260" t="n"/>
      <c r="M2" s="260" t="n"/>
      <c r="N2" s="260" t="n"/>
      <c r="O2" s="260" t="n"/>
      <c r="P2" s="260" t="n"/>
      <c r="Q2" s="260" t="n"/>
      <c r="R2" s="260" t="n"/>
      <c r="S2" s="261" t="n"/>
      <c r="T2" s="262" t="n"/>
      <c r="U2" s="105" t="n"/>
      <c r="V2" s="254" t="n"/>
      <c r="W2" s="105" t="n"/>
      <c r="X2" s="254" t="n"/>
      <c r="Y2" s="105" t="n"/>
      <c r="Z2" s="254" t="n"/>
    </row>
    <row r="3" ht="37.5" customHeight="1" s="251">
      <c r="A3" s="263" t="n"/>
      <c r="B3" s="264" t="n"/>
      <c r="C3" s="265" t="n"/>
      <c r="D3" s="264" t="n"/>
      <c r="E3" s="265" t="n"/>
      <c r="F3" s="264" t="n"/>
      <c r="G3" s="265" t="n"/>
      <c r="H3" s="266" t="n">
        <v>46222</v>
      </c>
      <c r="I3" s="267" t="n"/>
      <c r="J3" s="267" t="n"/>
      <c r="K3" s="267" t="n"/>
      <c r="L3" s="267" t="n"/>
      <c r="M3" s="267" t="n"/>
      <c r="N3" s="267" t="n"/>
      <c r="O3" s="267" t="n"/>
      <c r="P3" s="267" t="n"/>
      <c r="Q3" s="267" t="n"/>
      <c r="R3" s="267" t="n"/>
      <c r="S3" s="268" t="n"/>
      <c r="T3" s="269" t="n"/>
      <c r="U3" s="264" t="n"/>
      <c r="V3" s="265" t="n"/>
      <c r="W3" s="264" t="n"/>
      <c r="X3" s="265" t="n"/>
      <c r="Y3" s="264" t="n"/>
      <c r="Z3" s="265" t="n"/>
    </row>
    <row r="4" ht="13.5" customHeight="1" s="25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inlineStr">
        <is>
          <t>1. 소각현황(KG)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inlineStr">
        <is>
          <t>2. BOILER 운전현황(TON, HR)</t>
        </is>
      </c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2.5" customHeight="1" s="251" thickBot="1">
      <c r="A6" s="136" t="inlineStr">
        <is>
          <t>구 분</t>
        </is>
      </c>
      <c r="B6" s="270" t="n"/>
      <c r="C6" s="271" t="n"/>
      <c r="D6" s="136" t="inlineStr">
        <is>
          <t>SRF소각량</t>
        </is>
      </c>
      <c r="E6" s="270" t="n"/>
      <c r="F6" s="271" t="n"/>
      <c r="G6" s="136" t="inlineStr">
        <is>
          <t>SLUDGE 소각량</t>
        </is>
      </c>
      <c r="H6" s="270" t="n"/>
      <c r="I6" s="271" t="n"/>
      <c r="J6" s="136" t="inlineStr">
        <is>
          <t>합 계</t>
        </is>
      </c>
      <c r="K6" s="270" t="n"/>
      <c r="L6" s="271" t="n"/>
      <c r="M6" s="1" t="n"/>
      <c r="N6" s="1" t="n"/>
      <c r="O6" s="1" t="n"/>
      <c r="P6" s="136" t="inlineStr">
        <is>
          <t>구 분</t>
        </is>
      </c>
      <c r="Q6" s="271" t="n"/>
      <c r="R6" s="136" t="inlineStr">
        <is>
          <t>스팀 생산량</t>
        </is>
      </c>
      <c r="S6" s="270" t="n"/>
      <c r="T6" s="271" t="n"/>
      <c r="U6" s="136" t="inlineStr">
        <is>
          <t>스팀 송기량</t>
        </is>
      </c>
      <c r="V6" s="270" t="n"/>
      <c r="W6" s="271" t="n"/>
      <c r="X6" s="136" t="inlineStr">
        <is>
          <t>가동시간</t>
        </is>
      </c>
      <c r="Y6" s="270" t="n"/>
      <c r="Z6" s="271" t="n"/>
    </row>
    <row r="7" ht="30" customHeight="1" s="251" thickTop="1">
      <c r="A7" s="105" t="inlineStr">
        <is>
          <t>금 일</t>
        </is>
      </c>
      <c r="B7" s="272" t="n"/>
      <c r="C7" s="265" t="n"/>
      <c r="D7" s="139" t="n">
        <v>84977</v>
      </c>
      <c r="E7" s="272" t="n"/>
      <c r="F7" s="265" t="n"/>
      <c r="G7" s="139" t="n">
        <v>151500</v>
      </c>
      <c r="H7" s="272" t="n"/>
      <c r="I7" s="265" t="n"/>
      <c r="J7" s="154">
        <f>D7+G7</f>
        <v/>
      </c>
      <c r="K7" s="278" t="n"/>
      <c r="L7" s="279" t="n"/>
      <c r="M7" s="1" t="n"/>
      <c r="N7" s="1" t="n"/>
      <c r="O7" s="1" t="n"/>
      <c r="P7" s="105" t="inlineStr">
        <is>
          <t>금 일</t>
        </is>
      </c>
      <c r="Q7" s="265" t="n"/>
      <c r="R7" s="276" t="n">
        <v>506.5</v>
      </c>
      <c r="S7" s="272" t="n"/>
      <c r="T7" s="265" t="n"/>
      <c r="U7" s="276" t="n">
        <v>232</v>
      </c>
      <c r="V7" s="272" t="n"/>
      <c r="W7" s="265" t="n"/>
      <c r="X7" s="277" t="n">
        <v>24</v>
      </c>
      <c r="Y7" s="272" t="n"/>
      <c r="Z7" s="265" t="n"/>
    </row>
    <row r="8" ht="30" customHeight="1" s="251">
      <c r="A8" s="104" t="inlineStr">
        <is>
          <t>누 계</t>
        </is>
      </c>
      <c r="B8" s="278" t="n"/>
      <c r="C8" s="279" t="n"/>
      <c r="D8" s="154">
        <f>'18'!D8+'19'!D7</f>
        <v/>
      </c>
      <c r="E8" s="278" t="n"/>
      <c r="F8" s="279" t="n"/>
      <c r="G8" s="154">
        <f>'18'!G8+'19'!G7</f>
        <v/>
      </c>
      <c r="H8" s="278" t="n"/>
      <c r="I8" s="279" t="n"/>
      <c r="J8" s="154">
        <f>D8+G8</f>
        <v/>
      </c>
      <c r="K8" s="278" t="n"/>
      <c r="L8" s="279" t="n"/>
      <c r="M8" s="1" t="n"/>
      <c r="N8" s="1" t="n"/>
      <c r="O8" s="1" t="n"/>
      <c r="P8" s="104" t="inlineStr">
        <is>
          <t>누 계</t>
        </is>
      </c>
      <c r="Q8" s="279" t="n"/>
      <c r="R8" s="280">
        <f>'18'!R8+R7</f>
        <v/>
      </c>
      <c r="S8" s="278" t="n"/>
      <c r="T8" s="279" t="n"/>
      <c r="U8" s="280">
        <f>'18'!U8+U7</f>
        <v/>
      </c>
      <c r="V8" s="278" t="n"/>
      <c r="W8" s="279" t="n"/>
      <c r="X8" s="281">
        <f>'18'!X8+'19'!X7</f>
        <v/>
      </c>
      <c r="Y8" s="278" t="n"/>
      <c r="Z8" s="279" t="n"/>
    </row>
    <row r="9" ht="12" customHeight="1" s="25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inlineStr">
        <is>
          <t>3. 약품 사용현황 (KG)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inlineStr">
        <is>
          <t>4. 소각재 발생량 (TON, 대)</t>
        </is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30.75" customHeight="1" s="251" thickBot="1">
      <c r="A11" s="136" t="inlineStr">
        <is>
          <t>품 명</t>
        </is>
      </c>
      <c r="B11" s="271" t="n"/>
      <c r="C11" s="150" t="inlineStr">
        <is>
          <t>전일 
재고량</t>
        </is>
      </c>
      <c r="D11" s="271" t="n"/>
      <c r="E11" s="136" t="inlineStr">
        <is>
          <t>입고량</t>
        </is>
      </c>
      <c r="F11" s="271" t="n"/>
      <c r="G11" s="136" t="inlineStr">
        <is>
          <t>사용량</t>
        </is>
      </c>
      <c r="H11" s="271" t="n"/>
      <c r="I11" s="282" t="inlineStr">
        <is>
          <t>재고량</t>
        </is>
      </c>
      <c r="J11" s="271" t="n"/>
      <c r="K11" s="150" t="inlineStr">
        <is>
          <t>입고량 
누계</t>
        </is>
      </c>
      <c r="L11" s="271" t="n"/>
      <c r="M11" s="150" t="inlineStr">
        <is>
          <t>사용량 
누계</t>
        </is>
      </c>
      <c r="N11" s="271" t="n"/>
      <c r="O11" s="1" t="n"/>
      <c r="P11" s="136" t="inlineStr">
        <is>
          <t xml:space="preserve"> 구 분</t>
        </is>
      </c>
      <c r="Q11" s="270" t="n"/>
      <c r="R11" s="271" t="n"/>
      <c r="S11" s="282" t="inlineStr">
        <is>
          <t>반출량</t>
        </is>
      </c>
      <c r="T11" s="270" t="n"/>
      <c r="U11" s="270" t="n"/>
      <c r="V11" s="271" t="n"/>
      <c r="W11" s="282" t="inlineStr">
        <is>
          <t>누계</t>
        </is>
      </c>
      <c r="X11" s="270" t="n"/>
      <c r="Y11" s="270" t="n"/>
      <c r="Z11" s="271" t="n"/>
    </row>
    <row r="12" ht="21.9" customHeight="1" s="251" thickTop="1">
      <c r="A12" s="142" t="inlineStr">
        <is>
          <t>탄산암모늄</t>
        </is>
      </c>
      <c r="B12" s="265" t="n"/>
      <c r="C12" s="310">
        <f>'18'!I12</f>
        <v/>
      </c>
      <c r="D12" s="265" t="n"/>
      <c r="E12" s="105" t="n">
        <v>0</v>
      </c>
      <c r="F12" s="265" t="n"/>
      <c r="G12" s="105" t="n">
        <v>4036</v>
      </c>
      <c r="H12" s="265" t="n"/>
      <c r="I12" s="164">
        <f>C12+E12-G12</f>
        <v/>
      </c>
      <c r="J12" s="283" t="n"/>
      <c r="K12" s="105">
        <f>'18'!K12+'19'!E12</f>
        <v/>
      </c>
      <c r="L12" s="265" t="n"/>
      <c r="M12" s="105">
        <f>'18'!M12+G12</f>
        <v/>
      </c>
      <c r="N12" s="265" t="n"/>
      <c r="O12" s="1" t="n"/>
      <c r="P12" s="149" t="inlineStr">
        <is>
          <t xml:space="preserve">
비산재
</t>
        </is>
      </c>
      <c r="R12" s="254" t="n"/>
      <c r="S12" s="284" t="n">
        <v>0</v>
      </c>
      <c r="T12" s="285" t="n"/>
      <c r="U12" s="285" t="n"/>
      <c r="V12" s="285" t="n"/>
      <c r="W12" s="318">
        <f>'18'!W12+'19'!S12</f>
        <v/>
      </c>
      <c r="X12" s="285" t="n"/>
      <c r="Y12" s="285" t="n"/>
      <c r="Z12" s="287" t="n"/>
    </row>
    <row r="13" ht="21.9" customHeight="1" s="251">
      <c r="A13" s="104" t="inlineStr">
        <is>
          <t>청관제</t>
        </is>
      </c>
      <c r="B13" s="279" t="n"/>
      <c r="C13" s="310">
        <f>'18'!I13</f>
        <v/>
      </c>
      <c r="D13" s="265" t="n"/>
      <c r="E13" s="104" t="n">
        <v>0</v>
      </c>
      <c r="F13" s="279" t="n"/>
      <c r="G13" s="104" t="n">
        <v>90</v>
      </c>
      <c r="H13" s="279" t="n"/>
      <c r="I13" s="288">
        <f>C13+E13-G13</f>
        <v/>
      </c>
      <c r="J13" s="275" t="n"/>
      <c r="K13" s="105">
        <f>'18'!K13+'19'!E13</f>
        <v/>
      </c>
      <c r="L13" s="265" t="n"/>
      <c r="M13" s="105">
        <f>'18'!M13+G13</f>
        <v/>
      </c>
      <c r="N13" s="265" t="n"/>
      <c r="O13" s="1" t="n"/>
      <c r="P13" s="264" t="n"/>
      <c r="Q13" s="272" t="n"/>
      <c r="R13" s="265" t="n"/>
      <c r="S13" s="289" t="n"/>
      <c r="T13" s="290" t="n"/>
      <c r="U13" s="290" t="n"/>
      <c r="V13" s="290" t="n"/>
      <c r="W13" s="264" t="n"/>
      <c r="X13" s="272" t="n"/>
      <c r="Y13" s="272" t="n"/>
      <c r="Z13" s="265" t="n"/>
    </row>
    <row r="14" ht="21.9" customHeight="1" s="251">
      <c r="A14" s="104" t="inlineStr">
        <is>
          <t>활성탄</t>
        </is>
      </c>
      <c r="B14" s="279" t="n"/>
      <c r="C14" s="310">
        <f>'18'!I14</f>
        <v/>
      </c>
      <c r="D14" s="265" t="n"/>
      <c r="E14" s="104" t="n">
        <v>0</v>
      </c>
      <c r="F14" s="279" t="n"/>
      <c r="G14" s="104" t="n">
        <v>120</v>
      </c>
      <c r="H14" s="279" t="n"/>
      <c r="I14" s="288">
        <f>C14+E14-G14</f>
        <v/>
      </c>
      <c r="J14" s="275" t="n"/>
      <c r="K14" s="105">
        <f>'18'!K14+'19'!E14</f>
        <v/>
      </c>
      <c r="L14" s="265" t="n"/>
      <c r="M14" s="105">
        <f>'18'!M14+G14</f>
        <v/>
      </c>
      <c r="N14" s="265" t="n"/>
      <c r="O14" s="1" t="n"/>
      <c r="P14" s="104" t="inlineStr">
        <is>
          <t>바닥재</t>
        </is>
      </c>
      <c r="Q14" s="291" t="n"/>
      <c r="R14" s="292" t="n"/>
      <c r="S14" s="293" t="n">
        <v>0</v>
      </c>
      <c r="T14" s="291" t="n"/>
      <c r="U14" s="291" t="n"/>
      <c r="V14" s="291" t="n"/>
      <c r="W14" s="311">
        <f>'18'!W14+'19'!S14</f>
        <v/>
      </c>
      <c r="X14" s="291" t="n"/>
      <c r="Y14" s="291" t="n"/>
      <c r="Z14" s="295" t="n"/>
    </row>
    <row r="15" ht="21.9" customHeight="1" s="251">
      <c r="A15" s="104" t="inlineStr">
        <is>
          <t>가성소다</t>
        </is>
      </c>
      <c r="B15" s="279" t="n"/>
      <c r="C15" s="310">
        <f>'18'!I15</f>
        <v/>
      </c>
      <c r="D15" s="265" t="n"/>
      <c r="E15" s="104" t="n">
        <v>0</v>
      </c>
      <c r="F15" s="279" t="n"/>
      <c r="G15" s="104" t="n">
        <v>24</v>
      </c>
      <c r="H15" s="279" t="n"/>
      <c r="I15" s="288">
        <f>C15+E15-G15</f>
        <v/>
      </c>
      <c r="J15" s="275" t="n"/>
      <c r="K15" s="105">
        <f>'18'!K15+'19'!E15</f>
        <v/>
      </c>
      <c r="L15" s="265" t="n"/>
      <c r="M15" s="105">
        <f>'18'!M15+G15</f>
        <v/>
      </c>
      <c r="N15" s="265" t="n"/>
      <c r="O15" s="1" t="n"/>
      <c r="P15" s="296" t="n"/>
      <c r="Q15" s="290" t="n"/>
      <c r="R15" s="297" t="n"/>
      <c r="S15" s="296" t="n"/>
      <c r="T15" s="290" t="n"/>
      <c r="U15" s="290" t="n"/>
      <c r="V15" s="290" t="n"/>
      <c r="W15" s="298" t="n"/>
      <c r="X15" s="272" t="n"/>
      <c r="Y15" s="272" t="n"/>
      <c r="Z15" s="265" t="n"/>
    </row>
    <row r="16" ht="21.9" customHeight="1" s="251">
      <c r="A16" s="104" t="inlineStr">
        <is>
          <t>소석회</t>
        </is>
      </c>
      <c r="B16" s="279" t="n"/>
      <c r="C16" s="310">
        <f>'18'!I16</f>
        <v/>
      </c>
      <c r="D16" s="265" t="n"/>
      <c r="E16" s="104" t="n">
        <v>0</v>
      </c>
      <c r="F16" s="279" t="n"/>
      <c r="G16" s="104" t="n">
        <v>20</v>
      </c>
      <c r="H16" s="279" t="n"/>
      <c r="I16" s="288">
        <f>C16+E16-G16</f>
        <v/>
      </c>
      <c r="J16" s="275" t="n"/>
      <c r="K16" s="105">
        <f>'18'!K16+'19'!E16</f>
        <v/>
      </c>
      <c r="L16" s="265" t="n"/>
      <c r="M16" s="105">
        <f>'18'!M16+G16</f>
        <v/>
      </c>
      <c r="N16" s="265" t="n"/>
      <c r="O16" s="1" t="n"/>
      <c r="P16" s="162" t="inlineStr">
        <is>
          <t>구분</t>
        </is>
      </c>
      <c r="Q16" s="291" t="n"/>
      <c r="R16" s="292" t="n"/>
      <c r="S16" s="299" t="inlineStr">
        <is>
          <t>주간</t>
        </is>
      </c>
      <c r="T16" s="292" t="n"/>
      <c r="U16" s="299" t="inlineStr">
        <is>
          <t>야간</t>
        </is>
      </c>
      <c r="V16" s="292" t="n"/>
      <c r="W16" s="299" t="inlineStr">
        <is>
          <t>합계</t>
        </is>
      </c>
      <c r="X16" s="292" t="n"/>
      <c r="Y16" s="299" t="inlineStr">
        <is>
          <t>누계</t>
        </is>
      </c>
      <c r="Z16" s="292" t="n"/>
    </row>
    <row r="17" ht="21.9" customHeight="1" s="251" thickBot="1">
      <c r="A17" s="104" t="inlineStr">
        <is>
          <t>소 금</t>
        </is>
      </c>
      <c r="B17" s="279" t="n"/>
      <c r="C17" s="310">
        <f>'18'!I17</f>
        <v/>
      </c>
      <c r="D17" s="265" t="n"/>
      <c r="E17" s="104" t="n">
        <v>0</v>
      </c>
      <c r="F17" s="279" t="n"/>
      <c r="G17" s="104" t="n">
        <v>200</v>
      </c>
      <c r="H17" s="279" t="n"/>
      <c r="I17" s="288">
        <f>C17+E17-G17</f>
        <v/>
      </c>
      <c r="J17" s="275" t="n"/>
      <c r="K17" s="105">
        <f>'18'!K17+'19'!E17</f>
        <v/>
      </c>
      <c r="L17" s="265" t="n"/>
      <c r="M17" s="105">
        <f>'18'!M17+G17</f>
        <v/>
      </c>
      <c r="N17" s="265" t="n"/>
      <c r="O17" s="1" t="n"/>
      <c r="P17" s="296" t="n"/>
      <c r="Q17" s="290" t="n"/>
      <c r="R17" s="297" t="n"/>
      <c r="S17" s="300" t="n"/>
      <c r="T17" s="301" t="n"/>
      <c r="U17" s="300" t="n"/>
      <c r="V17" s="301" t="n"/>
      <c r="W17" s="300" t="n"/>
      <c r="X17" s="301" t="n"/>
      <c r="Y17" s="300" t="n"/>
      <c r="Z17" s="301" t="n"/>
      <c r="AE17" s="302" t="n"/>
    </row>
    <row r="18" ht="21.9" customHeight="1" s="251" thickTop="1">
      <c r="A18" s="104" t="inlineStr">
        <is>
          <t>경 유</t>
        </is>
      </c>
      <c r="B18" s="279" t="n"/>
      <c r="C18" s="310">
        <f>'18'!I18</f>
        <v/>
      </c>
      <c r="D18" s="265" t="n"/>
      <c r="E18" s="104" t="n">
        <v>0</v>
      </c>
      <c r="F18" s="279" t="n"/>
      <c r="G18" s="104" t="n">
        <v>0</v>
      </c>
      <c r="H18" s="279" t="n"/>
      <c r="I18" s="288">
        <f>C18+E18-G18</f>
        <v/>
      </c>
      <c r="J18" s="275" t="n"/>
      <c r="K18" s="105">
        <f>'18'!K18+'19'!E18</f>
        <v/>
      </c>
      <c r="L18" s="265" t="n"/>
      <c r="M18" s="105">
        <f>'18'!M18+G18</f>
        <v/>
      </c>
      <c r="N18" s="265" t="n"/>
      <c r="O18" s="1" t="n"/>
      <c r="P18" s="164" t="inlineStr">
        <is>
          <t>불연물</t>
        </is>
      </c>
      <c r="Q18" s="285" t="n"/>
      <c r="R18" s="287" t="n"/>
      <c r="S18" s="303" t="n">
        <v>1</v>
      </c>
      <c r="T18" s="287" t="n"/>
      <c r="U18" s="303" t="n">
        <v>1</v>
      </c>
      <c r="V18" s="287" t="n"/>
      <c r="W18" s="303">
        <f>S18+U18</f>
        <v/>
      </c>
      <c r="X18" s="287" t="n"/>
      <c r="Y18" s="303">
        <f>'18'!Y18+W18</f>
        <v/>
      </c>
      <c r="Z18" s="287" t="n"/>
    </row>
    <row r="19" ht="21.9" customHeight="1" s="251">
      <c r="A19" s="153" t="inlineStr">
        <is>
          <t>SRF</t>
        </is>
      </c>
      <c r="B19" s="279" t="n"/>
      <c r="C19" s="310">
        <f>'18'!I19</f>
        <v/>
      </c>
      <c r="D19" s="265" t="n"/>
      <c r="E19" s="154" t="n">
        <v>65600</v>
      </c>
      <c r="F19" s="279" t="n"/>
      <c r="G19" s="154">
        <f>D7</f>
        <v/>
      </c>
      <c r="H19" s="279" t="n"/>
      <c r="I19" s="273">
        <f>C19+E19-G19</f>
        <v/>
      </c>
      <c r="J19" s="275" t="n"/>
      <c r="K19" s="105">
        <f>'18'!K19+'19'!E19</f>
        <v/>
      </c>
      <c r="L19" s="265" t="n"/>
      <c r="M19" s="105">
        <f>'18'!M19+G19</f>
        <v/>
      </c>
      <c r="N19" s="265" t="n"/>
      <c r="O19" s="1" t="n"/>
      <c r="P19" s="256" t="n"/>
      <c r="R19" s="254" t="n"/>
      <c r="S19" s="256" t="n"/>
      <c r="T19" s="254" t="n"/>
      <c r="U19" s="256" t="n"/>
      <c r="V19" s="254" t="n"/>
      <c r="W19" s="256" t="n"/>
      <c r="X19" s="254" t="n"/>
      <c r="Y19" s="256" t="n"/>
      <c r="Z19" s="254" t="n"/>
    </row>
    <row r="20" ht="21.9" customHeight="1" s="251">
      <c r="A20" s="104" t="inlineStr">
        <is>
          <t>규 사</t>
        </is>
      </c>
      <c r="B20" s="279" t="n"/>
      <c r="C20" s="310">
        <f>'18'!I20</f>
        <v/>
      </c>
      <c r="D20" s="265" t="n"/>
      <c r="E20" s="288" t="n"/>
      <c r="F20" s="275" t="n"/>
      <c r="G20" s="104" t="n"/>
      <c r="H20" s="279" t="n"/>
      <c r="I20" s="288" t="inlineStr">
        <is>
          <t>-</t>
        </is>
      </c>
      <c r="J20" s="275" t="n"/>
      <c r="K20" s="105">
        <f>'18'!K20+'19'!E20</f>
        <v/>
      </c>
      <c r="L20" s="265" t="n"/>
      <c r="M20" s="105">
        <f>'18'!M20+G20</f>
        <v/>
      </c>
      <c r="N20" s="265" t="n"/>
      <c r="O20" s="1" t="n"/>
      <c r="P20" s="264" t="n"/>
      <c r="Q20" s="272" t="n"/>
      <c r="R20" s="265" t="n"/>
      <c r="S20" s="264" t="n"/>
      <c r="T20" s="265" t="n"/>
      <c r="U20" s="264" t="n"/>
      <c r="V20" s="265" t="n"/>
      <c r="W20" s="264" t="n"/>
      <c r="X20" s="265" t="n"/>
      <c r="Y20" s="264" t="n"/>
      <c r="Z20" s="265" t="n"/>
    </row>
    <row r="21" ht="12" customHeight="1" s="25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 t="inlineStr">
        <is>
          <t>5. 전력 사용량 (KWH)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10" t="inlineStr">
        <is>
          <t>6. 유틸리티 사용현황 (㎥)</t>
        </is>
      </c>
      <c r="Q22" s="290" t="n"/>
      <c r="R22" s="290" t="n"/>
      <c r="S22" s="290" t="n"/>
      <c r="T22" s="290" t="n"/>
      <c r="U22" s="290" t="n"/>
      <c r="V22" s="1" t="n"/>
      <c r="W22" s="1" t="n"/>
      <c r="X22" s="1" t="n"/>
      <c r="Y22" s="1" t="n"/>
      <c r="Z22" s="1" t="n"/>
    </row>
    <row r="23" ht="28.5" customHeight="1" s="251" thickBot="1">
      <c r="A23" s="136" t="inlineStr">
        <is>
          <t>구 분</t>
        </is>
      </c>
      <c r="B23" s="270" t="n"/>
      <c r="C23" s="271" t="n"/>
      <c r="D23" s="136" t="inlineStr">
        <is>
          <t>전일지침</t>
        </is>
      </c>
      <c r="E23" s="270" t="n"/>
      <c r="F23" s="271" t="n"/>
      <c r="G23" s="136" t="inlineStr">
        <is>
          <t>금일지침</t>
        </is>
      </c>
      <c r="H23" s="270" t="n"/>
      <c r="I23" s="271" t="n"/>
      <c r="J23" s="136" t="inlineStr">
        <is>
          <t>사용량</t>
        </is>
      </c>
      <c r="K23" s="270" t="n"/>
      <c r="L23" s="271" t="n"/>
      <c r="M23" s="136" t="inlineStr">
        <is>
          <t>누 계</t>
        </is>
      </c>
      <c r="N23" s="271" t="n"/>
      <c r="P23" s="136" t="inlineStr">
        <is>
          <t>구 분</t>
        </is>
      </c>
      <c r="Q23" s="270" t="n"/>
      <c r="R23" s="271" t="n"/>
      <c r="S23" s="136" t="inlineStr">
        <is>
          <t>전일 사용량</t>
        </is>
      </c>
      <c r="T23" s="270" t="n"/>
      <c r="U23" s="271" t="n"/>
      <c r="V23" s="136" t="inlineStr">
        <is>
          <t>금일 사용량</t>
        </is>
      </c>
      <c r="W23" s="270" t="n"/>
      <c r="X23" s="271" t="n"/>
      <c r="Y23" s="136" t="inlineStr">
        <is>
          <t>누 계</t>
        </is>
      </c>
      <c r="Z23" s="271" t="n"/>
    </row>
    <row r="24" ht="21.9" customHeight="1" s="251" thickTop="1">
      <c r="A24" s="105" t="inlineStr">
        <is>
          <t>MAIN</t>
        </is>
      </c>
      <c r="B24" s="272" t="n"/>
      <c r="C24" s="265" t="n"/>
      <c r="D24" s="187">
        <f>'18'!G24</f>
        <v/>
      </c>
      <c r="E24" s="285" t="n"/>
      <c r="F24" s="287" t="n"/>
      <c r="G24" s="164" t="n">
        <v>4106818</v>
      </c>
      <c r="H24" s="304" t="n"/>
      <c r="I24" s="283" t="n"/>
      <c r="J24" s="164">
        <f>G24-D24</f>
        <v/>
      </c>
      <c r="K24" s="304" t="n"/>
      <c r="L24" s="283" t="n"/>
      <c r="M24" s="164">
        <f>'18'!M24+J24</f>
        <v/>
      </c>
      <c r="N24" s="283" t="n"/>
      <c r="P24" s="105" t="inlineStr">
        <is>
          <t>재이용수</t>
        </is>
      </c>
      <c r="Q24" s="272" t="n"/>
      <c r="R24" s="265" t="n"/>
      <c r="S24" s="105">
        <f>'18'!V24</f>
        <v/>
      </c>
      <c r="T24" s="272" t="n"/>
      <c r="U24" s="265" t="n"/>
      <c r="V24" s="276" t="n">
        <v>556.5</v>
      </c>
      <c r="W24" s="272" t="n"/>
      <c r="X24" s="265" t="n"/>
      <c r="Y24" s="276">
        <f>'18'!Y24+'19'!V24</f>
        <v/>
      </c>
      <c r="Z24" s="265" t="n"/>
    </row>
    <row r="25" ht="21.9" customHeight="1" s="251">
      <c r="A25" s="104" t="inlineStr">
        <is>
          <t>ASH 저장조</t>
        </is>
      </c>
      <c r="B25" s="278" t="n"/>
      <c r="C25" s="279" t="n"/>
      <c r="D25" s="104">
        <f>'18'!G25</f>
        <v/>
      </c>
      <c r="E25" s="278" t="n"/>
      <c r="F25" s="279" t="n"/>
      <c r="G25" s="104" t="n">
        <v>33410.8</v>
      </c>
      <c r="H25" s="278" t="n"/>
      <c r="I25" s="279" t="n"/>
      <c r="J25" s="104">
        <f>G25-D25</f>
        <v/>
      </c>
      <c r="K25" s="278" t="n"/>
      <c r="L25" s="279" t="n"/>
      <c r="M25" s="288">
        <f>'18'!M25+J25</f>
        <v/>
      </c>
      <c r="N25" s="275" t="n"/>
      <c r="P25" s="104" t="inlineStr">
        <is>
          <t>복류수</t>
        </is>
      </c>
      <c r="Q25" s="278" t="n"/>
      <c r="R25" s="279" t="n"/>
      <c r="S25" s="288">
        <f>'18'!V25</f>
        <v/>
      </c>
      <c r="T25" s="274" t="n"/>
      <c r="U25" s="275" t="n"/>
      <c r="V25" s="280" t="n">
        <v>61.3</v>
      </c>
      <c r="W25" s="278" t="n"/>
      <c r="X25" s="279" t="n"/>
      <c r="Y25" s="276">
        <f>'18'!Y25+'19'!V25</f>
        <v/>
      </c>
      <c r="Z25" s="265" t="n"/>
    </row>
    <row r="26" ht="21.9" customHeight="1" s="251">
      <c r="A26" s="104" t="inlineStr">
        <is>
          <t>BAG FILTER</t>
        </is>
      </c>
      <c r="B26" s="278" t="n"/>
      <c r="C26" s="279" t="n"/>
      <c r="D26" s="104">
        <f>'18'!G26</f>
        <v/>
      </c>
      <c r="E26" s="278" t="n"/>
      <c r="F26" s="279" t="n"/>
      <c r="G26" s="104" t="n">
        <v>24690</v>
      </c>
      <c r="H26" s="278" t="n"/>
      <c r="I26" s="279" t="n"/>
      <c r="J26" s="104">
        <f>G26-D26</f>
        <v/>
      </c>
      <c r="K26" s="278" t="n"/>
      <c r="L26" s="279" t="n"/>
      <c r="M26" s="288">
        <f>'18'!M26+J26</f>
        <v/>
      </c>
      <c r="N26" s="275" t="n"/>
      <c r="P26" s="104" t="inlineStr">
        <is>
          <t>응축수</t>
        </is>
      </c>
      <c r="Q26" s="278" t="n"/>
      <c r="R26" s="279" t="n"/>
      <c r="S26" s="288">
        <f>'18'!V26</f>
        <v/>
      </c>
      <c r="T26" s="274" t="n"/>
      <c r="U26" s="275" t="n"/>
      <c r="V26" s="280" t="n">
        <v>540.8</v>
      </c>
      <c r="W26" s="278" t="n"/>
      <c r="X26" s="279" t="n"/>
      <c r="Y26" s="276">
        <f>'18'!Y26+'19'!V26</f>
        <v/>
      </c>
      <c r="Z26" s="265" t="n"/>
    </row>
    <row r="27" ht="21.9" customHeight="1" s="251">
      <c r="A27" s="104" t="inlineStr">
        <is>
          <t>SCRUBBER</t>
        </is>
      </c>
      <c r="B27" s="278" t="n"/>
      <c r="C27" s="279" t="n"/>
      <c r="D27" s="104">
        <f>'18'!G27</f>
        <v/>
      </c>
      <c r="E27" s="278" t="n"/>
      <c r="F27" s="279" t="n"/>
      <c r="G27" s="104" t="n">
        <v>1402000</v>
      </c>
      <c r="H27" s="278" t="n"/>
      <c r="I27" s="279" t="n"/>
      <c r="J27" s="104">
        <f>G27-D27</f>
        <v/>
      </c>
      <c r="K27" s="278" t="n"/>
      <c r="L27" s="279" t="n"/>
      <c r="M27" s="288">
        <f>'18'!M27+J27</f>
        <v/>
      </c>
      <c r="N27" s="275" t="n"/>
      <c r="P27" s="104" t="inlineStr">
        <is>
          <t>보일러 급수</t>
        </is>
      </c>
      <c r="Q27" s="278" t="n"/>
      <c r="R27" s="279" t="n"/>
      <c r="S27" s="288">
        <f>'18'!V27</f>
        <v/>
      </c>
      <c r="T27" s="274" t="n"/>
      <c r="U27" s="275" t="n"/>
      <c r="V27" s="280" t="n">
        <v>530.6</v>
      </c>
      <c r="W27" s="278" t="n"/>
      <c r="X27" s="279" t="n"/>
      <c r="Y27" s="276">
        <f>'18'!Y27+'19'!V27</f>
        <v/>
      </c>
      <c r="Z27" s="265" t="n"/>
    </row>
    <row r="28" ht="21.9" customHeight="1" s="251">
      <c r="A28" s="104" t="inlineStr">
        <is>
          <t>활성탄 공급</t>
        </is>
      </c>
      <c r="B28" s="278" t="n"/>
      <c r="C28" s="279" t="n"/>
      <c r="D28" s="104">
        <f>'18'!G28</f>
        <v/>
      </c>
      <c r="E28" s="278" t="n"/>
      <c r="F28" s="279" t="n"/>
      <c r="G28" s="104" t="n">
        <v>5979</v>
      </c>
      <c r="H28" s="278" t="n"/>
      <c r="I28" s="279" t="n"/>
      <c r="J28" s="104">
        <f>G28-D28</f>
        <v/>
      </c>
      <c r="K28" s="278" t="n"/>
      <c r="L28" s="279" t="n"/>
      <c r="M28" s="288">
        <f>'18'!M28+J28</f>
        <v/>
      </c>
      <c r="N28" s="275" t="n"/>
      <c r="P28" s="104" t="inlineStr">
        <is>
          <t>폐 수</t>
        </is>
      </c>
      <c r="Q28" s="278" t="n"/>
      <c r="R28" s="279" t="n"/>
      <c r="S28" s="288">
        <f>'18'!V28</f>
        <v/>
      </c>
      <c r="T28" s="274" t="n"/>
      <c r="U28" s="275" t="n"/>
      <c r="V28" s="280" t="n">
        <v>0</v>
      </c>
      <c r="W28" s="278" t="n"/>
      <c r="X28" s="279" t="n"/>
      <c r="Y28" s="276">
        <f>'18'!Y28+'19'!V28</f>
        <v/>
      </c>
      <c r="Z28" s="265" t="n"/>
    </row>
    <row r="29" ht="21.9" customHeight="1" s="251">
      <c r="A29" s="104" t="inlineStr">
        <is>
          <t>소석회 공급</t>
        </is>
      </c>
      <c r="B29" s="278" t="n"/>
      <c r="C29" s="279" t="n"/>
      <c r="D29" s="104">
        <f>'18'!G29</f>
        <v/>
      </c>
      <c r="E29" s="278" t="n"/>
      <c r="F29" s="279" t="n"/>
      <c r="G29" s="104" t="n">
        <v>66240</v>
      </c>
      <c r="H29" s="278" t="n"/>
      <c r="I29" s="279" t="n"/>
      <c r="J29" s="104">
        <f>G29-D29</f>
        <v/>
      </c>
      <c r="K29" s="278" t="n"/>
      <c r="L29" s="279" t="n"/>
      <c r="M29" s="288">
        <f>'18'!M29+J29</f>
        <v/>
      </c>
      <c r="N29" s="275" t="n"/>
      <c r="P29" s="104" t="inlineStr">
        <is>
          <t>연 수</t>
        </is>
      </c>
      <c r="Q29" s="278" t="n"/>
      <c r="R29" s="279" t="n"/>
      <c r="S29" s="288">
        <f>'18'!V29</f>
        <v/>
      </c>
      <c r="T29" s="274" t="n"/>
      <c r="U29" s="275" t="n"/>
      <c r="V29" s="280" t="n">
        <v>76.09999999999999</v>
      </c>
      <c r="W29" s="278" t="n"/>
      <c r="X29" s="279" t="n"/>
      <c r="Y29" s="276">
        <f>'18'!Y29+'19'!V29</f>
        <v/>
      </c>
      <c r="Z29" s="265" t="n"/>
    </row>
    <row r="30" ht="21.9" customHeight="1" s="251">
      <c r="A30" s="104" t="inlineStr">
        <is>
          <t>요소수 공급</t>
        </is>
      </c>
      <c r="B30" s="278" t="n"/>
      <c r="C30" s="279" t="n"/>
      <c r="D30" s="104">
        <f>'18'!G30</f>
        <v/>
      </c>
      <c r="E30" s="278" t="n"/>
      <c r="F30" s="279" t="n"/>
      <c r="G30" s="104" t="n">
        <v>53460</v>
      </c>
      <c r="H30" s="278" t="n"/>
      <c r="I30" s="279" t="n"/>
      <c r="J30" s="104">
        <f>G30-D30</f>
        <v/>
      </c>
      <c r="K30" s="278" t="n"/>
      <c r="L30" s="279" t="n"/>
      <c r="M30" s="288">
        <f>'18'!M30+J30</f>
        <v/>
      </c>
      <c r="N30" s="275" t="n"/>
      <c r="P30" s="104" t="inlineStr">
        <is>
          <t>계</t>
        </is>
      </c>
      <c r="Q30" s="278" t="n"/>
      <c r="R30" s="279" t="n"/>
      <c r="S30" s="288">
        <f>'18'!V30</f>
        <v/>
      </c>
      <c r="T30" s="274" t="n"/>
      <c r="U30" s="275" t="n"/>
      <c r="V30" s="280" t="n"/>
      <c r="W30" s="278" t="n"/>
      <c r="X30" s="279" t="n"/>
      <c r="Y30" s="276">
        <f>'18'!Y30+'19'!V30</f>
        <v/>
      </c>
      <c r="Z30" s="265" t="n"/>
    </row>
    <row r="31" ht="21.9" customHeight="1" s="251">
      <c r="A31" s="104" t="inlineStr">
        <is>
          <t xml:space="preserve">F.D </t>
        </is>
      </c>
      <c r="B31" s="278" t="n"/>
      <c r="C31" s="279" t="n"/>
      <c r="D31" s="104">
        <f>'18'!G31</f>
        <v/>
      </c>
      <c r="E31" s="278" t="n"/>
      <c r="F31" s="279" t="n"/>
      <c r="G31" s="288" t="n">
        <v>6351339</v>
      </c>
      <c r="H31" s="274" t="n"/>
      <c r="I31" s="275" t="n"/>
      <c r="J31" s="104">
        <f>G31-D31</f>
        <v/>
      </c>
      <c r="K31" s="278" t="n"/>
      <c r="L31" s="279" t="n"/>
      <c r="M31" s="288">
        <f>'18'!M31+J31</f>
        <v/>
      </c>
      <c r="N31" s="275" t="n"/>
      <c r="P31" s="172" t="n"/>
      <c r="Q31" s="172" t="n"/>
      <c r="R31" s="172" t="n"/>
      <c r="S31" s="172" t="n"/>
      <c r="T31" s="172" t="n"/>
      <c r="U31" s="172" t="n"/>
      <c r="V31" s="305" t="n"/>
      <c r="W31" s="305" t="n"/>
      <c r="X31" s="305" t="n"/>
      <c r="Y31" s="305" t="n"/>
      <c r="Z31" s="305" t="n"/>
    </row>
    <row r="32" ht="21.9" customHeight="1" s="251">
      <c r="A32" s="104" t="inlineStr">
        <is>
          <t>활성탄 BAG</t>
        </is>
      </c>
      <c r="B32" s="278" t="n"/>
      <c r="C32" s="279" t="n"/>
      <c r="D32" s="104">
        <f>'18'!G32</f>
        <v/>
      </c>
      <c r="E32" s="278" t="n"/>
      <c r="F32" s="279" t="n"/>
      <c r="G32" s="288" t="n">
        <v>1.7</v>
      </c>
      <c r="H32" s="274" t="n"/>
      <c r="I32" s="275" t="n"/>
      <c r="J32" s="288">
        <f>G32-D32</f>
        <v/>
      </c>
      <c r="K32" s="274" t="n"/>
      <c r="L32" s="275" t="n"/>
      <c r="M32" s="288">
        <f>'18'!M32+J32</f>
        <v/>
      </c>
      <c r="N32" s="275" t="n"/>
      <c r="P32" s="172" t="n"/>
      <c r="Q32" s="172" t="n"/>
      <c r="R32" s="172" t="n"/>
      <c r="S32" s="172" t="n"/>
      <c r="T32" s="172" t="n"/>
      <c r="U32" s="172" t="n"/>
      <c r="V32" s="305" t="n"/>
      <c r="W32" s="305" t="n"/>
      <c r="X32" s="305" t="n"/>
      <c r="Y32" s="305" t="n"/>
      <c r="Z32" s="305" t="n"/>
    </row>
    <row r="33" ht="21.9" customHeight="1" s="251">
      <c r="A33" s="104" t="inlineStr">
        <is>
          <t>소석회 BAG</t>
        </is>
      </c>
      <c r="B33" s="278" t="n"/>
      <c r="C33" s="279" t="n"/>
      <c r="D33" s="104">
        <f>'18'!G33</f>
        <v/>
      </c>
      <c r="E33" s="278" t="n"/>
      <c r="F33" s="279" t="n"/>
      <c r="G33" s="288" t="n">
        <v>0</v>
      </c>
      <c r="H33" s="274" t="n"/>
      <c r="I33" s="275" t="n"/>
      <c r="J33" s="288">
        <f>G33-D33</f>
        <v/>
      </c>
      <c r="K33" s="274" t="n"/>
      <c r="L33" s="275" t="n"/>
      <c r="M33" s="288">
        <f>'18'!M33+J33</f>
        <v/>
      </c>
      <c r="N33" s="275" t="n"/>
      <c r="P33" s="172" t="n"/>
      <c r="Q33" s="172" t="n"/>
      <c r="R33" s="172" t="n"/>
      <c r="S33" s="172" t="n"/>
      <c r="T33" s="172" t="n"/>
      <c r="U33" s="172" t="n"/>
      <c r="V33" s="305" t="n"/>
      <c r="W33" s="305" t="n"/>
      <c r="X33" s="305" t="n"/>
      <c r="Y33" s="305" t="n"/>
      <c r="Z33" s="305" t="n"/>
    </row>
  </sheetData>
  <mergeCells count="217">
    <mergeCell ref="V24:X24"/>
    <mergeCell ref="A15:B15"/>
    <mergeCell ref="P27:R27"/>
    <mergeCell ref="S23:U23"/>
    <mergeCell ref="C15:D15"/>
    <mergeCell ref="J27:L27"/>
    <mergeCell ref="S14:V15"/>
    <mergeCell ref="Y24:Z24"/>
    <mergeCell ref="U7:W7"/>
    <mergeCell ref="A26:C26"/>
    <mergeCell ref="J25:L25"/>
    <mergeCell ref="G24:I24"/>
    <mergeCell ref="D28:F28"/>
    <mergeCell ref="I16:J16"/>
    <mergeCell ref="A23:C23"/>
    <mergeCell ref="S24:U24"/>
    <mergeCell ref="P6:Q6"/>
    <mergeCell ref="P28:R28"/>
    <mergeCell ref="W1:X1"/>
    <mergeCell ref="Y1:Z1"/>
    <mergeCell ref="G26:I26"/>
    <mergeCell ref="S16:T17"/>
    <mergeCell ref="D30:F30"/>
    <mergeCell ref="G18:H18"/>
    <mergeCell ref="U8:W8"/>
    <mergeCell ref="B1:C1"/>
    <mergeCell ref="I18:J18"/>
    <mergeCell ref="H3:S3"/>
    <mergeCell ref="M16:N16"/>
    <mergeCell ref="P30:R30"/>
    <mergeCell ref="M25:N25"/>
    <mergeCell ref="D29:F29"/>
    <mergeCell ref="D23:F23"/>
    <mergeCell ref="Y25:Z25"/>
    <mergeCell ref="M18:N18"/>
    <mergeCell ref="M33:N33"/>
    <mergeCell ref="A17:B17"/>
    <mergeCell ref="S25:U25"/>
    <mergeCell ref="C17:D17"/>
    <mergeCell ref="U18:V20"/>
    <mergeCell ref="J29:L29"/>
    <mergeCell ref="M17:N17"/>
    <mergeCell ref="W18:X20"/>
    <mergeCell ref="G20:H20"/>
    <mergeCell ref="I20:J20"/>
    <mergeCell ref="S27:U27"/>
    <mergeCell ref="A19:B19"/>
    <mergeCell ref="V23:X23"/>
    <mergeCell ref="C19:D19"/>
    <mergeCell ref="A6:C6"/>
    <mergeCell ref="Y2:Z3"/>
    <mergeCell ref="Y18:Z20"/>
    <mergeCell ref="M19:N19"/>
    <mergeCell ref="P22:U22"/>
    <mergeCell ref="I13:J13"/>
    <mergeCell ref="K13:L13"/>
    <mergeCell ref="X7:Z7"/>
    <mergeCell ref="E12:F12"/>
    <mergeCell ref="J24:L24"/>
    <mergeCell ref="G12:H12"/>
    <mergeCell ref="G28:I28"/>
    <mergeCell ref="D27:F27"/>
    <mergeCell ref="G6:I6"/>
    <mergeCell ref="I15:J15"/>
    <mergeCell ref="A11:B11"/>
    <mergeCell ref="K15:L15"/>
    <mergeCell ref="S28:U28"/>
    <mergeCell ref="C14:D14"/>
    <mergeCell ref="E14:F14"/>
    <mergeCell ref="J26:L26"/>
    <mergeCell ref="G30:I30"/>
    <mergeCell ref="J7:L7"/>
    <mergeCell ref="V27:X27"/>
    <mergeCell ref="A32:C32"/>
    <mergeCell ref="A29:C29"/>
    <mergeCell ref="D25:F25"/>
    <mergeCell ref="V25:X25"/>
    <mergeCell ref="Y26:Z26"/>
    <mergeCell ref="M13:N13"/>
    <mergeCell ref="G32:I32"/>
    <mergeCell ref="J33:L33"/>
    <mergeCell ref="W14:Z15"/>
    <mergeCell ref="A31:C31"/>
    <mergeCell ref="S26:U26"/>
    <mergeCell ref="M27:N27"/>
    <mergeCell ref="I17:J17"/>
    <mergeCell ref="A24:C24"/>
    <mergeCell ref="Y27:Z27"/>
    <mergeCell ref="K17:L17"/>
    <mergeCell ref="P29:R29"/>
    <mergeCell ref="M24:N24"/>
    <mergeCell ref="E16:F16"/>
    <mergeCell ref="J28:L28"/>
    <mergeCell ref="G27:I27"/>
    <mergeCell ref="G16:H16"/>
    <mergeCell ref="D31:F31"/>
    <mergeCell ref="U2:V3"/>
    <mergeCell ref="I19:J19"/>
    <mergeCell ref="U1:V1"/>
    <mergeCell ref="G8:I8"/>
    <mergeCell ref="K19:L19"/>
    <mergeCell ref="C18:D18"/>
    <mergeCell ref="A7:C7"/>
    <mergeCell ref="V29:X29"/>
    <mergeCell ref="E18:F18"/>
    <mergeCell ref="J30:L30"/>
    <mergeCell ref="R6:T6"/>
    <mergeCell ref="K16:L16"/>
    <mergeCell ref="A25:C25"/>
    <mergeCell ref="J6:L6"/>
    <mergeCell ref="D1:E1"/>
    <mergeCell ref="D32:F32"/>
    <mergeCell ref="G11:H11"/>
    <mergeCell ref="I11:J11"/>
    <mergeCell ref="P23:R23"/>
    <mergeCell ref="W11:Z11"/>
    <mergeCell ref="D7:F7"/>
    <mergeCell ref="Y16:Z17"/>
    <mergeCell ref="S18:T20"/>
    <mergeCell ref="C20:D20"/>
    <mergeCell ref="Y30:Z30"/>
    <mergeCell ref="E20:F20"/>
    <mergeCell ref="K11:L11"/>
    <mergeCell ref="J32:L32"/>
    <mergeCell ref="M11:N11"/>
    <mergeCell ref="Y29:Z29"/>
    <mergeCell ref="H1:S2"/>
    <mergeCell ref="V26:X26"/>
    <mergeCell ref="E13:F13"/>
    <mergeCell ref="S30:U30"/>
    <mergeCell ref="G13:H13"/>
    <mergeCell ref="M31:N31"/>
    <mergeCell ref="G29:I29"/>
    <mergeCell ref="D8:F8"/>
    <mergeCell ref="D33:F33"/>
    <mergeCell ref="W12:Z13"/>
    <mergeCell ref="A12:B12"/>
    <mergeCell ref="A28:C28"/>
    <mergeCell ref="S29:U29"/>
    <mergeCell ref="C12:D12"/>
    <mergeCell ref="A1:A3"/>
    <mergeCell ref="M15:N15"/>
    <mergeCell ref="E15:F15"/>
    <mergeCell ref="M12:N12"/>
    <mergeCell ref="G15:H15"/>
    <mergeCell ref="G31:I31"/>
    <mergeCell ref="Y28:Z28"/>
    <mergeCell ref="P18:R20"/>
    <mergeCell ref="A14:B14"/>
    <mergeCell ref="J8:L8"/>
    <mergeCell ref="A30:C30"/>
    <mergeCell ref="M26:N26"/>
    <mergeCell ref="U6:W6"/>
    <mergeCell ref="P25:R25"/>
    <mergeCell ref="M29:N29"/>
    <mergeCell ref="M23:N23"/>
    <mergeCell ref="F2:G3"/>
    <mergeCell ref="G23:I23"/>
    <mergeCell ref="Y23:Z23"/>
    <mergeCell ref="U16:V17"/>
    <mergeCell ref="W16:X17"/>
    <mergeCell ref="G7:I7"/>
    <mergeCell ref="K18:L18"/>
    <mergeCell ref="P12:R13"/>
    <mergeCell ref="D6:F6"/>
    <mergeCell ref="F1:G1"/>
    <mergeCell ref="T1:T3"/>
    <mergeCell ref="V28:X28"/>
    <mergeCell ref="P11:R11"/>
    <mergeCell ref="P14:R15"/>
    <mergeCell ref="A27:C27"/>
    <mergeCell ref="V30:X30"/>
    <mergeCell ref="W2:X3"/>
    <mergeCell ref="E17:F17"/>
    <mergeCell ref="G17:H17"/>
    <mergeCell ref="G33:I33"/>
    <mergeCell ref="X6:Z6"/>
    <mergeCell ref="A33:C33"/>
    <mergeCell ref="K20:L20"/>
    <mergeCell ref="A16:B16"/>
    <mergeCell ref="C16:D16"/>
    <mergeCell ref="M20:N20"/>
    <mergeCell ref="A8:C8"/>
    <mergeCell ref="E19:F19"/>
    <mergeCell ref="P8:Q8"/>
    <mergeCell ref="J31:L31"/>
    <mergeCell ref="G19:H19"/>
    <mergeCell ref="A18:B18"/>
    <mergeCell ref="G25:I25"/>
    <mergeCell ref="D24:F24"/>
    <mergeCell ref="M30:N30"/>
    <mergeCell ref="I12:J12"/>
    <mergeCell ref="K12:L12"/>
    <mergeCell ref="P24:R24"/>
    <mergeCell ref="P7:Q7"/>
    <mergeCell ref="C11:D11"/>
    <mergeCell ref="M28:N28"/>
    <mergeCell ref="E11:F11"/>
    <mergeCell ref="J23:L23"/>
    <mergeCell ref="D26:F26"/>
    <mergeCell ref="G14:H14"/>
    <mergeCell ref="S11:V11"/>
    <mergeCell ref="I14:J14"/>
    <mergeCell ref="R8:T8"/>
    <mergeCell ref="K14:L14"/>
    <mergeCell ref="P26:R26"/>
    <mergeCell ref="P16:R17"/>
    <mergeCell ref="A20:B20"/>
    <mergeCell ref="B2:C3"/>
    <mergeCell ref="D2:E3"/>
    <mergeCell ref="M32:N32"/>
    <mergeCell ref="M14:N14"/>
    <mergeCell ref="X8:Z8"/>
    <mergeCell ref="A13:B13"/>
    <mergeCell ref="C13:D13"/>
    <mergeCell ref="R7:T7"/>
    <mergeCell ref="S12:V13"/>
  </mergeCells>
  <pageMargins left="0.7086614173228347" right="0.7086614173228347" top="0.7480314960629921" bottom="0.7480314960629921" header="0.3149606299212598" footer="0.3149606299212598"/>
  <pageSetup orientation="portrait" paperSize="9" scale="59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AE33"/>
  <sheetViews>
    <sheetView zoomScaleNormal="100" zoomScaleSheetLayoutView="100" workbookViewId="0">
      <selection activeCell="E18" sqref="E18:F18"/>
    </sheetView>
  </sheetViews>
  <sheetFormatPr baseColWidth="8" defaultRowHeight="17.4"/>
  <cols>
    <col width="2.8984375" customWidth="1" style="251" min="1" max="1"/>
    <col width="5.59765625" customWidth="1" style="251" min="2" max="14"/>
    <col width="3.59765625" customWidth="1" style="251" min="15" max="15"/>
    <col width="4.59765625" customWidth="1" style="251" min="16" max="22"/>
    <col width="5.59765625" customWidth="1" style="251" min="23" max="26"/>
  </cols>
  <sheetData>
    <row r="1" ht="18.75" customHeight="1" s="251">
      <c r="A1" s="122" t="inlineStr">
        <is>
          <t>근
무
자</t>
        </is>
      </c>
      <c r="B1" s="120" t="inlineStr">
        <is>
          <t>오  전</t>
        </is>
      </c>
      <c r="C1" s="252" t="n"/>
      <c r="D1" s="120" t="inlineStr">
        <is>
          <t>오  후</t>
        </is>
      </c>
      <c r="E1" s="252" t="n"/>
      <c r="F1" s="120" t="inlineStr">
        <is>
          <t>야  간</t>
        </is>
      </c>
      <c r="G1" s="252" t="n"/>
      <c r="H1" s="253" t="inlineStr">
        <is>
          <t>유동상소각로 운전일지</t>
        </is>
      </c>
      <c r="S1" s="254" t="n"/>
      <c r="T1" s="255" t="inlineStr">
        <is>
          <t>결
재</t>
        </is>
      </c>
      <c r="U1" s="120" t="inlineStr">
        <is>
          <t>반장</t>
        </is>
      </c>
      <c r="V1" s="252" t="n"/>
      <c r="W1" s="120" t="inlineStr">
        <is>
          <t>대리</t>
        </is>
      </c>
      <c r="X1" s="252" t="n"/>
      <c r="Y1" s="120" t="inlineStr">
        <is>
          <t>팀장</t>
        </is>
      </c>
      <c r="Z1" s="252" t="n"/>
    </row>
    <row r="2" ht="14.25" customHeight="1" s="251">
      <c r="A2" s="256" t="n"/>
      <c r="B2" s="257" t="inlineStr">
        <is>
          <t>권정민</t>
        </is>
      </c>
      <c r="C2" s="258" t="n"/>
      <c r="D2" s="257" t="inlineStr">
        <is>
          <t>김문한</t>
        </is>
      </c>
      <c r="E2" s="258" t="n"/>
      <c r="F2" s="257" t="inlineStr">
        <is>
          <t>김동욱</t>
        </is>
      </c>
      <c r="G2" s="258" t="n"/>
      <c r="H2" s="259" t="n"/>
      <c r="I2" s="260" t="n"/>
      <c r="J2" s="260" t="n"/>
      <c r="K2" s="260" t="n"/>
      <c r="L2" s="260" t="n"/>
      <c r="M2" s="260" t="n"/>
      <c r="N2" s="260" t="n"/>
      <c r="O2" s="260" t="n"/>
      <c r="P2" s="260" t="n"/>
      <c r="Q2" s="260" t="n"/>
      <c r="R2" s="260" t="n"/>
      <c r="S2" s="261" t="n"/>
      <c r="T2" s="262" t="n"/>
      <c r="U2" s="105" t="n"/>
      <c r="V2" s="254" t="n"/>
      <c r="W2" s="105" t="n"/>
      <c r="X2" s="254" t="n"/>
      <c r="Y2" s="105" t="n"/>
      <c r="Z2" s="254" t="n"/>
    </row>
    <row r="3" ht="37.5" customHeight="1" s="251">
      <c r="A3" s="263" t="n"/>
      <c r="B3" s="264" t="n"/>
      <c r="C3" s="265" t="n"/>
      <c r="D3" s="264" t="n"/>
      <c r="E3" s="265" t="n"/>
      <c r="F3" s="264" t="n"/>
      <c r="G3" s="265" t="n"/>
      <c r="H3" s="266" t="n">
        <v>46223</v>
      </c>
      <c r="I3" s="267" t="n"/>
      <c r="J3" s="267" t="n"/>
      <c r="K3" s="267" t="n"/>
      <c r="L3" s="267" t="n"/>
      <c r="M3" s="267" t="n"/>
      <c r="N3" s="267" t="n"/>
      <c r="O3" s="267" t="n"/>
      <c r="P3" s="267" t="n"/>
      <c r="Q3" s="267" t="n"/>
      <c r="R3" s="267" t="n"/>
      <c r="S3" s="268" t="n"/>
      <c r="T3" s="269" t="n"/>
      <c r="U3" s="264" t="n"/>
      <c r="V3" s="265" t="n"/>
      <c r="W3" s="264" t="n"/>
      <c r="X3" s="265" t="n"/>
      <c r="Y3" s="264" t="n"/>
      <c r="Z3" s="265" t="n"/>
    </row>
    <row r="4" ht="13.5" customHeight="1" s="25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inlineStr">
        <is>
          <t>1. 소각현황(KG)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inlineStr">
        <is>
          <t>2. BOILER 운전현황(TON, HR)</t>
        </is>
      </c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2.5" customHeight="1" s="251" thickBot="1">
      <c r="A6" s="136" t="inlineStr">
        <is>
          <t>구 분</t>
        </is>
      </c>
      <c r="B6" s="270" t="n"/>
      <c r="C6" s="271" t="n"/>
      <c r="D6" s="136" t="inlineStr">
        <is>
          <t>SRF소각량</t>
        </is>
      </c>
      <c r="E6" s="270" t="n"/>
      <c r="F6" s="271" t="n"/>
      <c r="G6" s="136" t="inlineStr">
        <is>
          <t>SLUDGE 소각량</t>
        </is>
      </c>
      <c r="H6" s="270" t="n"/>
      <c r="I6" s="271" t="n"/>
      <c r="J6" s="136" t="inlineStr">
        <is>
          <t>합 계</t>
        </is>
      </c>
      <c r="K6" s="270" t="n"/>
      <c r="L6" s="271" t="n"/>
      <c r="M6" s="1" t="n"/>
      <c r="N6" s="1" t="n"/>
      <c r="O6" s="1" t="n"/>
      <c r="P6" s="136" t="inlineStr">
        <is>
          <t>구 분</t>
        </is>
      </c>
      <c r="Q6" s="271" t="n"/>
      <c r="R6" s="136" t="inlineStr">
        <is>
          <t>스팀 생산량</t>
        </is>
      </c>
      <c r="S6" s="270" t="n"/>
      <c r="T6" s="271" t="n"/>
      <c r="U6" s="136" t="inlineStr">
        <is>
          <t>스팀 송기량</t>
        </is>
      </c>
      <c r="V6" s="270" t="n"/>
      <c r="W6" s="271" t="n"/>
      <c r="X6" s="136" t="inlineStr">
        <is>
          <t>가동시간</t>
        </is>
      </c>
      <c r="Y6" s="270" t="n"/>
      <c r="Z6" s="271" t="n"/>
    </row>
    <row r="7" ht="30" customHeight="1" s="251" thickTop="1">
      <c r="A7" s="105" t="inlineStr">
        <is>
          <t>금 일</t>
        </is>
      </c>
      <c r="B7" s="272" t="n"/>
      <c r="C7" s="265" t="n"/>
      <c r="D7" s="139" t="n">
        <v>90268</v>
      </c>
      <c r="E7" s="272" t="n"/>
      <c r="F7" s="265" t="n"/>
      <c r="G7" s="139" t="n">
        <v>121700</v>
      </c>
      <c r="H7" s="272" t="n"/>
      <c r="I7" s="265" t="n"/>
      <c r="J7" s="154">
        <f>D7+G7</f>
        <v/>
      </c>
      <c r="K7" s="278" t="n"/>
      <c r="L7" s="279" t="n"/>
      <c r="M7" s="1" t="n"/>
      <c r="N7" s="1" t="n"/>
      <c r="O7" s="1" t="n"/>
      <c r="P7" s="105" t="inlineStr">
        <is>
          <t>금 일</t>
        </is>
      </c>
      <c r="Q7" s="265" t="n"/>
      <c r="R7" s="276" t="n">
        <v>506.3</v>
      </c>
      <c r="S7" s="272" t="n"/>
      <c r="T7" s="265" t="n"/>
      <c r="U7" s="276" t="n">
        <v>260.3</v>
      </c>
      <c r="V7" s="272" t="n"/>
      <c r="W7" s="265" t="n"/>
      <c r="X7" s="277" t="n">
        <v>24</v>
      </c>
      <c r="Y7" s="272" t="n"/>
      <c r="Z7" s="265" t="n"/>
    </row>
    <row r="8" ht="30" customHeight="1" s="251">
      <c r="A8" s="104" t="inlineStr">
        <is>
          <t>누 계</t>
        </is>
      </c>
      <c r="B8" s="278" t="n"/>
      <c r="C8" s="279" t="n"/>
      <c r="D8" s="154">
        <f>'19'!D8+'20'!D7</f>
        <v/>
      </c>
      <c r="E8" s="278" t="n"/>
      <c r="F8" s="279" t="n"/>
      <c r="G8" s="154">
        <f>'19'!G8+'20'!G7</f>
        <v/>
      </c>
      <c r="H8" s="278" t="n"/>
      <c r="I8" s="279" t="n"/>
      <c r="J8" s="154">
        <f>D8+G8</f>
        <v/>
      </c>
      <c r="K8" s="278" t="n"/>
      <c r="L8" s="279" t="n"/>
      <c r="M8" s="1" t="n"/>
      <c r="N8" s="1" t="n"/>
      <c r="O8" s="1" t="n"/>
      <c r="P8" s="104" t="inlineStr">
        <is>
          <t>누 계</t>
        </is>
      </c>
      <c r="Q8" s="279" t="n"/>
      <c r="R8" s="280">
        <f>'19'!R8+R7</f>
        <v/>
      </c>
      <c r="S8" s="278" t="n"/>
      <c r="T8" s="279" t="n"/>
      <c r="U8" s="280">
        <f>'19'!U8+U7</f>
        <v/>
      </c>
      <c r="V8" s="278" t="n"/>
      <c r="W8" s="279" t="n"/>
      <c r="X8" s="281">
        <f>'19'!X8+'20'!X7</f>
        <v/>
      </c>
      <c r="Y8" s="278" t="n"/>
      <c r="Z8" s="279" t="n"/>
    </row>
    <row r="9" ht="12" customHeight="1" s="25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inlineStr">
        <is>
          <t>3. 약품 사용현황 (KG)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inlineStr">
        <is>
          <t>4. 소각재 발생량 (TON, 대)</t>
        </is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30.75" customHeight="1" s="251" thickBot="1">
      <c r="A11" s="136" t="inlineStr">
        <is>
          <t>품 명</t>
        </is>
      </c>
      <c r="B11" s="271" t="n"/>
      <c r="C11" s="150" t="inlineStr">
        <is>
          <t>전일 
재고량</t>
        </is>
      </c>
      <c r="D11" s="271" t="n"/>
      <c r="E11" s="136" t="inlineStr">
        <is>
          <t>입고량</t>
        </is>
      </c>
      <c r="F11" s="271" t="n"/>
      <c r="G11" s="136" t="inlineStr">
        <is>
          <t>사용량</t>
        </is>
      </c>
      <c r="H11" s="271" t="n"/>
      <c r="I11" s="282" t="inlineStr">
        <is>
          <t>재고량</t>
        </is>
      </c>
      <c r="J11" s="271" t="n"/>
      <c r="K11" s="150" t="inlineStr">
        <is>
          <t>입고량 
누계</t>
        </is>
      </c>
      <c r="L11" s="271" t="n"/>
      <c r="M11" s="150" t="inlineStr">
        <is>
          <t>사용량 
누계</t>
        </is>
      </c>
      <c r="N11" s="271" t="n"/>
      <c r="O11" s="1" t="n"/>
      <c r="P11" s="136" t="inlineStr">
        <is>
          <t xml:space="preserve"> 구 분</t>
        </is>
      </c>
      <c r="Q11" s="270" t="n"/>
      <c r="R11" s="271" t="n"/>
      <c r="S11" s="282" t="inlineStr">
        <is>
          <t>반출량</t>
        </is>
      </c>
      <c r="T11" s="270" t="n"/>
      <c r="U11" s="270" t="n"/>
      <c r="V11" s="271" t="n"/>
      <c r="W11" s="282" t="inlineStr">
        <is>
          <t>누계</t>
        </is>
      </c>
      <c r="X11" s="270" t="n"/>
      <c r="Y11" s="270" t="n"/>
      <c r="Z11" s="271" t="n"/>
    </row>
    <row r="12" ht="21.9" customHeight="1" s="251" thickTop="1">
      <c r="A12" s="142" t="inlineStr">
        <is>
          <t>탄산암모늄</t>
        </is>
      </c>
      <c r="B12" s="265" t="n"/>
      <c r="C12" s="310">
        <f>'19'!I12</f>
        <v/>
      </c>
      <c r="D12" s="265" t="n"/>
      <c r="E12" s="105" t="n">
        <v>16950</v>
      </c>
      <c r="F12" s="265" t="n"/>
      <c r="G12" s="105" t="n">
        <v>3980</v>
      </c>
      <c r="H12" s="265" t="n"/>
      <c r="I12" s="164">
        <f>C12+E12-G12</f>
        <v/>
      </c>
      <c r="J12" s="283" t="n"/>
      <c r="K12" s="105">
        <f>'19'!K12+'20'!E12</f>
        <v/>
      </c>
      <c r="L12" s="265" t="n"/>
      <c r="M12" s="105">
        <f>'19'!M12+G12</f>
        <v/>
      </c>
      <c r="N12" s="265" t="n"/>
      <c r="O12" s="1" t="n"/>
      <c r="P12" s="149" t="inlineStr">
        <is>
          <t xml:space="preserve">
비산재
</t>
        </is>
      </c>
      <c r="R12" s="254" t="n"/>
      <c r="S12" s="284" t="n">
        <v>57.42</v>
      </c>
      <c r="T12" s="285" t="n"/>
      <c r="U12" s="285" t="n"/>
      <c r="V12" s="285" t="n"/>
      <c r="W12" s="318">
        <f>'19'!W12+'20'!S12</f>
        <v/>
      </c>
      <c r="X12" s="285" t="n"/>
      <c r="Y12" s="285" t="n"/>
      <c r="Z12" s="287" t="n"/>
    </row>
    <row r="13" ht="21.9" customHeight="1" s="251">
      <c r="A13" s="104" t="inlineStr">
        <is>
          <t>청관제</t>
        </is>
      </c>
      <c r="B13" s="279" t="n"/>
      <c r="C13" s="310">
        <f>'19'!I13</f>
        <v/>
      </c>
      <c r="D13" s="265" t="n"/>
      <c r="E13" s="104" t="n">
        <v>0</v>
      </c>
      <c r="F13" s="279" t="n"/>
      <c r="G13" s="104" t="n">
        <v>100</v>
      </c>
      <c r="H13" s="279" t="n"/>
      <c r="I13" s="288">
        <f>C13+E13-G13</f>
        <v/>
      </c>
      <c r="J13" s="275" t="n"/>
      <c r="K13" s="288">
        <f>'19'!K13+'20'!E13</f>
        <v/>
      </c>
      <c r="L13" s="275" t="n"/>
      <c r="M13" s="288">
        <f>'19'!M13+G13</f>
        <v/>
      </c>
      <c r="N13" s="275" t="n"/>
      <c r="O13" s="1" t="n"/>
      <c r="P13" s="264" t="n"/>
      <c r="Q13" s="272" t="n"/>
      <c r="R13" s="265" t="n"/>
      <c r="S13" s="289" t="n"/>
      <c r="T13" s="290" t="n"/>
      <c r="U13" s="290" t="n"/>
      <c r="V13" s="290" t="n"/>
      <c r="W13" s="264" t="n"/>
      <c r="X13" s="272" t="n"/>
      <c r="Y13" s="272" t="n"/>
      <c r="Z13" s="265" t="n"/>
    </row>
    <row r="14" ht="21.9" customHeight="1" s="251">
      <c r="A14" s="104" t="inlineStr">
        <is>
          <t>활성탄</t>
        </is>
      </c>
      <c r="B14" s="279" t="n"/>
      <c r="C14" s="310">
        <f>'19'!I14</f>
        <v/>
      </c>
      <c r="D14" s="265" t="n"/>
      <c r="E14" s="104" t="n">
        <v>0</v>
      </c>
      <c r="F14" s="279" t="n"/>
      <c r="G14" s="104" t="n">
        <v>120</v>
      </c>
      <c r="H14" s="279" t="n"/>
      <c r="I14" s="288">
        <f>C14+E14-G14</f>
        <v/>
      </c>
      <c r="J14" s="275" t="n"/>
      <c r="K14" s="288">
        <f>'19'!K14+'20'!E14</f>
        <v/>
      </c>
      <c r="L14" s="275" t="n"/>
      <c r="M14" s="288">
        <f>'19'!M14+G14</f>
        <v/>
      </c>
      <c r="N14" s="275" t="n"/>
      <c r="O14" s="1" t="n"/>
      <c r="P14" s="104" t="inlineStr">
        <is>
          <t>바닥재</t>
        </is>
      </c>
      <c r="Q14" s="291" t="n"/>
      <c r="R14" s="292" t="n"/>
      <c r="S14" s="293" t="n">
        <v>23.82</v>
      </c>
      <c r="T14" s="291" t="n"/>
      <c r="U14" s="291" t="n"/>
      <c r="V14" s="291" t="n"/>
      <c r="W14" s="311">
        <f>'19'!W14+'20'!S14</f>
        <v/>
      </c>
      <c r="X14" s="291" t="n"/>
      <c r="Y14" s="291" t="n"/>
      <c r="Z14" s="295" t="n"/>
    </row>
    <row r="15" ht="21.9" customHeight="1" s="251">
      <c r="A15" s="104" t="inlineStr">
        <is>
          <t>가성소다</t>
        </is>
      </c>
      <c r="B15" s="279" t="n"/>
      <c r="C15" s="310">
        <f>'19'!I15</f>
        <v/>
      </c>
      <c r="D15" s="265" t="n"/>
      <c r="E15" s="104" t="n">
        <v>0</v>
      </c>
      <c r="F15" s="279" t="n"/>
      <c r="G15" s="104" t="n">
        <v>33</v>
      </c>
      <c r="H15" s="279" t="n"/>
      <c r="I15" s="288">
        <f>C15+E15-G15</f>
        <v/>
      </c>
      <c r="J15" s="275" t="n"/>
      <c r="K15" s="288">
        <f>'19'!K15+'20'!E15</f>
        <v/>
      </c>
      <c r="L15" s="275" t="n"/>
      <c r="M15" s="288">
        <f>'19'!M15+G15</f>
        <v/>
      </c>
      <c r="N15" s="275" t="n"/>
      <c r="O15" s="1" t="n"/>
      <c r="P15" s="296" t="n"/>
      <c r="Q15" s="290" t="n"/>
      <c r="R15" s="297" t="n"/>
      <c r="S15" s="296" t="n"/>
      <c r="T15" s="290" t="n"/>
      <c r="U15" s="290" t="n"/>
      <c r="V15" s="290" t="n"/>
      <c r="W15" s="298" t="n"/>
      <c r="X15" s="272" t="n"/>
      <c r="Y15" s="272" t="n"/>
      <c r="Z15" s="265" t="n"/>
    </row>
    <row r="16" ht="21.9" customHeight="1" s="251">
      <c r="A16" s="104" t="inlineStr">
        <is>
          <t>소석회</t>
        </is>
      </c>
      <c r="B16" s="279" t="n"/>
      <c r="C16" s="310">
        <f>'19'!I16</f>
        <v/>
      </c>
      <c r="D16" s="265" t="n"/>
      <c r="E16" s="104" t="n">
        <v>0</v>
      </c>
      <c r="F16" s="279" t="n"/>
      <c r="G16" s="104" t="n">
        <v>20</v>
      </c>
      <c r="H16" s="279" t="n"/>
      <c r="I16" s="288">
        <f>C16+E16-G16</f>
        <v/>
      </c>
      <c r="J16" s="275" t="n"/>
      <c r="K16" s="288">
        <f>'19'!K16+'20'!E16</f>
        <v/>
      </c>
      <c r="L16" s="275" t="n"/>
      <c r="M16" s="288">
        <f>'19'!M16+G16</f>
        <v/>
      </c>
      <c r="N16" s="275" t="n"/>
      <c r="O16" s="1" t="n"/>
      <c r="P16" s="162" t="inlineStr">
        <is>
          <t>구분</t>
        </is>
      </c>
      <c r="Q16" s="291" t="n"/>
      <c r="R16" s="292" t="n"/>
      <c r="S16" s="299" t="inlineStr">
        <is>
          <t>주간</t>
        </is>
      </c>
      <c r="T16" s="292" t="n"/>
      <c r="U16" s="299" t="inlineStr">
        <is>
          <t>야간</t>
        </is>
      </c>
      <c r="V16" s="292" t="n"/>
      <c r="W16" s="299" t="inlineStr">
        <is>
          <t>합계</t>
        </is>
      </c>
      <c r="X16" s="292" t="n"/>
      <c r="Y16" s="299" t="inlineStr">
        <is>
          <t>누계</t>
        </is>
      </c>
      <c r="Z16" s="292" t="n"/>
    </row>
    <row r="17" ht="21.9" customHeight="1" s="251" thickBot="1">
      <c r="A17" s="104" t="inlineStr">
        <is>
          <t>소 금</t>
        </is>
      </c>
      <c r="B17" s="279" t="n"/>
      <c r="C17" s="310">
        <f>'19'!I17</f>
        <v/>
      </c>
      <c r="D17" s="265" t="n"/>
      <c r="E17" s="104" t="n">
        <v>1440</v>
      </c>
      <c r="F17" s="279" t="n"/>
      <c r="G17" s="104" t="n">
        <v>200</v>
      </c>
      <c r="H17" s="279" t="n"/>
      <c r="I17" s="288">
        <f>C17+E17-G17</f>
        <v/>
      </c>
      <c r="J17" s="275" t="n"/>
      <c r="K17" s="288">
        <f>'19'!K17+'20'!E17</f>
        <v/>
      </c>
      <c r="L17" s="275" t="n"/>
      <c r="M17" s="288">
        <f>'19'!M17+G17</f>
        <v/>
      </c>
      <c r="N17" s="275" t="n"/>
      <c r="O17" s="1" t="n"/>
      <c r="P17" s="296" t="n"/>
      <c r="Q17" s="290" t="n"/>
      <c r="R17" s="297" t="n"/>
      <c r="S17" s="300" t="n"/>
      <c r="T17" s="301" t="n"/>
      <c r="U17" s="300" t="n"/>
      <c r="V17" s="301" t="n"/>
      <c r="W17" s="300" t="n"/>
      <c r="X17" s="301" t="n"/>
      <c r="Y17" s="300" t="n"/>
      <c r="Z17" s="301" t="n"/>
      <c r="AE17" s="302" t="n"/>
    </row>
    <row r="18" ht="21.9" customHeight="1" s="251" thickTop="1">
      <c r="A18" s="104" t="inlineStr">
        <is>
          <t>경 유</t>
        </is>
      </c>
      <c r="B18" s="279" t="n"/>
      <c r="C18" s="310">
        <f>'19'!I18</f>
        <v/>
      </c>
      <c r="D18" s="265" t="n"/>
      <c r="E18" s="104" t="n">
        <v>0</v>
      </c>
      <c r="F18" s="279" t="n"/>
      <c r="G18" s="104" t="n">
        <v>0</v>
      </c>
      <c r="H18" s="279" t="n"/>
      <c r="I18" s="288">
        <f>C18+E18-G18</f>
        <v/>
      </c>
      <c r="J18" s="275" t="n"/>
      <c r="K18" s="288">
        <f>'19'!K18+'20'!E18</f>
        <v/>
      </c>
      <c r="L18" s="275" t="n"/>
      <c r="M18" s="288">
        <f>'19'!M18+G18</f>
        <v/>
      </c>
      <c r="N18" s="275" t="n"/>
      <c r="O18" s="1" t="n"/>
      <c r="P18" s="164" t="inlineStr">
        <is>
          <t>불연물</t>
        </is>
      </c>
      <c r="Q18" s="285" t="n"/>
      <c r="R18" s="287" t="n"/>
      <c r="S18" s="303" t="n">
        <v>1</v>
      </c>
      <c r="T18" s="287" t="n"/>
      <c r="U18" s="303" t="n">
        <v>2</v>
      </c>
      <c r="V18" s="287" t="n"/>
      <c r="W18" s="303">
        <f>S18+U18</f>
        <v/>
      </c>
      <c r="X18" s="287" t="n"/>
      <c r="Y18" s="303">
        <f>'19'!Y18+'20'!W18</f>
        <v/>
      </c>
      <c r="Z18" s="287" t="n"/>
    </row>
    <row r="19" ht="21.9" customHeight="1" s="251">
      <c r="A19" s="153" t="inlineStr">
        <is>
          <t>SRF</t>
        </is>
      </c>
      <c r="B19" s="279" t="n"/>
      <c r="C19" s="310">
        <f>'19'!I19</f>
        <v/>
      </c>
      <c r="D19" s="265" t="n"/>
      <c r="E19" s="154" t="n">
        <v>97000</v>
      </c>
      <c r="F19" s="279" t="n"/>
      <c r="G19" s="154">
        <f>D7</f>
        <v/>
      </c>
      <c r="H19" s="279" t="n"/>
      <c r="I19" s="273">
        <f>C19+E19-G19</f>
        <v/>
      </c>
      <c r="J19" s="275" t="n"/>
      <c r="K19" s="273">
        <f>'19'!K19+'20'!E19</f>
        <v/>
      </c>
      <c r="L19" s="275" t="n"/>
      <c r="M19" s="273">
        <f>'19'!M19+G19</f>
        <v/>
      </c>
      <c r="N19" s="275" t="n"/>
      <c r="O19" s="1" t="n"/>
      <c r="P19" s="256" t="n"/>
      <c r="R19" s="254" t="n"/>
      <c r="S19" s="256" t="n"/>
      <c r="T19" s="254" t="n"/>
      <c r="U19" s="256" t="n"/>
      <c r="V19" s="254" t="n"/>
      <c r="W19" s="256" t="n"/>
      <c r="X19" s="254" t="n"/>
      <c r="Y19" s="256" t="n"/>
      <c r="Z19" s="254" t="n"/>
    </row>
    <row r="20" ht="21.9" customHeight="1" s="251">
      <c r="A20" s="104" t="inlineStr">
        <is>
          <t>규 사</t>
        </is>
      </c>
      <c r="B20" s="279" t="n"/>
      <c r="C20" s="310">
        <f>'19'!I20</f>
        <v/>
      </c>
      <c r="D20" s="265" t="n"/>
      <c r="E20" s="288" t="n"/>
      <c r="F20" s="275" t="n"/>
      <c r="G20" s="104" t="n"/>
      <c r="H20" s="279" t="n"/>
      <c r="I20" s="288" t="inlineStr">
        <is>
          <t>-</t>
        </is>
      </c>
      <c r="J20" s="275" t="n"/>
      <c r="K20" s="105">
        <f>'19'!K20+'20'!E20</f>
        <v/>
      </c>
      <c r="L20" s="265" t="n"/>
      <c r="M20" s="273">
        <f>'19'!M20+G20</f>
        <v/>
      </c>
      <c r="N20" s="275" t="n"/>
      <c r="O20" s="1" t="n"/>
      <c r="P20" s="264" t="n"/>
      <c r="Q20" s="272" t="n"/>
      <c r="R20" s="265" t="n"/>
      <c r="S20" s="264" t="n"/>
      <c r="T20" s="265" t="n"/>
      <c r="U20" s="264" t="n"/>
      <c r="V20" s="265" t="n"/>
      <c r="W20" s="264" t="n"/>
      <c r="X20" s="265" t="n"/>
      <c r="Y20" s="264" t="n"/>
      <c r="Z20" s="265" t="n"/>
    </row>
    <row r="21" ht="12" customHeight="1" s="25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 t="inlineStr">
        <is>
          <t>5. 전력 사용량 (KWH)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10" t="inlineStr">
        <is>
          <t>6. 유틸리티 사용현황 (㎥)</t>
        </is>
      </c>
      <c r="Q22" s="290" t="n"/>
      <c r="R22" s="290" t="n"/>
      <c r="S22" s="290" t="n"/>
      <c r="T22" s="290" t="n"/>
      <c r="U22" s="290" t="n"/>
      <c r="V22" s="1" t="n"/>
      <c r="W22" s="1" t="n"/>
      <c r="X22" s="1" t="n"/>
      <c r="Y22" s="1" t="n"/>
      <c r="Z22" s="1" t="n"/>
    </row>
    <row r="23" ht="28.5" customHeight="1" s="251" thickBot="1">
      <c r="A23" s="136" t="inlineStr">
        <is>
          <t>구 분</t>
        </is>
      </c>
      <c r="B23" s="270" t="n"/>
      <c r="C23" s="271" t="n"/>
      <c r="D23" s="136" t="inlineStr">
        <is>
          <t>전일지침</t>
        </is>
      </c>
      <c r="E23" s="270" t="n"/>
      <c r="F23" s="271" t="n"/>
      <c r="G23" s="136" t="inlineStr">
        <is>
          <t>금일지침</t>
        </is>
      </c>
      <c r="H23" s="270" t="n"/>
      <c r="I23" s="271" t="n"/>
      <c r="J23" s="136" t="inlineStr">
        <is>
          <t>사용량</t>
        </is>
      </c>
      <c r="K23" s="270" t="n"/>
      <c r="L23" s="271" t="n"/>
      <c r="M23" s="136" t="inlineStr">
        <is>
          <t>누 계</t>
        </is>
      </c>
      <c r="N23" s="271" t="n"/>
      <c r="P23" s="136" t="inlineStr">
        <is>
          <t>구 분</t>
        </is>
      </c>
      <c r="Q23" s="270" t="n"/>
      <c r="R23" s="271" t="n"/>
      <c r="S23" s="136" t="inlineStr">
        <is>
          <t>전일 사용량</t>
        </is>
      </c>
      <c r="T23" s="270" t="n"/>
      <c r="U23" s="271" t="n"/>
      <c r="V23" s="136" t="inlineStr">
        <is>
          <t>금일 사용량</t>
        </is>
      </c>
      <c r="W23" s="270" t="n"/>
      <c r="X23" s="271" t="n"/>
      <c r="Y23" s="136" t="inlineStr">
        <is>
          <t>누 계</t>
        </is>
      </c>
      <c r="Z23" s="271" t="n"/>
    </row>
    <row r="24" ht="21.9" customHeight="1" s="251" thickTop="1">
      <c r="A24" s="105" t="inlineStr">
        <is>
          <t>MAIN</t>
        </is>
      </c>
      <c r="B24" s="272" t="n"/>
      <c r="C24" s="265" t="n"/>
      <c r="D24" s="187">
        <f>'19'!G24</f>
        <v/>
      </c>
      <c r="E24" s="285" t="n"/>
      <c r="F24" s="287" t="n"/>
      <c r="G24" s="164" t="n">
        <v>4128530</v>
      </c>
      <c r="H24" s="304" t="n"/>
      <c r="I24" s="283" t="n"/>
      <c r="J24" s="164">
        <f>G24-D24</f>
        <v/>
      </c>
      <c r="K24" s="304" t="n"/>
      <c r="L24" s="283" t="n"/>
      <c r="M24" s="164">
        <f>'19'!M24+J24</f>
        <v/>
      </c>
      <c r="N24" s="283" t="n"/>
      <c r="P24" s="105" t="inlineStr">
        <is>
          <t>재이용수</t>
        </is>
      </c>
      <c r="Q24" s="272" t="n"/>
      <c r="R24" s="265" t="n"/>
      <c r="S24" s="105">
        <f>'19'!V24</f>
        <v/>
      </c>
      <c r="T24" s="272" t="n"/>
      <c r="U24" s="265" t="n"/>
      <c r="V24" s="276" t="n">
        <v>556.6</v>
      </c>
      <c r="W24" s="272" t="n"/>
      <c r="X24" s="265" t="n"/>
      <c r="Y24" s="276">
        <f>'19'!Y24+'20'!V24</f>
        <v/>
      </c>
      <c r="Z24" s="265" t="n"/>
    </row>
    <row r="25" ht="21.9" customHeight="1" s="251">
      <c r="A25" s="104" t="inlineStr">
        <is>
          <t>ASH 저장조</t>
        </is>
      </c>
      <c r="B25" s="278" t="n"/>
      <c r="C25" s="279" t="n"/>
      <c r="D25" s="104">
        <f>'19'!G25</f>
        <v/>
      </c>
      <c r="E25" s="278" t="n"/>
      <c r="F25" s="279" t="n"/>
      <c r="G25" s="104" t="n">
        <v>33445.6</v>
      </c>
      <c r="H25" s="278" t="n"/>
      <c r="I25" s="279" t="n"/>
      <c r="J25" s="104">
        <f>G25-D25</f>
        <v/>
      </c>
      <c r="K25" s="278" t="n"/>
      <c r="L25" s="279" t="n"/>
      <c r="M25" s="288">
        <f>'19'!M25+J25</f>
        <v/>
      </c>
      <c r="N25" s="275" t="n"/>
      <c r="P25" s="104" t="inlineStr">
        <is>
          <t>복류수</t>
        </is>
      </c>
      <c r="Q25" s="278" t="n"/>
      <c r="R25" s="279" t="n"/>
      <c r="S25" s="288">
        <f>'19'!V25</f>
        <v/>
      </c>
      <c r="T25" s="274" t="n"/>
      <c r="U25" s="275" t="n"/>
      <c r="V25" s="280" t="n">
        <v>63</v>
      </c>
      <c r="W25" s="278" t="n"/>
      <c r="X25" s="279" t="n"/>
      <c r="Y25" s="316">
        <f>'19'!Y25+'20'!V25</f>
        <v/>
      </c>
      <c r="Z25" s="275" t="n"/>
    </row>
    <row r="26" ht="21.9" customHeight="1" s="251">
      <c r="A26" s="104" t="inlineStr">
        <is>
          <t>BAG FILTER</t>
        </is>
      </c>
      <c r="B26" s="278" t="n"/>
      <c r="C26" s="279" t="n"/>
      <c r="D26" s="104">
        <f>'19'!G26</f>
        <v/>
      </c>
      <c r="E26" s="278" t="n"/>
      <c r="F26" s="279" t="n"/>
      <c r="G26" s="104" t="n">
        <v>24720</v>
      </c>
      <c r="H26" s="278" t="n"/>
      <c r="I26" s="279" t="n"/>
      <c r="J26" s="104">
        <f>G26-D26</f>
        <v/>
      </c>
      <c r="K26" s="278" t="n"/>
      <c r="L26" s="279" t="n"/>
      <c r="M26" s="288">
        <f>'19'!M26+J26</f>
        <v/>
      </c>
      <c r="N26" s="275" t="n"/>
      <c r="P26" s="104" t="inlineStr">
        <is>
          <t>응축수</t>
        </is>
      </c>
      <c r="Q26" s="278" t="n"/>
      <c r="R26" s="279" t="n"/>
      <c r="S26" s="288">
        <f>'19'!V26</f>
        <v/>
      </c>
      <c r="T26" s="274" t="n"/>
      <c r="U26" s="275" t="n"/>
      <c r="V26" s="280" t="n">
        <v>527</v>
      </c>
      <c r="W26" s="278" t="n"/>
      <c r="X26" s="279" t="n"/>
      <c r="Y26" s="316">
        <f>'19'!Y26+'20'!V26</f>
        <v/>
      </c>
      <c r="Z26" s="275" t="n"/>
    </row>
    <row r="27" ht="21.9" customHeight="1" s="251">
      <c r="A27" s="104" t="inlineStr">
        <is>
          <t>SCRUBBER</t>
        </is>
      </c>
      <c r="B27" s="278" t="n"/>
      <c r="C27" s="279" t="n"/>
      <c r="D27" s="104">
        <f>'19'!G27</f>
        <v/>
      </c>
      <c r="E27" s="278" t="n"/>
      <c r="F27" s="279" t="n"/>
      <c r="G27" s="104" t="n">
        <v>1405000</v>
      </c>
      <c r="H27" s="278" t="n"/>
      <c r="I27" s="279" t="n"/>
      <c r="J27" s="104">
        <f>G27-D27</f>
        <v/>
      </c>
      <c r="K27" s="278" t="n"/>
      <c r="L27" s="279" t="n"/>
      <c r="M27" s="288">
        <f>'19'!M27+J27</f>
        <v/>
      </c>
      <c r="N27" s="275" t="n"/>
      <c r="P27" s="104" t="inlineStr">
        <is>
          <t>보일러 급수</t>
        </is>
      </c>
      <c r="Q27" s="278" t="n"/>
      <c r="R27" s="279" t="n"/>
      <c r="S27" s="288">
        <f>'19'!V27</f>
        <v/>
      </c>
      <c r="T27" s="274" t="n"/>
      <c r="U27" s="275" t="n"/>
      <c r="V27" s="280" t="n">
        <v>525.7</v>
      </c>
      <c r="W27" s="278" t="n"/>
      <c r="X27" s="279" t="n"/>
      <c r="Y27" s="316">
        <f>'19'!Y27+'20'!V27</f>
        <v/>
      </c>
      <c r="Z27" s="275" t="n"/>
    </row>
    <row r="28" ht="21.9" customHeight="1" s="251">
      <c r="A28" s="104" t="inlineStr">
        <is>
          <t>활성탄 공급</t>
        </is>
      </c>
      <c r="B28" s="278" t="n"/>
      <c r="C28" s="279" t="n"/>
      <c r="D28" s="104">
        <f>'19'!G28</f>
        <v/>
      </c>
      <c r="E28" s="278" t="n"/>
      <c r="F28" s="279" t="n"/>
      <c r="G28" s="104" t="n">
        <v>6031</v>
      </c>
      <c r="H28" s="278" t="n"/>
      <c r="I28" s="279" t="n"/>
      <c r="J28" s="104">
        <f>G28-D28</f>
        <v/>
      </c>
      <c r="K28" s="278" t="n"/>
      <c r="L28" s="279" t="n"/>
      <c r="M28" s="288">
        <f>'19'!M28+J28</f>
        <v/>
      </c>
      <c r="N28" s="275" t="n"/>
      <c r="P28" s="104" t="inlineStr">
        <is>
          <t>폐 수</t>
        </is>
      </c>
      <c r="Q28" s="278" t="n"/>
      <c r="R28" s="279" t="n"/>
      <c r="S28" s="288">
        <f>'19'!V28</f>
        <v/>
      </c>
      <c r="T28" s="274" t="n"/>
      <c r="U28" s="275" t="n"/>
      <c r="V28" s="280" t="n">
        <v>0</v>
      </c>
      <c r="W28" s="278" t="n"/>
      <c r="X28" s="279" t="n"/>
      <c r="Y28" s="316">
        <f>'19'!Y28+'20'!V28</f>
        <v/>
      </c>
      <c r="Z28" s="275" t="n"/>
    </row>
    <row r="29" ht="21.9" customHeight="1" s="251">
      <c r="A29" s="104" t="inlineStr">
        <is>
          <t>소석회 공급</t>
        </is>
      </c>
      <c r="B29" s="278" t="n"/>
      <c r="C29" s="279" t="n"/>
      <c r="D29" s="104">
        <f>'19'!G29</f>
        <v/>
      </c>
      <c r="E29" s="278" t="n"/>
      <c r="F29" s="279" t="n"/>
      <c r="G29" s="104" t="n">
        <v>66240</v>
      </c>
      <c r="H29" s="278" t="n"/>
      <c r="I29" s="279" t="n"/>
      <c r="J29" s="104">
        <f>G29-D29</f>
        <v/>
      </c>
      <c r="K29" s="278" t="n"/>
      <c r="L29" s="279" t="n"/>
      <c r="M29" s="288">
        <f>'19'!M29+J29</f>
        <v/>
      </c>
      <c r="N29" s="275" t="n"/>
      <c r="P29" s="104" t="inlineStr">
        <is>
          <t>연 수</t>
        </is>
      </c>
      <c r="Q29" s="278" t="n"/>
      <c r="R29" s="279" t="n"/>
      <c r="S29" s="288">
        <f>'19'!V29</f>
        <v/>
      </c>
      <c r="T29" s="274" t="n"/>
      <c r="U29" s="275" t="n"/>
      <c r="V29" s="280" t="n">
        <v>70.8</v>
      </c>
      <c r="W29" s="278" t="n"/>
      <c r="X29" s="279" t="n"/>
      <c r="Y29" s="316">
        <f>'19'!Y29+'20'!V29</f>
        <v/>
      </c>
      <c r="Z29" s="275" t="n"/>
    </row>
    <row r="30" ht="21.9" customHeight="1" s="251">
      <c r="A30" s="104" t="inlineStr">
        <is>
          <t>요소수 공급</t>
        </is>
      </c>
      <c r="B30" s="278" t="n"/>
      <c r="C30" s="279" t="n"/>
      <c r="D30" s="104">
        <f>'19'!G30</f>
        <v/>
      </c>
      <c r="E30" s="278" t="n"/>
      <c r="F30" s="279" t="n"/>
      <c r="G30" s="104" t="n">
        <v>53470</v>
      </c>
      <c r="H30" s="278" t="n"/>
      <c r="I30" s="279" t="n"/>
      <c r="J30" s="104">
        <f>G30-D30</f>
        <v/>
      </c>
      <c r="K30" s="278" t="n"/>
      <c r="L30" s="279" t="n"/>
      <c r="M30" s="288">
        <f>'19'!M30+J30</f>
        <v/>
      </c>
      <c r="N30" s="275" t="n"/>
      <c r="P30" s="104" t="inlineStr">
        <is>
          <t>계</t>
        </is>
      </c>
      <c r="Q30" s="278" t="n"/>
      <c r="R30" s="279" t="n"/>
      <c r="S30" s="288">
        <f>'19'!V30</f>
        <v/>
      </c>
      <c r="T30" s="274" t="n"/>
      <c r="U30" s="275" t="n"/>
      <c r="V30" s="280" t="n"/>
      <c r="W30" s="278" t="n"/>
      <c r="X30" s="279" t="n"/>
      <c r="Y30" s="316">
        <f>'19'!Y30+'20'!V30</f>
        <v/>
      </c>
      <c r="Z30" s="275" t="n"/>
    </row>
    <row r="31" ht="21.9" customHeight="1" s="251">
      <c r="A31" s="104" t="inlineStr">
        <is>
          <t xml:space="preserve">F.D </t>
        </is>
      </c>
      <c r="B31" s="278" t="n"/>
      <c r="C31" s="279" t="n"/>
      <c r="D31" s="104">
        <f>'19'!G31</f>
        <v/>
      </c>
      <c r="E31" s="278" t="n"/>
      <c r="F31" s="279" t="n"/>
      <c r="G31" s="288" t="n">
        <v>6359003</v>
      </c>
      <c r="H31" s="274" t="n"/>
      <c r="I31" s="275" t="n"/>
      <c r="J31" s="104">
        <f>G31-D31</f>
        <v/>
      </c>
      <c r="K31" s="278" t="n"/>
      <c r="L31" s="279" t="n"/>
      <c r="M31" s="288">
        <f>'19'!M31+J31</f>
        <v/>
      </c>
      <c r="N31" s="275" t="n"/>
      <c r="P31" s="172" t="n"/>
      <c r="Q31" s="172" t="n"/>
      <c r="R31" s="172" t="n"/>
      <c r="S31" s="172" t="n"/>
      <c r="T31" s="172" t="n"/>
      <c r="U31" s="172" t="n"/>
      <c r="V31" s="305" t="n"/>
      <c r="W31" s="305" t="n"/>
      <c r="X31" s="305" t="n"/>
      <c r="Y31" s="305" t="n"/>
      <c r="Z31" s="305" t="n"/>
    </row>
    <row r="32" ht="21.9" customHeight="1" s="251">
      <c r="A32" s="104" t="inlineStr">
        <is>
          <t>활성탄 BAG</t>
        </is>
      </c>
      <c r="B32" s="278" t="n"/>
      <c r="C32" s="279" t="n"/>
      <c r="D32" s="104">
        <f>'19'!G32</f>
        <v/>
      </c>
      <c r="E32" s="278" t="n"/>
      <c r="F32" s="279" t="n"/>
      <c r="G32" s="288" t="n">
        <v>1.7</v>
      </c>
      <c r="H32" s="274" t="n"/>
      <c r="I32" s="275" t="n"/>
      <c r="J32" s="288">
        <f>G32-D32</f>
        <v/>
      </c>
      <c r="K32" s="274" t="n"/>
      <c r="L32" s="275" t="n"/>
      <c r="M32" s="288">
        <f>'19'!M32+J32</f>
        <v/>
      </c>
      <c r="N32" s="275" t="n"/>
      <c r="P32" s="172" t="n"/>
      <c r="Q32" s="172" t="n"/>
      <c r="R32" s="172" t="n"/>
      <c r="S32" s="172" t="n"/>
      <c r="T32" s="172" t="n"/>
      <c r="U32" s="172" t="n"/>
      <c r="V32" s="305" t="n"/>
      <c r="W32" s="305" t="n"/>
      <c r="X32" s="305" t="n"/>
      <c r="Y32" s="305" t="n"/>
      <c r="Z32" s="305" t="n"/>
    </row>
    <row r="33" ht="21.9" customHeight="1" s="251">
      <c r="A33" s="104" t="inlineStr">
        <is>
          <t>소석회 BAG</t>
        </is>
      </c>
      <c r="B33" s="278" t="n"/>
      <c r="C33" s="279" t="n"/>
      <c r="D33" s="104">
        <f>'19'!G33</f>
        <v/>
      </c>
      <c r="E33" s="278" t="n"/>
      <c r="F33" s="279" t="n"/>
      <c r="G33" s="288" t="n">
        <v>0</v>
      </c>
      <c r="H33" s="274" t="n"/>
      <c r="I33" s="275" t="n"/>
      <c r="J33" s="288">
        <f>G33-D33</f>
        <v/>
      </c>
      <c r="K33" s="274" t="n"/>
      <c r="L33" s="275" t="n"/>
      <c r="M33" s="288">
        <f>'19'!M33+J33</f>
        <v/>
      </c>
      <c r="N33" s="275" t="n"/>
      <c r="P33" s="172" t="n"/>
      <c r="Q33" s="172" t="n"/>
      <c r="R33" s="172" t="n"/>
      <c r="S33" s="172" t="n"/>
      <c r="T33" s="172" t="n"/>
      <c r="U33" s="172" t="n"/>
      <c r="V33" s="305" t="n"/>
      <c r="W33" s="305" t="n"/>
      <c r="X33" s="305" t="n"/>
      <c r="Y33" s="305" t="n"/>
      <c r="Z33" s="305" t="n"/>
    </row>
  </sheetData>
  <mergeCells count="217">
    <mergeCell ref="V24:X24"/>
    <mergeCell ref="A15:B15"/>
    <mergeCell ref="P27:R27"/>
    <mergeCell ref="S23:U23"/>
    <mergeCell ref="C15:D15"/>
    <mergeCell ref="J27:L27"/>
    <mergeCell ref="S14:V15"/>
    <mergeCell ref="Y24:Z24"/>
    <mergeCell ref="U7:W7"/>
    <mergeCell ref="A26:C26"/>
    <mergeCell ref="J25:L25"/>
    <mergeCell ref="G24:I24"/>
    <mergeCell ref="D28:F28"/>
    <mergeCell ref="I16:J16"/>
    <mergeCell ref="A23:C23"/>
    <mergeCell ref="S24:U24"/>
    <mergeCell ref="P6:Q6"/>
    <mergeCell ref="P28:R28"/>
    <mergeCell ref="W1:X1"/>
    <mergeCell ref="Y1:Z1"/>
    <mergeCell ref="G26:I26"/>
    <mergeCell ref="S16:T17"/>
    <mergeCell ref="D30:F30"/>
    <mergeCell ref="G18:H18"/>
    <mergeCell ref="U8:W8"/>
    <mergeCell ref="B1:C1"/>
    <mergeCell ref="I18:J18"/>
    <mergeCell ref="H3:S3"/>
    <mergeCell ref="M16:N16"/>
    <mergeCell ref="P30:R30"/>
    <mergeCell ref="M25:N25"/>
    <mergeCell ref="D29:F29"/>
    <mergeCell ref="D23:F23"/>
    <mergeCell ref="Y25:Z25"/>
    <mergeCell ref="M18:N18"/>
    <mergeCell ref="M33:N33"/>
    <mergeCell ref="A17:B17"/>
    <mergeCell ref="S25:U25"/>
    <mergeCell ref="C17:D17"/>
    <mergeCell ref="U18:V20"/>
    <mergeCell ref="J29:L29"/>
    <mergeCell ref="M17:N17"/>
    <mergeCell ref="W18:X20"/>
    <mergeCell ref="G20:H20"/>
    <mergeCell ref="I20:J20"/>
    <mergeCell ref="S27:U27"/>
    <mergeCell ref="A19:B19"/>
    <mergeCell ref="V23:X23"/>
    <mergeCell ref="C19:D19"/>
    <mergeCell ref="A6:C6"/>
    <mergeCell ref="Y2:Z3"/>
    <mergeCell ref="Y18:Z20"/>
    <mergeCell ref="M19:N19"/>
    <mergeCell ref="P22:U22"/>
    <mergeCell ref="I13:J13"/>
    <mergeCell ref="K13:L13"/>
    <mergeCell ref="X7:Z7"/>
    <mergeCell ref="E12:F12"/>
    <mergeCell ref="J24:L24"/>
    <mergeCell ref="G12:H12"/>
    <mergeCell ref="G28:I28"/>
    <mergeCell ref="D27:F27"/>
    <mergeCell ref="G6:I6"/>
    <mergeCell ref="I15:J15"/>
    <mergeCell ref="A11:B11"/>
    <mergeCell ref="K15:L15"/>
    <mergeCell ref="S28:U28"/>
    <mergeCell ref="C14:D14"/>
    <mergeCell ref="E14:F14"/>
    <mergeCell ref="J26:L26"/>
    <mergeCell ref="G30:I30"/>
    <mergeCell ref="J7:L7"/>
    <mergeCell ref="V27:X27"/>
    <mergeCell ref="A32:C32"/>
    <mergeCell ref="A29:C29"/>
    <mergeCell ref="D25:F25"/>
    <mergeCell ref="V25:X25"/>
    <mergeCell ref="Y26:Z26"/>
    <mergeCell ref="M13:N13"/>
    <mergeCell ref="G32:I32"/>
    <mergeCell ref="J33:L33"/>
    <mergeCell ref="W14:Z15"/>
    <mergeCell ref="A31:C31"/>
    <mergeCell ref="S26:U26"/>
    <mergeCell ref="M27:N27"/>
    <mergeCell ref="I17:J17"/>
    <mergeCell ref="A24:C24"/>
    <mergeCell ref="Y27:Z27"/>
    <mergeCell ref="K17:L17"/>
    <mergeCell ref="P29:R29"/>
    <mergeCell ref="M24:N24"/>
    <mergeCell ref="E16:F16"/>
    <mergeCell ref="J28:L28"/>
    <mergeCell ref="G27:I27"/>
    <mergeCell ref="G16:H16"/>
    <mergeCell ref="D31:F31"/>
    <mergeCell ref="U2:V3"/>
    <mergeCell ref="I19:J19"/>
    <mergeCell ref="U1:V1"/>
    <mergeCell ref="G8:I8"/>
    <mergeCell ref="K19:L19"/>
    <mergeCell ref="C18:D18"/>
    <mergeCell ref="A7:C7"/>
    <mergeCell ref="V29:X29"/>
    <mergeCell ref="E18:F18"/>
    <mergeCell ref="J30:L30"/>
    <mergeCell ref="R6:T6"/>
    <mergeCell ref="K16:L16"/>
    <mergeCell ref="A25:C25"/>
    <mergeCell ref="J6:L6"/>
    <mergeCell ref="D1:E1"/>
    <mergeCell ref="D32:F32"/>
    <mergeCell ref="G11:H11"/>
    <mergeCell ref="I11:J11"/>
    <mergeCell ref="P23:R23"/>
    <mergeCell ref="W11:Z11"/>
    <mergeCell ref="D7:F7"/>
    <mergeCell ref="Y16:Z17"/>
    <mergeCell ref="S18:T20"/>
    <mergeCell ref="C20:D20"/>
    <mergeCell ref="Y30:Z30"/>
    <mergeCell ref="E20:F20"/>
    <mergeCell ref="K11:L11"/>
    <mergeCell ref="J32:L32"/>
    <mergeCell ref="M11:N11"/>
    <mergeCell ref="Y29:Z29"/>
    <mergeCell ref="H1:S2"/>
    <mergeCell ref="V26:X26"/>
    <mergeCell ref="E13:F13"/>
    <mergeCell ref="S30:U30"/>
    <mergeCell ref="G13:H13"/>
    <mergeCell ref="M31:N31"/>
    <mergeCell ref="G29:I29"/>
    <mergeCell ref="D8:F8"/>
    <mergeCell ref="D33:F33"/>
    <mergeCell ref="W12:Z13"/>
    <mergeCell ref="A12:B12"/>
    <mergeCell ref="A28:C28"/>
    <mergeCell ref="S29:U29"/>
    <mergeCell ref="C12:D12"/>
    <mergeCell ref="A1:A3"/>
    <mergeCell ref="M15:N15"/>
    <mergeCell ref="E15:F15"/>
    <mergeCell ref="M12:N12"/>
    <mergeCell ref="G15:H15"/>
    <mergeCell ref="G31:I31"/>
    <mergeCell ref="Y28:Z28"/>
    <mergeCell ref="P18:R20"/>
    <mergeCell ref="A14:B14"/>
    <mergeCell ref="J8:L8"/>
    <mergeCell ref="A30:C30"/>
    <mergeCell ref="M26:N26"/>
    <mergeCell ref="U6:W6"/>
    <mergeCell ref="P25:R25"/>
    <mergeCell ref="M29:N29"/>
    <mergeCell ref="M23:N23"/>
    <mergeCell ref="F2:G3"/>
    <mergeCell ref="G23:I23"/>
    <mergeCell ref="Y23:Z23"/>
    <mergeCell ref="U16:V17"/>
    <mergeCell ref="W16:X17"/>
    <mergeCell ref="G7:I7"/>
    <mergeCell ref="K18:L18"/>
    <mergeCell ref="P12:R13"/>
    <mergeCell ref="D6:F6"/>
    <mergeCell ref="F1:G1"/>
    <mergeCell ref="T1:T3"/>
    <mergeCell ref="V28:X28"/>
    <mergeCell ref="P11:R11"/>
    <mergeCell ref="P14:R15"/>
    <mergeCell ref="A27:C27"/>
    <mergeCell ref="V30:X30"/>
    <mergeCell ref="W2:X3"/>
    <mergeCell ref="E17:F17"/>
    <mergeCell ref="G17:H17"/>
    <mergeCell ref="G33:I33"/>
    <mergeCell ref="X6:Z6"/>
    <mergeCell ref="A33:C33"/>
    <mergeCell ref="K20:L20"/>
    <mergeCell ref="A16:B16"/>
    <mergeCell ref="C16:D16"/>
    <mergeCell ref="M20:N20"/>
    <mergeCell ref="A8:C8"/>
    <mergeCell ref="E19:F19"/>
    <mergeCell ref="P8:Q8"/>
    <mergeCell ref="J31:L31"/>
    <mergeCell ref="G19:H19"/>
    <mergeCell ref="A18:B18"/>
    <mergeCell ref="G25:I25"/>
    <mergeCell ref="D24:F24"/>
    <mergeCell ref="M30:N30"/>
    <mergeCell ref="I12:J12"/>
    <mergeCell ref="K12:L12"/>
    <mergeCell ref="P24:R24"/>
    <mergeCell ref="P7:Q7"/>
    <mergeCell ref="C11:D11"/>
    <mergeCell ref="M28:N28"/>
    <mergeCell ref="E11:F11"/>
    <mergeCell ref="J23:L23"/>
    <mergeCell ref="D26:F26"/>
    <mergeCell ref="G14:H14"/>
    <mergeCell ref="S11:V11"/>
    <mergeCell ref="I14:J14"/>
    <mergeCell ref="R8:T8"/>
    <mergeCell ref="K14:L14"/>
    <mergeCell ref="P26:R26"/>
    <mergeCell ref="P16:R17"/>
    <mergeCell ref="A20:B20"/>
    <mergeCell ref="B2:C3"/>
    <mergeCell ref="D2:E3"/>
    <mergeCell ref="M32:N32"/>
    <mergeCell ref="M14:N14"/>
    <mergeCell ref="X8:Z8"/>
    <mergeCell ref="A13:B13"/>
    <mergeCell ref="C13:D13"/>
    <mergeCell ref="R7:T7"/>
    <mergeCell ref="S12:V13"/>
  </mergeCells>
  <pageMargins left="0.7086614173228347" right="0.7086614173228347" top="0.7480314960629921" bottom="0.7480314960629921" header="0.3149606299212598" footer="0.3149606299212598"/>
  <pageSetup orientation="portrait" paperSize="9" scale="59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AE33"/>
  <sheetViews>
    <sheetView zoomScaleNormal="100" zoomScaleSheetLayoutView="100" workbookViewId="0">
      <selection activeCell="E19" sqref="E19:F19"/>
    </sheetView>
  </sheetViews>
  <sheetFormatPr baseColWidth="8" defaultRowHeight="17.4"/>
  <cols>
    <col width="2.8984375" customWidth="1" style="251" min="1" max="1"/>
    <col width="5.59765625" customWidth="1" style="251" min="2" max="14"/>
    <col width="3.59765625" customWidth="1" style="251" min="15" max="15"/>
    <col width="4.59765625" customWidth="1" style="251" min="16" max="22"/>
    <col width="5.59765625" customWidth="1" style="251" min="23" max="26"/>
  </cols>
  <sheetData>
    <row r="1" ht="18.75" customHeight="1" s="251">
      <c r="A1" s="122" t="inlineStr">
        <is>
          <t>근
무
자</t>
        </is>
      </c>
      <c r="B1" s="120" t="inlineStr">
        <is>
          <t>오  전</t>
        </is>
      </c>
      <c r="C1" s="252" t="n"/>
      <c r="D1" s="120" t="inlineStr">
        <is>
          <t>오  후</t>
        </is>
      </c>
      <c r="E1" s="252" t="n"/>
      <c r="F1" s="120" t="inlineStr">
        <is>
          <t>야  간</t>
        </is>
      </c>
      <c r="G1" s="252" t="n"/>
      <c r="H1" s="253" t="inlineStr">
        <is>
          <t>유동상소각로 운전일지</t>
        </is>
      </c>
      <c r="S1" s="254" t="n"/>
      <c r="T1" s="255" t="inlineStr">
        <is>
          <t>결
재</t>
        </is>
      </c>
      <c r="U1" s="120" t="inlineStr">
        <is>
          <t>반장</t>
        </is>
      </c>
      <c r="V1" s="252" t="n"/>
      <c r="W1" s="120" t="inlineStr">
        <is>
          <t>대리</t>
        </is>
      </c>
      <c r="X1" s="252" t="n"/>
      <c r="Y1" s="120" t="inlineStr">
        <is>
          <t>팀장</t>
        </is>
      </c>
      <c r="Z1" s="252" t="n"/>
    </row>
    <row r="2" ht="14.25" customHeight="1" s="251">
      <c r="A2" s="256" t="n"/>
      <c r="B2" s="257" t="inlineStr">
        <is>
          <t>권정민</t>
        </is>
      </c>
      <c r="C2" s="258" t="n"/>
      <c r="D2" s="257" t="inlineStr">
        <is>
          <t>김문한</t>
        </is>
      </c>
      <c r="E2" s="258" t="n"/>
      <c r="F2" s="257" t="inlineStr">
        <is>
          <t>임종민</t>
        </is>
      </c>
      <c r="G2" s="258" t="n"/>
      <c r="H2" s="259" t="n"/>
      <c r="I2" s="260" t="n"/>
      <c r="J2" s="260" t="n"/>
      <c r="K2" s="260" t="n"/>
      <c r="L2" s="260" t="n"/>
      <c r="M2" s="260" t="n"/>
      <c r="N2" s="260" t="n"/>
      <c r="O2" s="260" t="n"/>
      <c r="P2" s="260" t="n"/>
      <c r="Q2" s="260" t="n"/>
      <c r="R2" s="260" t="n"/>
      <c r="S2" s="261" t="n"/>
      <c r="T2" s="262" t="n"/>
      <c r="U2" s="105" t="n"/>
      <c r="V2" s="254" t="n"/>
      <c r="W2" s="105" t="n"/>
      <c r="X2" s="254" t="n"/>
      <c r="Y2" s="105" t="n"/>
      <c r="Z2" s="254" t="n"/>
    </row>
    <row r="3" ht="37.5" customHeight="1" s="251">
      <c r="A3" s="263" t="n"/>
      <c r="B3" s="264" t="n"/>
      <c r="C3" s="265" t="n"/>
      <c r="D3" s="264" t="n"/>
      <c r="E3" s="265" t="n"/>
      <c r="F3" s="264" t="n"/>
      <c r="G3" s="265" t="n"/>
      <c r="H3" s="266" t="n">
        <v>46224</v>
      </c>
      <c r="I3" s="267" t="n"/>
      <c r="J3" s="267" t="n"/>
      <c r="K3" s="267" t="n"/>
      <c r="L3" s="267" t="n"/>
      <c r="M3" s="267" t="n"/>
      <c r="N3" s="267" t="n"/>
      <c r="O3" s="267" t="n"/>
      <c r="P3" s="267" t="n"/>
      <c r="Q3" s="267" t="n"/>
      <c r="R3" s="267" t="n"/>
      <c r="S3" s="268" t="n"/>
      <c r="T3" s="269" t="n"/>
      <c r="U3" s="264" t="n"/>
      <c r="V3" s="265" t="n"/>
      <c r="W3" s="264" t="n"/>
      <c r="X3" s="265" t="n"/>
      <c r="Y3" s="264" t="n"/>
      <c r="Z3" s="265" t="n"/>
    </row>
    <row r="4" ht="13.5" customHeight="1" s="25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inlineStr">
        <is>
          <t>1. 소각현황(KG)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inlineStr">
        <is>
          <t>2. BOILER 운전현황(TON, HR)</t>
        </is>
      </c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2.5" customHeight="1" s="251" thickBot="1">
      <c r="A6" s="136" t="inlineStr">
        <is>
          <t>구 분</t>
        </is>
      </c>
      <c r="B6" s="270" t="n"/>
      <c r="C6" s="271" t="n"/>
      <c r="D6" s="136" t="inlineStr">
        <is>
          <t>SRF소각량</t>
        </is>
      </c>
      <c r="E6" s="270" t="n"/>
      <c r="F6" s="271" t="n"/>
      <c r="G6" s="136" t="inlineStr">
        <is>
          <t>SLUDGE 소각량</t>
        </is>
      </c>
      <c r="H6" s="270" t="n"/>
      <c r="I6" s="271" t="n"/>
      <c r="J6" s="136" t="inlineStr">
        <is>
          <t>합 계</t>
        </is>
      </c>
      <c r="K6" s="270" t="n"/>
      <c r="L6" s="271" t="n"/>
      <c r="M6" s="1" t="n"/>
      <c r="N6" s="1" t="n"/>
      <c r="O6" s="1" t="n"/>
      <c r="P6" s="136" t="inlineStr">
        <is>
          <t>구 분</t>
        </is>
      </c>
      <c r="Q6" s="271" t="n"/>
      <c r="R6" s="136" t="inlineStr">
        <is>
          <t>스팀 생산량</t>
        </is>
      </c>
      <c r="S6" s="270" t="n"/>
      <c r="T6" s="271" t="n"/>
      <c r="U6" s="136" t="inlineStr">
        <is>
          <t>스팀 송기량</t>
        </is>
      </c>
      <c r="V6" s="270" t="n"/>
      <c r="W6" s="271" t="n"/>
      <c r="X6" s="136" t="inlineStr">
        <is>
          <t>가동시간</t>
        </is>
      </c>
      <c r="Y6" s="270" t="n"/>
      <c r="Z6" s="271" t="n"/>
    </row>
    <row r="7" ht="30" customHeight="1" s="251" thickTop="1">
      <c r="A7" s="105" t="inlineStr">
        <is>
          <t>금 일</t>
        </is>
      </c>
      <c r="B7" s="272" t="n"/>
      <c r="C7" s="265" t="n"/>
      <c r="D7" s="139" t="n">
        <v>81962</v>
      </c>
      <c r="E7" s="272" t="n"/>
      <c r="F7" s="265" t="n"/>
      <c r="G7" s="139" t="n">
        <v>103500</v>
      </c>
      <c r="H7" s="272" t="n"/>
      <c r="I7" s="265" t="n"/>
      <c r="J7" s="154">
        <f>D7+G7</f>
        <v/>
      </c>
      <c r="K7" s="278" t="n"/>
      <c r="L7" s="279" t="n"/>
      <c r="M7" s="1" t="n"/>
      <c r="N7" s="1" t="n"/>
      <c r="O7" s="1" t="n"/>
      <c r="P7" s="105" t="inlineStr">
        <is>
          <t>금 일</t>
        </is>
      </c>
      <c r="Q7" s="265" t="n"/>
      <c r="R7" s="276" t="n">
        <v>483.3</v>
      </c>
      <c r="S7" s="272" t="n"/>
      <c r="T7" s="265" t="n"/>
      <c r="U7" s="276" t="n">
        <v>29.7</v>
      </c>
      <c r="V7" s="272" t="n"/>
      <c r="W7" s="265" t="n"/>
      <c r="X7" s="277" t="n">
        <v>24</v>
      </c>
      <c r="Y7" s="272" t="n"/>
      <c r="Z7" s="265" t="n"/>
    </row>
    <row r="8" ht="30" customHeight="1" s="251">
      <c r="A8" s="104" t="inlineStr">
        <is>
          <t>누 계</t>
        </is>
      </c>
      <c r="B8" s="278" t="n"/>
      <c r="C8" s="279" t="n"/>
      <c r="D8" s="154">
        <f>'20'!D8+'21'!D7</f>
        <v/>
      </c>
      <c r="E8" s="278" t="n"/>
      <c r="F8" s="279" t="n"/>
      <c r="G8" s="154">
        <f>'20'!G8+'21'!G7</f>
        <v/>
      </c>
      <c r="H8" s="278" t="n"/>
      <c r="I8" s="279" t="n"/>
      <c r="J8" s="154">
        <f>D8+G8</f>
        <v/>
      </c>
      <c r="K8" s="278" t="n"/>
      <c r="L8" s="279" t="n"/>
      <c r="M8" s="1" t="n"/>
      <c r="N8" s="1" t="n"/>
      <c r="O8" s="1" t="n"/>
      <c r="P8" s="104" t="inlineStr">
        <is>
          <t>누 계</t>
        </is>
      </c>
      <c r="Q8" s="279" t="n"/>
      <c r="R8" s="280">
        <f>'20'!R8+R7</f>
        <v/>
      </c>
      <c r="S8" s="278" t="n"/>
      <c r="T8" s="279" t="n"/>
      <c r="U8" s="280">
        <f>'20'!U8+U7</f>
        <v/>
      </c>
      <c r="V8" s="278" t="n"/>
      <c r="W8" s="279" t="n"/>
      <c r="X8" s="281">
        <f>'20'!X8+'21'!X7</f>
        <v/>
      </c>
      <c r="Y8" s="278" t="n"/>
      <c r="Z8" s="279" t="n"/>
    </row>
    <row r="9" ht="12" customHeight="1" s="25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inlineStr">
        <is>
          <t>3. 약품 사용현황 (KG)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inlineStr">
        <is>
          <t>4. 소각재 발생량 (TON, 대)</t>
        </is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30.75" customHeight="1" s="251" thickBot="1">
      <c r="A11" s="136" t="inlineStr">
        <is>
          <t>품 명</t>
        </is>
      </c>
      <c r="B11" s="271" t="n"/>
      <c r="C11" s="150" t="inlineStr">
        <is>
          <t>전일 
재고량</t>
        </is>
      </c>
      <c r="D11" s="271" t="n"/>
      <c r="E11" s="136" t="inlineStr">
        <is>
          <t>입고량</t>
        </is>
      </c>
      <c r="F11" s="271" t="n"/>
      <c r="G11" s="136" t="inlineStr">
        <is>
          <t>사용량</t>
        </is>
      </c>
      <c r="H11" s="271" t="n"/>
      <c r="I11" s="282" t="inlineStr">
        <is>
          <t>재고량</t>
        </is>
      </c>
      <c r="J11" s="271" t="n"/>
      <c r="K11" s="150" t="inlineStr">
        <is>
          <t>입고량 
누계</t>
        </is>
      </c>
      <c r="L11" s="271" t="n"/>
      <c r="M11" s="150" t="inlineStr">
        <is>
          <t>사용량 
누계</t>
        </is>
      </c>
      <c r="N11" s="271" t="n"/>
      <c r="O11" s="1" t="n"/>
      <c r="P11" s="136" t="inlineStr">
        <is>
          <t xml:space="preserve"> 구 분</t>
        </is>
      </c>
      <c r="Q11" s="270" t="n"/>
      <c r="R11" s="271" t="n"/>
      <c r="S11" s="282" t="inlineStr">
        <is>
          <t>반출량</t>
        </is>
      </c>
      <c r="T11" s="270" t="n"/>
      <c r="U11" s="270" t="n"/>
      <c r="V11" s="271" t="n"/>
      <c r="W11" s="282" t="inlineStr">
        <is>
          <t>누계</t>
        </is>
      </c>
      <c r="X11" s="270" t="n"/>
      <c r="Y11" s="270" t="n"/>
      <c r="Z11" s="271" t="n"/>
    </row>
    <row r="12" ht="21.9" customHeight="1" s="251" thickTop="1">
      <c r="A12" s="142" t="inlineStr">
        <is>
          <t>탄산암모늄</t>
        </is>
      </c>
      <c r="B12" s="265" t="n"/>
      <c r="C12" s="310">
        <f>'20'!I12</f>
        <v/>
      </c>
      <c r="D12" s="265" t="n"/>
      <c r="E12" s="105" t="n">
        <v>0</v>
      </c>
      <c r="F12" s="265" t="n"/>
      <c r="G12" s="105" t="n">
        <v>4245</v>
      </c>
      <c r="H12" s="265" t="n"/>
      <c r="I12" s="164">
        <f>C12+E12-G12</f>
        <v/>
      </c>
      <c r="J12" s="283" t="n"/>
      <c r="K12" s="105">
        <f>'20'!K12+'21'!E12</f>
        <v/>
      </c>
      <c r="L12" s="265" t="n"/>
      <c r="M12" s="105">
        <f>'20'!M12+G12</f>
        <v/>
      </c>
      <c r="N12" s="265" t="n"/>
      <c r="O12" s="1" t="n"/>
      <c r="P12" s="149" t="inlineStr">
        <is>
          <t xml:space="preserve">
비산재
</t>
        </is>
      </c>
      <c r="R12" s="254" t="n"/>
      <c r="S12" s="284" t="n">
        <v>57.48</v>
      </c>
      <c r="T12" s="285" t="n"/>
      <c r="U12" s="285" t="n"/>
      <c r="V12" s="285" t="n"/>
      <c r="W12" s="318">
        <f>'20'!W12+'21'!S12</f>
        <v/>
      </c>
      <c r="X12" s="285" t="n"/>
      <c r="Y12" s="285" t="n"/>
      <c r="Z12" s="287" t="n"/>
    </row>
    <row r="13" ht="21.9" customHeight="1" s="251">
      <c r="A13" s="104" t="inlineStr">
        <is>
          <t>청관제</t>
        </is>
      </c>
      <c r="B13" s="279" t="n"/>
      <c r="C13" s="310">
        <f>'20'!I13</f>
        <v/>
      </c>
      <c r="D13" s="265" t="n"/>
      <c r="E13" s="104" t="n">
        <v>0</v>
      </c>
      <c r="F13" s="279" t="n"/>
      <c r="G13" s="104" t="n">
        <v>100</v>
      </c>
      <c r="H13" s="279" t="n"/>
      <c r="I13" s="288">
        <f>C13+E13-G13</f>
        <v/>
      </c>
      <c r="J13" s="275" t="n"/>
      <c r="K13" s="288">
        <f>'20'!K13+'21'!E13</f>
        <v/>
      </c>
      <c r="L13" s="275" t="n"/>
      <c r="M13" s="288">
        <f>'20'!M13+G13</f>
        <v/>
      </c>
      <c r="N13" s="275" t="n"/>
      <c r="O13" s="1" t="n"/>
      <c r="P13" s="264" t="n"/>
      <c r="Q13" s="272" t="n"/>
      <c r="R13" s="265" t="n"/>
      <c r="S13" s="289" t="n"/>
      <c r="T13" s="290" t="n"/>
      <c r="U13" s="290" t="n"/>
      <c r="V13" s="290" t="n"/>
      <c r="W13" s="264" t="n"/>
      <c r="X13" s="272" t="n"/>
      <c r="Y13" s="272" t="n"/>
      <c r="Z13" s="265" t="n"/>
    </row>
    <row r="14" ht="21.9" customHeight="1" s="251">
      <c r="A14" s="104" t="inlineStr">
        <is>
          <t>활성탄</t>
        </is>
      </c>
      <c r="B14" s="279" t="n"/>
      <c r="C14" s="310">
        <f>'20'!I14</f>
        <v/>
      </c>
      <c r="D14" s="265" t="n"/>
      <c r="E14" s="104" t="n">
        <v>0</v>
      </c>
      <c r="F14" s="279" t="n"/>
      <c r="G14" s="104" t="n">
        <v>120</v>
      </c>
      <c r="H14" s="279" t="n"/>
      <c r="I14" s="288">
        <f>C14+E14-G14</f>
        <v/>
      </c>
      <c r="J14" s="275" t="n"/>
      <c r="K14" s="288">
        <f>'20'!K14+'21'!E14</f>
        <v/>
      </c>
      <c r="L14" s="275" t="n"/>
      <c r="M14" s="288">
        <f>'20'!M14+G14</f>
        <v/>
      </c>
      <c r="N14" s="275" t="n"/>
      <c r="O14" s="1" t="n"/>
      <c r="P14" s="104" t="inlineStr">
        <is>
          <t>바닥재</t>
        </is>
      </c>
      <c r="Q14" s="291" t="n"/>
      <c r="R14" s="292" t="n"/>
      <c r="S14" s="293" t="n">
        <v>0</v>
      </c>
      <c r="T14" s="291" t="n"/>
      <c r="U14" s="291" t="n"/>
      <c r="V14" s="291" t="n"/>
      <c r="W14" s="311">
        <f>'20'!W14+'21'!S14</f>
        <v/>
      </c>
      <c r="X14" s="291" t="n"/>
      <c r="Y14" s="291" t="n"/>
      <c r="Z14" s="295" t="n"/>
    </row>
    <row r="15" ht="21.9" customHeight="1" s="251">
      <c r="A15" s="104" t="inlineStr">
        <is>
          <t>가성소다</t>
        </is>
      </c>
      <c r="B15" s="279" t="n"/>
      <c r="C15" s="310">
        <f>'20'!I15</f>
        <v/>
      </c>
      <c r="D15" s="265" t="n"/>
      <c r="E15" s="104" t="n">
        <v>0</v>
      </c>
      <c r="F15" s="279" t="n"/>
      <c r="G15" s="104" t="n">
        <v>0</v>
      </c>
      <c r="H15" s="279" t="n"/>
      <c r="I15" s="288">
        <f>C15+E15-G15</f>
        <v/>
      </c>
      <c r="J15" s="275" t="n"/>
      <c r="K15" s="288">
        <f>'20'!K15+'21'!E15</f>
        <v/>
      </c>
      <c r="L15" s="275" t="n"/>
      <c r="M15" s="288">
        <f>'20'!M15+G15</f>
        <v/>
      </c>
      <c r="N15" s="275" t="n"/>
      <c r="O15" s="1" t="n"/>
      <c r="P15" s="296" t="n"/>
      <c r="Q15" s="290" t="n"/>
      <c r="R15" s="297" t="n"/>
      <c r="S15" s="296" t="n"/>
      <c r="T15" s="290" t="n"/>
      <c r="U15" s="290" t="n"/>
      <c r="V15" s="290" t="n"/>
      <c r="W15" s="298" t="n"/>
      <c r="X15" s="272" t="n"/>
      <c r="Y15" s="272" t="n"/>
      <c r="Z15" s="265" t="n"/>
    </row>
    <row r="16" ht="21.9" customHeight="1" s="251">
      <c r="A16" s="104" t="inlineStr">
        <is>
          <t>소석회</t>
        </is>
      </c>
      <c r="B16" s="279" t="n"/>
      <c r="C16" s="310">
        <f>'20'!I16</f>
        <v/>
      </c>
      <c r="D16" s="265" t="n"/>
      <c r="E16" s="104" t="n">
        <v>0</v>
      </c>
      <c r="F16" s="279" t="n"/>
      <c r="G16" s="104" t="n">
        <v>20</v>
      </c>
      <c r="H16" s="279" t="n"/>
      <c r="I16" s="288">
        <f>C16+E16-G16</f>
        <v/>
      </c>
      <c r="J16" s="275" t="n"/>
      <c r="K16" s="288">
        <f>'20'!K16+'21'!E16</f>
        <v/>
      </c>
      <c r="L16" s="275" t="n"/>
      <c r="M16" s="288">
        <f>'20'!M16+G16</f>
        <v/>
      </c>
      <c r="N16" s="275" t="n"/>
      <c r="O16" s="1" t="n"/>
      <c r="P16" s="162" t="inlineStr">
        <is>
          <t>구분</t>
        </is>
      </c>
      <c r="Q16" s="291" t="n"/>
      <c r="R16" s="292" t="n"/>
      <c r="S16" s="299" t="inlineStr">
        <is>
          <t>주간</t>
        </is>
      </c>
      <c r="T16" s="292" t="n"/>
      <c r="U16" s="299" t="inlineStr">
        <is>
          <t>야간</t>
        </is>
      </c>
      <c r="V16" s="292" t="n"/>
      <c r="W16" s="299" t="inlineStr">
        <is>
          <t>합계</t>
        </is>
      </c>
      <c r="X16" s="292" t="n"/>
      <c r="Y16" s="299" t="inlineStr">
        <is>
          <t>누계</t>
        </is>
      </c>
      <c r="Z16" s="292" t="n"/>
    </row>
    <row r="17" ht="21.9" customHeight="1" s="251" thickBot="1">
      <c r="A17" s="104" t="inlineStr">
        <is>
          <t>소 금</t>
        </is>
      </c>
      <c r="B17" s="279" t="n"/>
      <c r="C17" s="310">
        <f>'20'!I17</f>
        <v/>
      </c>
      <c r="D17" s="265" t="n"/>
      <c r="E17" s="104" t="n">
        <v>0</v>
      </c>
      <c r="F17" s="279" t="n"/>
      <c r="G17" s="104" t="n">
        <v>200</v>
      </c>
      <c r="H17" s="279" t="n"/>
      <c r="I17" s="288">
        <f>C17+E17-G17</f>
        <v/>
      </c>
      <c r="J17" s="275" t="n"/>
      <c r="K17" s="288">
        <f>'20'!K17+'21'!E17</f>
        <v/>
      </c>
      <c r="L17" s="275" t="n"/>
      <c r="M17" s="288">
        <f>'20'!M17+G17</f>
        <v/>
      </c>
      <c r="N17" s="275" t="n"/>
      <c r="O17" s="1" t="n"/>
      <c r="P17" s="296" t="n"/>
      <c r="Q17" s="290" t="n"/>
      <c r="R17" s="297" t="n"/>
      <c r="S17" s="300" t="n"/>
      <c r="T17" s="301" t="n"/>
      <c r="U17" s="300" t="n"/>
      <c r="V17" s="301" t="n"/>
      <c r="W17" s="300" t="n"/>
      <c r="X17" s="301" t="n"/>
      <c r="Y17" s="300" t="n"/>
      <c r="Z17" s="301" t="n"/>
      <c r="AE17" s="302" t="n"/>
    </row>
    <row r="18" ht="21.9" customHeight="1" s="251" thickTop="1">
      <c r="A18" s="104" t="inlineStr">
        <is>
          <t>경 유</t>
        </is>
      </c>
      <c r="B18" s="279" t="n"/>
      <c r="C18" s="310">
        <f>'20'!I18</f>
        <v/>
      </c>
      <c r="D18" s="265" t="n"/>
      <c r="E18" s="104" t="n">
        <v>0</v>
      </c>
      <c r="F18" s="279" t="n"/>
      <c r="G18" s="104" t="n">
        <v>0</v>
      </c>
      <c r="H18" s="279" t="n"/>
      <c r="I18" s="288">
        <f>C18+E18-G18</f>
        <v/>
      </c>
      <c r="J18" s="275" t="n"/>
      <c r="K18" s="288">
        <f>'20'!K18+'21'!E18</f>
        <v/>
      </c>
      <c r="L18" s="275" t="n"/>
      <c r="M18" s="288">
        <f>'20'!M18+G18</f>
        <v/>
      </c>
      <c r="N18" s="275" t="n"/>
      <c r="O18" s="1" t="n"/>
      <c r="P18" s="164" t="inlineStr">
        <is>
          <t>불연물</t>
        </is>
      </c>
      <c r="Q18" s="285" t="n"/>
      <c r="R18" s="287" t="n"/>
      <c r="S18" s="303" t="n">
        <v>2</v>
      </c>
      <c r="T18" s="287" t="n"/>
      <c r="U18" s="303" t="n">
        <v>0</v>
      </c>
      <c r="V18" s="287" t="n"/>
      <c r="W18" s="303">
        <f>S18+U18</f>
        <v/>
      </c>
      <c r="X18" s="287" t="n"/>
      <c r="Y18" s="303">
        <f>'20'!Y18+'21'!W18</f>
        <v/>
      </c>
      <c r="Z18" s="287" t="n"/>
    </row>
    <row r="19" ht="21.9" customHeight="1" s="251">
      <c r="A19" s="153" t="inlineStr">
        <is>
          <t>SRF</t>
        </is>
      </c>
      <c r="B19" s="279" t="n"/>
      <c r="C19" s="310">
        <f>'20'!I19</f>
        <v/>
      </c>
      <c r="D19" s="265" t="n"/>
      <c r="E19" s="154" t="n">
        <v>84770</v>
      </c>
      <c r="F19" s="279" t="n"/>
      <c r="G19" s="154">
        <f>D7</f>
        <v/>
      </c>
      <c r="H19" s="279" t="n"/>
      <c r="I19" s="273">
        <f>C19+E19-G19</f>
        <v/>
      </c>
      <c r="J19" s="275" t="n"/>
      <c r="K19" s="273">
        <f>'20'!K19+'21'!E19</f>
        <v/>
      </c>
      <c r="L19" s="275" t="n"/>
      <c r="M19" s="273">
        <f>'20'!M19+G19</f>
        <v/>
      </c>
      <c r="N19" s="275" t="n"/>
      <c r="O19" s="1" t="n"/>
      <c r="P19" s="256" t="n"/>
      <c r="R19" s="254" t="n"/>
      <c r="S19" s="256" t="n"/>
      <c r="T19" s="254" t="n"/>
      <c r="U19" s="256" t="n"/>
      <c r="V19" s="254" t="n"/>
      <c r="W19" s="256" t="n"/>
      <c r="X19" s="254" t="n"/>
      <c r="Y19" s="256" t="n"/>
      <c r="Z19" s="254" t="n"/>
    </row>
    <row r="20" ht="21.9" customHeight="1" s="251">
      <c r="A20" s="104" t="inlineStr">
        <is>
          <t>규 사</t>
        </is>
      </c>
      <c r="B20" s="279" t="n"/>
      <c r="C20" s="310">
        <f>'20'!I20</f>
        <v/>
      </c>
      <c r="D20" s="265" t="n"/>
      <c r="E20" s="288" t="n"/>
      <c r="F20" s="275" t="n"/>
      <c r="G20" s="104" t="n"/>
      <c r="H20" s="279" t="n"/>
      <c r="I20" s="288" t="inlineStr">
        <is>
          <t>-</t>
        </is>
      </c>
      <c r="J20" s="275" t="n"/>
      <c r="K20" s="105">
        <f>'20'!K20+'21'!E20</f>
        <v/>
      </c>
      <c r="L20" s="265" t="n"/>
      <c r="M20" s="273">
        <f>'20'!M20+G20</f>
        <v/>
      </c>
      <c r="N20" s="275" t="n"/>
      <c r="O20" s="1" t="n"/>
      <c r="P20" s="264" t="n"/>
      <c r="Q20" s="272" t="n"/>
      <c r="R20" s="265" t="n"/>
      <c r="S20" s="264" t="n"/>
      <c r="T20" s="265" t="n"/>
      <c r="U20" s="264" t="n"/>
      <c r="V20" s="265" t="n"/>
      <c r="W20" s="264" t="n"/>
      <c r="X20" s="265" t="n"/>
      <c r="Y20" s="264" t="n"/>
      <c r="Z20" s="265" t="n"/>
    </row>
    <row r="21" ht="12" customHeight="1" s="25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 t="inlineStr">
        <is>
          <t>5. 전력 사용량 (KWH)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10" t="inlineStr">
        <is>
          <t>6. 유틸리티 사용현황 (㎥)</t>
        </is>
      </c>
      <c r="Q22" s="290" t="n"/>
      <c r="R22" s="290" t="n"/>
      <c r="S22" s="290" t="n"/>
      <c r="T22" s="290" t="n"/>
      <c r="U22" s="290" t="n"/>
      <c r="V22" s="1" t="n"/>
      <c r="W22" s="1" t="n"/>
      <c r="X22" s="1" t="n"/>
      <c r="Y22" s="1" t="n"/>
      <c r="Z22" s="1" t="n"/>
    </row>
    <row r="23" ht="28.5" customHeight="1" s="251" thickBot="1">
      <c r="A23" s="136" t="inlineStr">
        <is>
          <t>구 분</t>
        </is>
      </c>
      <c r="B23" s="270" t="n"/>
      <c r="C23" s="271" t="n"/>
      <c r="D23" s="136" t="inlineStr">
        <is>
          <t>전일지침</t>
        </is>
      </c>
      <c r="E23" s="270" t="n"/>
      <c r="F23" s="271" t="n"/>
      <c r="G23" s="136" t="inlineStr">
        <is>
          <t>금일지침</t>
        </is>
      </c>
      <c r="H23" s="270" t="n"/>
      <c r="I23" s="271" t="n"/>
      <c r="J23" s="136" t="inlineStr">
        <is>
          <t>사용량</t>
        </is>
      </c>
      <c r="K23" s="270" t="n"/>
      <c r="L23" s="271" t="n"/>
      <c r="M23" s="136" t="inlineStr">
        <is>
          <t>누 계</t>
        </is>
      </c>
      <c r="N23" s="271" t="n"/>
      <c r="P23" s="136" t="inlineStr">
        <is>
          <t>구 분</t>
        </is>
      </c>
      <c r="Q23" s="270" t="n"/>
      <c r="R23" s="271" t="n"/>
      <c r="S23" s="136" t="inlineStr">
        <is>
          <t>전일 사용량</t>
        </is>
      </c>
      <c r="T23" s="270" t="n"/>
      <c r="U23" s="271" t="n"/>
      <c r="V23" s="136" t="inlineStr">
        <is>
          <t>금일 사용량</t>
        </is>
      </c>
      <c r="W23" s="270" t="n"/>
      <c r="X23" s="271" t="n"/>
      <c r="Y23" s="136" t="inlineStr">
        <is>
          <t>누 계</t>
        </is>
      </c>
      <c r="Z23" s="271" t="n"/>
    </row>
    <row r="24" ht="21.9" customHeight="1" s="251" thickTop="1">
      <c r="A24" s="105" t="inlineStr">
        <is>
          <t>MAIN</t>
        </is>
      </c>
      <c r="B24" s="272" t="n"/>
      <c r="C24" s="265" t="n"/>
      <c r="D24" s="187">
        <f>'20'!G24</f>
        <v/>
      </c>
      <c r="E24" s="285" t="n"/>
      <c r="F24" s="287" t="n"/>
      <c r="G24" s="164" t="n">
        <v>4150113</v>
      </c>
      <c r="H24" s="304" t="n"/>
      <c r="I24" s="283" t="n"/>
      <c r="J24" s="164">
        <f>G24-D24</f>
        <v/>
      </c>
      <c r="K24" s="304" t="n"/>
      <c r="L24" s="283" t="n"/>
      <c r="M24" s="164">
        <f>'20'!M24+J24</f>
        <v/>
      </c>
      <c r="N24" s="283" t="n"/>
      <c r="P24" s="105" t="inlineStr">
        <is>
          <t>재이용수</t>
        </is>
      </c>
      <c r="Q24" s="272" t="n"/>
      <c r="R24" s="265" t="n"/>
      <c r="S24" s="105">
        <f>'20'!V24</f>
        <v/>
      </c>
      <c r="T24" s="272" t="n"/>
      <c r="U24" s="265" t="n"/>
      <c r="V24" s="276" t="n">
        <v>536.9</v>
      </c>
      <c r="W24" s="272" t="n"/>
      <c r="X24" s="265" t="n"/>
      <c r="Y24" s="276">
        <f>'20'!Y24+'21'!V24</f>
        <v/>
      </c>
      <c r="Z24" s="265" t="n"/>
    </row>
    <row r="25" ht="21.9" customHeight="1" s="251">
      <c r="A25" s="104" t="inlineStr">
        <is>
          <t>ASH 저장조</t>
        </is>
      </c>
      <c r="B25" s="278" t="n"/>
      <c r="C25" s="279" t="n"/>
      <c r="D25" s="104">
        <f>'20'!G25</f>
        <v/>
      </c>
      <c r="E25" s="278" t="n"/>
      <c r="F25" s="279" t="n"/>
      <c r="G25" s="104" t="n">
        <v>33479.2</v>
      </c>
      <c r="H25" s="278" t="n"/>
      <c r="I25" s="279" t="n"/>
      <c r="J25" s="104">
        <f>G25-D25</f>
        <v/>
      </c>
      <c r="K25" s="278" t="n"/>
      <c r="L25" s="279" t="n"/>
      <c r="M25" s="288">
        <f>'20'!M25+J25</f>
        <v/>
      </c>
      <c r="N25" s="275" t="n"/>
      <c r="P25" s="104" t="inlineStr">
        <is>
          <t>복류수</t>
        </is>
      </c>
      <c r="Q25" s="278" t="n"/>
      <c r="R25" s="279" t="n"/>
      <c r="S25" s="105">
        <f>'20'!V25</f>
        <v/>
      </c>
      <c r="T25" s="272" t="n"/>
      <c r="U25" s="265" t="n"/>
      <c r="V25" s="280" t="n">
        <v>60.4</v>
      </c>
      <c r="W25" s="278" t="n"/>
      <c r="X25" s="279" t="n"/>
      <c r="Y25" s="316">
        <f>'20'!Y25+'21'!V25</f>
        <v/>
      </c>
      <c r="Z25" s="275" t="n"/>
    </row>
    <row r="26" ht="21.9" customHeight="1" s="251">
      <c r="A26" s="104" t="inlineStr">
        <is>
          <t>BAG FILTER</t>
        </is>
      </c>
      <c r="B26" s="278" t="n"/>
      <c r="C26" s="279" t="n"/>
      <c r="D26" s="104">
        <f>'20'!G26</f>
        <v/>
      </c>
      <c r="E26" s="278" t="n"/>
      <c r="F26" s="279" t="n"/>
      <c r="G26" s="104" t="n">
        <v>24740</v>
      </c>
      <c r="H26" s="278" t="n"/>
      <c r="I26" s="279" t="n"/>
      <c r="J26" s="104">
        <f>G26-D26</f>
        <v/>
      </c>
      <c r="K26" s="278" t="n"/>
      <c r="L26" s="279" t="n"/>
      <c r="M26" s="288">
        <f>'20'!M26+J26</f>
        <v/>
      </c>
      <c r="N26" s="275" t="n"/>
      <c r="P26" s="104" t="inlineStr">
        <is>
          <t>응축수</t>
        </is>
      </c>
      <c r="Q26" s="278" t="n"/>
      <c r="R26" s="279" t="n"/>
      <c r="S26" s="105">
        <f>'20'!V26</f>
        <v/>
      </c>
      <c r="T26" s="272" t="n"/>
      <c r="U26" s="265" t="n"/>
      <c r="V26" s="280" t="n">
        <v>529.7</v>
      </c>
      <c r="W26" s="278" t="n"/>
      <c r="X26" s="279" t="n"/>
      <c r="Y26" s="316">
        <f>'20'!Y26+'21'!V26</f>
        <v/>
      </c>
      <c r="Z26" s="275" t="n"/>
    </row>
    <row r="27" ht="21.9" customHeight="1" s="251">
      <c r="A27" s="104" t="inlineStr">
        <is>
          <t>SCRUBBER</t>
        </is>
      </c>
      <c r="B27" s="278" t="n"/>
      <c r="C27" s="279" t="n"/>
      <c r="D27" s="104">
        <f>'20'!G27</f>
        <v/>
      </c>
      <c r="E27" s="278" t="n"/>
      <c r="F27" s="279" t="n"/>
      <c r="G27" s="104" t="n">
        <v>1408000</v>
      </c>
      <c r="H27" s="278" t="n"/>
      <c r="I27" s="279" t="n"/>
      <c r="J27" s="104">
        <f>G27-D27</f>
        <v/>
      </c>
      <c r="K27" s="278" t="n"/>
      <c r="L27" s="279" t="n"/>
      <c r="M27" s="288">
        <f>'20'!M27+J27</f>
        <v/>
      </c>
      <c r="N27" s="275" t="n"/>
      <c r="P27" s="104" t="inlineStr">
        <is>
          <t>보일러 급수</t>
        </is>
      </c>
      <c r="Q27" s="278" t="n"/>
      <c r="R27" s="279" t="n"/>
      <c r="S27" s="105">
        <f>'20'!V27</f>
        <v/>
      </c>
      <c r="T27" s="272" t="n"/>
      <c r="U27" s="265" t="n"/>
      <c r="V27" s="280" t="n">
        <v>498.1</v>
      </c>
      <c r="W27" s="278" t="n"/>
      <c r="X27" s="279" t="n"/>
      <c r="Y27" s="316">
        <f>'20'!Y27+'21'!V27</f>
        <v/>
      </c>
      <c r="Z27" s="275" t="n"/>
    </row>
    <row r="28" ht="21.9" customHeight="1" s="251">
      <c r="A28" s="104" t="inlineStr">
        <is>
          <t>활성탄 공급</t>
        </is>
      </c>
      <c r="B28" s="278" t="n"/>
      <c r="C28" s="279" t="n"/>
      <c r="D28" s="104">
        <f>'20'!G28</f>
        <v/>
      </c>
      <c r="E28" s="278" t="n"/>
      <c r="F28" s="279" t="n"/>
      <c r="G28" s="104" t="n">
        <v>6083</v>
      </c>
      <c r="H28" s="278" t="n"/>
      <c r="I28" s="279" t="n"/>
      <c r="J28" s="104">
        <f>G28-D28</f>
        <v/>
      </c>
      <c r="K28" s="278" t="n"/>
      <c r="L28" s="279" t="n"/>
      <c r="M28" s="288">
        <f>'20'!M28+J28</f>
        <v/>
      </c>
      <c r="N28" s="275" t="n"/>
      <c r="P28" s="104" t="inlineStr">
        <is>
          <t>폐 수</t>
        </is>
      </c>
      <c r="Q28" s="278" t="n"/>
      <c r="R28" s="279" t="n"/>
      <c r="S28" s="105">
        <f>'20'!V28</f>
        <v/>
      </c>
      <c r="T28" s="272" t="n"/>
      <c r="U28" s="265" t="n"/>
      <c r="V28" s="280" t="n">
        <v>0</v>
      </c>
      <c r="W28" s="278" t="n"/>
      <c r="X28" s="279" t="n"/>
      <c r="Y28" s="316">
        <f>'20'!Y28+'21'!V28</f>
        <v/>
      </c>
      <c r="Z28" s="275" t="n"/>
    </row>
    <row r="29" ht="21.9" customHeight="1" s="251">
      <c r="A29" s="104" t="inlineStr">
        <is>
          <t>소석회 공급</t>
        </is>
      </c>
      <c r="B29" s="278" t="n"/>
      <c r="C29" s="279" t="n"/>
      <c r="D29" s="104">
        <f>'20'!G29</f>
        <v/>
      </c>
      <c r="E29" s="278" t="n"/>
      <c r="F29" s="279" t="n"/>
      <c r="G29" s="104" t="n">
        <v>66250</v>
      </c>
      <c r="H29" s="278" t="n"/>
      <c r="I29" s="279" t="n"/>
      <c r="J29" s="104">
        <f>G29-D29</f>
        <v/>
      </c>
      <c r="K29" s="278" t="n"/>
      <c r="L29" s="279" t="n"/>
      <c r="M29" s="288">
        <f>'20'!M29+J29</f>
        <v/>
      </c>
      <c r="N29" s="275" t="n"/>
      <c r="P29" s="104" t="inlineStr">
        <is>
          <t>연 수</t>
        </is>
      </c>
      <c r="Q29" s="278" t="n"/>
      <c r="R29" s="279" t="n"/>
      <c r="S29" s="105">
        <f>'20'!V29</f>
        <v/>
      </c>
      <c r="T29" s="272" t="n"/>
      <c r="U29" s="265" t="n"/>
      <c r="V29" s="280" t="n">
        <v>71.5</v>
      </c>
      <c r="W29" s="278" t="n"/>
      <c r="X29" s="279" t="n"/>
      <c r="Y29" s="316">
        <f>'20'!Y29+'21'!V29</f>
        <v/>
      </c>
      <c r="Z29" s="275" t="n"/>
    </row>
    <row r="30" ht="21.9" customHeight="1" s="251">
      <c r="A30" s="104" t="inlineStr">
        <is>
          <t>요소수 공급</t>
        </is>
      </c>
      <c r="B30" s="278" t="n"/>
      <c r="C30" s="279" t="n"/>
      <c r="D30" s="104">
        <f>'20'!G30</f>
        <v/>
      </c>
      <c r="E30" s="278" t="n"/>
      <c r="F30" s="279" t="n"/>
      <c r="G30" s="104" t="n">
        <v>53490</v>
      </c>
      <c r="H30" s="278" t="n"/>
      <c r="I30" s="279" t="n"/>
      <c r="J30" s="104">
        <f>G30-D30</f>
        <v/>
      </c>
      <c r="K30" s="278" t="n"/>
      <c r="L30" s="279" t="n"/>
      <c r="M30" s="288">
        <f>'20'!M30+J30</f>
        <v/>
      </c>
      <c r="N30" s="275" t="n"/>
      <c r="P30" s="104" t="inlineStr">
        <is>
          <t>계</t>
        </is>
      </c>
      <c r="Q30" s="278" t="n"/>
      <c r="R30" s="279" t="n"/>
      <c r="S30" s="105">
        <f>'20'!V30</f>
        <v/>
      </c>
      <c r="T30" s="272" t="n"/>
      <c r="U30" s="265" t="n"/>
      <c r="V30" s="280" t="n"/>
      <c r="W30" s="278" t="n"/>
      <c r="X30" s="279" t="n"/>
      <c r="Y30" s="316">
        <f>'20'!Y30+'21'!V30</f>
        <v/>
      </c>
      <c r="Z30" s="275" t="n"/>
    </row>
    <row r="31" ht="21.9" customHeight="1" s="251">
      <c r="A31" s="104" t="inlineStr">
        <is>
          <t xml:space="preserve">F.D </t>
        </is>
      </c>
      <c r="B31" s="278" t="n"/>
      <c r="C31" s="279" t="n"/>
      <c r="D31" s="104">
        <f>'20'!G31</f>
        <v/>
      </c>
      <c r="E31" s="278" t="n"/>
      <c r="F31" s="279" t="n"/>
      <c r="G31" s="288" t="n">
        <v>6366620</v>
      </c>
      <c r="H31" s="274" t="n"/>
      <c r="I31" s="275" t="n"/>
      <c r="J31" s="104">
        <f>G31-D31</f>
        <v/>
      </c>
      <c r="K31" s="278" t="n"/>
      <c r="L31" s="279" t="n"/>
      <c r="M31" s="288">
        <f>'20'!M31+J31</f>
        <v/>
      </c>
      <c r="N31" s="275" t="n"/>
      <c r="P31" s="172" t="n"/>
      <c r="Q31" s="172" t="n"/>
      <c r="R31" s="172" t="n"/>
      <c r="S31" s="172" t="n"/>
      <c r="T31" s="172" t="n"/>
      <c r="U31" s="172" t="n"/>
      <c r="V31" s="305" t="n"/>
      <c r="W31" s="305" t="n"/>
      <c r="X31" s="305" t="n"/>
      <c r="Y31" s="305" t="n"/>
      <c r="Z31" s="305" t="n"/>
    </row>
    <row r="32" ht="21.9" customHeight="1" s="251">
      <c r="A32" s="104" t="inlineStr">
        <is>
          <t>활성탄 BAG</t>
        </is>
      </c>
      <c r="B32" s="278" t="n"/>
      <c r="C32" s="279" t="n"/>
      <c r="D32" s="104">
        <f>'20'!G32</f>
        <v/>
      </c>
      <c r="E32" s="278" t="n"/>
      <c r="F32" s="279" t="n"/>
      <c r="G32" s="288" t="n">
        <v>1.7</v>
      </c>
      <c r="H32" s="274" t="n"/>
      <c r="I32" s="275" t="n"/>
      <c r="J32" s="288">
        <f>G32-D32</f>
        <v/>
      </c>
      <c r="K32" s="274" t="n"/>
      <c r="L32" s="275" t="n"/>
      <c r="M32" s="288">
        <f>'20'!M32+J32</f>
        <v/>
      </c>
      <c r="N32" s="275" t="n"/>
      <c r="P32" s="172" t="n"/>
      <c r="Q32" s="172" t="n"/>
      <c r="R32" s="172" t="n"/>
      <c r="S32" s="172" t="n"/>
      <c r="T32" s="172" t="n"/>
      <c r="U32" s="172" t="n"/>
      <c r="V32" s="305" t="n"/>
      <c r="W32" s="305" t="n"/>
      <c r="X32" s="305" t="n"/>
      <c r="Y32" s="305" t="n"/>
      <c r="Z32" s="305" t="n"/>
    </row>
    <row r="33" ht="21.9" customHeight="1" s="251">
      <c r="A33" s="104" t="inlineStr">
        <is>
          <t>소석회 BAG</t>
        </is>
      </c>
      <c r="B33" s="278" t="n"/>
      <c r="C33" s="279" t="n"/>
      <c r="D33" s="104">
        <f>'20'!G33</f>
        <v/>
      </c>
      <c r="E33" s="278" t="n"/>
      <c r="F33" s="279" t="n"/>
      <c r="G33" s="288" t="n">
        <v>0</v>
      </c>
      <c r="H33" s="274" t="n"/>
      <c r="I33" s="275" t="n"/>
      <c r="J33" s="288">
        <f>G33-D33</f>
        <v/>
      </c>
      <c r="K33" s="274" t="n"/>
      <c r="L33" s="275" t="n"/>
      <c r="M33" s="288">
        <f>'20'!M33+J33</f>
        <v/>
      </c>
      <c r="N33" s="275" t="n"/>
      <c r="P33" s="172" t="n"/>
      <c r="Q33" s="172" t="n"/>
      <c r="R33" s="172" t="n"/>
      <c r="S33" s="172" t="n"/>
      <c r="T33" s="172" t="n"/>
      <c r="U33" s="172" t="n"/>
      <c r="V33" s="305" t="n"/>
      <c r="W33" s="305" t="n"/>
      <c r="X33" s="305" t="n"/>
      <c r="Y33" s="305" t="n"/>
      <c r="Z33" s="305" t="n"/>
    </row>
  </sheetData>
  <mergeCells count="217">
    <mergeCell ref="V24:X24"/>
    <mergeCell ref="A15:B15"/>
    <mergeCell ref="P27:R27"/>
    <mergeCell ref="S23:U23"/>
    <mergeCell ref="C15:D15"/>
    <mergeCell ref="J27:L27"/>
    <mergeCell ref="S14:V15"/>
    <mergeCell ref="Y24:Z24"/>
    <mergeCell ref="U7:W7"/>
    <mergeCell ref="A26:C26"/>
    <mergeCell ref="J25:L25"/>
    <mergeCell ref="G24:I24"/>
    <mergeCell ref="D28:F28"/>
    <mergeCell ref="I16:J16"/>
    <mergeCell ref="A23:C23"/>
    <mergeCell ref="S24:U24"/>
    <mergeCell ref="P6:Q6"/>
    <mergeCell ref="P28:R28"/>
    <mergeCell ref="W1:X1"/>
    <mergeCell ref="Y1:Z1"/>
    <mergeCell ref="G26:I26"/>
    <mergeCell ref="S16:T17"/>
    <mergeCell ref="D30:F30"/>
    <mergeCell ref="G18:H18"/>
    <mergeCell ref="U8:W8"/>
    <mergeCell ref="B1:C1"/>
    <mergeCell ref="I18:J18"/>
    <mergeCell ref="H3:S3"/>
    <mergeCell ref="M16:N16"/>
    <mergeCell ref="P30:R30"/>
    <mergeCell ref="M25:N25"/>
    <mergeCell ref="D29:F29"/>
    <mergeCell ref="D23:F23"/>
    <mergeCell ref="Y25:Z25"/>
    <mergeCell ref="M18:N18"/>
    <mergeCell ref="M33:N33"/>
    <mergeCell ref="A17:B17"/>
    <mergeCell ref="S25:U25"/>
    <mergeCell ref="C17:D17"/>
    <mergeCell ref="U18:V20"/>
    <mergeCell ref="J29:L29"/>
    <mergeCell ref="M17:N17"/>
    <mergeCell ref="W18:X20"/>
    <mergeCell ref="G20:H20"/>
    <mergeCell ref="I20:J20"/>
    <mergeCell ref="S27:U27"/>
    <mergeCell ref="A19:B19"/>
    <mergeCell ref="V23:X23"/>
    <mergeCell ref="C19:D19"/>
    <mergeCell ref="A6:C6"/>
    <mergeCell ref="Y2:Z3"/>
    <mergeCell ref="Y18:Z20"/>
    <mergeCell ref="M19:N19"/>
    <mergeCell ref="P22:U22"/>
    <mergeCell ref="I13:J13"/>
    <mergeCell ref="K13:L13"/>
    <mergeCell ref="X7:Z7"/>
    <mergeCell ref="E12:F12"/>
    <mergeCell ref="J24:L24"/>
    <mergeCell ref="G12:H12"/>
    <mergeCell ref="G28:I28"/>
    <mergeCell ref="D27:F27"/>
    <mergeCell ref="G6:I6"/>
    <mergeCell ref="I15:J15"/>
    <mergeCell ref="A11:B11"/>
    <mergeCell ref="K15:L15"/>
    <mergeCell ref="S28:U28"/>
    <mergeCell ref="C14:D14"/>
    <mergeCell ref="E14:F14"/>
    <mergeCell ref="J26:L26"/>
    <mergeCell ref="G30:I30"/>
    <mergeCell ref="J7:L7"/>
    <mergeCell ref="V27:X27"/>
    <mergeCell ref="A32:C32"/>
    <mergeCell ref="A29:C29"/>
    <mergeCell ref="D25:F25"/>
    <mergeCell ref="V25:X25"/>
    <mergeCell ref="Y26:Z26"/>
    <mergeCell ref="M13:N13"/>
    <mergeCell ref="G32:I32"/>
    <mergeCell ref="J33:L33"/>
    <mergeCell ref="W14:Z15"/>
    <mergeCell ref="A31:C31"/>
    <mergeCell ref="S26:U26"/>
    <mergeCell ref="M27:N27"/>
    <mergeCell ref="I17:J17"/>
    <mergeCell ref="A24:C24"/>
    <mergeCell ref="Y27:Z27"/>
    <mergeCell ref="K17:L17"/>
    <mergeCell ref="P29:R29"/>
    <mergeCell ref="M24:N24"/>
    <mergeCell ref="E16:F16"/>
    <mergeCell ref="J28:L28"/>
    <mergeCell ref="G27:I27"/>
    <mergeCell ref="G16:H16"/>
    <mergeCell ref="D31:F31"/>
    <mergeCell ref="U2:V3"/>
    <mergeCell ref="I19:J19"/>
    <mergeCell ref="U1:V1"/>
    <mergeCell ref="G8:I8"/>
    <mergeCell ref="K19:L19"/>
    <mergeCell ref="C18:D18"/>
    <mergeCell ref="A7:C7"/>
    <mergeCell ref="V29:X29"/>
    <mergeCell ref="E18:F18"/>
    <mergeCell ref="J30:L30"/>
    <mergeCell ref="R6:T6"/>
    <mergeCell ref="K16:L16"/>
    <mergeCell ref="A25:C25"/>
    <mergeCell ref="J6:L6"/>
    <mergeCell ref="D1:E1"/>
    <mergeCell ref="D32:F32"/>
    <mergeCell ref="G11:H11"/>
    <mergeCell ref="I11:J11"/>
    <mergeCell ref="P23:R23"/>
    <mergeCell ref="W11:Z11"/>
    <mergeCell ref="D7:F7"/>
    <mergeCell ref="Y16:Z17"/>
    <mergeCell ref="S18:T20"/>
    <mergeCell ref="C20:D20"/>
    <mergeCell ref="Y30:Z30"/>
    <mergeCell ref="E20:F20"/>
    <mergeCell ref="K11:L11"/>
    <mergeCell ref="J32:L32"/>
    <mergeCell ref="M11:N11"/>
    <mergeCell ref="Y29:Z29"/>
    <mergeCell ref="H1:S2"/>
    <mergeCell ref="V26:X26"/>
    <mergeCell ref="E13:F13"/>
    <mergeCell ref="S30:U30"/>
    <mergeCell ref="G13:H13"/>
    <mergeCell ref="M31:N31"/>
    <mergeCell ref="G29:I29"/>
    <mergeCell ref="D8:F8"/>
    <mergeCell ref="D33:F33"/>
    <mergeCell ref="W12:Z13"/>
    <mergeCell ref="A12:B12"/>
    <mergeCell ref="A28:C28"/>
    <mergeCell ref="S29:U29"/>
    <mergeCell ref="C12:D12"/>
    <mergeCell ref="A1:A3"/>
    <mergeCell ref="M15:N15"/>
    <mergeCell ref="E15:F15"/>
    <mergeCell ref="M12:N12"/>
    <mergeCell ref="G15:H15"/>
    <mergeCell ref="G31:I31"/>
    <mergeCell ref="Y28:Z28"/>
    <mergeCell ref="P18:R20"/>
    <mergeCell ref="A14:B14"/>
    <mergeCell ref="J8:L8"/>
    <mergeCell ref="A30:C30"/>
    <mergeCell ref="M26:N26"/>
    <mergeCell ref="U6:W6"/>
    <mergeCell ref="P25:R25"/>
    <mergeCell ref="M29:N29"/>
    <mergeCell ref="M23:N23"/>
    <mergeCell ref="F2:G3"/>
    <mergeCell ref="G23:I23"/>
    <mergeCell ref="Y23:Z23"/>
    <mergeCell ref="U16:V17"/>
    <mergeCell ref="W16:X17"/>
    <mergeCell ref="G7:I7"/>
    <mergeCell ref="K18:L18"/>
    <mergeCell ref="P12:R13"/>
    <mergeCell ref="D6:F6"/>
    <mergeCell ref="F1:G1"/>
    <mergeCell ref="T1:T3"/>
    <mergeCell ref="V28:X28"/>
    <mergeCell ref="P11:R11"/>
    <mergeCell ref="P14:R15"/>
    <mergeCell ref="A27:C27"/>
    <mergeCell ref="V30:X30"/>
    <mergeCell ref="W2:X3"/>
    <mergeCell ref="E17:F17"/>
    <mergeCell ref="G17:H17"/>
    <mergeCell ref="G33:I33"/>
    <mergeCell ref="X6:Z6"/>
    <mergeCell ref="A33:C33"/>
    <mergeCell ref="K20:L20"/>
    <mergeCell ref="A16:B16"/>
    <mergeCell ref="C16:D16"/>
    <mergeCell ref="M20:N20"/>
    <mergeCell ref="A8:C8"/>
    <mergeCell ref="E19:F19"/>
    <mergeCell ref="P8:Q8"/>
    <mergeCell ref="J31:L31"/>
    <mergeCell ref="G19:H19"/>
    <mergeCell ref="A18:B18"/>
    <mergeCell ref="G25:I25"/>
    <mergeCell ref="D24:F24"/>
    <mergeCell ref="M30:N30"/>
    <mergeCell ref="I12:J12"/>
    <mergeCell ref="K12:L12"/>
    <mergeCell ref="P24:R24"/>
    <mergeCell ref="P7:Q7"/>
    <mergeCell ref="C11:D11"/>
    <mergeCell ref="M28:N28"/>
    <mergeCell ref="E11:F11"/>
    <mergeCell ref="J23:L23"/>
    <mergeCell ref="D26:F26"/>
    <mergeCell ref="G14:H14"/>
    <mergeCell ref="S11:V11"/>
    <mergeCell ref="I14:J14"/>
    <mergeCell ref="R8:T8"/>
    <mergeCell ref="K14:L14"/>
    <mergeCell ref="P26:R26"/>
    <mergeCell ref="P16:R17"/>
    <mergeCell ref="A20:B20"/>
    <mergeCell ref="B2:C3"/>
    <mergeCell ref="D2:E3"/>
    <mergeCell ref="M32:N32"/>
    <mergeCell ref="M14:N14"/>
    <mergeCell ref="X8:Z8"/>
    <mergeCell ref="A13:B13"/>
    <mergeCell ref="C13:D13"/>
    <mergeCell ref="R7:T7"/>
    <mergeCell ref="S12:V13"/>
  </mergeCells>
  <pageMargins left="0.7086614173228347" right="0.7086614173228347" top="0.7480314960629921" bottom="0.7480314960629921" header="0.3149606299212598" footer="0.3149606299212598"/>
  <pageSetup orientation="portrait" paperSize="9" scale="59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AE33"/>
  <sheetViews>
    <sheetView zoomScaleNormal="100" zoomScaleSheetLayoutView="100" workbookViewId="0">
      <selection activeCell="U7" sqref="U7:W7"/>
    </sheetView>
  </sheetViews>
  <sheetFormatPr baseColWidth="8" defaultRowHeight="17.4"/>
  <cols>
    <col width="2.8984375" customWidth="1" style="251" min="1" max="1"/>
    <col width="5.59765625" customWidth="1" style="251" min="2" max="14"/>
    <col width="3.59765625" customWidth="1" style="251" min="15" max="15"/>
    <col width="4.59765625" customWidth="1" style="251" min="16" max="22"/>
    <col width="5.59765625" customWidth="1" style="251" min="23" max="26"/>
  </cols>
  <sheetData>
    <row r="1" ht="18.75" customHeight="1" s="251">
      <c r="A1" s="122" t="inlineStr">
        <is>
          <t>근
무
자</t>
        </is>
      </c>
      <c r="B1" s="120" t="inlineStr">
        <is>
          <t>오  전</t>
        </is>
      </c>
      <c r="C1" s="252" t="n"/>
      <c r="D1" s="120" t="inlineStr">
        <is>
          <t>오  후</t>
        </is>
      </c>
      <c r="E1" s="252" t="n"/>
      <c r="F1" s="120" t="inlineStr">
        <is>
          <t>야  간</t>
        </is>
      </c>
      <c r="G1" s="252" t="n"/>
      <c r="H1" s="253" t="inlineStr">
        <is>
          <t>유동상소각로 운전일지</t>
        </is>
      </c>
      <c r="S1" s="254" t="n"/>
      <c r="T1" s="255" t="inlineStr">
        <is>
          <t>결
재</t>
        </is>
      </c>
      <c r="U1" s="120" t="inlineStr">
        <is>
          <t>반장</t>
        </is>
      </c>
      <c r="V1" s="252" t="n"/>
      <c r="W1" s="120" t="inlineStr">
        <is>
          <t>대리</t>
        </is>
      </c>
      <c r="X1" s="252" t="n"/>
      <c r="Y1" s="120" t="inlineStr">
        <is>
          <t>팀장</t>
        </is>
      </c>
      <c r="Z1" s="252" t="n"/>
    </row>
    <row r="2" ht="14.25" customHeight="1" s="251">
      <c r="A2" s="256" t="n"/>
      <c r="B2" s="257" t="inlineStr">
        <is>
          <t>권정민</t>
        </is>
      </c>
      <c r="C2" s="258" t="n"/>
      <c r="D2" s="257" t="inlineStr">
        <is>
          <t>김문한</t>
        </is>
      </c>
      <c r="E2" s="258" t="n"/>
      <c r="F2" s="257" t="inlineStr">
        <is>
          <t>임종민</t>
        </is>
      </c>
      <c r="G2" s="258" t="n"/>
      <c r="H2" s="259" t="n"/>
      <c r="I2" s="260" t="n"/>
      <c r="J2" s="260" t="n"/>
      <c r="K2" s="260" t="n"/>
      <c r="L2" s="260" t="n"/>
      <c r="M2" s="260" t="n"/>
      <c r="N2" s="260" t="n"/>
      <c r="O2" s="260" t="n"/>
      <c r="P2" s="260" t="n"/>
      <c r="Q2" s="260" t="n"/>
      <c r="R2" s="260" t="n"/>
      <c r="S2" s="261" t="n"/>
      <c r="T2" s="262" t="n"/>
      <c r="U2" s="105" t="n"/>
      <c r="V2" s="254" t="n"/>
      <c r="W2" s="105" t="n"/>
      <c r="X2" s="254" t="n"/>
      <c r="Y2" s="105" t="n"/>
      <c r="Z2" s="254" t="n"/>
    </row>
    <row r="3" ht="37.5" customHeight="1" s="251">
      <c r="A3" s="263" t="n"/>
      <c r="B3" s="264" t="n"/>
      <c r="C3" s="265" t="n"/>
      <c r="D3" s="264" t="n"/>
      <c r="E3" s="265" t="n"/>
      <c r="F3" s="264" t="n"/>
      <c r="G3" s="265" t="n"/>
      <c r="H3" s="266" t="n">
        <v>46225</v>
      </c>
      <c r="I3" s="267" t="n"/>
      <c r="J3" s="267" t="n"/>
      <c r="K3" s="267" t="n"/>
      <c r="L3" s="267" t="n"/>
      <c r="M3" s="267" t="n"/>
      <c r="N3" s="267" t="n"/>
      <c r="O3" s="267" t="n"/>
      <c r="P3" s="267" t="n"/>
      <c r="Q3" s="267" t="n"/>
      <c r="R3" s="267" t="n"/>
      <c r="S3" s="268" t="n"/>
      <c r="T3" s="269" t="n"/>
      <c r="U3" s="264" t="n"/>
      <c r="V3" s="265" t="n"/>
      <c r="W3" s="264" t="n"/>
      <c r="X3" s="265" t="n"/>
      <c r="Y3" s="264" t="n"/>
      <c r="Z3" s="265" t="n"/>
    </row>
    <row r="4" ht="13.5" customHeight="1" s="25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inlineStr">
        <is>
          <t>1. 소각현황(KG)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inlineStr">
        <is>
          <t>2. BOILER 운전현황(TON, HR)</t>
        </is>
      </c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2.5" customHeight="1" s="251" thickBot="1">
      <c r="A6" s="136" t="inlineStr">
        <is>
          <t>구 분</t>
        </is>
      </c>
      <c r="B6" s="270" t="n"/>
      <c r="C6" s="271" t="n"/>
      <c r="D6" s="136" t="inlineStr">
        <is>
          <t>SRF소각량</t>
        </is>
      </c>
      <c r="E6" s="270" t="n"/>
      <c r="F6" s="271" t="n"/>
      <c r="G6" s="136" t="inlineStr">
        <is>
          <t>SLUDGE 소각량</t>
        </is>
      </c>
      <c r="H6" s="270" t="n"/>
      <c r="I6" s="271" t="n"/>
      <c r="J6" s="136" t="inlineStr">
        <is>
          <t>합 계</t>
        </is>
      </c>
      <c r="K6" s="270" t="n"/>
      <c r="L6" s="271" t="n"/>
      <c r="M6" s="1" t="n"/>
      <c r="N6" s="1" t="n"/>
      <c r="O6" s="1" t="n"/>
      <c r="P6" s="136" t="inlineStr">
        <is>
          <t>구 분</t>
        </is>
      </c>
      <c r="Q6" s="271" t="n"/>
      <c r="R6" s="136" t="inlineStr">
        <is>
          <t>스팀 생산량</t>
        </is>
      </c>
      <c r="S6" s="270" t="n"/>
      <c r="T6" s="271" t="n"/>
      <c r="U6" s="136" t="inlineStr">
        <is>
          <t>스팀 송기량</t>
        </is>
      </c>
      <c r="V6" s="270" t="n"/>
      <c r="W6" s="271" t="n"/>
      <c r="X6" s="136" t="inlineStr">
        <is>
          <t>가동시간</t>
        </is>
      </c>
      <c r="Y6" s="270" t="n"/>
      <c r="Z6" s="271" t="n"/>
    </row>
    <row r="7" ht="30" customHeight="1" s="251" thickTop="1">
      <c r="A7" s="105" t="inlineStr">
        <is>
          <t>금 일</t>
        </is>
      </c>
      <c r="B7" s="272" t="n"/>
      <c r="C7" s="265" t="n"/>
      <c r="D7" s="139" t="n">
        <v>90783</v>
      </c>
      <c r="E7" s="272" t="n"/>
      <c r="F7" s="265" t="n"/>
      <c r="G7" s="139" t="n">
        <v>100400</v>
      </c>
      <c r="H7" s="272" t="n"/>
      <c r="I7" s="265" t="n"/>
      <c r="J7" s="154">
        <f>D7+G7</f>
        <v/>
      </c>
      <c r="K7" s="278" t="n"/>
      <c r="L7" s="279" t="n"/>
      <c r="M7" s="1" t="n"/>
      <c r="N7" s="1" t="n"/>
      <c r="O7" s="1" t="n"/>
      <c r="P7" s="105" t="inlineStr">
        <is>
          <t>금 일</t>
        </is>
      </c>
      <c r="Q7" s="265" t="n"/>
      <c r="R7" s="276" t="n">
        <v>469.2</v>
      </c>
      <c r="S7" s="272" t="n"/>
      <c r="T7" s="265" t="n"/>
      <c r="U7" s="276" t="n">
        <v>55.3</v>
      </c>
      <c r="V7" s="272" t="n"/>
      <c r="W7" s="265" t="n"/>
      <c r="X7" s="277" t="n">
        <v>24</v>
      </c>
      <c r="Y7" s="272" t="n"/>
      <c r="Z7" s="265" t="n"/>
    </row>
    <row r="8" ht="30" customHeight="1" s="251">
      <c r="A8" s="104" t="inlineStr">
        <is>
          <t>누 계</t>
        </is>
      </c>
      <c r="B8" s="278" t="n"/>
      <c r="C8" s="279" t="n"/>
      <c r="D8" s="154">
        <f>'21'!D8+'22'!D7</f>
        <v/>
      </c>
      <c r="E8" s="278" t="n"/>
      <c r="F8" s="279" t="n"/>
      <c r="G8" s="154">
        <f>'21'!G8+'22'!G7</f>
        <v/>
      </c>
      <c r="H8" s="278" t="n"/>
      <c r="I8" s="279" t="n"/>
      <c r="J8" s="154">
        <f>D8+G8</f>
        <v/>
      </c>
      <c r="K8" s="278" t="n"/>
      <c r="L8" s="279" t="n"/>
      <c r="M8" s="1" t="n"/>
      <c r="N8" s="1" t="n"/>
      <c r="O8" s="1" t="n"/>
      <c r="P8" s="104" t="inlineStr">
        <is>
          <t>누 계</t>
        </is>
      </c>
      <c r="Q8" s="279" t="n"/>
      <c r="R8" s="280">
        <f>'21'!R8+R7</f>
        <v/>
      </c>
      <c r="S8" s="278" t="n"/>
      <c r="T8" s="279" t="n"/>
      <c r="U8" s="280">
        <f>'21'!U8+U7</f>
        <v/>
      </c>
      <c r="V8" s="278" t="n"/>
      <c r="W8" s="279" t="n"/>
      <c r="X8" s="281">
        <f>'21'!X8+'22'!X7</f>
        <v/>
      </c>
      <c r="Y8" s="278" t="n"/>
      <c r="Z8" s="279" t="n"/>
    </row>
    <row r="9" ht="12" customHeight="1" s="25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inlineStr">
        <is>
          <t>3. 약품 사용현황 (KG)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inlineStr">
        <is>
          <t>4. 소각재 발생량 (TON, 대)</t>
        </is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30.75" customHeight="1" s="251" thickBot="1">
      <c r="A11" s="136" t="inlineStr">
        <is>
          <t>품 명</t>
        </is>
      </c>
      <c r="B11" s="271" t="n"/>
      <c r="C11" s="150" t="inlineStr">
        <is>
          <t>전일 
재고량</t>
        </is>
      </c>
      <c r="D11" s="271" t="n"/>
      <c r="E11" s="136" t="inlineStr">
        <is>
          <t>입고량</t>
        </is>
      </c>
      <c r="F11" s="271" t="n"/>
      <c r="G11" s="136" t="inlineStr">
        <is>
          <t>사용량</t>
        </is>
      </c>
      <c r="H11" s="271" t="n"/>
      <c r="I11" s="282" t="inlineStr">
        <is>
          <t>재고량</t>
        </is>
      </c>
      <c r="J11" s="271" t="n"/>
      <c r="K11" s="150" t="inlineStr">
        <is>
          <t>입고량 
누계</t>
        </is>
      </c>
      <c r="L11" s="271" t="n"/>
      <c r="M11" s="150" t="inlineStr">
        <is>
          <t>사용량 
누계</t>
        </is>
      </c>
      <c r="N11" s="271" t="n"/>
      <c r="O11" s="1" t="n"/>
      <c r="P11" s="136" t="inlineStr">
        <is>
          <t xml:space="preserve"> 구 분</t>
        </is>
      </c>
      <c r="Q11" s="270" t="n"/>
      <c r="R11" s="271" t="n"/>
      <c r="S11" s="282" t="inlineStr">
        <is>
          <t>반출량</t>
        </is>
      </c>
      <c r="T11" s="270" t="n"/>
      <c r="U11" s="270" t="n"/>
      <c r="V11" s="271" t="n"/>
      <c r="W11" s="282" t="inlineStr">
        <is>
          <t>누계</t>
        </is>
      </c>
      <c r="X11" s="270" t="n"/>
      <c r="Y11" s="270" t="n"/>
      <c r="Z11" s="271" t="n"/>
    </row>
    <row r="12" ht="21.9" customHeight="1" s="251" thickTop="1">
      <c r="A12" s="142" t="inlineStr">
        <is>
          <t>탄산암모늄</t>
        </is>
      </c>
      <c r="B12" s="265" t="n"/>
      <c r="C12" s="310">
        <f>'21'!I12</f>
        <v/>
      </c>
      <c r="D12" s="265" t="n"/>
      <c r="E12" s="105" t="n">
        <v>0</v>
      </c>
      <c r="F12" s="265" t="n"/>
      <c r="G12" s="105" t="n">
        <v>4418</v>
      </c>
      <c r="H12" s="265" t="n"/>
      <c r="I12" s="164">
        <f>C12+E12-G12</f>
        <v/>
      </c>
      <c r="J12" s="283" t="n"/>
      <c r="K12" s="105">
        <f>'21'!K12+'22'!E12</f>
        <v/>
      </c>
      <c r="L12" s="265" t="n"/>
      <c r="M12" s="105">
        <f>'21'!M12+G12</f>
        <v/>
      </c>
      <c r="N12" s="265" t="n"/>
      <c r="O12" s="1" t="n"/>
      <c r="P12" s="149" t="inlineStr">
        <is>
          <t xml:space="preserve">
비산재
</t>
        </is>
      </c>
      <c r="R12" s="254" t="n"/>
      <c r="S12" s="284" t="n">
        <v>0</v>
      </c>
      <c r="T12" s="285" t="n"/>
      <c r="U12" s="285" t="n"/>
      <c r="V12" s="285" t="n"/>
      <c r="W12" s="318">
        <f>'21'!W12+'22'!S12</f>
        <v/>
      </c>
      <c r="X12" s="285" t="n"/>
      <c r="Y12" s="285" t="n"/>
      <c r="Z12" s="287" t="n"/>
    </row>
    <row r="13" ht="21.9" customHeight="1" s="251">
      <c r="A13" s="104" t="inlineStr">
        <is>
          <t>청관제</t>
        </is>
      </c>
      <c r="B13" s="279" t="n"/>
      <c r="C13" s="310">
        <f>'21'!I13</f>
        <v/>
      </c>
      <c r="D13" s="265" t="n"/>
      <c r="E13" s="104" t="n">
        <v>800</v>
      </c>
      <c r="F13" s="279" t="n"/>
      <c r="G13" s="104" t="n">
        <v>100</v>
      </c>
      <c r="H13" s="279" t="n"/>
      <c r="I13" s="288">
        <f>C13+E13-G13</f>
        <v/>
      </c>
      <c r="J13" s="275" t="n"/>
      <c r="K13" s="288">
        <f>'21'!K13+'22'!E13</f>
        <v/>
      </c>
      <c r="L13" s="275" t="n"/>
      <c r="M13" s="288">
        <f>'21'!M13+G13</f>
        <v/>
      </c>
      <c r="N13" s="275" t="n"/>
      <c r="O13" s="1" t="n"/>
      <c r="P13" s="264" t="n"/>
      <c r="Q13" s="272" t="n"/>
      <c r="R13" s="265" t="n"/>
      <c r="S13" s="289" t="n"/>
      <c r="T13" s="290" t="n"/>
      <c r="U13" s="290" t="n"/>
      <c r="V13" s="290" t="n"/>
      <c r="W13" s="264" t="n"/>
      <c r="X13" s="272" t="n"/>
      <c r="Y13" s="272" t="n"/>
      <c r="Z13" s="265" t="n"/>
    </row>
    <row r="14" ht="21.9" customHeight="1" s="251">
      <c r="A14" s="104" t="inlineStr">
        <is>
          <t>활성탄</t>
        </is>
      </c>
      <c r="B14" s="279" t="n"/>
      <c r="C14" s="310">
        <f>'21'!I14</f>
        <v/>
      </c>
      <c r="D14" s="265" t="n"/>
      <c r="E14" s="104" t="n">
        <v>2000</v>
      </c>
      <c r="F14" s="279" t="n"/>
      <c r="G14" s="104" t="n">
        <v>120</v>
      </c>
      <c r="H14" s="279" t="n"/>
      <c r="I14" s="288">
        <f>C14+E14-G14</f>
        <v/>
      </c>
      <c r="J14" s="275" t="n"/>
      <c r="K14" s="288">
        <f>'21'!K14+'22'!E14</f>
        <v/>
      </c>
      <c r="L14" s="275" t="n"/>
      <c r="M14" s="288">
        <f>'21'!M14+G14</f>
        <v/>
      </c>
      <c r="N14" s="275" t="n"/>
      <c r="O14" s="1" t="n"/>
      <c r="P14" s="104" t="inlineStr">
        <is>
          <t>바닥재</t>
        </is>
      </c>
      <c r="Q14" s="291" t="n"/>
      <c r="R14" s="292" t="n"/>
      <c r="S14" s="293" t="n">
        <v>0</v>
      </c>
      <c r="T14" s="291" t="n"/>
      <c r="U14" s="291" t="n"/>
      <c r="V14" s="291" t="n"/>
      <c r="W14" s="311">
        <f>'21'!W14+'22'!S14</f>
        <v/>
      </c>
      <c r="X14" s="291" t="n"/>
      <c r="Y14" s="291" t="n"/>
      <c r="Z14" s="295" t="n"/>
    </row>
    <row r="15" ht="21.9" customHeight="1" s="251">
      <c r="A15" s="104" t="inlineStr">
        <is>
          <t>가성소다</t>
        </is>
      </c>
      <c r="B15" s="279" t="n"/>
      <c r="C15" s="310">
        <f>'21'!I15</f>
        <v/>
      </c>
      <c r="D15" s="265" t="n"/>
      <c r="E15" s="104" t="n">
        <v>0</v>
      </c>
      <c r="F15" s="279" t="n"/>
      <c r="G15" s="104" t="n">
        <v>0</v>
      </c>
      <c r="H15" s="279" t="n"/>
      <c r="I15" s="288">
        <f>C15+E15-G15</f>
        <v/>
      </c>
      <c r="J15" s="275" t="n"/>
      <c r="K15" s="288">
        <f>'21'!K15+'22'!E15</f>
        <v/>
      </c>
      <c r="L15" s="275" t="n"/>
      <c r="M15" s="288">
        <f>'21'!M15+G15</f>
        <v/>
      </c>
      <c r="N15" s="275" t="n"/>
      <c r="O15" s="1" t="n"/>
      <c r="P15" s="296" t="n"/>
      <c r="Q15" s="290" t="n"/>
      <c r="R15" s="297" t="n"/>
      <c r="S15" s="296" t="n"/>
      <c r="T15" s="290" t="n"/>
      <c r="U15" s="290" t="n"/>
      <c r="V15" s="290" t="n"/>
      <c r="W15" s="298" t="n"/>
      <c r="X15" s="272" t="n"/>
      <c r="Y15" s="272" t="n"/>
      <c r="Z15" s="265" t="n"/>
    </row>
    <row r="16" ht="21.9" customHeight="1" s="251">
      <c r="A16" s="104" t="inlineStr">
        <is>
          <t>소석회</t>
        </is>
      </c>
      <c r="B16" s="279" t="n"/>
      <c r="C16" s="310">
        <f>'21'!I16</f>
        <v/>
      </c>
      <c r="D16" s="265" t="n"/>
      <c r="E16" s="104" t="n">
        <v>0</v>
      </c>
      <c r="F16" s="279" t="n"/>
      <c r="G16" s="104" t="n">
        <v>20</v>
      </c>
      <c r="H16" s="279" t="n"/>
      <c r="I16" s="288">
        <f>C16+E16-G16</f>
        <v/>
      </c>
      <c r="J16" s="275" t="n"/>
      <c r="K16" s="288">
        <f>'21'!K16+'22'!E16</f>
        <v/>
      </c>
      <c r="L16" s="275" t="n"/>
      <c r="M16" s="288">
        <f>'21'!M16+G16</f>
        <v/>
      </c>
      <c r="N16" s="275" t="n"/>
      <c r="O16" s="1" t="n"/>
      <c r="P16" s="162" t="inlineStr">
        <is>
          <t>구분</t>
        </is>
      </c>
      <c r="Q16" s="291" t="n"/>
      <c r="R16" s="292" t="n"/>
      <c r="S16" s="299" t="inlineStr">
        <is>
          <t>주간</t>
        </is>
      </c>
      <c r="T16" s="292" t="n"/>
      <c r="U16" s="299" t="inlineStr">
        <is>
          <t>야간</t>
        </is>
      </c>
      <c r="V16" s="292" t="n"/>
      <c r="W16" s="299" t="inlineStr">
        <is>
          <t>합계</t>
        </is>
      </c>
      <c r="X16" s="292" t="n"/>
      <c r="Y16" s="299" t="inlineStr">
        <is>
          <t>누계</t>
        </is>
      </c>
      <c r="Z16" s="292" t="n"/>
    </row>
    <row r="17" ht="21.9" customHeight="1" s="251" thickBot="1">
      <c r="A17" s="104" t="inlineStr">
        <is>
          <t>소 금</t>
        </is>
      </c>
      <c r="B17" s="279" t="n"/>
      <c r="C17" s="310">
        <f>'21'!I17</f>
        <v/>
      </c>
      <c r="D17" s="265" t="n"/>
      <c r="E17" s="104" t="n">
        <v>0</v>
      </c>
      <c r="F17" s="279" t="n"/>
      <c r="G17" s="104" t="n">
        <v>200</v>
      </c>
      <c r="H17" s="279" t="n"/>
      <c r="I17" s="288">
        <f>C17+E17-G17</f>
        <v/>
      </c>
      <c r="J17" s="275" t="n"/>
      <c r="K17" s="288">
        <f>'21'!K17+'22'!E17</f>
        <v/>
      </c>
      <c r="L17" s="275" t="n"/>
      <c r="M17" s="288">
        <f>'21'!M17+G17</f>
        <v/>
      </c>
      <c r="N17" s="275" t="n"/>
      <c r="O17" s="1" t="n"/>
      <c r="P17" s="296" t="n"/>
      <c r="Q17" s="290" t="n"/>
      <c r="R17" s="297" t="n"/>
      <c r="S17" s="300" t="n"/>
      <c r="T17" s="301" t="n"/>
      <c r="U17" s="300" t="n"/>
      <c r="V17" s="301" t="n"/>
      <c r="W17" s="300" t="n"/>
      <c r="X17" s="301" t="n"/>
      <c r="Y17" s="300" t="n"/>
      <c r="Z17" s="301" t="n"/>
      <c r="AE17" s="302" t="n"/>
    </row>
    <row r="18" ht="21.9" customHeight="1" s="251" thickTop="1">
      <c r="A18" s="104" t="inlineStr">
        <is>
          <t>경 유</t>
        </is>
      </c>
      <c r="B18" s="279" t="n"/>
      <c r="C18" s="310">
        <f>'21'!I18</f>
        <v/>
      </c>
      <c r="D18" s="265" t="n"/>
      <c r="E18" s="104" t="n">
        <v>0</v>
      </c>
      <c r="F18" s="279" t="n"/>
      <c r="G18" s="104" t="n">
        <v>0</v>
      </c>
      <c r="H18" s="279" t="n"/>
      <c r="I18" s="288">
        <f>C18+E18-G18</f>
        <v/>
      </c>
      <c r="J18" s="275" t="n"/>
      <c r="K18" s="288">
        <f>'21'!K18+'22'!E18</f>
        <v/>
      </c>
      <c r="L18" s="275" t="n"/>
      <c r="M18" s="288">
        <f>'21'!M18+G18</f>
        <v/>
      </c>
      <c r="N18" s="275" t="n"/>
      <c r="O18" s="1" t="n"/>
      <c r="P18" s="164" t="inlineStr">
        <is>
          <t>불연물</t>
        </is>
      </c>
      <c r="Q18" s="285" t="n"/>
      <c r="R18" s="287" t="n"/>
      <c r="S18" s="303" t="n">
        <v>2</v>
      </c>
      <c r="T18" s="287" t="n"/>
      <c r="U18" s="303" t="n">
        <v>1</v>
      </c>
      <c r="V18" s="287" t="n"/>
      <c r="W18" s="303">
        <f>S18+U18</f>
        <v/>
      </c>
      <c r="X18" s="287" t="n"/>
      <c r="Y18" s="303">
        <f>'21'!Y18+'22'!W18</f>
        <v/>
      </c>
      <c r="Z18" s="287" t="n"/>
    </row>
    <row r="19" ht="21.9" customHeight="1" s="251">
      <c r="A19" s="153" t="inlineStr">
        <is>
          <t>SRF</t>
        </is>
      </c>
      <c r="B19" s="279" t="n"/>
      <c r="C19" s="310">
        <f>'21'!I19</f>
        <v/>
      </c>
      <c r="D19" s="265" t="n"/>
      <c r="E19" s="154" t="n">
        <v>91250</v>
      </c>
      <c r="F19" s="279" t="n"/>
      <c r="G19" s="154">
        <f>D7</f>
        <v/>
      </c>
      <c r="H19" s="279" t="n"/>
      <c r="I19" s="273">
        <f>C19+E19-G19</f>
        <v/>
      </c>
      <c r="J19" s="275" t="n"/>
      <c r="K19" s="273">
        <f>'21'!K19+'22'!E19</f>
        <v/>
      </c>
      <c r="L19" s="275" t="n"/>
      <c r="M19" s="273">
        <f>'21'!M19+G19</f>
        <v/>
      </c>
      <c r="N19" s="275" t="n"/>
      <c r="O19" s="1" t="n"/>
      <c r="P19" s="256" t="n"/>
      <c r="R19" s="254" t="n"/>
      <c r="S19" s="256" t="n"/>
      <c r="T19" s="254" t="n"/>
      <c r="U19" s="256" t="n"/>
      <c r="V19" s="254" t="n"/>
      <c r="W19" s="256" t="n"/>
      <c r="X19" s="254" t="n"/>
      <c r="Y19" s="256" t="n"/>
      <c r="Z19" s="254" t="n"/>
    </row>
    <row r="20" ht="21.9" customHeight="1" s="251">
      <c r="A20" s="104" t="inlineStr">
        <is>
          <t>규 사</t>
        </is>
      </c>
      <c r="B20" s="279" t="n"/>
      <c r="C20" s="310">
        <f>'21'!I20</f>
        <v/>
      </c>
      <c r="D20" s="265" t="n"/>
      <c r="E20" s="288" t="n"/>
      <c r="F20" s="275" t="n"/>
      <c r="G20" s="104" t="n"/>
      <c r="H20" s="279" t="n"/>
      <c r="I20" s="288" t="inlineStr">
        <is>
          <t>-</t>
        </is>
      </c>
      <c r="J20" s="275" t="n"/>
      <c r="K20" s="105">
        <f>'21'!K20+'22'!E20</f>
        <v/>
      </c>
      <c r="L20" s="265" t="n"/>
      <c r="M20" s="273">
        <f>'21'!M20+G20</f>
        <v/>
      </c>
      <c r="N20" s="275" t="n"/>
      <c r="O20" s="1" t="n"/>
      <c r="P20" s="264" t="n"/>
      <c r="Q20" s="272" t="n"/>
      <c r="R20" s="265" t="n"/>
      <c r="S20" s="264" t="n"/>
      <c r="T20" s="265" t="n"/>
      <c r="U20" s="264" t="n"/>
      <c r="V20" s="265" t="n"/>
      <c r="W20" s="264" t="n"/>
      <c r="X20" s="265" t="n"/>
      <c r="Y20" s="264" t="n"/>
      <c r="Z20" s="265" t="n"/>
    </row>
    <row r="21" ht="12" customHeight="1" s="25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 t="inlineStr">
        <is>
          <t>5. 전력 사용량 (KWH)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10" t="inlineStr">
        <is>
          <t>6. 유틸리티 사용현황 (㎥)</t>
        </is>
      </c>
      <c r="Q22" s="290" t="n"/>
      <c r="R22" s="290" t="n"/>
      <c r="S22" s="290" t="n"/>
      <c r="T22" s="290" t="n"/>
      <c r="U22" s="290" t="n"/>
      <c r="V22" s="1" t="n"/>
      <c r="W22" s="1" t="n"/>
      <c r="X22" s="1" t="n"/>
      <c r="Y22" s="1" t="n"/>
      <c r="Z22" s="1" t="n"/>
    </row>
    <row r="23" ht="28.5" customHeight="1" s="251" thickBot="1">
      <c r="A23" s="136" t="inlineStr">
        <is>
          <t>구 분</t>
        </is>
      </c>
      <c r="B23" s="270" t="n"/>
      <c r="C23" s="271" t="n"/>
      <c r="D23" s="136" t="inlineStr">
        <is>
          <t>전일지침</t>
        </is>
      </c>
      <c r="E23" s="270" t="n"/>
      <c r="F23" s="271" t="n"/>
      <c r="G23" s="136" t="inlineStr">
        <is>
          <t>금일지침</t>
        </is>
      </c>
      <c r="H23" s="270" t="n"/>
      <c r="I23" s="271" t="n"/>
      <c r="J23" s="136" t="inlineStr">
        <is>
          <t>사용량</t>
        </is>
      </c>
      <c r="K23" s="270" t="n"/>
      <c r="L23" s="271" t="n"/>
      <c r="M23" s="136" t="inlineStr">
        <is>
          <t>누 계</t>
        </is>
      </c>
      <c r="N23" s="271" t="n"/>
      <c r="P23" s="136" t="inlineStr">
        <is>
          <t>구 분</t>
        </is>
      </c>
      <c r="Q23" s="270" t="n"/>
      <c r="R23" s="271" t="n"/>
      <c r="S23" s="136" t="inlineStr">
        <is>
          <t>전일 사용량</t>
        </is>
      </c>
      <c r="T23" s="270" t="n"/>
      <c r="U23" s="271" t="n"/>
      <c r="V23" s="136" t="inlineStr">
        <is>
          <t>금일 사용량</t>
        </is>
      </c>
      <c r="W23" s="270" t="n"/>
      <c r="X23" s="271" t="n"/>
      <c r="Y23" s="136" t="inlineStr">
        <is>
          <t>누 계</t>
        </is>
      </c>
      <c r="Z23" s="271" t="n"/>
    </row>
    <row r="24" ht="21.9" customHeight="1" s="251" thickTop="1">
      <c r="A24" s="105" t="inlineStr">
        <is>
          <t>MAIN</t>
        </is>
      </c>
      <c r="B24" s="272" t="n"/>
      <c r="C24" s="265" t="n"/>
      <c r="D24" s="187">
        <f>'21'!G24</f>
        <v/>
      </c>
      <c r="E24" s="285" t="n"/>
      <c r="F24" s="287" t="n"/>
      <c r="G24" s="164" t="n">
        <v>4171446</v>
      </c>
      <c r="H24" s="304" t="n"/>
      <c r="I24" s="283" t="n"/>
      <c r="J24" s="164">
        <f>G24-D24</f>
        <v/>
      </c>
      <c r="K24" s="304" t="n"/>
      <c r="L24" s="283" t="n"/>
      <c r="M24" s="164">
        <f>'21'!M24+J24</f>
        <v/>
      </c>
      <c r="N24" s="283" t="n"/>
      <c r="P24" s="105" t="inlineStr">
        <is>
          <t>재이용수</t>
        </is>
      </c>
      <c r="Q24" s="272" t="n"/>
      <c r="R24" s="265" t="n"/>
      <c r="S24" s="105">
        <f>'21'!V24</f>
        <v/>
      </c>
      <c r="T24" s="272" t="n"/>
      <c r="U24" s="265" t="n"/>
      <c r="V24" s="276" t="n">
        <v>519.1</v>
      </c>
      <c r="W24" s="272" t="n"/>
      <c r="X24" s="265" t="n"/>
      <c r="Y24" s="276">
        <f>'21'!Y24+'22'!V24</f>
        <v/>
      </c>
      <c r="Z24" s="265" t="n"/>
    </row>
    <row r="25" ht="21.9" customHeight="1" s="251">
      <c r="A25" s="104" t="inlineStr">
        <is>
          <t>ASH 저장조</t>
        </is>
      </c>
      <c r="B25" s="278" t="n"/>
      <c r="C25" s="279" t="n"/>
      <c r="D25" s="104">
        <f>'21'!G25</f>
        <v/>
      </c>
      <c r="E25" s="278" t="n"/>
      <c r="F25" s="279" t="n"/>
      <c r="G25" s="104" t="n">
        <v>33513.7</v>
      </c>
      <c r="H25" s="278" t="n"/>
      <c r="I25" s="279" t="n"/>
      <c r="J25" s="104">
        <f>G25-D25</f>
        <v/>
      </c>
      <c r="K25" s="278" t="n"/>
      <c r="L25" s="279" t="n"/>
      <c r="M25" s="288">
        <f>'21'!M25+J25</f>
        <v/>
      </c>
      <c r="N25" s="275" t="n"/>
      <c r="P25" s="104" t="inlineStr">
        <is>
          <t>복류수</t>
        </is>
      </c>
      <c r="Q25" s="278" t="n"/>
      <c r="R25" s="279" t="n"/>
      <c r="S25" s="288">
        <f>'21'!V25</f>
        <v/>
      </c>
      <c r="T25" s="274" t="n"/>
      <c r="U25" s="275" t="n"/>
      <c r="V25" s="280" t="n">
        <v>67.59999999999999</v>
      </c>
      <c r="W25" s="278" t="n"/>
      <c r="X25" s="279" t="n"/>
      <c r="Y25" s="316">
        <f>'21'!Y25+'22'!V25</f>
        <v/>
      </c>
      <c r="Z25" s="275" t="n"/>
    </row>
    <row r="26" ht="21.9" customHeight="1" s="251">
      <c r="A26" s="104" t="inlineStr">
        <is>
          <t>BAG FILTER</t>
        </is>
      </c>
      <c r="B26" s="278" t="n"/>
      <c r="C26" s="279" t="n"/>
      <c r="D26" s="104">
        <f>'21'!G26</f>
        <v/>
      </c>
      <c r="E26" s="278" t="n"/>
      <c r="F26" s="279" t="n"/>
      <c r="G26" s="104" t="n">
        <v>24760</v>
      </c>
      <c r="H26" s="278" t="n"/>
      <c r="I26" s="279" t="n"/>
      <c r="J26" s="104">
        <f>G26-D26</f>
        <v/>
      </c>
      <c r="K26" s="278" t="n"/>
      <c r="L26" s="279" t="n"/>
      <c r="M26" s="288">
        <f>'21'!M26+J26</f>
        <v/>
      </c>
      <c r="N26" s="275" t="n"/>
      <c r="P26" s="104" t="inlineStr">
        <is>
          <t>응축수</t>
        </is>
      </c>
      <c r="Q26" s="278" t="n"/>
      <c r="R26" s="279" t="n"/>
      <c r="S26" s="288">
        <f>'21'!V26</f>
        <v/>
      </c>
      <c r="T26" s="274" t="n"/>
      <c r="U26" s="275" t="n"/>
      <c r="V26" s="280" t="n">
        <v>528.4</v>
      </c>
      <c r="W26" s="278" t="n"/>
      <c r="X26" s="279" t="n"/>
      <c r="Y26" s="316">
        <f>'21'!Y26+'22'!V26</f>
        <v/>
      </c>
      <c r="Z26" s="275" t="n"/>
    </row>
    <row r="27" ht="21.9" customHeight="1" s="251">
      <c r="A27" s="104" t="inlineStr">
        <is>
          <t>SCRUBBER</t>
        </is>
      </c>
      <c r="B27" s="278" t="n"/>
      <c r="C27" s="279" t="n"/>
      <c r="D27" s="104">
        <f>'21'!G27</f>
        <v/>
      </c>
      <c r="E27" s="278" t="n"/>
      <c r="F27" s="279" t="n"/>
      <c r="G27" s="104" t="n">
        <v>1411000</v>
      </c>
      <c r="H27" s="278" t="n"/>
      <c r="I27" s="279" t="n"/>
      <c r="J27" s="104">
        <f>G27-D27</f>
        <v/>
      </c>
      <c r="K27" s="278" t="n"/>
      <c r="L27" s="279" t="n"/>
      <c r="M27" s="288">
        <f>'21'!M27+J27</f>
        <v/>
      </c>
      <c r="N27" s="275" t="n"/>
      <c r="P27" s="104" t="inlineStr">
        <is>
          <t>보일러 급수</t>
        </is>
      </c>
      <c r="Q27" s="278" t="n"/>
      <c r="R27" s="279" t="n"/>
      <c r="S27" s="288">
        <f>'21'!V27</f>
        <v/>
      </c>
      <c r="T27" s="274" t="n"/>
      <c r="U27" s="275" t="n"/>
      <c r="V27" s="280" t="n">
        <v>490.5</v>
      </c>
      <c r="W27" s="278" t="n"/>
      <c r="X27" s="279" t="n"/>
      <c r="Y27" s="316">
        <f>'21'!Y27+'22'!V27</f>
        <v/>
      </c>
      <c r="Z27" s="275" t="n"/>
    </row>
    <row r="28" ht="21.9" customHeight="1" s="251">
      <c r="A28" s="104" t="inlineStr">
        <is>
          <t>활성탄 공급</t>
        </is>
      </c>
      <c r="B28" s="278" t="n"/>
      <c r="C28" s="279" t="n"/>
      <c r="D28" s="104">
        <f>'21'!G28</f>
        <v/>
      </c>
      <c r="E28" s="278" t="n"/>
      <c r="F28" s="279" t="n"/>
      <c r="G28" s="104" t="n">
        <v>6135</v>
      </c>
      <c r="H28" s="278" t="n"/>
      <c r="I28" s="279" t="n"/>
      <c r="J28" s="104">
        <f>G28-D28</f>
        <v/>
      </c>
      <c r="K28" s="278" t="n"/>
      <c r="L28" s="279" t="n"/>
      <c r="M28" s="288">
        <f>'21'!M28+J28</f>
        <v/>
      </c>
      <c r="N28" s="275" t="n"/>
      <c r="P28" s="104" t="inlineStr">
        <is>
          <t>폐 수</t>
        </is>
      </c>
      <c r="Q28" s="278" t="n"/>
      <c r="R28" s="279" t="n"/>
      <c r="S28" s="288">
        <f>'21'!V28</f>
        <v/>
      </c>
      <c r="T28" s="274" t="n"/>
      <c r="U28" s="275" t="n"/>
      <c r="V28" s="280" t="n">
        <v>0</v>
      </c>
      <c r="W28" s="278" t="n"/>
      <c r="X28" s="279" t="n"/>
      <c r="Y28" s="316">
        <f>'21'!Y28+'22'!V28</f>
        <v/>
      </c>
      <c r="Z28" s="275" t="n"/>
    </row>
    <row r="29" ht="21.9" customHeight="1" s="251">
      <c r="A29" s="104" t="inlineStr">
        <is>
          <t>소석회 공급</t>
        </is>
      </c>
      <c r="B29" s="278" t="n"/>
      <c r="C29" s="279" t="n"/>
      <c r="D29" s="104">
        <f>'21'!G29</f>
        <v/>
      </c>
      <c r="E29" s="278" t="n"/>
      <c r="F29" s="279" t="n"/>
      <c r="G29" s="104" t="n">
        <v>66250</v>
      </c>
      <c r="H29" s="278" t="n"/>
      <c r="I29" s="279" t="n"/>
      <c r="J29" s="104">
        <f>G29-D29</f>
        <v/>
      </c>
      <c r="K29" s="278" t="n"/>
      <c r="L29" s="279" t="n"/>
      <c r="M29" s="288">
        <f>'21'!M29+J29</f>
        <v/>
      </c>
      <c r="N29" s="275" t="n"/>
      <c r="P29" s="104" t="inlineStr">
        <is>
          <t>연 수</t>
        </is>
      </c>
      <c r="Q29" s="278" t="n"/>
      <c r="R29" s="279" t="n"/>
      <c r="S29" s="288">
        <f>'21'!V29</f>
        <v/>
      </c>
      <c r="T29" s="274" t="n"/>
      <c r="U29" s="275" t="n"/>
      <c r="V29" s="280" t="n">
        <v>75.7</v>
      </c>
      <c r="W29" s="278" t="n"/>
      <c r="X29" s="279" t="n"/>
      <c r="Y29" s="316">
        <f>'21'!Y29+'22'!V29</f>
        <v/>
      </c>
      <c r="Z29" s="275" t="n"/>
    </row>
    <row r="30" ht="21.9" customHeight="1" s="251">
      <c r="A30" s="104" t="inlineStr">
        <is>
          <t>요소수 공급</t>
        </is>
      </c>
      <c r="B30" s="278" t="n"/>
      <c r="C30" s="279" t="n"/>
      <c r="D30" s="104">
        <f>'21'!G30</f>
        <v/>
      </c>
      <c r="E30" s="278" t="n"/>
      <c r="F30" s="279" t="n"/>
      <c r="G30" s="104" t="n">
        <v>53500</v>
      </c>
      <c r="H30" s="278" t="n"/>
      <c r="I30" s="279" t="n"/>
      <c r="J30" s="104">
        <f>G30-D30</f>
        <v/>
      </c>
      <c r="K30" s="278" t="n"/>
      <c r="L30" s="279" t="n"/>
      <c r="M30" s="288">
        <f>'21'!M30+J30</f>
        <v/>
      </c>
      <c r="N30" s="275" t="n"/>
      <c r="P30" s="104" t="inlineStr">
        <is>
          <t>계</t>
        </is>
      </c>
      <c r="Q30" s="278" t="n"/>
      <c r="R30" s="279" t="n"/>
      <c r="S30" s="288">
        <f>'21'!V30</f>
        <v/>
      </c>
      <c r="T30" s="274" t="n"/>
      <c r="U30" s="275" t="n"/>
      <c r="V30" s="280" t="n"/>
      <c r="W30" s="278" t="n"/>
      <c r="X30" s="279" t="n"/>
      <c r="Y30" s="316">
        <f>'21'!Y30+'22'!V30</f>
        <v/>
      </c>
      <c r="Z30" s="275" t="n"/>
    </row>
    <row r="31" ht="21.9" customHeight="1" s="251">
      <c r="A31" s="104" t="inlineStr">
        <is>
          <t xml:space="preserve">F.D </t>
        </is>
      </c>
      <c r="B31" s="278" t="n"/>
      <c r="C31" s="279" t="n"/>
      <c r="D31" s="104">
        <f>'21'!G31</f>
        <v/>
      </c>
      <c r="E31" s="278" t="n"/>
      <c r="F31" s="279" t="n"/>
      <c r="G31" s="288" t="n">
        <v>6374188</v>
      </c>
      <c r="H31" s="274" t="n"/>
      <c r="I31" s="275" t="n"/>
      <c r="J31" s="104">
        <f>G31-D31</f>
        <v/>
      </c>
      <c r="K31" s="278" t="n"/>
      <c r="L31" s="279" t="n"/>
      <c r="M31" s="288">
        <f>'21'!M31+J31</f>
        <v/>
      </c>
      <c r="N31" s="275" t="n"/>
      <c r="P31" s="172" t="n"/>
      <c r="Q31" s="172" t="n"/>
      <c r="R31" s="172" t="n"/>
      <c r="S31" s="172" t="n"/>
      <c r="T31" s="172" t="n"/>
      <c r="U31" s="172" t="n"/>
      <c r="V31" s="305" t="n"/>
      <c r="W31" s="305" t="n"/>
      <c r="X31" s="305" t="n"/>
      <c r="Y31" s="305" t="n"/>
      <c r="Z31" s="305" t="n"/>
    </row>
    <row r="32" ht="21.9" customHeight="1" s="251">
      <c r="A32" s="104" t="inlineStr">
        <is>
          <t>활성탄 BAG</t>
        </is>
      </c>
      <c r="B32" s="278" t="n"/>
      <c r="C32" s="279" t="n"/>
      <c r="D32" s="104">
        <f>'21'!G32</f>
        <v/>
      </c>
      <c r="E32" s="278" t="n"/>
      <c r="F32" s="279" t="n"/>
      <c r="G32" s="288" t="n">
        <v>1.7</v>
      </c>
      <c r="H32" s="274" t="n"/>
      <c r="I32" s="275" t="n"/>
      <c r="J32" s="288">
        <f>G32-D32</f>
        <v/>
      </c>
      <c r="K32" s="274" t="n"/>
      <c r="L32" s="275" t="n"/>
      <c r="M32" s="288">
        <f>'21'!M32+J32</f>
        <v/>
      </c>
      <c r="N32" s="275" t="n"/>
      <c r="P32" s="172" t="n"/>
      <c r="Q32" s="172" t="n"/>
      <c r="R32" s="172" t="n"/>
      <c r="S32" s="172" t="n"/>
      <c r="T32" s="172" t="n"/>
      <c r="U32" s="172" t="n"/>
      <c r="V32" s="305" t="n"/>
      <c r="W32" s="305" t="n"/>
      <c r="X32" s="305" t="n"/>
      <c r="Y32" s="305" t="n"/>
      <c r="Z32" s="305" t="n"/>
    </row>
    <row r="33" ht="21.9" customHeight="1" s="251">
      <c r="A33" s="104" t="inlineStr">
        <is>
          <t>소석회 BAG</t>
        </is>
      </c>
      <c r="B33" s="278" t="n"/>
      <c r="C33" s="279" t="n"/>
      <c r="D33" s="104">
        <f>'21'!G33</f>
        <v/>
      </c>
      <c r="E33" s="278" t="n"/>
      <c r="F33" s="279" t="n"/>
      <c r="G33" s="288" t="n">
        <v>0</v>
      </c>
      <c r="H33" s="274" t="n"/>
      <c r="I33" s="275" t="n"/>
      <c r="J33" s="288">
        <f>G33-D33</f>
        <v/>
      </c>
      <c r="K33" s="274" t="n"/>
      <c r="L33" s="275" t="n"/>
      <c r="M33" s="288">
        <f>'21'!M33+J33</f>
        <v/>
      </c>
      <c r="N33" s="275" t="n"/>
      <c r="P33" s="172" t="n"/>
      <c r="Q33" s="172" t="n"/>
      <c r="R33" s="172" t="n"/>
      <c r="S33" s="172" t="n"/>
      <c r="T33" s="172" t="n"/>
      <c r="U33" s="172" t="n"/>
      <c r="V33" s="305" t="n"/>
      <c r="W33" s="305" t="n"/>
      <c r="X33" s="305" t="n"/>
      <c r="Y33" s="305" t="n"/>
      <c r="Z33" s="305" t="n"/>
    </row>
  </sheetData>
  <mergeCells count="217">
    <mergeCell ref="V24:X24"/>
    <mergeCell ref="A15:B15"/>
    <mergeCell ref="P27:R27"/>
    <mergeCell ref="C15:D15"/>
    <mergeCell ref="S23:U23"/>
    <mergeCell ref="J27:L27"/>
    <mergeCell ref="S14:V15"/>
    <mergeCell ref="Y24:Z24"/>
    <mergeCell ref="U7:W7"/>
    <mergeCell ref="A26:C26"/>
    <mergeCell ref="G24:I24"/>
    <mergeCell ref="J25:L25"/>
    <mergeCell ref="D28:F28"/>
    <mergeCell ref="I16:J16"/>
    <mergeCell ref="A23:C23"/>
    <mergeCell ref="P6:Q6"/>
    <mergeCell ref="S24:U24"/>
    <mergeCell ref="P28:R28"/>
    <mergeCell ref="W1:X1"/>
    <mergeCell ref="Y1:Z1"/>
    <mergeCell ref="G26:I26"/>
    <mergeCell ref="S16:T17"/>
    <mergeCell ref="D30:F30"/>
    <mergeCell ref="U8:W8"/>
    <mergeCell ref="G18:H18"/>
    <mergeCell ref="B1:C1"/>
    <mergeCell ref="I18:J18"/>
    <mergeCell ref="H3:S3"/>
    <mergeCell ref="M16:N16"/>
    <mergeCell ref="P30:R30"/>
    <mergeCell ref="M25:N25"/>
    <mergeCell ref="D29:F29"/>
    <mergeCell ref="D23:F23"/>
    <mergeCell ref="Y25:Z25"/>
    <mergeCell ref="M18:N18"/>
    <mergeCell ref="M33:N33"/>
    <mergeCell ref="A17:B17"/>
    <mergeCell ref="S25:U25"/>
    <mergeCell ref="C17:D17"/>
    <mergeCell ref="U18:V20"/>
    <mergeCell ref="J29:L29"/>
    <mergeCell ref="M17:N17"/>
    <mergeCell ref="W18:X20"/>
    <mergeCell ref="G20:H20"/>
    <mergeCell ref="I20:J20"/>
    <mergeCell ref="S27:U27"/>
    <mergeCell ref="A19:B19"/>
    <mergeCell ref="V23:X23"/>
    <mergeCell ref="A6:C6"/>
    <mergeCell ref="Y2:Z3"/>
    <mergeCell ref="C19:D19"/>
    <mergeCell ref="Y18:Z20"/>
    <mergeCell ref="P22:U22"/>
    <mergeCell ref="M19:N19"/>
    <mergeCell ref="I13:J13"/>
    <mergeCell ref="K13:L13"/>
    <mergeCell ref="X7:Z7"/>
    <mergeCell ref="E12:F12"/>
    <mergeCell ref="J24:L24"/>
    <mergeCell ref="G12:H12"/>
    <mergeCell ref="D27:F27"/>
    <mergeCell ref="G28:I28"/>
    <mergeCell ref="G6:I6"/>
    <mergeCell ref="I15:J15"/>
    <mergeCell ref="A11:B11"/>
    <mergeCell ref="K15:L15"/>
    <mergeCell ref="S28:U28"/>
    <mergeCell ref="C14:D14"/>
    <mergeCell ref="E14:F14"/>
    <mergeCell ref="J26:L26"/>
    <mergeCell ref="G30:I30"/>
    <mergeCell ref="J7:L7"/>
    <mergeCell ref="V27:X27"/>
    <mergeCell ref="A32:C32"/>
    <mergeCell ref="A29:C29"/>
    <mergeCell ref="D25:F25"/>
    <mergeCell ref="V25:X25"/>
    <mergeCell ref="Y26:Z26"/>
    <mergeCell ref="M13:N13"/>
    <mergeCell ref="G32:I32"/>
    <mergeCell ref="J33:L33"/>
    <mergeCell ref="W14:Z15"/>
    <mergeCell ref="A31:C31"/>
    <mergeCell ref="S26:U26"/>
    <mergeCell ref="M27:N27"/>
    <mergeCell ref="I17:J17"/>
    <mergeCell ref="A24:C24"/>
    <mergeCell ref="Y27:Z27"/>
    <mergeCell ref="K17:L17"/>
    <mergeCell ref="P29:R29"/>
    <mergeCell ref="M24:N24"/>
    <mergeCell ref="E16:F16"/>
    <mergeCell ref="G27:I27"/>
    <mergeCell ref="J28:L28"/>
    <mergeCell ref="U2:V3"/>
    <mergeCell ref="D31:F31"/>
    <mergeCell ref="G16:H16"/>
    <mergeCell ref="I19:J19"/>
    <mergeCell ref="U1:V1"/>
    <mergeCell ref="G8:I8"/>
    <mergeCell ref="K19:L19"/>
    <mergeCell ref="C18:D18"/>
    <mergeCell ref="A7:C7"/>
    <mergeCell ref="E18:F18"/>
    <mergeCell ref="V29:X29"/>
    <mergeCell ref="J30:L30"/>
    <mergeCell ref="R6:T6"/>
    <mergeCell ref="K16:L16"/>
    <mergeCell ref="A25:C25"/>
    <mergeCell ref="J6:L6"/>
    <mergeCell ref="D1:E1"/>
    <mergeCell ref="D32:F32"/>
    <mergeCell ref="G11:H11"/>
    <mergeCell ref="I11:J11"/>
    <mergeCell ref="W11:Z11"/>
    <mergeCell ref="P23:R23"/>
    <mergeCell ref="D7:F7"/>
    <mergeCell ref="Y16:Z17"/>
    <mergeCell ref="S18:T20"/>
    <mergeCell ref="C20:D20"/>
    <mergeCell ref="Y30:Z30"/>
    <mergeCell ref="K11:L11"/>
    <mergeCell ref="E20:F20"/>
    <mergeCell ref="J32:L32"/>
    <mergeCell ref="M11:N11"/>
    <mergeCell ref="Y29:Z29"/>
    <mergeCell ref="H1:S2"/>
    <mergeCell ref="V26:X26"/>
    <mergeCell ref="E13:F13"/>
    <mergeCell ref="S30:U30"/>
    <mergeCell ref="G13:H13"/>
    <mergeCell ref="D8:F8"/>
    <mergeCell ref="G29:I29"/>
    <mergeCell ref="M31:N31"/>
    <mergeCell ref="D33:F33"/>
    <mergeCell ref="W12:Z13"/>
    <mergeCell ref="A12:B12"/>
    <mergeCell ref="A28:C28"/>
    <mergeCell ref="A1:A3"/>
    <mergeCell ref="C12:D12"/>
    <mergeCell ref="S29:U29"/>
    <mergeCell ref="M15:N15"/>
    <mergeCell ref="E15:F15"/>
    <mergeCell ref="M12:N12"/>
    <mergeCell ref="G15:H15"/>
    <mergeCell ref="G31:I31"/>
    <mergeCell ref="P18:R20"/>
    <mergeCell ref="Y28:Z28"/>
    <mergeCell ref="J8:L8"/>
    <mergeCell ref="A14:B14"/>
    <mergeCell ref="A30:C30"/>
    <mergeCell ref="M26:N26"/>
    <mergeCell ref="U6:W6"/>
    <mergeCell ref="P25:R25"/>
    <mergeCell ref="M29:N29"/>
    <mergeCell ref="M23:N23"/>
    <mergeCell ref="F2:G3"/>
    <mergeCell ref="G23:I23"/>
    <mergeCell ref="Y23:Z23"/>
    <mergeCell ref="U16:V17"/>
    <mergeCell ref="W16:X17"/>
    <mergeCell ref="D6:F6"/>
    <mergeCell ref="K18:L18"/>
    <mergeCell ref="G7:I7"/>
    <mergeCell ref="P12:R13"/>
    <mergeCell ref="F1:G1"/>
    <mergeCell ref="T1:T3"/>
    <mergeCell ref="V28:X28"/>
    <mergeCell ref="P11:R11"/>
    <mergeCell ref="P14:R15"/>
    <mergeCell ref="A27:C27"/>
    <mergeCell ref="W2:X3"/>
    <mergeCell ref="V30:X30"/>
    <mergeCell ref="E17:F17"/>
    <mergeCell ref="G17:H17"/>
    <mergeCell ref="G33:I33"/>
    <mergeCell ref="X6:Z6"/>
    <mergeCell ref="A33:C33"/>
    <mergeCell ref="K20:L20"/>
    <mergeCell ref="A16:B16"/>
    <mergeCell ref="C16:D16"/>
    <mergeCell ref="M20:N20"/>
    <mergeCell ref="A8:C8"/>
    <mergeCell ref="E19:F19"/>
    <mergeCell ref="P8:Q8"/>
    <mergeCell ref="J31:L31"/>
    <mergeCell ref="G19:H19"/>
    <mergeCell ref="A18:B18"/>
    <mergeCell ref="D24:F24"/>
    <mergeCell ref="G25:I25"/>
    <mergeCell ref="M30:N30"/>
    <mergeCell ref="I12:J12"/>
    <mergeCell ref="K12:L12"/>
    <mergeCell ref="P7:Q7"/>
    <mergeCell ref="P24:R24"/>
    <mergeCell ref="C11:D11"/>
    <mergeCell ref="E11:F11"/>
    <mergeCell ref="M28:N28"/>
    <mergeCell ref="J23:L23"/>
    <mergeCell ref="S11:V11"/>
    <mergeCell ref="G14:H14"/>
    <mergeCell ref="D26:F26"/>
    <mergeCell ref="R8:T8"/>
    <mergeCell ref="I14:J14"/>
    <mergeCell ref="K14:L14"/>
    <mergeCell ref="P26:R26"/>
    <mergeCell ref="P16:R17"/>
    <mergeCell ref="A20:B20"/>
    <mergeCell ref="B2:C3"/>
    <mergeCell ref="D2:E3"/>
    <mergeCell ref="M32:N32"/>
    <mergeCell ref="M14:N14"/>
    <mergeCell ref="X8:Z8"/>
    <mergeCell ref="A13:B13"/>
    <mergeCell ref="C13:D13"/>
    <mergeCell ref="R7:T7"/>
    <mergeCell ref="S12:V13"/>
  </mergeCells>
  <pageMargins left="0.7086614173228347" right="0.7086614173228347" top="0.7480314960629921" bottom="0.7480314960629921" header="0.3149606299212598" footer="0.3149606299212598"/>
  <pageSetup orientation="portrait" paperSize="9" scale="59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AE33"/>
  <sheetViews>
    <sheetView zoomScaleNormal="100" zoomScaleSheetLayoutView="100" workbookViewId="0">
      <selection activeCell="AA24" sqref="AA24"/>
    </sheetView>
  </sheetViews>
  <sheetFormatPr baseColWidth="8" defaultRowHeight="17.4"/>
  <cols>
    <col width="2.8984375" customWidth="1" style="251" min="1" max="1"/>
    <col width="5.59765625" customWidth="1" style="251" min="2" max="14"/>
    <col width="3.59765625" customWidth="1" style="251" min="15" max="15"/>
    <col width="4.59765625" customWidth="1" style="251" min="16" max="22"/>
    <col width="5.59765625" customWidth="1" style="251" min="23" max="26"/>
  </cols>
  <sheetData>
    <row r="1" ht="18.75" customHeight="1" s="251">
      <c r="A1" s="122" t="inlineStr">
        <is>
          <t>근
무
자</t>
        </is>
      </c>
      <c r="B1" s="120" t="inlineStr">
        <is>
          <t>오  전</t>
        </is>
      </c>
      <c r="C1" s="252" t="n"/>
      <c r="D1" s="120" t="inlineStr">
        <is>
          <t>오  후</t>
        </is>
      </c>
      <c r="E1" s="252" t="n"/>
      <c r="F1" s="120" t="inlineStr">
        <is>
          <t>야  간</t>
        </is>
      </c>
      <c r="G1" s="252" t="n"/>
      <c r="H1" s="253" t="inlineStr">
        <is>
          <t>유동상소각로 운전일지</t>
        </is>
      </c>
      <c r="S1" s="254" t="n"/>
      <c r="T1" s="255" t="inlineStr">
        <is>
          <t>결
재</t>
        </is>
      </c>
      <c r="U1" s="120" t="inlineStr">
        <is>
          <t>반장</t>
        </is>
      </c>
      <c r="V1" s="252" t="n"/>
      <c r="W1" s="120" t="inlineStr">
        <is>
          <t>대리</t>
        </is>
      </c>
      <c r="X1" s="252" t="n"/>
      <c r="Y1" s="120" t="inlineStr">
        <is>
          <t>팀장</t>
        </is>
      </c>
      <c r="Z1" s="252" t="n"/>
    </row>
    <row r="2" ht="14.25" customHeight="1" s="251">
      <c r="A2" s="256" t="n"/>
      <c r="B2" s="257" t="inlineStr">
        <is>
          <t>권정민</t>
        </is>
      </c>
      <c r="C2" s="258" t="n"/>
      <c r="D2" s="257" t="inlineStr">
        <is>
          <t>김동욱</t>
        </is>
      </c>
      <c r="E2" s="258" t="n"/>
      <c r="F2" s="257" t="inlineStr">
        <is>
          <t>임종민</t>
        </is>
      </c>
      <c r="G2" s="258" t="n"/>
      <c r="H2" s="259" t="n"/>
      <c r="I2" s="260" t="n"/>
      <c r="J2" s="260" t="n"/>
      <c r="K2" s="260" t="n"/>
      <c r="L2" s="260" t="n"/>
      <c r="M2" s="260" t="n"/>
      <c r="N2" s="260" t="n"/>
      <c r="O2" s="260" t="n"/>
      <c r="P2" s="260" t="n"/>
      <c r="Q2" s="260" t="n"/>
      <c r="R2" s="260" t="n"/>
      <c r="S2" s="261" t="n"/>
      <c r="T2" s="262" t="n"/>
      <c r="U2" s="105" t="n"/>
      <c r="V2" s="254" t="n"/>
      <c r="W2" s="105" t="n"/>
      <c r="X2" s="254" t="n"/>
      <c r="Y2" s="105" t="n"/>
      <c r="Z2" s="254" t="n"/>
    </row>
    <row r="3" ht="37.5" customHeight="1" s="251">
      <c r="A3" s="263" t="n"/>
      <c r="B3" s="264" t="n"/>
      <c r="C3" s="265" t="n"/>
      <c r="D3" s="264" t="n"/>
      <c r="E3" s="265" t="n"/>
      <c r="F3" s="264" t="n"/>
      <c r="G3" s="265" t="n"/>
      <c r="H3" s="266" t="n">
        <v>46226</v>
      </c>
      <c r="I3" s="267" t="n"/>
      <c r="J3" s="267" t="n"/>
      <c r="K3" s="267" t="n"/>
      <c r="L3" s="267" t="n"/>
      <c r="M3" s="267" t="n"/>
      <c r="N3" s="267" t="n"/>
      <c r="O3" s="267" t="n"/>
      <c r="P3" s="267" t="n"/>
      <c r="Q3" s="267" t="n"/>
      <c r="R3" s="267" t="n"/>
      <c r="S3" s="268" t="n"/>
      <c r="T3" s="269" t="n"/>
      <c r="U3" s="264" t="n"/>
      <c r="V3" s="265" t="n"/>
      <c r="W3" s="264" t="n"/>
      <c r="X3" s="265" t="n"/>
      <c r="Y3" s="264" t="n"/>
      <c r="Z3" s="265" t="n"/>
    </row>
    <row r="4" ht="13.5" customHeight="1" s="25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s="251">
      <c r="A5" s="1" t="inlineStr">
        <is>
          <t>1. 소각현황(KG)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inlineStr">
        <is>
          <t>2. BOILER 운전현황(TON, HR)</t>
        </is>
      </c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2.5" customHeight="1" s="251" thickBot="1">
      <c r="A6" s="136" t="inlineStr">
        <is>
          <t>구 분</t>
        </is>
      </c>
      <c r="B6" s="270" t="n"/>
      <c r="C6" s="271" t="n"/>
      <c r="D6" s="136" t="inlineStr">
        <is>
          <t>SRF소각량</t>
        </is>
      </c>
      <c r="E6" s="270" t="n"/>
      <c r="F6" s="271" t="n"/>
      <c r="G6" s="136" t="inlineStr">
        <is>
          <t>SLUDGE 소각량</t>
        </is>
      </c>
      <c r="H6" s="270" t="n"/>
      <c r="I6" s="271" t="n"/>
      <c r="J6" s="136" t="inlineStr">
        <is>
          <t>합 계</t>
        </is>
      </c>
      <c r="K6" s="270" t="n"/>
      <c r="L6" s="271" t="n"/>
      <c r="M6" s="1" t="n"/>
      <c r="N6" s="1" t="n"/>
      <c r="O6" s="1" t="n"/>
      <c r="P6" s="136" t="inlineStr">
        <is>
          <t>구 분</t>
        </is>
      </c>
      <c r="Q6" s="271" t="n"/>
      <c r="R6" s="136" t="inlineStr">
        <is>
          <t>스팀 생산량</t>
        </is>
      </c>
      <c r="S6" s="270" t="n"/>
      <c r="T6" s="271" t="n"/>
      <c r="U6" s="136" t="inlineStr">
        <is>
          <t>스팀 송기량</t>
        </is>
      </c>
      <c r="V6" s="270" t="n"/>
      <c r="W6" s="271" t="n"/>
      <c r="X6" s="136" t="inlineStr">
        <is>
          <t>가동시간</t>
        </is>
      </c>
      <c r="Y6" s="270" t="n"/>
      <c r="Z6" s="271" t="n"/>
    </row>
    <row r="7" ht="30" customHeight="1" s="251" thickTop="1">
      <c r="A7" s="105" t="inlineStr">
        <is>
          <t>금 일</t>
        </is>
      </c>
      <c r="B7" s="272" t="n"/>
      <c r="C7" s="265" t="n"/>
      <c r="D7" s="139" t="n">
        <v>72610</v>
      </c>
      <c r="E7" s="272" t="n"/>
      <c r="F7" s="265" t="n"/>
      <c r="G7" s="139" t="n">
        <v>188100</v>
      </c>
      <c r="H7" s="272" t="n"/>
      <c r="I7" s="265" t="n"/>
      <c r="J7" s="154">
        <f>D7+G7</f>
        <v/>
      </c>
      <c r="K7" s="278" t="n"/>
      <c r="L7" s="279" t="n"/>
      <c r="M7" s="1" t="n"/>
      <c r="N7" s="1" t="n"/>
      <c r="O7" s="1" t="n"/>
      <c r="P7" s="105" t="inlineStr">
        <is>
          <t>금 일</t>
        </is>
      </c>
      <c r="Q7" s="265" t="n"/>
      <c r="R7" s="276" t="n">
        <v>514.6</v>
      </c>
      <c r="S7" s="272" t="n"/>
      <c r="T7" s="265" t="n"/>
      <c r="U7" s="276" t="n">
        <v>418.2</v>
      </c>
      <c r="V7" s="272" t="n"/>
      <c r="W7" s="265" t="n"/>
      <c r="X7" s="277" t="n">
        <v>24</v>
      </c>
      <c r="Y7" s="272" t="n"/>
      <c r="Z7" s="265" t="n"/>
    </row>
    <row r="8" ht="30" customHeight="1" s="251">
      <c r="A8" s="104" t="inlineStr">
        <is>
          <t>누 계</t>
        </is>
      </c>
      <c r="B8" s="278" t="n"/>
      <c r="C8" s="279" t="n"/>
      <c r="D8" s="154">
        <f>'22'!D8+'23'!D7</f>
        <v/>
      </c>
      <c r="E8" s="278" t="n"/>
      <c r="F8" s="279" t="n"/>
      <c r="G8" s="154">
        <f>'22'!G8+'23'!G7</f>
        <v/>
      </c>
      <c r="H8" s="278" t="n"/>
      <c r="I8" s="279" t="n"/>
      <c r="J8" s="154">
        <f>D8+G8</f>
        <v/>
      </c>
      <c r="K8" s="278" t="n"/>
      <c r="L8" s="279" t="n"/>
      <c r="M8" s="1" t="n"/>
      <c r="N8" s="1" t="n"/>
      <c r="O8" s="1" t="n"/>
      <c r="P8" s="104" t="inlineStr">
        <is>
          <t>누 계</t>
        </is>
      </c>
      <c r="Q8" s="279" t="n"/>
      <c r="R8" s="280">
        <f>'22'!R8+R7</f>
        <v/>
      </c>
      <c r="S8" s="278" t="n"/>
      <c r="T8" s="279" t="n"/>
      <c r="U8" s="280">
        <f>'22'!U8+U7</f>
        <v/>
      </c>
      <c r="V8" s="278" t="n"/>
      <c r="W8" s="279" t="n"/>
      <c r="X8" s="281">
        <f>'22'!X8+'23'!X7</f>
        <v/>
      </c>
      <c r="Y8" s="278" t="n"/>
      <c r="Z8" s="279" t="n"/>
    </row>
    <row r="9" ht="12" customHeight="1" s="25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s="251">
      <c r="A10" s="1" t="inlineStr">
        <is>
          <t>3. 약품 사용현황 (KG)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inlineStr">
        <is>
          <t>4. 소각재 발생량 (TON, 대)</t>
        </is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30.75" customHeight="1" s="251" thickBot="1">
      <c r="A11" s="136" t="inlineStr">
        <is>
          <t>품 명</t>
        </is>
      </c>
      <c r="B11" s="271" t="n"/>
      <c r="C11" s="150" t="inlineStr">
        <is>
          <t>전일 
재고량</t>
        </is>
      </c>
      <c r="D11" s="271" t="n"/>
      <c r="E11" s="136" t="inlineStr">
        <is>
          <t>입고량</t>
        </is>
      </c>
      <c r="F11" s="271" t="n"/>
      <c r="G11" s="136" t="inlineStr">
        <is>
          <t>사용량</t>
        </is>
      </c>
      <c r="H11" s="271" t="n"/>
      <c r="I11" s="282" t="inlineStr">
        <is>
          <t>재고량</t>
        </is>
      </c>
      <c r="J11" s="271" t="n"/>
      <c r="K11" s="150" t="inlineStr">
        <is>
          <t>입고량 
누계</t>
        </is>
      </c>
      <c r="L11" s="271" t="n"/>
      <c r="M11" s="150" t="inlineStr">
        <is>
          <t>사용량 
누계</t>
        </is>
      </c>
      <c r="N11" s="271" t="n"/>
      <c r="O11" s="1" t="n"/>
      <c r="P11" s="136" t="inlineStr">
        <is>
          <t xml:space="preserve"> 구 분</t>
        </is>
      </c>
      <c r="Q11" s="270" t="n"/>
      <c r="R11" s="271" t="n"/>
      <c r="S11" s="282" t="inlineStr">
        <is>
          <t>반출량</t>
        </is>
      </c>
      <c r="T11" s="270" t="n"/>
      <c r="U11" s="270" t="n"/>
      <c r="V11" s="271" t="n"/>
      <c r="W11" s="282" t="inlineStr">
        <is>
          <t>누계</t>
        </is>
      </c>
      <c r="X11" s="270" t="n"/>
      <c r="Y11" s="270" t="n"/>
      <c r="Z11" s="271" t="n"/>
    </row>
    <row r="12" ht="21.9" customHeight="1" s="251" thickTop="1">
      <c r="A12" s="142" t="inlineStr">
        <is>
          <t>탄산암모늄</t>
        </is>
      </c>
      <c r="B12" s="265" t="n"/>
      <c r="C12" s="310">
        <f>'22'!I12</f>
        <v/>
      </c>
      <c r="D12" s="265" t="n"/>
      <c r="E12" s="105" t="n">
        <v>0</v>
      </c>
      <c r="F12" s="265" t="n"/>
      <c r="G12" s="105" t="n">
        <v>4306</v>
      </c>
      <c r="H12" s="265" t="n"/>
      <c r="I12" s="164">
        <f>C12+E12-G12</f>
        <v/>
      </c>
      <c r="J12" s="283" t="n"/>
      <c r="K12" s="105">
        <f>'22'!K12+'23'!E12</f>
        <v/>
      </c>
      <c r="L12" s="265" t="n"/>
      <c r="M12" s="105">
        <f>'22'!M12+G12</f>
        <v/>
      </c>
      <c r="N12" s="265" t="n"/>
      <c r="O12" s="1" t="n"/>
      <c r="P12" s="149" t="inlineStr">
        <is>
          <t xml:space="preserve">
비산재
</t>
        </is>
      </c>
      <c r="R12" s="254" t="n"/>
      <c r="S12" s="284" t="n">
        <v>58.12</v>
      </c>
      <c r="T12" s="285" t="n"/>
      <c r="U12" s="285" t="n"/>
      <c r="V12" s="285" t="n"/>
      <c r="W12" s="318">
        <f>'22'!W12+'23'!S12</f>
        <v/>
      </c>
      <c r="X12" s="285" t="n"/>
      <c r="Y12" s="285" t="n"/>
      <c r="Z12" s="287" t="n"/>
    </row>
    <row r="13" ht="21.9" customHeight="1" s="251">
      <c r="A13" s="104" t="inlineStr">
        <is>
          <t>청관제</t>
        </is>
      </c>
      <c r="B13" s="279" t="n"/>
      <c r="C13" s="310">
        <f>'22'!I13</f>
        <v/>
      </c>
      <c r="D13" s="265" t="n"/>
      <c r="E13" s="104" t="n">
        <v>0</v>
      </c>
      <c r="F13" s="279" t="n"/>
      <c r="G13" s="104" t="n">
        <v>70</v>
      </c>
      <c r="H13" s="279" t="n"/>
      <c r="I13" s="288">
        <f>C13+E13-G13</f>
        <v/>
      </c>
      <c r="J13" s="275" t="n"/>
      <c r="K13" s="288">
        <f>'22'!K13+'23'!E13</f>
        <v/>
      </c>
      <c r="L13" s="275" t="n"/>
      <c r="M13" s="288">
        <f>'22'!M13+G13</f>
        <v/>
      </c>
      <c r="N13" s="275" t="n"/>
      <c r="O13" s="1" t="n"/>
      <c r="P13" s="264" t="n"/>
      <c r="Q13" s="272" t="n"/>
      <c r="R13" s="265" t="n"/>
      <c r="S13" s="289" t="n"/>
      <c r="T13" s="290" t="n"/>
      <c r="U13" s="290" t="n"/>
      <c r="V13" s="290" t="n"/>
      <c r="W13" s="264" t="n"/>
      <c r="X13" s="272" t="n"/>
      <c r="Y13" s="272" t="n"/>
      <c r="Z13" s="265" t="n"/>
    </row>
    <row r="14" ht="21.9" customHeight="1" s="251">
      <c r="A14" s="104" t="inlineStr">
        <is>
          <t>활성탄</t>
        </is>
      </c>
      <c r="B14" s="279" t="n"/>
      <c r="C14" s="310">
        <f>'22'!I14</f>
        <v/>
      </c>
      <c r="D14" s="265" t="n"/>
      <c r="E14" s="104" t="n">
        <v>0</v>
      </c>
      <c r="F14" s="279" t="n"/>
      <c r="G14" s="104" t="n">
        <v>120</v>
      </c>
      <c r="H14" s="279" t="n"/>
      <c r="I14" s="288">
        <f>C14+E14-G14</f>
        <v/>
      </c>
      <c r="J14" s="275" t="n"/>
      <c r="K14" s="288">
        <f>'22'!K14+'23'!E14</f>
        <v/>
      </c>
      <c r="L14" s="275" t="n"/>
      <c r="M14" s="288">
        <f>'22'!M14+G14</f>
        <v/>
      </c>
      <c r="N14" s="275" t="n"/>
      <c r="O14" s="1" t="n"/>
      <c r="P14" s="104" t="inlineStr">
        <is>
          <t>바닥재</t>
        </is>
      </c>
      <c r="Q14" s="291" t="n"/>
      <c r="R14" s="292" t="n"/>
      <c r="S14" s="293" t="n">
        <v>0</v>
      </c>
      <c r="T14" s="291" t="n"/>
      <c r="U14" s="291" t="n"/>
      <c r="V14" s="291" t="n"/>
      <c r="W14" s="311">
        <f>'22'!W14+'23'!S14</f>
        <v/>
      </c>
      <c r="X14" s="291" t="n"/>
      <c r="Y14" s="291" t="n"/>
      <c r="Z14" s="295" t="n"/>
    </row>
    <row r="15" ht="21.9" customHeight="1" s="251">
      <c r="A15" s="104" t="inlineStr">
        <is>
          <t>가성소다</t>
        </is>
      </c>
      <c r="B15" s="279" t="n"/>
      <c r="C15" s="310">
        <f>'22'!I15</f>
        <v/>
      </c>
      <c r="D15" s="265" t="n"/>
      <c r="E15" s="104" t="n">
        <v>0</v>
      </c>
      <c r="F15" s="279" t="n"/>
      <c r="G15" s="104" t="n">
        <v>20</v>
      </c>
      <c r="H15" s="279" t="n"/>
      <c r="I15" s="288">
        <f>C15+E15-G15</f>
        <v/>
      </c>
      <c r="J15" s="275" t="n"/>
      <c r="K15" s="288">
        <f>'22'!K15+'23'!E15</f>
        <v/>
      </c>
      <c r="L15" s="275" t="n"/>
      <c r="M15" s="288">
        <f>'22'!M15+G15</f>
        <v/>
      </c>
      <c r="N15" s="275" t="n"/>
      <c r="O15" s="1" t="n"/>
      <c r="P15" s="296" t="n"/>
      <c r="Q15" s="290" t="n"/>
      <c r="R15" s="297" t="n"/>
      <c r="S15" s="296" t="n"/>
      <c r="T15" s="290" t="n"/>
      <c r="U15" s="290" t="n"/>
      <c r="V15" s="290" t="n"/>
      <c r="W15" s="298" t="n"/>
      <c r="X15" s="272" t="n"/>
      <c r="Y15" s="272" t="n"/>
      <c r="Z15" s="265" t="n"/>
    </row>
    <row r="16" ht="21.9" customHeight="1" s="251">
      <c r="A16" s="104" t="inlineStr">
        <is>
          <t>소석회</t>
        </is>
      </c>
      <c r="B16" s="279" t="n"/>
      <c r="C16" s="310">
        <f>'22'!I16</f>
        <v/>
      </c>
      <c r="D16" s="265" t="n"/>
      <c r="E16" s="104" t="n">
        <v>0</v>
      </c>
      <c r="F16" s="279" t="n"/>
      <c r="G16" s="104" t="n">
        <v>20</v>
      </c>
      <c r="H16" s="279" t="n"/>
      <c r="I16" s="288">
        <f>C16+E16-G16</f>
        <v/>
      </c>
      <c r="J16" s="275" t="n"/>
      <c r="K16" s="288">
        <f>'22'!K16+'23'!E16</f>
        <v/>
      </c>
      <c r="L16" s="275" t="n"/>
      <c r="M16" s="288">
        <f>'22'!M16+G16</f>
        <v/>
      </c>
      <c r="N16" s="275" t="n"/>
      <c r="O16" s="1" t="n"/>
      <c r="P16" s="162" t="inlineStr">
        <is>
          <t>구분</t>
        </is>
      </c>
      <c r="Q16" s="291" t="n"/>
      <c r="R16" s="292" t="n"/>
      <c r="S16" s="299" t="inlineStr">
        <is>
          <t>주간</t>
        </is>
      </c>
      <c r="T16" s="292" t="n"/>
      <c r="U16" s="299" t="inlineStr">
        <is>
          <t>야간</t>
        </is>
      </c>
      <c r="V16" s="292" t="n"/>
      <c r="W16" s="299" t="inlineStr">
        <is>
          <t>합계</t>
        </is>
      </c>
      <c r="X16" s="292" t="n"/>
      <c r="Y16" s="299" t="inlineStr">
        <is>
          <t>누계</t>
        </is>
      </c>
      <c r="Z16" s="292" t="n"/>
    </row>
    <row r="17" ht="21.9" customHeight="1" s="251" thickBot="1">
      <c r="A17" s="104" t="inlineStr">
        <is>
          <t>소 금</t>
        </is>
      </c>
      <c r="B17" s="279" t="n"/>
      <c r="C17" s="310">
        <f>'22'!I17</f>
        <v/>
      </c>
      <c r="D17" s="265" t="n"/>
      <c r="E17" s="104" t="n">
        <v>0</v>
      </c>
      <c r="F17" s="279" t="n"/>
      <c r="G17" s="104" t="n">
        <v>200</v>
      </c>
      <c r="H17" s="279" t="n"/>
      <c r="I17" s="288">
        <f>C17+E17-G17</f>
        <v/>
      </c>
      <c r="J17" s="275" t="n"/>
      <c r="K17" s="288">
        <f>'22'!K17+'23'!E17</f>
        <v/>
      </c>
      <c r="L17" s="275" t="n"/>
      <c r="M17" s="288">
        <f>'22'!M17+G17</f>
        <v/>
      </c>
      <c r="N17" s="275" t="n"/>
      <c r="O17" s="1" t="n"/>
      <c r="P17" s="296" t="n"/>
      <c r="Q17" s="290" t="n"/>
      <c r="R17" s="297" t="n"/>
      <c r="S17" s="300" t="n"/>
      <c r="T17" s="301" t="n"/>
      <c r="U17" s="300" t="n"/>
      <c r="V17" s="301" t="n"/>
      <c r="W17" s="300" t="n"/>
      <c r="X17" s="301" t="n"/>
      <c r="Y17" s="300" t="n"/>
      <c r="Z17" s="301" t="n"/>
      <c r="AE17" s="302" t="n"/>
    </row>
    <row r="18" ht="21.9" customHeight="1" s="251" thickTop="1">
      <c r="A18" s="104" t="inlineStr">
        <is>
          <t>경 유</t>
        </is>
      </c>
      <c r="B18" s="279" t="n"/>
      <c r="C18" s="310">
        <f>'22'!I18</f>
        <v/>
      </c>
      <c r="D18" s="265" t="n"/>
      <c r="E18" s="104" t="n">
        <v>0</v>
      </c>
      <c r="F18" s="279" t="n"/>
      <c r="G18" s="104" t="n">
        <v>0</v>
      </c>
      <c r="H18" s="279" t="n"/>
      <c r="I18" s="288">
        <f>C18+E18-G18</f>
        <v/>
      </c>
      <c r="J18" s="275" t="n"/>
      <c r="K18" s="288">
        <f>'22'!K18+'23'!E18</f>
        <v/>
      </c>
      <c r="L18" s="275" t="n"/>
      <c r="M18" s="288">
        <f>'22'!M18+G18</f>
        <v/>
      </c>
      <c r="N18" s="275" t="n"/>
      <c r="O18" s="1" t="n"/>
      <c r="P18" s="164" t="inlineStr">
        <is>
          <t>불연물</t>
        </is>
      </c>
      <c r="Q18" s="285" t="n"/>
      <c r="R18" s="287" t="n"/>
      <c r="S18" s="303" t="n">
        <v>1</v>
      </c>
      <c r="T18" s="287" t="n"/>
      <c r="U18" s="303" t="n">
        <v>2</v>
      </c>
      <c r="V18" s="287" t="n"/>
      <c r="W18" s="303">
        <f>S18+U18</f>
        <v/>
      </c>
      <c r="X18" s="287" t="n"/>
      <c r="Y18" s="303">
        <f>'22'!Y18+'23'!W18</f>
        <v/>
      </c>
      <c r="Z18" s="287" t="n"/>
    </row>
    <row r="19" ht="21.9" customHeight="1" s="251">
      <c r="A19" s="153" t="inlineStr">
        <is>
          <t>SRF</t>
        </is>
      </c>
      <c r="B19" s="279" t="n"/>
      <c r="C19" s="310">
        <f>'22'!I19</f>
        <v/>
      </c>
      <c r="D19" s="265" t="n"/>
      <c r="E19" s="154" t="n">
        <v>96960</v>
      </c>
      <c r="F19" s="279" t="n"/>
      <c r="G19" s="154">
        <f>D7</f>
        <v/>
      </c>
      <c r="H19" s="279" t="n"/>
      <c r="I19" s="273">
        <f>C19+E19-G19</f>
        <v/>
      </c>
      <c r="J19" s="275" t="n"/>
      <c r="K19" s="273">
        <f>'22'!K19+'23'!E19</f>
        <v/>
      </c>
      <c r="L19" s="275" t="n"/>
      <c r="M19" s="273">
        <f>'22'!M19+G19</f>
        <v/>
      </c>
      <c r="N19" s="275" t="n"/>
      <c r="O19" s="1" t="n"/>
      <c r="P19" s="256" t="n"/>
      <c r="R19" s="254" t="n"/>
      <c r="S19" s="256" t="n"/>
      <c r="T19" s="254" t="n"/>
      <c r="U19" s="256" t="n"/>
      <c r="V19" s="254" t="n"/>
      <c r="W19" s="256" t="n"/>
      <c r="X19" s="254" t="n"/>
      <c r="Y19" s="256" t="n"/>
      <c r="Z19" s="254" t="n"/>
    </row>
    <row r="20" ht="21.9" customHeight="1" s="251">
      <c r="A20" s="104" t="inlineStr">
        <is>
          <t>규 사</t>
        </is>
      </c>
      <c r="B20" s="279" t="n"/>
      <c r="C20" s="310">
        <f>'22'!I20</f>
        <v/>
      </c>
      <c r="D20" s="265" t="n"/>
      <c r="E20" s="288" t="n"/>
      <c r="F20" s="275" t="n"/>
      <c r="G20" s="104" t="n"/>
      <c r="H20" s="279" t="n"/>
      <c r="I20" s="288" t="inlineStr">
        <is>
          <t>-</t>
        </is>
      </c>
      <c r="J20" s="275" t="n"/>
      <c r="K20" s="105">
        <f>'22'!K20+'23'!E20</f>
        <v/>
      </c>
      <c r="L20" s="265" t="n"/>
      <c r="M20" s="273">
        <f>'22'!M20+G20</f>
        <v/>
      </c>
      <c r="N20" s="275" t="n"/>
      <c r="O20" s="1" t="n"/>
      <c r="P20" s="264" t="n"/>
      <c r="Q20" s="272" t="n"/>
      <c r="R20" s="265" t="n"/>
      <c r="S20" s="264" t="n"/>
      <c r="T20" s="265" t="n"/>
      <c r="U20" s="264" t="n"/>
      <c r="V20" s="265" t="n"/>
      <c r="W20" s="264" t="n"/>
      <c r="X20" s="265" t="n"/>
      <c r="Y20" s="264" t="n"/>
      <c r="Z20" s="265" t="n"/>
    </row>
    <row r="21" ht="12" customHeight="1" s="25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s="251">
      <c r="A22" s="1" t="inlineStr">
        <is>
          <t>5. 전력 사용량 (KWH)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10" t="inlineStr">
        <is>
          <t>6. 유틸리티 사용현황 (㎥)</t>
        </is>
      </c>
      <c r="Q22" s="290" t="n"/>
      <c r="R22" s="290" t="n"/>
      <c r="S22" s="290" t="n"/>
      <c r="T22" s="290" t="n"/>
      <c r="U22" s="290" t="n"/>
      <c r="V22" s="1" t="n"/>
      <c r="W22" s="1" t="n"/>
      <c r="X22" s="1" t="n"/>
      <c r="Y22" s="1" t="n"/>
      <c r="Z22" s="1" t="n"/>
    </row>
    <row r="23" ht="28.5" customHeight="1" s="251" thickBot="1">
      <c r="A23" s="136" t="inlineStr">
        <is>
          <t>구 분</t>
        </is>
      </c>
      <c r="B23" s="270" t="n"/>
      <c r="C23" s="271" t="n"/>
      <c r="D23" s="136" t="inlineStr">
        <is>
          <t>전일지침</t>
        </is>
      </c>
      <c r="E23" s="270" t="n"/>
      <c r="F23" s="271" t="n"/>
      <c r="G23" s="136" t="inlineStr">
        <is>
          <t>금일지침</t>
        </is>
      </c>
      <c r="H23" s="270" t="n"/>
      <c r="I23" s="271" t="n"/>
      <c r="J23" s="136" t="inlineStr">
        <is>
          <t>사용량</t>
        </is>
      </c>
      <c r="K23" s="270" t="n"/>
      <c r="L23" s="271" t="n"/>
      <c r="M23" s="136" t="inlineStr">
        <is>
          <t>누 계</t>
        </is>
      </c>
      <c r="N23" s="271" t="n"/>
      <c r="P23" s="136" t="inlineStr">
        <is>
          <t>구 분</t>
        </is>
      </c>
      <c r="Q23" s="270" t="n"/>
      <c r="R23" s="271" t="n"/>
      <c r="S23" s="136" t="inlineStr">
        <is>
          <t>전일 사용량</t>
        </is>
      </c>
      <c r="T23" s="270" t="n"/>
      <c r="U23" s="271" t="n"/>
      <c r="V23" s="136" t="inlineStr">
        <is>
          <t>금일 사용량</t>
        </is>
      </c>
      <c r="W23" s="270" t="n"/>
      <c r="X23" s="271" t="n"/>
      <c r="Y23" s="136" t="inlineStr">
        <is>
          <t>누 계</t>
        </is>
      </c>
      <c r="Z23" s="271" t="n"/>
    </row>
    <row r="24" ht="21.9" customHeight="1" s="251" thickTop="1">
      <c r="A24" s="105" t="inlineStr">
        <is>
          <t>MAIN</t>
        </is>
      </c>
      <c r="B24" s="272" t="n"/>
      <c r="C24" s="265" t="n"/>
      <c r="D24" s="187">
        <f>'22'!G24</f>
        <v/>
      </c>
      <c r="E24" s="285" t="n"/>
      <c r="F24" s="287" t="n"/>
      <c r="G24" s="164" t="n">
        <v>4193153</v>
      </c>
      <c r="H24" s="304" t="n"/>
      <c r="I24" s="283" t="n"/>
      <c r="J24" s="164">
        <f>G24-D24</f>
        <v/>
      </c>
      <c r="K24" s="304" t="n"/>
      <c r="L24" s="283" t="n"/>
      <c r="M24" s="164">
        <f>'22'!M24+J24</f>
        <v/>
      </c>
      <c r="N24" s="283" t="n"/>
      <c r="P24" s="105" t="inlineStr">
        <is>
          <t>재이용수</t>
        </is>
      </c>
      <c r="Q24" s="272" t="n"/>
      <c r="R24" s="265" t="n"/>
      <c r="S24" s="105">
        <f>'22'!V24</f>
        <v/>
      </c>
      <c r="T24" s="272" t="n"/>
      <c r="U24" s="265" t="n"/>
      <c r="V24" s="276" t="n">
        <v>536.5</v>
      </c>
      <c r="W24" s="272" t="n"/>
      <c r="X24" s="265" t="n"/>
      <c r="Y24" s="276">
        <f>'22'!Y24+'23'!V24</f>
        <v/>
      </c>
      <c r="Z24" s="265" t="n"/>
    </row>
    <row r="25" ht="21.9" customHeight="1" s="251">
      <c r="A25" s="104" t="inlineStr">
        <is>
          <t>ASH 저장조</t>
        </is>
      </c>
      <c r="B25" s="278" t="n"/>
      <c r="C25" s="279" t="n"/>
      <c r="D25" s="104">
        <f>'22'!G25</f>
        <v/>
      </c>
      <c r="E25" s="278" t="n"/>
      <c r="F25" s="279" t="n"/>
      <c r="G25" s="104" t="n">
        <v>33545.2</v>
      </c>
      <c r="H25" s="278" t="n"/>
      <c r="I25" s="279" t="n"/>
      <c r="J25" s="104">
        <f>G25-D25</f>
        <v/>
      </c>
      <c r="K25" s="278" t="n"/>
      <c r="L25" s="279" t="n"/>
      <c r="M25" s="288">
        <f>'22'!M25+J25</f>
        <v/>
      </c>
      <c r="N25" s="275" t="n"/>
      <c r="P25" s="104" t="inlineStr">
        <is>
          <t>복류수</t>
        </is>
      </c>
      <c r="Q25" s="278" t="n"/>
      <c r="R25" s="279" t="n"/>
      <c r="S25" s="288">
        <f>'22'!V25</f>
        <v/>
      </c>
      <c r="T25" s="274" t="n"/>
      <c r="U25" s="275" t="n"/>
      <c r="V25" s="280" t="n">
        <v>67.8</v>
      </c>
      <c r="W25" s="278" t="n"/>
      <c r="X25" s="279" t="n"/>
      <c r="Y25" s="316">
        <f>'22'!Y25+'23'!V25</f>
        <v/>
      </c>
      <c r="Z25" s="275" t="n"/>
    </row>
    <row r="26" ht="21.9" customHeight="1" s="251">
      <c r="A26" s="104" t="inlineStr">
        <is>
          <t>BAG FILTER</t>
        </is>
      </c>
      <c r="B26" s="278" t="n"/>
      <c r="C26" s="279" t="n"/>
      <c r="D26" s="104">
        <f>'22'!G26</f>
        <v/>
      </c>
      <c r="E26" s="278" t="n"/>
      <c r="F26" s="279" t="n"/>
      <c r="G26" s="104" t="n">
        <v>24780</v>
      </c>
      <c r="H26" s="278" t="n"/>
      <c r="I26" s="279" t="n"/>
      <c r="J26" s="104">
        <f>G26-D26</f>
        <v/>
      </c>
      <c r="K26" s="278" t="n"/>
      <c r="L26" s="279" t="n"/>
      <c r="M26" s="288">
        <f>'22'!M26+J26</f>
        <v/>
      </c>
      <c r="N26" s="275" t="n"/>
      <c r="P26" s="104" t="inlineStr">
        <is>
          <t>응축수</t>
        </is>
      </c>
      <c r="Q26" s="278" t="n"/>
      <c r="R26" s="279" t="n"/>
      <c r="S26" s="288">
        <f>'22'!V26</f>
        <v/>
      </c>
      <c r="T26" s="274" t="n"/>
      <c r="U26" s="275" t="n"/>
      <c r="V26" s="280" t="n">
        <v>556.5</v>
      </c>
      <c r="W26" s="278" t="n"/>
      <c r="X26" s="279" t="n"/>
      <c r="Y26" s="316">
        <f>'22'!Y26+'23'!V26</f>
        <v/>
      </c>
      <c r="Z26" s="275" t="n"/>
    </row>
    <row r="27" ht="21.9" customHeight="1" s="251">
      <c r="A27" s="104" t="inlineStr">
        <is>
          <t>SCRUBBER</t>
        </is>
      </c>
      <c r="B27" s="278" t="n"/>
      <c r="C27" s="279" t="n"/>
      <c r="D27" s="104">
        <f>'22'!G27</f>
        <v/>
      </c>
      <c r="E27" s="278" t="n"/>
      <c r="F27" s="279" t="n"/>
      <c r="G27" s="104" t="n">
        <v>1415000</v>
      </c>
      <c r="H27" s="278" t="n"/>
      <c r="I27" s="279" t="n"/>
      <c r="J27" s="104">
        <f>G27-D27</f>
        <v/>
      </c>
      <c r="K27" s="278" t="n"/>
      <c r="L27" s="279" t="n"/>
      <c r="M27" s="288">
        <f>'22'!M27+J27</f>
        <v/>
      </c>
      <c r="N27" s="275" t="n"/>
      <c r="P27" s="104" t="inlineStr">
        <is>
          <t>보일러 급수</t>
        </is>
      </c>
      <c r="Q27" s="278" t="n"/>
      <c r="R27" s="279" t="n"/>
      <c r="S27" s="288">
        <f>'22'!V27</f>
        <v/>
      </c>
      <c r="T27" s="274" t="n"/>
      <c r="U27" s="275" t="n"/>
      <c r="V27" s="280" t="n">
        <v>527.8</v>
      </c>
      <c r="W27" s="278" t="n"/>
      <c r="X27" s="279" t="n"/>
      <c r="Y27" s="316">
        <f>'22'!Y27+'23'!V27</f>
        <v/>
      </c>
      <c r="Z27" s="275" t="n"/>
    </row>
    <row r="28" ht="21.9" customHeight="1" s="251">
      <c r="A28" s="104" t="inlineStr">
        <is>
          <t>활성탄 공급</t>
        </is>
      </c>
      <c r="B28" s="278" t="n"/>
      <c r="C28" s="279" t="n"/>
      <c r="D28" s="104">
        <f>'22'!G28</f>
        <v/>
      </c>
      <c r="E28" s="278" t="n"/>
      <c r="F28" s="279" t="n"/>
      <c r="G28" s="104" t="n">
        <v>6187</v>
      </c>
      <c r="H28" s="278" t="n"/>
      <c r="I28" s="279" t="n"/>
      <c r="J28" s="104">
        <f>G28-D28</f>
        <v/>
      </c>
      <c r="K28" s="278" t="n"/>
      <c r="L28" s="279" t="n"/>
      <c r="M28" s="288">
        <f>'22'!M28+J28</f>
        <v/>
      </c>
      <c r="N28" s="275" t="n"/>
      <c r="P28" s="104" t="inlineStr">
        <is>
          <t>폐 수</t>
        </is>
      </c>
      <c r="Q28" s="278" t="n"/>
      <c r="R28" s="279" t="n"/>
      <c r="S28" s="288">
        <f>'22'!V28</f>
        <v/>
      </c>
      <c r="T28" s="274" t="n"/>
      <c r="U28" s="275" t="n"/>
      <c r="V28" s="280" t="n">
        <v>0</v>
      </c>
      <c r="W28" s="278" t="n"/>
      <c r="X28" s="279" t="n"/>
      <c r="Y28" s="316">
        <f>'22'!Y28+'23'!V28</f>
        <v/>
      </c>
      <c r="Z28" s="275" t="n"/>
    </row>
    <row r="29" ht="21.9" customHeight="1" s="251">
      <c r="A29" s="104" t="inlineStr">
        <is>
          <t>소석회 공급</t>
        </is>
      </c>
      <c r="B29" s="278" t="n"/>
      <c r="C29" s="279" t="n"/>
      <c r="D29" s="104">
        <f>'22'!G29</f>
        <v/>
      </c>
      <c r="E29" s="278" t="n"/>
      <c r="F29" s="279" t="n"/>
      <c r="G29" s="104" t="n">
        <v>66250</v>
      </c>
      <c r="H29" s="278" t="n"/>
      <c r="I29" s="279" t="n"/>
      <c r="J29" s="104">
        <f>G29-D29</f>
        <v/>
      </c>
      <c r="K29" s="278" t="n"/>
      <c r="L29" s="279" t="n"/>
      <c r="M29" s="288">
        <f>'22'!M29+J29</f>
        <v/>
      </c>
      <c r="N29" s="275" t="n"/>
      <c r="P29" s="104" t="inlineStr">
        <is>
          <t>연 수</t>
        </is>
      </c>
      <c r="Q29" s="278" t="n"/>
      <c r="R29" s="279" t="n"/>
      <c r="S29" s="288">
        <f>'22'!V29</f>
        <v/>
      </c>
      <c r="T29" s="274" t="n"/>
      <c r="U29" s="275" t="n"/>
      <c r="V29" s="280" t="n">
        <v>79.90000000000001</v>
      </c>
      <c r="W29" s="278" t="n"/>
      <c r="X29" s="279" t="n"/>
      <c r="Y29" s="316">
        <f>'22'!Y29+'23'!V29</f>
        <v/>
      </c>
      <c r="Z29" s="275" t="n"/>
    </row>
    <row r="30" ht="21.9" customHeight="1" s="251">
      <c r="A30" s="104" t="inlineStr">
        <is>
          <t>요소수 공급</t>
        </is>
      </c>
      <c r="B30" s="278" t="n"/>
      <c r="C30" s="279" t="n"/>
      <c r="D30" s="104">
        <f>'22'!G30</f>
        <v/>
      </c>
      <c r="E30" s="278" t="n"/>
      <c r="F30" s="279" t="n"/>
      <c r="G30" s="104" t="n">
        <v>53510</v>
      </c>
      <c r="H30" s="278" t="n"/>
      <c r="I30" s="279" t="n"/>
      <c r="J30" s="104">
        <f>G30-D30</f>
        <v/>
      </c>
      <c r="K30" s="278" t="n"/>
      <c r="L30" s="279" t="n"/>
      <c r="M30" s="288">
        <f>'22'!M30+J30</f>
        <v/>
      </c>
      <c r="N30" s="275" t="n"/>
      <c r="P30" s="104" t="inlineStr">
        <is>
          <t>계</t>
        </is>
      </c>
      <c r="Q30" s="278" t="n"/>
      <c r="R30" s="279" t="n"/>
      <c r="S30" s="288">
        <f>'22'!V30</f>
        <v/>
      </c>
      <c r="T30" s="274" t="n"/>
      <c r="U30" s="275" t="n"/>
      <c r="V30" s="280" t="n"/>
      <c r="W30" s="278" t="n"/>
      <c r="X30" s="279" t="n"/>
      <c r="Y30" s="316">
        <f>'22'!Y30+'23'!V30</f>
        <v/>
      </c>
      <c r="Z30" s="275" t="n"/>
    </row>
    <row r="31" ht="21.9" customHeight="1" s="251">
      <c r="A31" s="104" t="inlineStr">
        <is>
          <t xml:space="preserve">F.D </t>
        </is>
      </c>
      <c r="B31" s="278" t="n"/>
      <c r="C31" s="279" t="n"/>
      <c r="D31" s="104">
        <f>'22'!G31</f>
        <v/>
      </c>
      <c r="E31" s="278" t="n"/>
      <c r="F31" s="279" t="n"/>
      <c r="G31" s="288" t="n">
        <v>6381626</v>
      </c>
      <c r="H31" s="274" t="n"/>
      <c r="I31" s="275" t="n"/>
      <c r="J31" s="104">
        <f>G31-D31</f>
        <v/>
      </c>
      <c r="K31" s="278" t="n"/>
      <c r="L31" s="279" t="n"/>
      <c r="M31" s="288">
        <f>'22'!M31+J31</f>
        <v/>
      </c>
      <c r="N31" s="275" t="n"/>
      <c r="P31" s="172" t="n"/>
      <c r="Q31" s="172" t="n"/>
      <c r="R31" s="172" t="n"/>
      <c r="S31" s="172" t="n"/>
      <c r="T31" s="172" t="n"/>
      <c r="U31" s="172" t="n"/>
      <c r="V31" s="305" t="n"/>
      <c r="W31" s="305" t="n"/>
      <c r="X31" s="305" t="n"/>
      <c r="Y31" s="305" t="n"/>
      <c r="Z31" s="305" t="n"/>
    </row>
    <row r="32" ht="21.9" customHeight="1" s="251">
      <c r="A32" s="104" t="inlineStr">
        <is>
          <t>활성탄 BAG</t>
        </is>
      </c>
      <c r="B32" s="278" t="n"/>
      <c r="C32" s="279" t="n"/>
      <c r="D32" s="104">
        <f>'22'!G32</f>
        <v/>
      </c>
      <c r="E32" s="278" t="n"/>
      <c r="F32" s="279" t="n"/>
      <c r="G32" s="288" t="n">
        <v>1.7</v>
      </c>
      <c r="H32" s="274" t="n"/>
      <c r="I32" s="275" t="n"/>
      <c r="J32" s="288">
        <f>G32-D32</f>
        <v/>
      </c>
      <c r="K32" s="274" t="n"/>
      <c r="L32" s="275" t="n"/>
      <c r="M32" s="288">
        <f>'22'!M32+J32</f>
        <v/>
      </c>
      <c r="N32" s="275" t="n"/>
      <c r="P32" s="172" t="n"/>
      <c r="Q32" s="172" t="n"/>
      <c r="R32" s="172" t="n"/>
      <c r="S32" s="172" t="n"/>
      <c r="T32" s="172" t="n"/>
      <c r="U32" s="172" t="n"/>
      <c r="V32" s="305" t="n"/>
      <c r="W32" s="305" t="n"/>
      <c r="X32" s="305" t="n"/>
      <c r="Y32" s="305" t="n"/>
      <c r="Z32" s="305" t="n"/>
    </row>
    <row r="33" ht="21.9" customHeight="1" s="251">
      <c r="A33" s="104" t="inlineStr">
        <is>
          <t>소석회 BAG</t>
        </is>
      </c>
      <c r="B33" s="278" t="n"/>
      <c r="C33" s="279" t="n"/>
      <c r="D33" s="104">
        <f>'22'!G33</f>
        <v/>
      </c>
      <c r="E33" s="278" t="n"/>
      <c r="F33" s="279" t="n"/>
      <c r="G33" s="288" t="n">
        <v>0</v>
      </c>
      <c r="H33" s="274" t="n"/>
      <c r="I33" s="275" t="n"/>
      <c r="J33" s="288">
        <f>G33-D33</f>
        <v/>
      </c>
      <c r="K33" s="274" t="n"/>
      <c r="L33" s="275" t="n"/>
      <c r="M33" s="288">
        <f>'22'!M33+J33</f>
        <v/>
      </c>
      <c r="N33" s="275" t="n"/>
      <c r="P33" s="172" t="n"/>
      <c r="Q33" s="172" t="n"/>
      <c r="R33" s="172" t="n"/>
      <c r="S33" s="172" t="n"/>
      <c r="T33" s="172" t="n"/>
      <c r="U33" s="172" t="n"/>
      <c r="V33" s="305" t="n"/>
      <c r="W33" s="305" t="n"/>
      <c r="X33" s="305" t="n"/>
      <c r="Y33" s="305" t="n"/>
      <c r="Z33" s="305" t="n"/>
    </row>
  </sheetData>
  <mergeCells count="217">
    <mergeCell ref="V24:X24"/>
    <mergeCell ref="A15:B15"/>
    <mergeCell ref="P27:R27"/>
    <mergeCell ref="C15:D15"/>
    <mergeCell ref="S23:U23"/>
    <mergeCell ref="J27:L27"/>
    <mergeCell ref="S14:V15"/>
    <mergeCell ref="Y24:Z24"/>
    <mergeCell ref="U7:W7"/>
    <mergeCell ref="A26:C26"/>
    <mergeCell ref="J25:L25"/>
    <mergeCell ref="G24:I24"/>
    <mergeCell ref="D28:F28"/>
    <mergeCell ref="I16:J16"/>
    <mergeCell ref="A23:C23"/>
    <mergeCell ref="P6:Q6"/>
    <mergeCell ref="S24:U24"/>
    <mergeCell ref="P28:R28"/>
    <mergeCell ref="W1:X1"/>
    <mergeCell ref="Y1:Z1"/>
    <mergeCell ref="S16:T17"/>
    <mergeCell ref="G26:I26"/>
    <mergeCell ref="D30:F30"/>
    <mergeCell ref="U8:W8"/>
    <mergeCell ref="G18:H18"/>
    <mergeCell ref="B1:C1"/>
    <mergeCell ref="I18:J18"/>
    <mergeCell ref="H3:S3"/>
    <mergeCell ref="M16:N16"/>
    <mergeCell ref="P30:R30"/>
    <mergeCell ref="M25:N25"/>
    <mergeCell ref="D29:F29"/>
    <mergeCell ref="D23:F23"/>
    <mergeCell ref="Y25:Z25"/>
    <mergeCell ref="M18:N18"/>
    <mergeCell ref="M33:N33"/>
    <mergeCell ref="A17:B17"/>
    <mergeCell ref="S25:U25"/>
    <mergeCell ref="C17:D17"/>
    <mergeCell ref="U18:V20"/>
    <mergeCell ref="W18:X20"/>
    <mergeCell ref="M17:N17"/>
    <mergeCell ref="J29:L29"/>
    <mergeCell ref="G20:H20"/>
    <mergeCell ref="I20:J20"/>
    <mergeCell ref="S27:U27"/>
    <mergeCell ref="A19:B19"/>
    <mergeCell ref="V23:X23"/>
    <mergeCell ref="C19:D19"/>
    <mergeCell ref="A6:C6"/>
    <mergeCell ref="Y2:Z3"/>
    <mergeCell ref="Y18:Z20"/>
    <mergeCell ref="P22:U22"/>
    <mergeCell ref="M19:N19"/>
    <mergeCell ref="I13:J13"/>
    <mergeCell ref="K13:L13"/>
    <mergeCell ref="X7:Z7"/>
    <mergeCell ref="E12:F12"/>
    <mergeCell ref="J24:L24"/>
    <mergeCell ref="G12:H12"/>
    <mergeCell ref="G28:I28"/>
    <mergeCell ref="D27:F27"/>
    <mergeCell ref="G6:I6"/>
    <mergeCell ref="I15:J15"/>
    <mergeCell ref="A11:B11"/>
    <mergeCell ref="K15:L15"/>
    <mergeCell ref="S28:U28"/>
    <mergeCell ref="C14:D14"/>
    <mergeCell ref="E14:F14"/>
    <mergeCell ref="J26:L26"/>
    <mergeCell ref="G30:I30"/>
    <mergeCell ref="J7:L7"/>
    <mergeCell ref="V27:X27"/>
    <mergeCell ref="A32:C32"/>
    <mergeCell ref="A29:C29"/>
    <mergeCell ref="D25:F25"/>
    <mergeCell ref="Y26:Z26"/>
    <mergeCell ref="V25:X25"/>
    <mergeCell ref="M13:N13"/>
    <mergeCell ref="J33:L33"/>
    <mergeCell ref="G32:I32"/>
    <mergeCell ref="W14:Z15"/>
    <mergeCell ref="A31:C31"/>
    <mergeCell ref="S26:U26"/>
    <mergeCell ref="M27:N27"/>
    <mergeCell ref="I17:J17"/>
    <mergeCell ref="A24:C24"/>
    <mergeCell ref="Y27:Z27"/>
    <mergeCell ref="K17:L17"/>
    <mergeCell ref="P29:R29"/>
    <mergeCell ref="M24:N24"/>
    <mergeCell ref="E16:F16"/>
    <mergeCell ref="J28:L28"/>
    <mergeCell ref="G27:I27"/>
    <mergeCell ref="G16:H16"/>
    <mergeCell ref="D31:F31"/>
    <mergeCell ref="U2:V3"/>
    <mergeCell ref="I19:J19"/>
    <mergeCell ref="U1:V1"/>
    <mergeCell ref="G8:I8"/>
    <mergeCell ref="K19:L19"/>
    <mergeCell ref="C18:D18"/>
    <mergeCell ref="A7:C7"/>
    <mergeCell ref="V29:X29"/>
    <mergeCell ref="E18:F18"/>
    <mergeCell ref="J30:L30"/>
    <mergeCell ref="R6:T6"/>
    <mergeCell ref="K16:L16"/>
    <mergeCell ref="A25:C25"/>
    <mergeCell ref="J6:L6"/>
    <mergeCell ref="D1:E1"/>
    <mergeCell ref="D32:F32"/>
    <mergeCell ref="G11:H11"/>
    <mergeCell ref="I11:J11"/>
    <mergeCell ref="W11:Z11"/>
    <mergeCell ref="P23:R23"/>
    <mergeCell ref="D7:F7"/>
    <mergeCell ref="Y16:Z17"/>
    <mergeCell ref="S18:T20"/>
    <mergeCell ref="Y30:Z30"/>
    <mergeCell ref="C20:D20"/>
    <mergeCell ref="K11:L11"/>
    <mergeCell ref="E20:F20"/>
    <mergeCell ref="J32:L32"/>
    <mergeCell ref="M11:N11"/>
    <mergeCell ref="Y29:Z29"/>
    <mergeCell ref="H1:S2"/>
    <mergeCell ref="V26:X26"/>
    <mergeCell ref="E13:F13"/>
    <mergeCell ref="S30:U30"/>
    <mergeCell ref="G13:H13"/>
    <mergeCell ref="M31:N31"/>
    <mergeCell ref="G29:I29"/>
    <mergeCell ref="D8:F8"/>
    <mergeCell ref="D33:F33"/>
    <mergeCell ref="W12:Z13"/>
    <mergeCell ref="A12:B12"/>
    <mergeCell ref="A28:C28"/>
    <mergeCell ref="S29:U29"/>
    <mergeCell ref="C12:D12"/>
    <mergeCell ref="A1:A3"/>
    <mergeCell ref="M15:N15"/>
    <mergeCell ref="M12:N12"/>
    <mergeCell ref="E15:F15"/>
    <mergeCell ref="G15:H15"/>
    <mergeCell ref="G31:I31"/>
    <mergeCell ref="Y28:Z28"/>
    <mergeCell ref="P18:R20"/>
    <mergeCell ref="J8:L8"/>
    <mergeCell ref="A14:B14"/>
    <mergeCell ref="A30:C30"/>
    <mergeCell ref="M26:N26"/>
    <mergeCell ref="U6:W6"/>
    <mergeCell ref="P25:R25"/>
    <mergeCell ref="M29:N29"/>
    <mergeCell ref="M23:N23"/>
    <mergeCell ref="F2:G3"/>
    <mergeCell ref="G23:I23"/>
    <mergeCell ref="Y23:Z23"/>
    <mergeCell ref="U16:V17"/>
    <mergeCell ref="W16:X17"/>
    <mergeCell ref="G7:I7"/>
    <mergeCell ref="K18:L18"/>
    <mergeCell ref="F1:G1"/>
    <mergeCell ref="D6:F6"/>
    <mergeCell ref="P12:R13"/>
    <mergeCell ref="T1:T3"/>
    <mergeCell ref="V28:X28"/>
    <mergeCell ref="P11:R11"/>
    <mergeCell ref="P14:R15"/>
    <mergeCell ref="A27:C27"/>
    <mergeCell ref="W2:X3"/>
    <mergeCell ref="V30:X30"/>
    <mergeCell ref="E17:F17"/>
    <mergeCell ref="G17:H17"/>
    <mergeCell ref="G33:I33"/>
    <mergeCell ref="X6:Z6"/>
    <mergeCell ref="A33:C33"/>
    <mergeCell ref="K20:L20"/>
    <mergeCell ref="A16:B16"/>
    <mergeCell ref="C16:D16"/>
    <mergeCell ref="M20:N20"/>
    <mergeCell ref="A8:C8"/>
    <mergeCell ref="E19:F19"/>
    <mergeCell ref="P8:Q8"/>
    <mergeCell ref="J31:L31"/>
    <mergeCell ref="G19:H19"/>
    <mergeCell ref="A18:B18"/>
    <mergeCell ref="G25:I25"/>
    <mergeCell ref="D24:F24"/>
    <mergeCell ref="M30:N30"/>
    <mergeCell ref="I12:J12"/>
    <mergeCell ref="K12:L12"/>
    <mergeCell ref="P7:Q7"/>
    <mergeCell ref="P24:R24"/>
    <mergeCell ref="C11:D11"/>
    <mergeCell ref="M28:N28"/>
    <mergeCell ref="E11:F11"/>
    <mergeCell ref="J23:L23"/>
    <mergeCell ref="S11:V11"/>
    <mergeCell ref="G14:H14"/>
    <mergeCell ref="D26:F26"/>
    <mergeCell ref="R8:T8"/>
    <mergeCell ref="I14:J14"/>
    <mergeCell ref="K14:L14"/>
    <mergeCell ref="P26:R26"/>
    <mergeCell ref="P16:R17"/>
    <mergeCell ref="A20:B20"/>
    <mergeCell ref="B2:C3"/>
    <mergeCell ref="D2:E3"/>
    <mergeCell ref="M32:N32"/>
    <mergeCell ref="M14:N14"/>
    <mergeCell ref="X8:Z8"/>
    <mergeCell ref="A13:B13"/>
    <mergeCell ref="C13:D13"/>
    <mergeCell ref="R7:T7"/>
    <mergeCell ref="S12:V13"/>
  </mergeCells>
  <pageMargins left="0.7086614173228347" right="0.7086614173228347" top="0.7480314960629921" bottom="0.7480314960629921" header="0.3149606299212598" footer="0.3149606299212598"/>
  <pageSetup orientation="portrait" paperSize="9" scale="59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AE33"/>
  <sheetViews>
    <sheetView zoomScaleNormal="100" zoomScaleSheetLayoutView="100" workbookViewId="0">
      <selection activeCell="E20" sqref="E20:F20"/>
    </sheetView>
  </sheetViews>
  <sheetFormatPr baseColWidth="8" defaultRowHeight="17.4"/>
  <cols>
    <col width="2.8984375" customWidth="1" style="251" min="1" max="1"/>
    <col width="5.59765625" customWidth="1" style="251" min="2" max="14"/>
    <col width="3.59765625" customWidth="1" style="251" min="15" max="15"/>
    <col width="4.59765625" customWidth="1" style="251" min="16" max="22"/>
    <col width="5.59765625" customWidth="1" style="251" min="23" max="26"/>
  </cols>
  <sheetData>
    <row r="1" ht="18.75" customHeight="1" s="251">
      <c r="A1" s="122" t="inlineStr">
        <is>
          <t>근
무
자</t>
        </is>
      </c>
      <c r="B1" s="120" t="inlineStr">
        <is>
          <t>오  전</t>
        </is>
      </c>
      <c r="C1" s="252" t="n"/>
      <c r="D1" s="120" t="inlineStr">
        <is>
          <t>오  후</t>
        </is>
      </c>
      <c r="E1" s="252" t="n"/>
      <c r="F1" s="120" t="inlineStr">
        <is>
          <t>야  간</t>
        </is>
      </c>
      <c r="G1" s="252" t="n"/>
      <c r="H1" s="253" t="inlineStr">
        <is>
          <t>유동상소각로 운전일지</t>
        </is>
      </c>
      <c r="S1" s="254" t="n"/>
      <c r="T1" s="255" t="inlineStr">
        <is>
          <t>결
재</t>
        </is>
      </c>
      <c r="U1" s="120" t="inlineStr">
        <is>
          <t>반장</t>
        </is>
      </c>
      <c r="V1" s="252" t="n"/>
      <c r="W1" s="120" t="inlineStr">
        <is>
          <t>대리</t>
        </is>
      </c>
      <c r="X1" s="252" t="n"/>
      <c r="Y1" s="120" t="inlineStr">
        <is>
          <t>팀장</t>
        </is>
      </c>
      <c r="Z1" s="252" t="n"/>
    </row>
    <row r="2" ht="14.25" customHeight="1" s="251">
      <c r="A2" s="256" t="n"/>
      <c r="B2" s="257" t="inlineStr">
        <is>
          <t>권정민</t>
        </is>
      </c>
      <c r="C2" s="258" t="n"/>
      <c r="D2" s="257" t="inlineStr">
        <is>
          <t>김동욱</t>
        </is>
      </c>
      <c r="E2" s="258" t="n"/>
      <c r="F2" s="257" t="inlineStr">
        <is>
          <t>임종민</t>
        </is>
      </c>
      <c r="G2" s="258" t="n"/>
      <c r="H2" s="259" t="n"/>
      <c r="I2" s="260" t="n"/>
      <c r="J2" s="260" t="n"/>
      <c r="K2" s="260" t="n"/>
      <c r="L2" s="260" t="n"/>
      <c r="M2" s="260" t="n"/>
      <c r="N2" s="260" t="n"/>
      <c r="O2" s="260" t="n"/>
      <c r="P2" s="260" t="n"/>
      <c r="Q2" s="260" t="n"/>
      <c r="R2" s="260" t="n"/>
      <c r="S2" s="261" t="n"/>
      <c r="T2" s="262" t="n"/>
      <c r="U2" s="105" t="n"/>
      <c r="V2" s="254" t="n"/>
      <c r="W2" s="105" t="n"/>
      <c r="X2" s="254" t="n"/>
      <c r="Y2" s="105" t="n"/>
      <c r="Z2" s="254" t="n"/>
    </row>
    <row r="3" ht="37.5" customHeight="1" s="251">
      <c r="A3" s="263" t="n"/>
      <c r="B3" s="264" t="n"/>
      <c r="C3" s="265" t="n"/>
      <c r="D3" s="264" t="n"/>
      <c r="E3" s="265" t="n"/>
      <c r="F3" s="264" t="n"/>
      <c r="G3" s="265" t="n"/>
      <c r="H3" s="266" t="n">
        <v>46227</v>
      </c>
      <c r="I3" s="267" t="n"/>
      <c r="J3" s="267" t="n"/>
      <c r="K3" s="267" t="n"/>
      <c r="L3" s="267" t="n"/>
      <c r="M3" s="267" t="n"/>
      <c r="N3" s="267" t="n"/>
      <c r="O3" s="267" t="n"/>
      <c r="P3" s="267" t="n"/>
      <c r="Q3" s="267" t="n"/>
      <c r="R3" s="267" t="n"/>
      <c r="S3" s="268" t="n"/>
      <c r="T3" s="269" t="n"/>
      <c r="U3" s="264" t="n"/>
      <c r="V3" s="265" t="n"/>
      <c r="W3" s="264" t="n"/>
      <c r="X3" s="265" t="n"/>
      <c r="Y3" s="264" t="n"/>
      <c r="Z3" s="265" t="n"/>
    </row>
    <row r="4" ht="13.5" customHeight="1" s="25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s="251">
      <c r="A5" s="1" t="inlineStr">
        <is>
          <t>1. 소각현황(KG)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inlineStr">
        <is>
          <t>2. BOILER 운전현황(TON, HR)</t>
        </is>
      </c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2.5" customHeight="1" s="251" thickBot="1">
      <c r="A6" s="136" t="inlineStr">
        <is>
          <t>구 분</t>
        </is>
      </c>
      <c r="B6" s="270" t="n"/>
      <c r="C6" s="271" t="n"/>
      <c r="D6" s="136" t="inlineStr">
        <is>
          <t>SRF소각량</t>
        </is>
      </c>
      <c r="E6" s="270" t="n"/>
      <c r="F6" s="271" t="n"/>
      <c r="G6" s="136" t="inlineStr">
        <is>
          <t>SLUDGE 소각량</t>
        </is>
      </c>
      <c r="H6" s="270" t="n"/>
      <c r="I6" s="271" t="n"/>
      <c r="J6" s="136" t="inlineStr">
        <is>
          <t>합 계</t>
        </is>
      </c>
      <c r="K6" s="270" t="n"/>
      <c r="L6" s="271" t="n"/>
      <c r="M6" s="1" t="n"/>
      <c r="N6" s="1" t="n"/>
      <c r="O6" s="1" t="n"/>
      <c r="P6" s="136" t="inlineStr">
        <is>
          <t>구 분</t>
        </is>
      </c>
      <c r="Q6" s="271" t="n"/>
      <c r="R6" s="136" t="inlineStr">
        <is>
          <t>스팀 생산량</t>
        </is>
      </c>
      <c r="S6" s="270" t="n"/>
      <c r="T6" s="271" t="n"/>
      <c r="U6" s="136" t="inlineStr">
        <is>
          <t>스팀 송기량</t>
        </is>
      </c>
      <c r="V6" s="270" t="n"/>
      <c r="W6" s="271" t="n"/>
      <c r="X6" s="136" t="inlineStr">
        <is>
          <t>가동시간</t>
        </is>
      </c>
      <c r="Y6" s="270" t="n"/>
      <c r="Z6" s="271" t="n"/>
    </row>
    <row r="7" ht="30" customHeight="1" s="251" thickTop="1">
      <c r="A7" s="105" t="inlineStr">
        <is>
          <t>금 일</t>
        </is>
      </c>
      <c r="B7" s="272" t="n"/>
      <c r="C7" s="265" t="n"/>
      <c r="D7" s="139" t="n">
        <v>74316</v>
      </c>
      <c r="E7" s="272" t="n"/>
      <c r="F7" s="265" t="n"/>
      <c r="G7" s="139" t="n">
        <v>143600</v>
      </c>
      <c r="H7" s="272" t="n"/>
      <c r="I7" s="265" t="n"/>
      <c r="J7" s="154">
        <f>D7+G7</f>
        <v/>
      </c>
      <c r="K7" s="278" t="n"/>
      <c r="L7" s="279" t="n"/>
      <c r="M7" s="1" t="n"/>
      <c r="N7" s="1" t="n"/>
      <c r="O7" s="1" t="n"/>
      <c r="P7" s="105" t="inlineStr">
        <is>
          <t>금 일</t>
        </is>
      </c>
      <c r="Q7" s="265" t="n"/>
      <c r="R7" s="276" t="n">
        <v>490.1</v>
      </c>
      <c r="S7" s="272" t="n"/>
      <c r="T7" s="265" t="n"/>
      <c r="U7" s="276" t="n">
        <v>422.8</v>
      </c>
      <c r="V7" s="272" t="n"/>
      <c r="W7" s="265" t="n"/>
      <c r="X7" s="277" t="n">
        <v>24</v>
      </c>
      <c r="Y7" s="272" t="n"/>
      <c r="Z7" s="265" t="n"/>
    </row>
    <row r="8" ht="30" customHeight="1" s="251">
      <c r="A8" s="104" t="inlineStr">
        <is>
          <t>누 계</t>
        </is>
      </c>
      <c r="B8" s="278" t="n"/>
      <c r="C8" s="279" t="n"/>
      <c r="D8" s="154">
        <f>'23'!D8+'24'!D7</f>
        <v/>
      </c>
      <c r="E8" s="278" t="n"/>
      <c r="F8" s="279" t="n"/>
      <c r="G8" s="154">
        <f>'23'!G8+'24'!G7</f>
        <v/>
      </c>
      <c r="H8" s="278" t="n"/>
      <c r="I8" s="279" t="n"/>
      <c r="J8" s="154">
        <f>D8+G8</f>
        <v/>
      </c>
      <c r="K8" s="278" t="n"/>
      <c r="L8" s="279" t="n"/>
      <c r="M8" s="1" t="n"/>
      <c r="N8" s="1" t="n"/>
      <c r="O8" s="1" t="n"/>
      <c r="P8" s="104" t="inlineStr">
        <is>
          <t>누 계</t>
        </is>
      </c>
      <c r="Q8" s="279" t="n"/>
      <c r="R8" s="280">
        <f>'23'!R8+R7</f>
        <v/>
      </c>
      <c r="S8" s="278" t="n"/>
      <c r="T8" s="279" t="n"/>
      <c r="U8" s="280">
        <f>'23'!U8+U7</f>
        <v/>
      </c>
      <c r="V8" s="278" t="n"/>
      <c r="W8" s="279" t="n"/>
      <c r="X8" s="281">
        <f>'23'!X8+'24'!X7</f>
        <v/>
      </c>
      <c r="Y8" s="278" t="n"/>
      <c r="Z8" s="279" t="n"/>
    </row>
    <row r="9" ht="12" customHeight="1" s="25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s="251">
      <c r="A10" s="1" t="inlineStr">
        <is>
          <t>3. 약품 사용현황 (KG)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inlineStr">
        <is>
          <t>4. 소각재 발생량 (TON, 대)</t>
        </is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30.75" customHeight="1" s="251" thickBot="1">
      <c r="A11" s="136" t="inlineStr">
        <is>
          <t>품 명</t>
        </is>
      </c>
      <c r="B11" s="271" t="n"/>
      <c r="C11" s="150" t="inlineStr">
        <is>
          <t>전일 
재고량</t>
        </is>
      </c>
      <c r="D11" s="271" t="n"/>
      <c r="E11" s="136" t="inlineStr">
        <is>
          <t>입고량</t>
        </is>
      </c>
      <c r="F11" s="271" t="n"/>
      <c r="G11" s="136" t="inlineStr">
        <is>
          <t>사용량</t>
        </is>
      </c>
      <c r="H11" s="271" t="n"/>
      <c r="I11" s="282" t="inlineStr">
        <is>
          <t>재고량</t>
        </is>
      </c>
      <c r="J11" s="271" t="n"/>
      <c r="K11" s="150" t="inlineStr">
        <is>
          <t>입고량 
누계</t>
        </is>
      </c>
      <c r="L11" s="271" t="n"/>
      <c r="M11" s="150" t="inlineStr">
        <is>
          <t>사용량 
누계</t>
        </is>
      </c>
      <c r="N11" s="271" t="n"/>
      <c r="O11" s="1" t="n"/>
      <c r="P11" s="136" t="inlineStr">
        <is>
          <t xml:space="preserve"> 구 분</t>
        </is>
      </c>
      <c r="Q11" s="270" t="n"/>
      <c r="R11" s="271" t="n"/>
      <c r="S11" s="282" t="inlineStr">
        <is>
          <t>반출량</t>
        </is>
      </c>
      <c r="T11" s="270" t="n"/>
      <c r="U11" s="270" t="n"/>
      <c r="V11" s="271" t="n"/>
      <c r="W11" s="282" t="inlineStr">
        <is>
          <t>누계</t>
        </is>
      </c>
      <c r="X11" s="270" t="n"/>
      <c r="Y11" s="270" t="n"/>
      <c r="Z11" s="271" t="n"/>
    </row>
    <row r="12" ht="21.9" customHeight="1" s="251" thickTop="1">
      <c r="A12" s="142" t="inlineStr">
        <is>
          <t>탄산암모늄</t>
        </is>
      </c>
      <c r="B12" s="265" t="n"/>
      <c r="C12" s="310">
        <f>'23'!I12</f>
        <v/>
      </c>
      <c r="D12" s="265" t="n"/>
      <c r="E12" s="105" t="n">
        <v>14830</v>
      </c>
      <c r="F12" s="265" t="n"/>
      <c r="G12" s="105" t="n">
        <v>4291</v>
      </c>
      <c r="H12" s="265" t="n"/>
      <c r="I12" s="164">
        <f>C12+E12-G12</f>
        <v/>
      </c>
      <c r="J12" s="283" t="n"/>
      <c r="K12" s="105">
        <f>'23'!K12+'24'!E12</f>
        <v/>
      </c>
      <c r="L12" s="265" t="n"/>
      <c r="M12" s="105">
        <f>'23'!M12+G12</f>
        <v/>
      </c>
      <c r="N12" s="265" t="n"/>
      <c r="O12" s="1" t="n"/>
      <c r="P12" s="149" t="inlineStr">
        <is>
          <t xml:space="preserve">
비산재
</t>
        </is>
      </c>
      <c r="R12" s="254" t="n"/>
      <c r="S12" s="284" t="n">
        <v>25.22</v>
      </c>
      <c r="T12" s="285" t="n"/>
      <c r="U12" s="285" t="n"/>
      <c r="V12" s="285" t="n"/>
      <c r="W12" s="318">
        <f>'23'!W12+'24'!S12</f>
        <v/>
      </c>
      <c r="X12" s="285" t="n"/>
      <c r="Y12" s="285" t="n"/>
      <c r="Z12" s="287" t="n"/>
    </row>
    <row r="13" ht="21.9" customHeight="1" s="251">
      <c r="A13" s="104" t="inlineStr">
        <is>
          <t>청관제</t>
        </is>
      </c>
      <c r="B13" s="279" t="n"/>
      <c r="C13" s="310">
        <f>'23'!I13</f>
        <v/>
      </c>
      <c r="D13" s="265" t="n"/>
      <c r="E13" s="104" t="n">
        <v>0</v>
      </c>
      <c r="F13" s="279" t="n"/>
      <c r="G13" s="104" t="n">
        <v>60</v>
      </c>
      <c r="H13" s="279" t="n"/>
      <c r="I13" s="288">
        <f>C13+E13-G13</f>
        <v/>
      </c>
      <c r="J13" s="275" t="n"/>
      <c r="K13" s="288">
        <f>'23'!K13+'24'!E13</f>
        <v/>
      </c>
      <c r="L13" s="275" t="n"/>
      <c r="M13" s="288">
        <f>'23'!M13+G13</f>
        <v/>
      </c>
      <c r="N13" s="275" t="n"/>
      <c r="O13" s="1" t="n"/>
      <c r="P13" s="264" t="n"/>
      <c r="Q13" s="272" t="n"/>
      <c r="R13" s="265" t="n"/>
      <c r="S13" s="289" t="n"/>
      <c r="T13" s="290" t="n"/>
      <c r="U13" s="290" t="n"/>
      <c r="V13" s="290" t="n"/>
      <c r="W13" s="264" t="n"/>
      <c r="X13" s="272" t="n"/>
      <c r="Y13" s="272" t="n"/>
      <c r="Z13" s="265" t="n"/>
    </row>
    <row r="14" ht="21.9" customHeight="1" s="251">
      <c r="A14" s="104" t="inlineStr">
        <is>
          <t>활성탄</t>
        </is>
      </c>
      <c r="B14" s="279" t="n"/>
      <c r="C14" s="310">
        <f>'23'!I14</f>
        <v/>
      </c>
      <c r="D14" s="265" t="n"/>
      <c r="E14" s="104" t="n">
        <v>0</v>
      </c>
      <c r="F14" s="279" t="n"/>
      <c r="G14" s="104" t="n">
        <v>120</v>
      </c>
      <c r="H14" s="279" t="n"/>
      <c r="I14" s="288">
        <f>C14+E14-G14</f>
        <v/>
      </c>
      <c r="J14" s="275" t="n"/>
      <c r="K14" s="288">
        <f>'23'!K14+'24'!E14</f>
        <v/>
      </c>
      <c r="L14" s="275" t="n"/>
      <c r="M14" s="288">
        <f>'23'!M14+G14</f>
        <v/>
      </c>
      <c r="N14" s="275" t="n"/>
      <c r="O14" s="1" t="n"/>
      <c r="P14" s="104" t="inlineStr">
        <is>
          <t>바닥재</t>
        </is>
      </c>
      <c r="Q14" s="291" t="n"/>
      <c r="R14" s="292" t="n"/>
      <c r="S14" s="293" t="n">
        <v>21.08</v>
      </c>
      <c r="T14" s="291" t="n"/>
      <c r="U14" s="291" t="n"/>
      <c r="V14" s="291" t="n"/>
      <c r="W14" s="311">
        <f>'23'!W14+'24'!S14</f>
        <v/>
      </c>
      <c r="X14" s="291" t="n"/>
      <c r="Y14" s="291" t="n"/>
      <c r="Z14" s="295" t="n"/>
    </row>
    <row r="15" ht="21.9" customHeight="1" s="251">
      <c r="A15" s="104" t="inlineStr">
        <is>
          <t>가성소다</t>
        </is>
      </c>
      <c r="B15" s="279" t="n"/>
      <c r="C15" s="310">
        <f>'23'!I15</f>
        <v/>
      </c>
      <c r="D15" s="265" t="n"/>
      <c r="E15" s="104" t="n">
        <v>0</v>
      </c>
      <c r="F15" s="279" t="n"/>
      <c r="G15" s="104" t="n">
        <v>0</v>
      </c>
      <c r="H15" s="279" t="n"/>
      <c r="I15" s="288">
        <f>C15+E15-G15</f>
        <v/>
      </c>
      <c r="J15" s="275" t="n"/>
      <c r="K15" s="288">
        <f>'23'!K15+'24'!E15</f>
        <v/>
      </c>
      <c r="L15" s="275" t="n"/>
      <c r="M15" s="288">
        <f>'23'!M15+G15</f>
        <v/>
      </c>
      <c r="N15" s="275" t="n"/>
      <c r="O15" s="1" t="n"/>
      <c r="P15" s="296" t="n"/>
      <c r="Q15" s="290" t="n"/>
      <c r="R15" s="297" t="n"/>
      <c r="S15" s="296" t="n"/>
      <c r="T15" s="290" t="n"/>
      <c r="U15" s="290" t="n"/>
      <c r="V15" s="290" t="n"/>
      <c r="W15" s="298" t="n"/>
      <c r="X15" s="272" t="n"/>
      <c r="Y15" s="272" t="n"/>
      <c r="Z15" s="265" t="n"/>
    </row>
    <row r="16" ht="21.9" customHeight="1" s="251">
      <c r="A16" s="104" t="inlineStr">
        <is>
          <t>소석회</t>
        </is>
      </c>
      <c r="B16" s="279" t="n"/>
      <c r="C16" s="310">
        <f>'23'!I16</f>
        <v/>
      </c>
      <c r="D16" s="265" t="n"/>
      <c r="E16" s="104" t="n">
        <v>0</v>
      </c>
      <c r="F16" s="279" t="n"/>
      <c r="G16" s="104" t="n">
        <v>20</v>
      </c>
      <c r="H16" s="279" t="n"/>
      <c r="I16" s="288">
        <f>C16+E16-G16</f>
        <v/>
      </c>
      <c r="J16" s="275" t="n"/>
      <c r="K16" s="288">
        <f>'23'!K16+'24'!E16</f>
        <v/>
      </c>
      <c r="L16" s="275" t="n"/>
      <c r="M16" s="288">
        <f>'23'!M16+G16</f>
        <v/>
      </c>
      <c r="N16" s="275" t="n"/>
      <c r="O16" s="1" t="n"/>
      <c r="P16" s="162" t="inlineStr">
        <is>
          <t>구분</t>
        </is>
      </c>
      <c r="Q16" s="291" t="n"/>
      <c r="R16" s="292" t="n"/>
      <c r="S16" s="299" t="inlineStr">
        <is>
          <t>주간</t>
        </is>
      </c>
      <c r="T16" s="292" t="n"/>
      <c r="U16" s="299" t="inlineStr">
        <is>
          <t>야간</t>
        </is>
      </c>
      <c r="V16" s="292" t="n"/>
      <c r="W16" s="299" t="inlineStr">
        <is>
          <t>합계</t>
        </is>
      </c>
      <c r="X16" s="292" t="n"/>
      <c r="Y16" s="299" t="inlineStr">
        <is>
          <t>누계</t>
        </is>
      </c>
      <c r="Z16" s="292" t="n"/>
    </row>
    <row r="17" ht="21.9" customHeight="1" s="251" thickBot="1">
      <c r="A17" s="104" t="inlineStr">
        <is>
          <t>소 금</t>
        </is>
      </c>
      <c r="B17" s="279" t="n"/>
      <c r="C17" s="310">
        <f>'23'!I17</f>
        <v/>
      </c>
      <c r="D17" s="265" t="n"/>
      <c r="E17" s="104" t="n">
        <v>0</v>
      </c>
      <c r="F17" s="279" t="n"/>
      <c r="G17" s="104" t="n">
        <v>200</v>
      </c>
      <c r="H17" s="279" t="n"/>
      <c r="I17" s="288">
        <f>C17+E17-G17</f>
        <v/>
      </c>
      <c r="J17" s="275" t="n"/>
      <c r="K17" s="288">
        <f>'23'!K17+'24'!E17</f>
        <v/>
      </c>
      <c r="L17" s="275" t="n"/>
      <c r="M17" s="288">
        <f>'23'!M17+G17</f>
        <v/>
      </c>
      <c r="N17" s="275" t="n"/>
      <c r="O17" s="1" t="n"/>
      <c r="P17" s="296" t="n"/>
      <c r="Q17" s="290" t="n"/>
      <c r="R17" s="297" t="n"/>
      <c r="S17" s="300" t="n"/>
      <c r="T17" s="301" t="n"/>
      <c r="U17" s="300" t="n"/>
      <c r="V17" s="301" t="n"/>
      <c r="W17" s="300" t="n"/>
      <c r="X17" s="301" t="n"/>
      <c r="Y17" s="300" t="n"/>
      <c r="Z17" s="301" t="n"/>
      <c r="AE17" s="302" t="n"/>
    </row>
    <row r="18" ht="21.9" customHeight="1" s="251" thickTop="1">
      <c r="A18" s="104" t="inlineStr">
        <is>
          <t>경 유</t>
        </is>
      </c>
      <c r="B18" s="279" t="n"/>
      <c r="C18" s="310">
        <f>'23'!I18</f>
        <v/>
      </c>
      <c r="D18" s="265" t="n"/>
      <c r="E18" s="104" t="n">
        <v>0</v>
      </c>
      <c r="F18" s="279" t="n"/>
      <c r="G18" s="104" t="n">
        <v>0</v>
      </c>
      <c r="H18" s="279" t="n"/>
      <c r="I18" s="288">
        <f>C18+E18-G18</f>
        <v/>
      </c>
      <c r="J18" s="275" t="n"/>
      <c r="K18" s="288">
        <f>'23'!K18+'24'!E18</f>
        <v/>
      </c>
      <c r="L18" s="275" t="n"/>
      <c r="M18" s="288">
        <f>'23'!M18+G18</f>
        <v/>
      </c>
      <c r="N18" s="275" t="n"/>
      <c r="O18" s="1" t="n"/>
      <c r="P18" s="164" t="inlineStr">
        <is>
          <t>불연물</t>
        </is>
      </c>
      <c r="Q18" s="285" t="n"/>
      <c r="R18" s="287" t="n"/>
      <c r="S18" s="303" t="n">
        <v>1</v>
      </c>
      <c r="T18" s="287" t="n"/>
      <c r="U18" s="303" t="n">
        <v>1</v>
      </c>
      <c r="V18" s="287" t="n"/>
      <c r="W18" s="303">
        <f>S18+U18</f>
        <v/>
      </c>
      <c r="X18" s="287" t="n"/>
      <c r="Y18" s="303">
        <f>'23'!Y18+'24'!W18</f>
        <v/>
      </c>
      <c r="Z18" s="287" t="n"/>
    </row>
    <row r="19" ht="21.9" customHeight="1" s="251">
      <c r="A19" s="153" t="inlineStr">
        <is>
          <t>SRF</t>
        </is>
      </c>
      <c r="B19" s="279" t="n"/>
      <c r="C19" s="310">
        <f>'23'!I19</f>
        <v/>
      </c>
      <c r="D19" s="265" t="n"/>
      <c r="E19" s="154" t="n">
        <v>65600</v>
      </c>
      <c r="F19" s="279" t="n"/>
      <c r="G19" s="154">
        <f>D7</f>
        <v/>
      </c>
      <c r="H19" s="279" t="n"/>
      <c r="I19" s="273">
        <f>C19+E19-G19</f>
        <v/>
      </c>
      <c r="J19" s="275" t="n"/>
      <c r="K19" s="273">
        <f>'23'!K19+'24'!E19</f>
        <v/>
      </c>
      <c r="L19" s="275" t="n"/>
      <c r="M19" s="273">
        <f>'23'!M19+G19</f>
        <v/>
      </c>
      <c r="N19" s="275" t="n"/>
      <c r="O19" s="1" t="n"/>
      <c r="P19" s="256" t="n"/>
      <c r="R19" s="254" t="n"/>
      <c r="S19" s="256" t="n"/>
      <c r="T19" s="254" t="n"/>
      <c r="U19" s="256" t="n"/>
      <c r="V19" s="254" t="n"/>
      <c r="W19" s="256" t="n"/>
      <c r="X19" s="254" t="n"/>
      <c r="Y19" s="256" t="n"/>
      <c r="Z19" s="254" t="n"/>
    </row>
    <row r="20" ht="21.9" customHeight="1" s="251">
      <c r="A20" s="104" t="inlineStr">
        <is>
          <t>규 사</t>
        </is>
      </c>
      <c r="B20" s="279" t="n"/>
      <c r="C20" s="310">
        <f>'23'!I20</f>
        <v/>
      </c>
      <c r="D20" s="265" t="n"/>
      <c r="E20" s="288" t="n"/>
      <c r="F20" s="275" t="n"/>
      <c r="G20" s="104" t="n"/>
      <c r="H20" s="279" t="n"/>
      <c r="I20" s="288" t="inlineStr">
        <is>
          <t>-</t>
        </is>
      </c>
      <c r="J20" s="275" t="n"/>
      <c r="K20" s="105">
        <f>'23'!K20+'24'!E20</f>
        <v/>
      </c>
      <c r="L20" s="265" t="n"/>
      <c r="M20" s="273">
        <f>'23'!M20+G20</f>
        <v/>
      </c>
      <c r="N20" s="275" t="n"/>
      <c r="O20" s="1" t="n"/>
      <c r="P20" s="264" t="n"/>
      <c r="Q20" s="272" t="n"/>
      <c r="R20" s="265" t="n"/>
      <c r="S20" s="264" t="n"/>
      <c r="T20" s="265" t="n"/>
      <c r="U20" s="264" t="n"/>
      <c r="V20" s="265" t="n"/>
      <c r="W20" s="264" t="n"/>
      <c r="X20" s="265" t="n"/>
      <c r="Y20" s="264" t="n"/>
      <c r="Z20" s="265" t="n"/>
    </row>
    <row r="21" ht="12" customHeight="1" s="25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s="251">
      <c r="A22" s="1" t="inlineStr">
        <is>
          <t>5. 전력 사용량 (KWH)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10" t="inlineStr">
        <is>
          <t>6. 유틸리티 사용현황 (㎥)</t>
        </is>
      </c>
      <c r="Q22" s="290" t="n"/>
      <c r="R22" s="290" t="n"/>
      <c r="S22" s="290" t="n"/>
      <c r="T22" s="290" t="n"/>
      <c r="U22" s="290" t="n"/>
      <c r="V22" s="1" t="n"/>
      <c r="W22" s="1" t="n"/>
      <c r="X22" s="1" t="n"/>
      <c r="Y22" s="1" t="n"/>
      <c r="Z22" s="1" t="n"/>
    </row>
    <row r="23" ht="28.5" customHeight="1" s="251" thickBot="1">
      <c r="A23" s="136" t="inlineStr">
        <is>
          <t>구 분</t>
        </is>
      </c>
      <c r="B23" s="270" t="n"/>
      <c r="C23" s="271" t="n"/>
      <c r="D23" s="136" t="inlineStr">
        <is>
          <t>전일지침</t>
        </is>
      </c>
      <c r="E23" s="270" t="n"/>
      <c r="F23" s="271" t="n"/>
      <c r="G23" s="136" t="inlineStr">
        <is>
          <t>금일지침</t>
        </is>
      </c>
      <c r="H23" s="270" t="n"/>
      <c r="I23" s="271" t="n"/>
      <c r="J23" s="136" t="inlineStr">
        <is>
          <t>사용량</t>
        </is>
      </c>
      <c r="K23" s="270" t="n"/>
      <c r="L23" s="271" t="n"/>
      <c r="M23" s="136" t="inlineStr">
        <is>
          <t>누 계</t>
        </is>
      </c>
      <c r="N23" s="271" t="n"/>
      <c r="P23" s="136" t="inlineStr">
        <is>
          <t>구 분</t>
        </is>
      </c>
      <c r="Q23" s="270" t="n"/>
      <c r="R23" s="271" t="n"/>
      <c r="S23" s="136" t="inlineStr">
        <is>
          <t>전일 사용량</t>
        </is>
      </c>
      <c r="T23" s="270" t="n"/>
      <c r="U23" s="271" t="n"/>
      <c r="V23" s="136" t="inlineStr">
        <is>
          <t>금일 사용량</t>
        </is>
      </c>
      <c r="W23" s="270" t="n"/>
      <c r="X23" s="271" t="n"/>
      <c r="Y23" s="136" t="inlineStr">
        <is>
          <t>누 계</t>
        </is>
      </c>
      <c r="Z23" s="271" t="n"/>
    </row>
    <row r="24" ht="21.9" customHeight="1" s="251" thickTop="1">
      <c r="A24" s="105" t="inlineStr">
        <is>
          <t>MAIN</t>
        </is>
      </c>
      <c r="B24" s="272" t="n"/>
      <c r="C24" s="265" t="n"/>
      <c r="D24" s="187">
        <f>'23'!G24</f>
        <v/>
      </c>
      <c r="E24" s="285" t="n"/>
      <c r="F24" s="287" t="n"/>
      <c r="G24" s="164" t="n">
        <v>4214895</v>
      </c>
      <c r="H24" s="304" t="n"/>
      <c r="I24" s="283" t="n"/>
      <c r="J24" s="164">
        <f>G24-D24</f>
        <v/>
      </c>
      <c r="K24" s="304" t="n"/>
      <c r="L24" s="283" t="n"/>
      <c r="M24" s="164">
        <f>'23'!M24+J24</f>
        <v/>
      </c>
      <c r="N24" s="283" t="n"/>
      <c r="P24" s="105" t="inlineStr">
        <is>
          <t>재이용수</t>
        </is>
      </c>
      <c r="Q24" s="272" t="n"/>
      <c r="R24" s="265" t="n"/>
      <c r="S24" s="105">
        <f>'23'!V24</f>
        <v/>
      </c>
      <c r="T24" s="272" t="n"/>
      <c r="U24" s="265" t="n"/>
      <c r="V24" s="276" t="n">
        <v>548.8</v>
      </c>
      <c r="W24" s="272" t="n"/>
      <c r="X24" s="265" t="n"/>
      <c r="Y24" s="276">
        <f>'23'!Y24+'24'!V24</f>
        <v/>
      </c>
      <c r="Z24" s="265" t="n"/>
    </row>
    <row r="25" ht="21.9" customHeight="1" s="251">
      <c r="A25" s="104" t="inlineStr">
        <is>
          <t>ASH 저장조</t>
        </is>
      </c>
      <c r="B25" s="278" t="n"/>
      <c r="C25" s="279" t="n"/>
      <c r="D25" s="104">
        <f>'23'!G25</f>
        <v/>
      </c>
      <c r="E25" s="278" t="n"/>
      <c r="F25" s="279" t="n"/>
      <c r="G25" s="104" t="n">
        <v>33576</v>
      </c>
      <c r="H25" s="278" t="n"/>
      <c r="I25" s="279" t="n"/>
      <c r="J25" s="104">
        <f>G25-D25</f>
        <v/>
      </c>
      <c r="K25" s="278" t="n"/>
      <c r="L25" s="279" t="n"/>
      <c r="M25" s="288">
        <f>'23'!M25+'24'!J25</f>
        <v/>
      </c>
      <c r="N25" s="275" t="n"/>
      <c r="P25" s="104" t="inlineStr">
        <is>
          <t>복류수</t>
        </is>
      </c>
      <c r="Q25" s="278" t="n"/>
      <c r="R25" s="279" t="n"/>
      <c r="S25" s="288">
        <f>'23'!V25</f>
        <v/>
      </c>
      <c r="T25" s="274" t="n"/>
      <c r="U25" s="275" t="n"/>
      <c r="V25" s="280" t="n">
        <v>70.40000000000001</v>
      </c>
      <c r="W25" s="278" t="n"/>
      <c r="X25" s="279" t="n"/>
      <c r="Y25" s="316">
        <f>'23'!Y25+'24'!V25</f>
        <v/>
      </c>
      <c r="Z25" s="275" t="n"/>
    </row>
    <row r="26" ht="21.9" customHeight="1" s="251">
      <c r="A26" s="104" t="inlineStr">
        <is>
          <t>BAG FILTER</t>
        </is>
      </c>
      <c r="B26" s="278" t="n"/>
      <c r="C26" s="279" t="n"/>
      <c r="D26" s="104">
        <f>'23'!G26</f>
        <v/>
      </c>
      <c r="E26" s="278" t="n"/>
      <c r="F26" s="279" t="n"/>
      <c r="G26" s="104" t="n">
        <v>24800</v>
      </c>
      <c r="H26" s="278" t="n"/>
      <c r="I26" s="279" t="n"/>
      <c r="J26" s="104">
        <f>G26-D26</f>
        <v/>
      </c>
      <c r="K26" s="278" t="n"/>
      <c r="L26" s="279" t="n"/>
      <c r="M26" s="288">
        <f>'23'!M26+'24'!J26</f>
        <v/>
      </c>
      <c r="N26" s="275" t="n"/>
      <c r="P26" s="104" t="inlineStr">
        <is>
          <t>응축수</t>
        </is>
      </c>
      <c r="Q26" s="278" t="n"/>
      <c r="R26" s="279" t="n"/>
      <c r="S26" s="288">
        <f>'23'!V26</f>
        <v/>
      </c>
      <c r="T26" s="274" t="n"/>
      <c r="U26" s="275" t="n"/>
      <c r="V26" s="280" t="n">
        <v>573.5</v>
      </c>
      <c r="W26" s="278" t="n"/>
      <c r="X26" s="279" t="n"/>
      <c r="Y26" s="316">
        <f>'23'!Y26+'24'!V26</f>
        <v/>
      </c>
      <c r="Z26" s="275" t="n"/>
    </row>
    <row r="27" ht="21.9" customHeight="1" s="251">
      <c r="A27" s="104" t="inlineStr">
        <is>
          <t>SCRUBBER</t>
        </is>
      </c>
      <c r="B27" s="278" t="n"/>
      <c r="C27" s="279" t="n"/>
      <c r="D27" s="104">
        <f>'23'!G27</f>
        <v/>
      </c>
      <c r="E27" s="278" t="n"/>
      <c r="F27" s="279" t="n"/>
      <c r="G27" s="104" t="n">
        <v>1418000</v>
      </c>
      <c r="H27" s="278" t="n"/>
      <c r="I27" s="279" t="n"/>
      <c r="J27" s="104">
        <f>G27-D27</f>
        <v/>
      </c>
      <c r="K27" s="278" t="n"/>
      <c r="L27" s="279" t="n"/>
      <c r="M27" s="288">
        <f>'23'!M27+J27</f>
        <v/>
      </c>
      <c r="N27" s="275" t="n"/>
      <c r="P27" s="104" t="inlineStr">
        <is>
          <t>보일러 급수</t>
        </is>
      </c>
      <c r="Q27" s="278" t="n"/>
      <c r="R27" s="279" t="n"/>
      <c r="S27" s="288">
        <f>'23'!V27</f>
        <v/>
      </c>
      <c r="T27" s="274" t="n"/>
      <c r="U27" s="275" t="n"/>
      <c r="V27" s="280" t="n">
        <v>539.9</v>
      </c>
      <c r="W27" s="278" t="n"/>
      <c r="X27" s="279" t="n"/>
      <c r="Y27" s="316">
        <f>'23'!Y27+'24'!V27</f>
        <v/>
      </c>
      <c r="Z27" s="275" t="n"/>
    </row>
    <row r="28" ht="21.9" customHeight="1" s="251">
      <c r="A28" s="104" t="inlineStr">
        <is>
          <t>활성탄 공급</t>
        </is>
      </c>
      <c r="B28" s="278" t="n"/>
      <c r="C28" s="279" t="n"/>
      <c r="D28" s="104">
        <f>'23'!G28</f>
        <v/>
      </c>
      <c r="E28" s="278" t="n"/>
      <c r="F28" s="279" t="n"/>
      <c r="G28" s="104" t="n">
        <v>6239</v>
      </c>
      <c r="H28" s="278" t="n"/>
      <c r="I28" s="279" t="n"/>
      <c r="J28" s="104">
        <f>G28-D28</f>
        <v/>
      </c>
      <c r="K28" s="278" t="n"/>
      <c r="L28" s="279" t="n"/>
      <c r="M28" s="288">
        <f>'23'!M28+'24'!J28</f>
        <v/>
      </c>
      <c r="N28" s="275" t="n"/>
      <c r="P28" s="104" t="inlineStr">
        <is>
          <t>폐 수</t>
        </is>
      </c>
      <c r="Q28" s="278" t="n"/>
      <c r="R28" s="279" t="n"/>
      <c r="S28" s="288">
        <f>'23'!V28</f>
        <v/>
      </c>
      <c r="T28" s="274" t="n"/>
      <c r="U28" s="275" t="n"/>
      <c r="V28" s="280" t="n">
        <v>0</v>
      </c>
      <c r="W28" s="278" t="n"/>
      <c r="X28" s="279" t="n"/>
      <c r="Y28" s="316">
        <f>'23'!Y28+'24'!V28</f>
        <v/>
      </c>
      <c r="Z28" s="275" t="n"/>
    </row>
    <row r="29" ht="21.9" customHeight="1" s="251">
      <c r="A29" s="104" t="inlineStr">
        <is>
          <t>소석회 공급</t>
        </is>
      </c>
      <c r="B29" s="278" t="n"/>
      <c r="C29" s="279" t="n"/>
      <c r="D29" s="104">
        <f>'23'!G29</f>
        <v/>
      </c>
      <c r="E29" s="278" t="n"/>
      <c r="F29" s="279" t="n"/>
      <c r="G29" s="104" t="n">
        <v>66250</v>
      </c>
      <c r="H29" s="278" t="n"/>
      <c r="I29" s="279" t="n"/>
      <c r="J29" s="104">
        <f>G29-D29</f>
        <v/>
      </c>
      <c r="K29" s="278" t="n"/>
      <c r="L29" s="279" t="n"/>
      <c r="M29" s="288">
        <f>'23'!M29+'24'!J29</f>
        <v/>
      </c>
      <c r="N29" s="275" t="n"/>
      <c r="P29" s="104" t="inlineStr">
        <is>
          <t>연 수</t>
        </is>
      </c>
      <c r="Q29" s="278" t="n"/>
      <c r="R29" s="279" t="n"/>
      <c r="S29" s="288">
        <f>'23'!V29</f>
        <v/>
      </c>
      <c r="T29" s="274" t="n"/>
      <c r="U29" s="275" t="n"/>
      <c r="V29" s="280" t="n">
        <v>79.90000000000001</v>
      </c>
      <c r="W29" s="278" t="n"/>
      <c r="X29" s="279" t="n"/>
      <c r="Y29" s="316">
        <f>'23'!Y29+'24'!V29</f>
        <v/>
      </c>
      <c r="Z29" s="275" t="n"/>
    </row>
    <row r="30" ht="21.9" customHeight="1" s="251">
      <c r="A30" s="104" t="inlineStr">
        <is>
          <t>요소수 공급</t>
        </is>
      </c>
      <c r="B30" s="278" t="n"/>
      <c r="C30" s="279" t="n"/>
      <c r="D30" s="104">
        <f>'23'!G30</f>
        <v/>
      </c>
      <c r="E30" s="278" t="n"/>
      <c r="F30" s="279" t="n"/>
      <c r="G30" s="104" t="n">
        <v>53520</v>
      </c>
      <c r="H30" s="278" t="n"/>
      <c r="I30" s="279" t="n"/>
      <c r="J30" s="104">
        <f>G30-D30</f>
        <v/>
      </c>
      <c r="K30" s="278" t="n"/>
      <c r="L30" s="279" t="n"/>
      <c r="M30" s="288">
        <f>'23'!M30+'24'!J30</f>
        <v/>
      </c>
      <c r="N30" s="275" t="n"/>
      <c r="P30" s="104" t="inlineStr">
        <is>
          <t>계</t>
        </is>
      </c>
      <c r="Q30" s="278" t="n"/>
      <c r="R30" s="279" t="n"/>
      <c r="S30" s="288">
        <f>'23'!V30</f>
        <v/>
      </c>
      <c r="T30" s="274" t="n"/>
      <c r="U30" s="275" t="n"/>
      <c r="V30" s="280" t="n"/>
      <c r="W30" s="278" t="n"/>
      <c r="X30" s="279" t="n"/>
      <c r="Y30" s="316">
        <f>'23'!Y30+'24'!V30</f>
        <v/>
      </c>
      <c r="Z30" s="275" t="n"/>
    </row>
    <row r="31" ht="21.9" customHeight="1" s="251">
      <c r="A31" s="104" t="inlineStr">
        <is>
          <t xml:space="preserve">F.D </t>
        </is>
      </c>
      <c r="B31" s="278" t="n"/>
      <c r="C31" s="279" t="n"/>
      <c r="D31" s="104">
        <f>'23'!G31</f>
        <v/>
      </c>
      <c r="E31" s="278" t="n"/>
      <c r="F31" s="279" t="n"/>
      <c r="G31" s="288" t="n">
        <v>6389098</v>
      </c>
      <c r="H31" s="274" t="n"/>
      <c r="I31" s="275" t="n"/>
      <c r="J31" s="104">
        <f>G31-D31</f>
        <v/>
      </c>
      <c r="K31" s="278" t="n"/>
      <c r="L31" s="279" t="n"/>
      <c r="M31" s="288">
        <f>'23'!M31+'24'!J31</f>
        <v/>
      </c>
      <c r="N31" s="275" t="n"/>
      <c r="P31" s="172" t="n"/>
      <c r="Q31" s="172" t="n"/>
      <c r="R31" s="172" t="n"/>
      <c r="S31" s="172" t="n"/>
      <c r="T31" s="172" t="n"/>
      <c r="U31" s="172" t="n"/>
      <c r="V31" s="305" t="n"/>
      <c r="W31" s="305" t="n"/>
      <c r="X31" s="305" t="n"/>
      <c r="Y31" s="305" t="n"/>
      <c r="Z31" s="305" t="n"/>
    </row>
    <row r="32" ht="21.9" customHeight="1" s="251">
      <c r="A32" s="104" t="inlineStr">
        <is>
          <t>활성탄 BAG</t>
        </is>
      </c>
      <c r="B32" s="278" t="n"/>
      <c r="C32" s="279" t="n"/>
      <c r="D32" s="104">
        <f>'23'!G32</f>
        <v/>
      </c>
      <c r="E32" s="278" t="n"/>
      <c r="F32" s="279" t="n"/>
      <c r="G32" s="288" t="n">
        <v>1.7</v>
      </c>
      <c r="H32" s="274" t="n"/>
      <c r="I32" s="275" t="n"/>
      <c r="J32" s="288">
        <f>G32-D32</f>
        <v/>
      </c>
      <c r="K32" s="274" t="n"/>
      <c r="L32" s="275" t="n"/>
      <c r="M32" s="288">
        <f>'23'!M32+'24'!J32</f>
        <v/>
      </c>
      <c r="N32" s="275" t="n"/>
      <c r="P32" s="172" t="n"/>
      <c r="Q32" s="172" t="n"/>
      <c r="R32" s="172" t="n"/>
      <c r="S32" s="172" t="n"/>
      <c r="T32" s="172" t="n"/>
      <c r="U32" s="172" t="n"/>
      <c r="V32" s="305" t="n"/>
      <c r="W32" s="305" t="n"/>
      <c r="X32" s="305" t="n"/>
      <c r="Y32" s="305" t="n"/>
      <c r="Z32" s="305" t="n"/>
    </row>
    <row r="33" ht="21.9" customHeight="1" s="251">
      <c r="A33" s="104" t="inlineStr">
        <is>
          <t>소석회 BAG</t>
        </is>
      </c>
      <c r="B33" s="278" t="n"/>
      <c r="C33" s="279" t="n"/>
      <c r="D33" s="104">
        <f>'23'!G33</f>
        <v/>
      </c>
      <c r="E33" s="278" t="n"/>
      <c r="F33" s="279" t="n"/>
      <c r="G33" s="288" t="n">
        <v>0</v>
      </c>
      <c r="H33" s="274" t="n"/>
      <c r="I33" s="275" t="n"/>
      <c r="J33" s="288">
        <f>G33-D33</f>
        <v/>
      </c>
      <c r="K33" s="274" t="n"/>
      <c r="L33" s="275" t="n"/>
      <c r="M33" s="288">
        <f>'23'!M33+'24'!J33</f>
        <v/>
      </c>
      <c r="N33" s="275" t="n"/>
      <c r="P33" s="172" t="n"/>
      <c r="Q33" s="172" t="n"/>
      <c r="R33" s="172" t="n"/>
      <c r="S33" s="172" t="n"/>
      <c r="T33" s="172" t="n"/>
      <c r="U33" s="172" t="n"/>
      <c r="V33" s="305" t="n"/>
      <c r="W33" s="305" t="n"/>
      <c r="X33" s="305" t="n"/>
      <c r="Y33" s="305" t="n"/>
      <c r="Z33" s="305" t="n"/>
    </row>
  </sheetData>
  <mergeCells count="217">
    <mergeCell ref="V24:X24"/>
    <mergeCell ref="A15:B15"/>
    <mergeCell ref="P27:R27"/>
    <mergeCell ref="C15:D15"/>
    <mergeCell ref="S23:U23"/>
    <mergeCell ref="J27:L27"/>
    <mergeCell ref="S14:V15"/>
    <mergeCell ref="Y24:Z24"/>
    <mergeCell ref="U7:W7"/>
    <mergeCell ref="A26:C26"/>
    <mergeCell ref="J25:L25"/>
    <mergeCell ref="G24:I24"/>
    <mergeCell ref="D28:F28"/>
    <mergeCell ref="I16:J16"/>
    <mergeCell ref="A23:C23"/>
    <mergeCell ref="P6:Q6"/>
    <mergeCell ref="S24:U24"/>
    <mergeCell ref="P28:R28"/>
    <mergeCell ref="W1:X1"/>
    <mergeCell ref="Y1:Z1"/>
    <mergeCell ref="S16:T17"/>
    <mergeCell ref="G26:I26"/>
    <mergeCell ref="D30:F30"/>
    <mergeCell ref="U8:W8"/>
    <mergeCell ref="G18:H18"/>
    <mergeCell ref="B1:C1"/>
    <mergeCell ref="I18:J18"/>
    <mergeCell ref="H3:S3"/>
    <mergeCell ref="M16:N16"/>
    <mergeCell ref="P30:R30"/>
    <mergeCell ref="M25:N25"/>
    <mergeCell ref="D29:F29"/>
    <mergeCell ref="D23:F23"/>
    <mergeCell ref="Y25:Z25"/>
    <mergeCell ref="M18:N18"/>
    <mergeCell ref="M33:N33"/>
    <mergeCell ref="A17:B17"/>
    <mergeCell ref="S25:U25"/>
    <mergeCell ref="C17:D17"/>
    <mergeCell ref="U18:V20"/>
    <mergeCell ref="W18:X20"/>
    <mergeCell ref="M17:N17"/>
    <mergeCell ref="J29:L29"/>
    <mergeCell ref="G20:H20"/>
    <mergeCell ref="I20:J20"/>
    <mergeCell ref="S27:U27"/>
    <mergeCell ref="A19:B19"/>
    <mergeCell ref="V23:X23"/>
    <mergeCell ref="C19:D19"/>
    <mergeCell ref="A6:C6"/>
    <mergeCell ref="Y2:Z3"/>
    <mergeCell ref="Y18:Z20"/>
    <mergeCell ref="P22:U22"/>
    <mergeCell ref="M19:N19"/>
    <mergeCell ref="I13:J13"/>
    <mergeCell ref="K13:L13"/>
    <mergeCell ref="X7:Z7"/>
    <mergeCell ref="E12:F12"/>
    <mergeCell ref="J24:L24"/>
    <mergeCell ref="G12:H12"/>
    <mergeCell ref="G28:I28"/>
    <mergeCell ref="D27:F27"/>
    <mergeCell ref="G6:I6"/>
    <mergeCell ref="I15:J15"/>
    <mergeCell ref="A11:B11"/>
    <mergeCell ref="K15:L15"/>
    <mergeCell ref="S28:U28"/>
    <mergeCell ref="C14:D14"/>
    <mergeCell ref="E14:F14"/>
    <mergeCell ref="J26:L26"/>
    <mergeCell ref="G30:I30"/>
    <mergeCell ref="J7:L7"/>
    <mergeCell ref="V27:X27"/>
    <mergeCell ref="A32:C32"/>
    <mergeCell ref="A29:C29"/>
    <mergeCell ref="D25:F25"/>
    <mergeCell ref="Y26:Z26"/>
    <mergeCell ref="V25:X25"/>
    <mergeCell ref="M13:N13"/>
    <mergeCell ref="J33:L33"/>
    <mergeCell ref="G32:I32"/>
    <mergeCell ref="W14:Z15"/>
    <mergeCell ref="A31:C31"/>
    <mergeCell ref="S26:U26"/>
    <mergeCell ref="M27:N27"/>
    <mergeCell ref="I17:J17"/>
    <mergeCell ref="A24:C24"/>
    <mergeCell ref="Y27:Z27"/>
    <mergeCell ref="K17:L17"/>
    <mergeCell ref="P29:R29"/>
    <mergeCell ref="M24:N24"/>
    <mergeCell ref="E16:F16"/>
    <mergeCell ref="J28:L28"/>
    <mergeCell ref="G27:I27"/>
    <mergeCell ref="G16:H16"/>
    <mergeCell ref="D31:F31"/>
    <mergeCell ref="U2:V3"/>
    <mergeCell ref="I19:J19"/>
    <mergeCell ref="U1:V1"/>
    <mergeCell ref="G8:I8"/>
    <mergeCell ref="K19:L19"/>
    <mergeCell ref="C18:D18"/>
    <mergeCell ref="A7:C7"/>
    <mergeCell ref="V29:X29"/>
    <mergeCell ref="E18:F18"/>
    <mergeCell ref="J30:L30"/>
    <mergeCell ref="R6:T6"/>
    <mergeCell ref="K16:L16"/>
    <mergeCell ref="A25:C25"/>
    <mergeCell ref="J6:L6"/>
    <mergeCell ref="D1:E1"/>
    <mergeCell ref="D32:F32"/>
    <mergeCell ref="G11:H11"/>
    <mergeCell ref="I11:J11"/>
    <mergeCell ref="W11:Z11"/>
    <mergeCell ref="P23:R23"/>
    <mergeCell ref="D7:F7"/>
    <mergeCell ref="Y16:Z17"/>
    <mergeCell ref="S18:T20"/>
    <mergeCell ref="Y30:Z30"/>
    <mergeCell ref="C20:D20"/>
    <mergeCell ref="K11:L11"/>
    <mergeCell ref="E20:F20"/>
    <mergeCell ref="J32:L32"/>
    <mergeCell ref="M11:N11"/>
    <mergeCell ref="Y29:Z29"/>
    <mergeCell ref="H1:S2"/>
    <mergeCell ref="V26:X26"/>
    <mergeCell ref="E13:F13"/>
    <mergeCell ref="S30:U30"/>
    <mergeCell ref="G13:H13"/>
    <mergeCell ref="M31:N31"/>
    <mergeCell ref="G29:I29"/>
    <mergeCell ref="D8:F8"/>
    <mergeCell ref="D33:F33"/>
    <mergeCell ref="W12:Z13"/>
    <mergeCell ref="A12:B12"/>
    <mergeCell ref="A28:C28"/>
    <mergeCell ref="C12:D12"/>
    <mergeCell ref="A1:A3"/>
    <mergeCell ref="S29:U29"/>
    <mergeCell ref="M15:N15"/>
    <mergeCell ref="M12:N12"/>
    <mergeCell ref="E15:F15"/>
    <mergeCell ref="G15:H15"/>
    <mergeCell ref="G31:I31"/>
    <mergeCell ref="Y28:Z28"/>
    <mergeCell ref="P18:R20"/>
    <mergeCell ref="J8:L8"/>
    <mergeCell ref="A14:B14"/>
    <mergeCell ref="A30:C30"/>
    <mergeCell ref="M26:N26"/>
    <mergeCell ref="U6:W6"/>
    <mergeCell ref="P25:R25"/>
    <mergeCell ref="M29:N29"/>
    <mergeCell ref="M23:N23"/>
    <mergeCell ref="F2:G3"/>
    <mergeCell ref="G23:I23"/>
    <mergeCell ref="Y23:Z23"/>
    <mergeCell ref="U16:V17"/>
    <mergeCell ref="W16:X17"/>
    <mergeCell ref="G7:I7"/>
    <mergeCell ref="K18:L18"/>
    <mergeCell ref="F1:G1"/>
    <mergeCell ref="D6:F6"/>
    <mergeCell ref="P12:R13"/>
    <mergeCell ref="T1:T3"/>
    <mergeCell ref="V28:X28"/>
    <mergeCell ref="P11:R11"/>
    <mergeCell ref="P14:R15"/>
    <mergeCell ref="A27:C27"/>
    <mergeCell ref="W2:X3"/>
    <mergeCell ref="V30:X30"/>
    <mergeCell ref="E17:F17"/>
    <mergeCell ref="G17:H17"/>
    <mergeCell ref="G33:I33"/>
    <mergeCell ref="X6:Z6"/>
    <mergeCell ref="A33:C33"/>
    <mergeCell ref="K20:L20"/>
    <mergeCell ref="A16:B16"/>
    <mergeCell ref="C16:D16"/>
    <mergeCell ref="M20:N20"/>
    <mergeCell ref="A8:C8"/>
    <mergeCell ref="E19:F19"/>
    <mergeCell ref="P8:Q8"/>
    <mergeCell ref="J31:L31"/>
    <mergeCell ref="G19:H19"/>
    <mergeCell ref="A18:B18"/>
    <mergeCell ref="G25:I25"/>
    <mergeCell ref="D24:F24"/>
    <mergeCell ref="M30:N30"/>
    <mergeCell ref="I12:J12"/>
    <mergeCell ref="K12:L12"/>
    <mergeCell ref="P7:Q7"/>
    <mergeCell ref="P24:R24"/>
    <mergeCell ref="C11:D11"/>
    <mergeCell ref="M28:N28"/>
    <mergeCell ref="E11:F11"/>
    <mergeCell ref="J23:L23"/>
    <mergeCell ref="S11:V11"/>
    <mergeCell ref="G14:H14"/>
    <mergeCell ref="D26:F26"/>
    <mergeCell ref="R8:T8"/>
    <mergeCell ref="I14:J14"/>
    <mergeCell ref="K14:L14"/>
    <mergeCell ref="P26:R26"/>
    <mergeCell ref="P16:R17"/>
    <mergeCell ref="A20:B20"/>
    <mergeCell ref="B2:C3"/>
    <mergeCell ref="D2:E3"/>
    <mergeCell ref="M32:N32"/>
    <mergeCell ref="M14:N14"/>
    <mergeCell ref="X8:Z8"/>
    <mergeCell ref="A13:B13"/>
    <mergeCell ref="C13:D13"/>
    <mergeCell ref="R7:T7"/>
    <mergeCell ref="S12:V13"/>
  </mergeCells>
  <pageMargins left="0.7086614173228347" right="0.7086614173228347" top="0.7480314960629921" bottom="0.7480314960629921" header="0.3149606299212598" footer="0.3149606299212598"/>
  <pageSetup orientation="portrait" paperSize="9" scale="59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AE33"/>
  <sheetViews>
    <sheetView zoomScaleNormal="100" zoomScaleSheetLayoutView="100" workbookViewId="0">
      <selection activeCell="G18" sqref="G18:H18"/>
    </sheetView>
  </sheetViews>
  <sheetFormatPr baseColWidth="8" defaultRowHeight="17.4"/>
  <cols>
    <col width="2.8984375" customWidth="1" style="251" min="1" max="1"/>
    <col width="5.59765625" customWidth="1" style="251" min="2" max="14"/>
    <col width="3.59765625" customWidth="1" style="251" min="15" max="15"/>
    <col width="4.59765625" customWidth="1" style="251" min="16" max="22"/>
    <col width="5.59765625" customWidth="1" style="251" min="23" max="26"/>
  </cols>
  <sheetData>
    <row r="1" ht="18.75" customHeight="1" s="251">
      <c r="A1" s="122" t="inlineStr">
        <is>
          <t>근
무
자</t>
        </is>
      </c>
      <c r="B1" s="120" t="inlineStr">
        <is>
          <t>오  전</t>
        </is>
      </c>
      <c r="C1" s="252" t="n"/>
      <c r="D1" s="120" t="inlineStr">
        <is>
          <t>오  후</t>
        </is>
      </c>
      <c r="E1" s="252" t="n"/>
      <c r="F1" s="120" t="inlineStr">
        <is>
          <t>야  간</t>
        </is>
      </c>
      <c r="G1" s="252" t="n"/>
      <c r="H1" s="253" t="inlineStr">
        <is>
          <t>유동상소각로 운전일지</t>
        </is>
      </c>
      <c r="S1" s="254" t="n"/>
      <c r="T1" s="255" t="inlineStr">
        <is>
          <t>결
재</t>
        </is>
      </c>
      <c r="U1" s="120" t="inlineStr">
        <is>
          <t>반장</t>
        </is>
      </c>
      <c r="V1" s="252" t="n"/>
      <c r="W1" s="120" t="inlineStr">
        <is>
          <t>대리</t>
        </is>
      </c>
      <c r="X1" s="252" t="n"/>
      <c r="Y1" s="120" t="inlineStr">
        <is>
          <t>팀장</t>
        </is>
      </c>
      <c r="Z1" s="252" t="n"/>
    </row>
    <row r="2" ht="14.25" customHeight="1" s="251">
      <c r="A2" s="256" t="n"/>
      <c r="B2" s="257" t="inlineStr">
        <is>
          <t>김문한</t>
        </is>
      </c>
      <c r="C2" s="258" t="n"/>
      <c r="D2" s="257" t="inlineStr">
        <is>
          <t>김동욱</t>
        </is>
      </c>
      <c r="E2" s="258" t="n"/>
      <c r="F2" s="257" t="inlineStr">
        <is>
          <t>임종민</t>
        </is>
      </c>
      <c r="G2" s="258" t="n"/>
      <c r="H2" s="259" t="n"/>
      <c r="I2" s="260" t="n"/>
      <c r="J2" s="260" t="n"/>
      <c r="K2" s="260" t="n"/>
      <c r="L2" s="260" t="n"/>
      <c r="M2" s="260" t="n"/>
      <c r="N2" s="260" t="n"/>
      <c r="O2" s="260" t="n"/>
      <c r="P2" s="260" t="n"/>
      <c r="Q2" s="260" t="n"/>
      <c r="R2" s="260" t="n"/>
      <c r="S2" s="261" t="n"/>
      <c r="T2" s="262" t="n"/>
      <c r="U2" s="105" t="n"/>
      <c r="V2" s="254" t="n"/>
      <c r="W2" s="105" t="n"/>
      <c r="X2" s="254" t="n"/>
      <c r="Y2" s="105" t="n"/>
      <c r="Z2" s="254" t="n"/>
    </row>
    <row r="3" ht="37.5" customHeight="1" s="251">
      <c r="A3" s="263" t="n"/>
      <c r="B3" s="264" t="n"/>
      <c r="C3" s="265" t="n"/>
      <c r="D3" s="264" t="n"/>
      <c r="E3" s="265" t="n"/>
      <c r="F3" s="264" t="n"/>
      <c r="G3" s="265" t="n"/>
      <c r="H3" s="266" t="n">
        <v>46228</v>
      </c>
      <c r="I3" s="267" t="n"/>
      <c r="J3" s="267" t="n"/>
      <c r="K3" s="267" t="n"/>
      <c r="L3" s="267" t="n"/>
      <c r="M3" s="267" t="n"/>
      <c r="N3" s="267" t="n"/>
      <c r="O3" s="267" t="n"/>
      <c r="P3" s="267" t="n"/>
      <c r="Q3" s="267" t="n"/>
      <c r="R3" s="267" t="n"/>
      <c r="S3" s="268" t="n"/>
      <c r="T3" s="269" t="n"/>
      <c r="U3" s="264" t="n"/>
      <c r="V3" s="265" t="n"/>
      <c r="W3" s="264" t="n"/>
      <c r="X3" s="265" t="n"/>
      <c r="Y3" s="264" t="n"/>
      <c r="Z3" s="265" t="n"/>
    </row>
    <row r="4" ht="13.5" customHeight="1" s="25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inlineStr">
        <is>
          <t>1. 소각현황(KG)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inlineStr">
        <is>
          <t>2. BOILER 운전현황(TON, HR)</t>
        </is>
      </c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2.5" customHeight="1" s="251" thickBot="1">
      <c r="A6" s="136" t="inlineStr">
        <is>
          <t>구 분</t>
        </is>
      </c>
      <c r="B6" s="270" t="n"/>
      <c r="C6" s="271" t="n"/>
      <c r="D6" s="136" t="inlineStr">
        <is>
          <t>SRF소각량</t>
        </is>
      </c>
      <c r="E6" s="270" t="n"/>
      <c r="F6" s="271" t="n"/>
      <c r="G6" s="136" t="inlineStr">
        <is>
          <t>SLUDGE 소각량</t>
        </is>
      </c>
      <c r="H6" s="270" t="n"/>
      <c r="I6" s="271" t="n"/>
      <c r="J6" s="136" t="inlineStr">
        <is>
          <t>합 계</t>
        </is>
      </c>
      <c r="K6" s="270" t="n"/>
      <c r="L6" s="271" t="n"/>
      <c r="M6" s="1" t="n"/>
      <c r="N6" s="1" t="n"/>
      <c r="O6" s="1" t="n"/>
      <c r="P6" s="136" t="inlineStr">
        <is>
          <t>구 분</t>
        </is>
      </c>
      <c r="Q6" s="271" t="n"/>
      <c r="R6" s="136" t="inlineStr">
        <is>
          <t>스팀 생산량</t>
        </is>
      </c>
      <c r="S6" s="270" t="n"/>
      <c r="T6" s="271" t="n"/>
      <c r="U6" s="136" t="inlineStr">
        <is>
          <t>스팀 송기량</t>
        </is>
      </c>
      <c r="V6" s="270" t="n"/>
      <c r="W6" s="271" t="n"/>
      <c r="X6" s="136" t="inlineStr">
        <is>
          <t>가동시간</t>
        </is>
      </c>
      <c r="Y6" s="270" t="n"/>
      <c r="Z6" s="271" t="n"/>
    </row>
    <row r="7" ht="30" customHeight="1" s="251" thickTop="1">
      <c r="A7" s="105" t="inlineStr">
        <is>
          <t>금 일</t>
        </is>
      </c>
      <c r="B7" s="272" t="n"/>
      <c r="C7" s="265" t="n"/>
      <c r="D7" s="139" t="n">
        <v>64897</v>
      </c>
      <c r="E7" s="272" t="n"/>
      <c r="F7" s="265" t="n"/>
      <c r="G7" s="139" t="n">
        <v>155000</v>
      </c>
      <c r="H7" s="272" t="n"/>
      <c r="I7" s="265" t="n"/>
      <c r="J7" s="154">
        <f>D7+G7</f>
        <v/>
      </c>
      <c r="K7" s="278" t="n"/>
      <c r="L7" s="279" t="n"/>
      <c r="M7" s="1" t="n"/>
      <c r="N7" s="1" t="n"/>
      <c r="O7" s="1" t="n"/>
      <c r="P7" s="105" t="inlineStr">
        <is>
          <t>금 일</t>
        </is>
      </c>
      <c r="Q7" s="265" t="n"/>
      <c r="R7" s="276" t="n">
        <v>494.9</v>
      </c>
      <c r="S7" s="272" t="n"/>
      <c r="T7" s="265" t="n"/>
      <c r="U7" s="276" t="n">
        <v>422.2</v>
      </c>
      <c r="V7" s="272" t="n"/>
      <c r="W7" s="265" t="n"/>
      <c r="X7" s="277" t="n">
        <v>24</v>
      </c>
      <c r="Y7" s="272" t="n"/>
      <c r="Z7" s="265" t="n"/>
    </row>
    <row r="8" ht="30" customHeight="1" s="251">
      <c r="A8" s="104" t="inlineStr">
        <is>
          <t>누 계</t>
        </is>
      </c>
      <c r="B8" s="278" t="n"/>
      <c r="C8" s="279" t="n"/>
      <c r="D8" s="154">
        <f>'24'!D8+'25'!D7</f>
        <v/>
      </c>
      <c r="E8" s="278" t="n"/>
      <c r="F8" s="279" t="n"/>
      <c r="G8" s="154">
        <f>'24'!G8+'25'!G7</f>
        <v/>
      </c>
      <c r="H8" s="278" t="n"/>
      <c r="I8" s="279" t="n"/>
      <c r="J8" s="154">
        <f>D8+G8</f>
        <v/>
      </c>
      <c r="K8" s="278" t="n"/>
      <c r="L8" s="279" t="n"/>
      <c r="M8" s="1" t="n"/>
      <c r="N8" s="1" t="n"/>
      <c r="O8" s="1" t="n"/>
      <c r="P8" s="104" t="inlineStr">
        <is>
          <t>누 계</t>
        </is>
      </c>
      <c r="Q8" s="279" t="n"/>
      <c r="R8" s="280">
        <f>'24'!R8+R7</f>
        <v/>
      </c>
      <c r="S8" s="278" t="n"/>
      <c r="T8" s="279" t="n"/>
      <c r="U8" s="280">
        <f>'24'!U8+U7</f>
        <v/>
      </c>
      <c r="V8" s="278" t="n"/>
      <c r="W8" s="279" t="n"/>
      <c r="X8" s="281">
        <f>'24'!X8+'25'!X7</f>
        <v/>
      </c>
      <c r="Y8" s="278" t="n"/>
      <c r="Z8" s="279" t="n"/>
    </row>
    <row r="9" ht="12" customHeight="1" s="25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inlineStr">
        <is>
          <t>3. 약품 사용현황 (KG)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inlineStr">
        <is>
          <t>4. 소각재 발생량 (TON, 대)</t>
        </is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30.75" customHeight="1" s="251" thickBot="1">
      <c r="A11" s="136" t="inlineStr">
        <is>
          <t>품 명</t>
        </is>
      </c>
      <c r="B11" s="271" t="n"/>
      <c r="C11" s="150" t="inlineStr">
        <is>
          <t>전일 
재고량</t>
        </is>
      </c>
      <c r="D11" s="271" t="n"/>
      <c r="E11" s="136" t="inlineStr">
        <is>
          <t>입고량</t>
        </is>
      </c>
      <c r="F11" s="271" t="n"/>
      <c r="G11" s="136" t="inlineStr">
        <is>
          <t>사용량</t>
        </is>
      </c>
      <c r="H11" s="271" t="n"/>
      <c r="I11" s="282" t="inlineStr">
        <is>
          <t>재고량</t>
        </is>
      </c>
      <c r="J11" s="271" t="n"/>
      <c r="K11" s="150" t="inlineStr">
        <is>
          <t>입고량 
누계</t>
        </is>
      </c>
      <c r="L11" s="271" t="n"/>
      <c r="M11" s="150" t="inlineStr">
        <is>
          <t>사용량 
누계</t>
        </is>
      </c>
      <c r="N11" s="271" t="n"/>
      <c r="O11" s="1" t="n"/>
      <c r="P11" s="136" t="inlineStr">
        <is>
          <t xml:space="preserve"> 구 분</t>
        </is>
      </c>
      <c r="Q11" s="270" t="n"/>
      <c r="R11" s="271" t="n"/>
      <c r="S11" s="282" t="inlineStr">
        <is>
          <t>반출량</t>
        </is>
      </c>
      <c r="T11" s="270" t="n"/>
      <c r="U11" s="270" t="n"/>
      <c r="V11" s="271" t="n"/>
      <c r="W11" s="282" t="inlineStr">
        <is>
          <t>누계</t>
        </is>
      </c>
      <c r="X11" s="270" t="n"/>
      <c r="Y11" s="270" t="n"/>
      <c r="Z11" s="271" t="n"/>
    </row>
    <row r="12" ht="21.9" customHeight="1" s="251" thickTop="1">
      <c r="A12" s="142" t="inlineStr">
        <is>
          <t>탄산암모늄</t>
        </is>
      </c>
      <c r="B12" s="265" t="n"/>
      <c r="C12" s="310">
        <f>'24'!I12</f>
        <v/>
      </c>
      <c r="D12" s="265" t="n"/>
      <c r="E12" s="105" t="n">
        <v>0</v>
      </c>
      <c r="F12" s="265" t="n"/>
      <c r="G12" s="105" t="n">
        <v>4933</v>
      </c>
      <c r="H12" s="265" t="n"/>
      <c r="I12" s="164">
        <f>C12+E12-G12</f>
        <v/>
      </c>
      <c r="J12" s="283" t="n"/>
      <c r="K12" s="105">
        <f>'24'!K12+'25'!E12</f>
        <v/>
      </c>
      <c r="L12" s="265" t="n"/>
      <c r="M12" s="105">
        <f>'24'!M12+G12</f>
        <v/>
      </c>
      <c r="N12" s="265" t="n"/>
      <c r="O12" s="1" t="n"/>
      <c r="P12" s="149" t="inlineStr">
        <is>
          <t xml:space="preserve">
비산재
</t>
        </is>
      </c>
      <c r="R12" s="254" t="n"/>
      <c r="S12" s="284" t="n">
        <v>29.28</v>
      </c>
      <c r="T12" s="285" t="n"/>
      <c r="U12" s="285" t="n"/>
      <c r="V12" s="285" t="n"/>
      <c r="W12" s="318">
        <f>'24'!W12+'25'!S12</f>
        <v/>
      </c>
      <c r="X12" s="285" t="n"/>
      <c r="Y12" s="285" t="n"/>
      <c r="Z12" s="287" t="n"/>
    </row>
    <row r="13" ht="21.9" customHeight="1" s="251">
      <c r="A13" s="104" t="inlineStr">
        <is>
          <t>청관제</t>
        </is>
      </c>
      <c r="B13" s="279" t="n"/>
      <c r="C13" s="310">
        <f>'24'!I13</f>
        <v/>
      </c>
      <c r="D13" s="265" t="n"/>
      <c r="E13" s="104" t="n">
        <v>0</v>
      </c>
      <c r="F13" s="279" t="n"/>
      <c r="G13" s="104" t="n">
        <v>60</v>
      </c>
      <c r="H13" s="279" t="n"/>
      <c r="I13" s="288">
        <f>C13+E13-G13</f>
        <v/>
      </c>
      <c r="J13" s="275" t="n"/>
      <c r="K13" s="105">
        <f>'24'!K13+'25'!E13</f>
        <v/>
      </c>
      <c r="L13" s="265" t="n"/>
      <c r="M13" s="288">
        <f>'24'!M13+G13</f>
        <v/>
      </c>
      <c r="N13" s="275" t="n"/>
      <c r="O13" s="1" t="n"/>
      <c r="P13" s="264" t="n"/>
      <c r="Q13" s="272" t="n"/>
      <c r="R13" s="265" t="n"/>
      <c r="S13" s="289" t="n"/>
      <c r="T13" s="290" t="n"/>
      <c r="U13" s="290" t="n"/>
      <c r="V13" s="290" t="n"/>
      <c r="W13" s="264" t="n"/>
      <c r="X13" s="272" t="n"/>
      <c r="Y13" s="272" t="n"/>
      <c r="Z13" s="265" t="n"/>
    </row>
    <row r="14" ht="21.9" customHeight="1" s="251">
      <c r="A14" s="104" t="inlineStr">
        <is>
          <t>활성탄</t>
        </is>
      </c>
      <c r="B14" s="279" t="n"/>
      <c r="C14" s="310">
        <f>'24'!I14</f>
        <v/>
      </c>
      <c r="D14" s="265" t="n"/>
      <c r="E14" s="104" t="n">
        <v>0</v>
      </c>
      <c r="F14" s="279" t="n"/>
      <c r="G14" s="104" t="n">
        <v>120</v>
      </c>
      <c r="H14" s="279" t="n"/>
      <c r="I14" s="288">
        <f>C14+E14-G14</f>
        <v/>
      </c>
      <c r="J14" s="275" t="n"/>
      <c r="K14" s="105">
        <f>'24'!K14+'25'!E14</f>
        <v/>
      </c>
      <c r="L14" s="265" t="n"/>
      <c r="M14" s="288">
        <f>'24'!M14+G14</f>
        <v/>
      </c>
      <c r="N14" s="275" t="n"/>
      <c r="O14" s="1" t="n"/>
      <c r="P14" s="104" t="inlineStr">
        <is>
          <t>바닥재</t>
        </is>
      </c>
      <c r="Q14" s="291" t="n"/>
      <c r="R14" s="292" t="n"/>
      <c r="S14" s="293" t="n">
        <v>0</v>
      </c>
      <c r="T14" s="291" t="n"/>
      <c r="U14" s="291" t="n"/>
      <c r="V14" s="291" t="n"/>
      <c r="W14" s="311">
        <f>'24'!W14+'25'!S14</f>
        <v/>
      </c>
      <c r="X14" s="291" t="n"/>
      <c r="Y14" s="291" t="n"/>
      <c r="Z14" s="295" t="n"/>
    </row>
    <row r="15" ht="21.9" customHeight="1" s="251">
      <c r="A15" s="104" t="inlineStr">
        <is>
          <t>가성소다</t>
        </is>
      </c>
      <c r="B15" s="279" t="n"/>
      <c r="C15" s="310">
        <f>'24'!I15</f>
        <v/>
      </c>
      <c r="D15" s="265" t="n"/>
      <c r="E15" s="104" t="n">
        <v>0</v>
      </c>
      <c r="F15" s="279" t="n"/>
      <c r="G15" s="104" t="n">
        <v>0</v>
      </c>
      <c r="H15" s="279" t="n"/>
      <c r="I15" s="288">
        <f>C15+E15-G15</f>
        <v/>
      </c>
      <c r="J15" s="275" t="n"/>
      <c r="K15" s="105">
        <f>'24'!K15+'25'!E15</f>
        <v/>
      </c>
      <c r="L15" s="265" t="n"/>
      <c r="M15" s="288">
        <f>'24'!M15+G15</f>
        <v/>
      </c>
      <c r="N15" s="275" t="n"/>
      <c r="O15" s="1" t="n"/>
      <c r="P15" s="296" t="n"/>
      <c r="Q15" s="290" t="n"/>
      <c r="R15" s="297" t="n"/>
      <c r="S15" s="296" t="n"/>
      <c r="T15" s="290" t="n"/>
      <c r="U15" s="290" t="n"/>
      <c r="V15" s="290" t="n"/>
      <c r="W15" s="298" t="n"/>
      <c r="X15" s="272" t="n"/>
      <c r="Y15" s="272" t="n"/>
      <c r="Z15" s="265" t="n"/>
    </row>
    <row r="16" ht="21.9" customHeight="1" s="251">
      <c r="A16" s="104" t="inlineStr">
        <is>
          <t>소석회</t>
        </is>
      </c>
      <c r="B16" s="279" t="n"/>
      <c r="C16" s="310">
        <f>'24'!I16</f>
        <v/>
      </c>
      <c r="D16" s="265" t="n"/>
      <c r="E16" s="104" t="n">
        <v>0</v>
      </c>
      <c r="F16" s="279" t="n"/>
      <c r="G16" s="104" t="n">
        <v>20</v>
      </c>
      <c r="H16" s="279" t="n"/>
      <c r="I16" s="288">
        <f>C16+E16-G16</f>
        <v/>
      </c>
      <c r="J16" s="275" t="n"/>
      <c r="K16" s="105">
        <f>'24'!K16+'25'!E16</f>
        <v/>
      </c>
      <c r="L16" s="265" t="n"/>
      <c r="M16" s="288">
        <f>'24'!M16+G16</f>
        <v/>
      </c>
      <c r="N16" s="275" t="n"/>
      <c r="O16" s="1" t="n"/>
      <c r="P16" s="162" t="inlineStr">
        <is>
          <t>구분</t>
        </is>
      </c>
      <c r="Q16" s="291" t="n"/>
      <c r="R16" s="292" t="n"/>
      <c r="S16" s="299" t="inlineStr">
        <is>
          <t>주간</t>
        </is>
      </c>
      <c r="T16" s="292" t="n"/>
      <c r="U16" s="299" t="inlineStr">
        <is>
          <t>야간</t>
        </is>
      </c>
      <c r="V16" s="292" t="n"/>
      <c r="W16" s="299" t="inlineStr">
        <is>
          <t>합계</t>
        </is>
      </c>
      <c r="X16" s="292" t="n"/>
      <c r="Y16" s="299" t="inlineStr">
        <is>
          <t>누계</t>
        </is>
      </c>
      <c r="Z16" s="292" t="n"/>
    </row>
    <row r="17" ht="21.9" customHeight="1" s="251" thickBot="1">
      <c r="A17" s="104" t="inlineStr">
        <is>
          <t>소 금</t>
        </is>
      </c>
      <c r="B17" s="279" t="n"/>
      <c r="C17" s="310">
        <f>'24'!I17</f>
        <v/>
      </c>
      <c r="D17" s="265" t="n"/>
      <c r="E17" s="104" t="n">
        <v>0</v>
      </c>
      <c r="F17" s="279" t="n"/>
      <c r="G17" s="104" t="n">
        <v>200</v>
      </c>
      <c r="H17" s="279" t="n"/>
      <c r="I17" s="288">
        <f>C17+E17-G17</f>
        <v/>
      </c>
      <c r="J17" s="275" t="n"/>
      <c r="K17" s="105">
        <f>'24'!K17+'25'!E17</f>
        <v/>
      </c>
      <c r="L17" s="265" t="n"/>
      <c r="M17" s="288">
        <f>'24'!M17+G17</f>
        <v/>
      </c>
      <c r="N17" s="275" t="n"/>
      <c r="O17" s="1" t="n"/>
      <c r="P17" s="296" t="n"/>
      <c r="Q17" s="290" t="n"/>
      <c r="R17" s="297" t="n"/>
      <c r="S17" s="300" t="n"/>
      <c r="T17" s="301" t="n"/>
      <c r="U17" s="300" t="n"/>
      <c r="V17" s="301" t="n"/>
      <c r="W17" s="300" t="n"/>
      <c r="X17" s="301" t="n"/>
      <c r="Y17" s="300" t="n"/>
      <c r="Z17" s="301" t="n"/>
      <c r="AE17" s="302" t="n"/>
    </row>
    <row r="18" ht="21.9" customHeight="1" s="251" thickTop="1">
      <c r="A18" s="104" t="inlineStr">
        <is>
          <t>경 유</t>
        </is>
      </c>
      <c r="B18" s="279" t="n"/>
      <c r="C18" s="310">
        <f>'24'!I18</f>
        <v/>
      </c>
      <c r="D18" s="265" t="n"/>
      <c r="E18" s="104" t="n">
        <v>0</v>
      </c>
      <c r="F18" s="279" t="n"/>
      <c r="G18" s="104" t="n">
        <v>0</v>
      </c>
      <c r="H18" s="279" t="n"/>
      <c r="I18" s="288">
        <f>C18+E18-G18</f>
        <v/>
      </c>
      <c r="J18" s="275" t="n"/>
      <c r="K18" s="105">
        <f>'24'!K18+'25'!E18</f>
        <v/>
      </c>
      <c r="L18" s="265" t="n"/>
      <c r="M18" s="288">
        <f>'24'!M18+G18</f>
        <v/>
      </c>
      <c r="N18" s="275" t="n"/>
      <c r="O18" s="1" t="n"/>
      <c r="P18" s="164" t="inlineStr">
        <is>
          <t>불연물</t>
        </is>
      </c>
      <c r="Q18" s="285" t="n"/>
      <c r="R18" s="287" t="n"/>
      <c r="S18" s="303" t="n">
        <v>1</v>
      </c>
      <c r="T18" s="287" t="n"/>
      <c r="U18" s="303" t="n">
        <v>2</v>
      </c>
      <c r="V18" s="287" t="n"/>
      <c r="W18" s="303">
        <f>S18+U18</f>
        <v/>
      </c>
      <c r="X18" s="287" t="n"/>
      <c r="Y18" s="303">
        <f>'24'!Y18+'25'!W18</f>
        <v/>
      </c>
      <c r="Z18" s="287" t="n"/>
    </row>
    <row r="19" ht="21.9" customHeight="1" s="251">
      <c r="A19" s="153" t="inlineStr">
        <is>
          <t>SRF</t>
        </is>
      </c>
      <c r="B19" s="279" t="n"/>
      <c r="C19" s="310">
        <f>'24'!I19</f>
        <v/>
      </c>
      <c r="D19" s="265" t="n"/>
      <c r="E19" s="154" t="n">
        <v>88810</v>
      </c>
      <c r="F19" s="279" t="n"/>
      <c r="G19" s="154">
        <f>D7</f>
        <v/>
      </c>
      <c r="H19" s="279" t="n"/>
      <c r="I19" s="273">
        <f>C19+E19-G19</f>
        <v/>
      </c>
      <c r="J19" s="275" t="n"/>
      <c r="K19" s="139">
        <f>'24'!K19+'25'!E19</f>
        <v/>
      </c>
      <c r="L19" s="265" t="n"/>
      <c r="M19" s="273">
        <f>'24'!M19+G19</f>
        <v/>
      </c>
      <c r="N19" s="275" t="n"/>
      <c r="O19" s="1" t="n"/>
      <c r="P19" s="256" t="n"/>
      <c r="R19" s="254" t="n"/>
      <c r="S19" s="256" t="n"/>
      <c r="T19" s="254" t="n"/>
      <c r="U19" s="256" t="n"/>
      <c r="V19" s="254" t="n"/>
      <c r="W19" s="256" t="n"/>
      <c r="X19" s="254" t="n"/>
      <c r="Y19" s="256" t="n"/>
      <c r="Z19" s="254" t="n"/>
    </row>
    <row r="20" ht="21.9" customHeight="1" s="251">
      <c r="A20" s="104" t="inlineStr">
        <is>
          <t>규 사</t>
        </is>
      </c>
      <c r="B20" s="279" t="n"/>
      <c r="C20" s="310">
        <f>'24'!I20</f>
        <v/>
      </c>
      <c r="D20" s="265" t="n"/>
      <c r="E20" s="288" t="n"/>
      <c r="F20" s="275" t="n"/>
      <c r="G20" s="104" t="n"/>
      <c r="H20" s="279" t="n"/>
      <c r="I20" s="288" t="inlineStr">
        <is>
          <t>-</t>
        </is>
      </c>
      <c r="J20" s="275" t="n"/>
      <c r="K20" s="105">
        <f>'24'!K20+'25'!E20</f>
        <v/>
      </c>
      <c r="L20" s="265" t="n"/>
      <c r="M20" s="273">
        <f>'24'!M20+G20</f>
        <v/>
      </c>
      <c r="N20" s="275" t="n"/>
      <c r="O20" s="1" t="n"/>
      <c r="P20" s="264" t="n"/>
      <c r="Q20" s="272" t="n"/>
      <c r="R20" s="265" t="n"/>
      <c r="S20" s="264" t="n"/>
      <c r="T20" s="265" t="n"/>
      <c r="U20" s="264" t="n"/>
      <c r="V20" s="265" t="n"/>
      <c r="W20" s="264" t="n"/>
      <c r="X20" s="265" t="n"/>
      <c r="Y20" s="264" t="n"/>
      <c r="Z20" s="265" t="n"/>
    </row>
    <row r="21" ht="12" customHeight="1" s="25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 t="inlineStr">
        <is>
          <t>5. 전력 사용량 (KWH)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10" t="inlineStr">
        <is>
          <t>6. 유틸리티 사용현황 (㎥)</t>
        </is>
      </c>
      <c r="Q22" s="290" t="n"/>
      <c r="R22" s="290" t="n"/>
      <c r="S22" s="290" t="n"/>
      <c r="T22" s="290" t="n"/>
      <c r="U22" s="290" t="n"/>
      <c r="V22" s="1" t="n"/>
      <c r="W22" s="1" t="n"/>
      <c r="X22" s="1" t="n"/>
      <c r="Y22" s="1" t="n"/>
      <c r="Z22" s="1" t="n"/>
    </row>
    <row r="23" ht="28.5" customHeight="1" s="251" thickBot="1">
      <c r="A23" s="136" t="inlineStr">
        <is>
          <t>구 분</t>
        </is>
      </c>
      <c r="B23" s="270" t="n"/>
      <c r="C23" s="271" t="n"/>
      <c r="D23" s="136" t="inlineStr">
        <is>
          <t>전일지침</t>
        </is>
      </c>
      <c r="E23" s="270" t="n"/>
      <c r="F23" s="271" t="n"/>
      <c r="G23" s="136" t="inlineStr">
        <is>
          <t>금일지침</t>
        </is>
      </c>
      <c r="H23" s="270" t="n"/>
      <c r="I23" s="271" t="n"/>
      <c r="J23" s="136" t="inlineStr">
        <is>
          <t>사용량</t>
        </is>
      </c>
      <c r="K23" s="270" t="n"/>
      <c r="L23" s="271" t="n"/>
      <c r="M23" s="136" t="inlineStr">
        <is>
          <t>누 계</t>
        </is>
      </c>
      <c r="N23" s="271" t="n"/>
      <c r="P23" s="136" t="inlineStr">
        <is>
          <t>구 분</t>
        </is>
      </c>
      <c r="Q23" s="270" t="n"/>
      <c r="R23" s="271" t="n"/>
      <c r="S23" s="136" t="inlineStr">
        <is>
          <t>전일 사용량</t>
        </is>
      </c>
      <c r="T23" s="270" t="n"/>
      <c r="U23" s="271" t="n"/>
      <c r="V23" s="136" t="inlineStr">
        <is>
          <t>금일 사용량</t>
        </is>
      </c>
      <c r="W23" s="270" t="n"/>
      <c r="X23" s="271" t="n"/>
      <c r="Y23" s="136" t="inlineStr">
        <is>
          <t>누 계</t>
        </is>
      </c>
      <c r="Z23" s="271" t="n"/>
    </row>
    <row r="24" ht="21.9" customHeight="1" s="251" thickTop="1">
      <c r="A24" s="105" t="inlineStr">
        <is>
          <t>MAIN</t>
        </is>
      </c>
      <c r="B24" s="272" t="n"/>
      <c r="C24" s="265" t="n"/>
      <c r="D24" s="187">
        <f>'24'!G24</f>
        <v/>
      </c>
      <c r="E24" s="285" t="n"/>
      <c r="F24" s="287" t="n"/>
      <c r="G24" s="164" t="n">
        <v>4236944</v>
      </c>
      <c r="H24" s="304" t="n"/>
      <c r="I24" s="283" t="n"/>
      <c r="J24" s="164">
        <f>IF(G24-D24&lt;0,,G24-D24)</f>
        <v/>
      </c>
      <c r="K24" s="304" t="n"/>
      <c r="L24" s="283" t="n"/>
      <c r="M24" s="164">
        <f>'24'!M24+J24</f>
        <v/>
      </c>
      <c r="N24" s="283" t="n"/>
      <c r="P24" s="105" t="inlineStr">
        <is>
          <t>재이용수</t>
        </is>
      </c>
      <c r="Q24" s="272" t="n"/>
      <c r="R24" s="265" t="n"/>
      <c r="S24" s="105">
        <f>'24'!V24</f>
        <v/>
      </c>
      <c r="T24" s="272" t="n"/>
      <c r="U24" s="265" t="n"/>
      <c r="V24" s="276" t="n">
        <v>556.6</v>
      </c>
      <c r="W24" s="272" t="n"/>
      <c r="X24" s="265" t="n"/>
      <c r="Y24" s="276">
        <f>'24'!Y24+'25'!V24</f>
        <v/>
      </c>
      <c r="Z24" s="265" t="n"/>
    </row>
    <row r="25" ht="21.9" customHeight="1" s="251">
      <c r="A25" s="104" t="inlineStr">
        <is>
          <t>ASH 저장조</t>
        </is>
      </c>
      <c r="B25" s="278" t="n"/>
      <c r="C25" s="279" t="n"/>
      <c r="D25" s="104">
        <f>'24'!G25</f>
        <v/>
      </c>
      <c r="E25" s="278" t="n"/>
      <c r="F25" s="279" t="n"/>
      <c r="G25" s="104" t="n">
        <v>33607.3</v>
      </c>
      <c r="H25" s="278" t="n"/>
      <c r="I25" s="279" t="n"/>
      <c r="J25" s="288">
        <f>IF(G25-D25&lt;0,,G25-D25)</f>
        <v/>
      </c>
      <c r="K25" s="274" t="n"/>
      <c r="L25" s="275" t="n"/>
      <c r="M25" s="288">
        <f>'24'!M25+J25</f>
        <v/>
      </c>
      <c r="N25" s="275" t="n"/>
      <c r="P25" s="104" t="inlineStr">
        <is>
          <t>복류수</t>
        </is>
      </c>
      <c r="Q25" s="278" t="n"/>
      <c r="R25" s="279" t="n"/>
      <c r="S25" s="288">
        <f>'24'!V25</f>
        <v/>
      </c>
      <c r="T25" s="274" t="n"/>
      <c r="U25" s="275" t="n"/>
      <c r="V25" s="280" t="n">
        <v>66</v>
      </c>
      <c r="W25" s="278" t="n"/>
      <c r="X25" s="279" t="n"/>
      <c r="Y25" s="316">
        <f>'24'!Y25+'25'!V25</f>
        <v/>
      </c>
      <c r="Z25" s="275" t="n"/>
    </row>
    <row r="26" ht="21.9" customHeight="1" s="251">
      <c r="A26" s="104" t="inlineStr">
        <is>
          <t>BAG FILTER</t>
        </is>
      </c>
      <c r="B26" s="278" t="n"/>
      <c r="C26" s="279" t="n"/>
      <c r="D26" s="104">
        <f>'24'!G26</f>
        <v/>
      </c>
      <c r="E26" s="278" t="n"/>
      <c r="F26" s="279" t="n"/>
      <c r="G26" s="104" t="n">
        <v>24820</v>
      </c>
      <c r="H26" s="278" t="n"/>
      <c r="I26" s="279" t="n"/>
      <c r="J26" s="288">
        <f>IF(G26-D26&lt;0,,G26-D26)</f>
        <v/>
      </c>
      <c r="K26" s="274" t="n"/>
      <c r="L26" s="275" t="n"/>
      <c r="M26" s="288">
        <f>'24'!M26+J26</f>
        <v/>
      </c>
      <c r="N26" s="275" t="n"/>
      <c r="P26" s="104" t="inlineStr">
        <is>
          <t>응축수</t>
        </is>
      </c>
      <c r="Q26" s="278" t="n"/>
      <c r="R26" s="279" t="n"/>
      <c r="S26" s="288">
        <f>'24'!V26</f>
        <v/>
      </c>
      <c r="T26" s="274" t="n"/>
      <c r="U26" s="275" t="n"/>
      <c r="V26" s="280" t="n">
        <v>613.8</v>
      </c>
      <c r="W26" s="278" t="n"/>
      <c r="X26" s="279" t="n"/>
      <c r="Y26" s="316">
        <f>'24'!Y26+'25'!V26</f>
        <v/>
      </c>
      <c r="Z26" s="275" t="n"/>
    </row>
    <row r="27" ht="21.9" customHeight="1" s="251">
      <c r="A27" s="104" t="inlineStr">
        <is>
          <t>SCRUBBER</t>
        </is>
      </c>
      <c r="B27" s="278" t="n"/>
      <c r="C27" s="279" t="n"/>
      <c r="D27" s="104">
        <f>'24'!G27</f>
        <v/>
      </c>
      <c r="E27" s="278" t="n"/>
      <c r="F27" s="279" t="n"/>
      <c r="G27" s="104" t="n">
        <v>1422000</v>
      </c>
      <c r="H27" s="278" t="n"/>
      <c r="I27" s="279" t="n"/>
      <c r="J27" s="288">
        <f>IF(G27-D27&lt;0,,G27-D27)</f>
        <v/>
      </c>
      <c r="K27" s="274" t="n"/>
      <c r="L27" s="275" t="n"/>
      <c r="M27" s="288">
        <f>'24'!M27+J27</f>
        <v/>
      </c>
      <c r="N27" s="275" t="n"/>
      <c r="P27" s="104" t="inlineStr">
        <is>
          <t>보일러 급수</t>
        </is>
      </c>
      <c r="Q27" s="278" t="n"/>
      <c r="R27" s="279" t="n"/>
      <c r="S27" s="288">
        <f>'24'!V27</f>
        <v/>
      </c>
      <c r="T27" s="274" t="n"/>
      <c r="U27" s="275" t="n"/>
      <c r="V27" s="280" t="n">
        <v>523.2</v>
      </c>
      <c r="W27" s="278" t="n"/>
      <c r="X27" s="279" t="n"/>
      <c r="Y27" s="316">
        <f>'24'!Y27+'25'!V27</f>
        <v/>
      </c>
      <c r="Z27" s="275" t="n"/>
    </row>
    <row r="28" ht="21.9" customHeight="1" s="251">
      <c r="A28" s="104" t="inlineStr">
        <is>
          <t>활성탄 공급</t>
        </is>
      </c>
      <c r="B28" s="278" t="n"/>
      <c r="C28" s="279" t="n"/>
      <c r="D28" s="104">
        <f>'24'!G28</f>
        <v/>
      </c>
      <c r="E28" s="278" t="n"/>
      <c r="F28" s="279" t="n"/>
      <c r="G28" s="104" t="n">
        <v>6289</v>
      </c>
      <c r="H28" s="278" t="n"/>
      <c r="I28" s="279" t="n"/>
      <c r="J28" s="288">
        <f>IF(G28-D28&lt;0,,G28-D28)</f>
        <v/>
      </c>
      <c r="K28" s="274" t="n"/>
      <c r="L28" s="275" t="n"/>
      <c r="M28" s="288">
        <f>'24'!M28+J28</f>
        <v/>
      </c>
      <c r="N28" s="275" t="n"/>
      <c r="P28" s="104" t="inlineStr">
        <is>
          <t>폐 수</t>
        </is>
      </c>
      <c r="Q28" s="278" t="n"/>
      <c r="R28" s="279" t="n"/>
      <c r="S28" s="288">
        <f>'24'!V28</f>
        <v/>
      </c>
      <c r="T28" s="274" t="n"/>
      <c r="U28" s="275" t="n"/>
      <c r="V28" s="280" t="n">
        <v>0</v>
      </c>
      <c r="W28" s="278" t="n"/>
      <c r="X28" s="279" t="n"/>
      <c r="Y28" s="316">
        <f>'24'!Y28+'25'!V28</f>
        <v/>
      </c>
      <c r="Z28" s="275" t="n"/>
    </row>
    <row r="29" ht="21.9" customHeight="1" s="251">
      <c r="A29" s="104" t="inlineStr">
        <is>
          <t>소석회 공급</t>
        </is>
      </c>
      <c r="B29" s="278" t="n"/>
      <c r="C29" s="279" t="n"/>
      <c r="D29" s="104">
        <f>'24'!G29</f>
        <v/>
      </c>
      <c r="E29" s="278" t="n"/>
      <c r="F29" s="279" t="n"/>
      <c r="G29" s="104" t="n">
        <v>66260</v>
      </c>
      <c r="H29" s="278" t="n"/>
      <c r="I29" s="279" t="n"/>
      <c r="J29" s="288">
        <f>IF(G29-D29&lt;0,,G29-D29)</f>
        <v/>
      </c>
      <c r="K29" s="274" t="n"/>
      <c r="L29" s="275" t="n"/>
      <c r="M29" s="288">
        <f>'24'!M29+J29</f>
        <v/>
      </c>
      <c r="N29" s="275" t="n"/>
      <c r="P29" s="104" t="inlineStr">
        <is>
          <t>연 수</t>
        </is>
      </c>
      <c r="Q29" s="278" t="n"/>
      <c r="R29" s="279" t="n"/>
      <c r="S29" s="288">
        <f>'24'!V29</f>
        <v/>
      </c>
      <c r="T29" s="274" t="n"/>
      <c r="U29" s="275" t="n"/>
      <c r="V29" s="280" t="n">
        <v>76.40000000000001</v>
      </c>
      <c r="W29" s="278" t="n"/>
      <c r="X29" s="279" t="n"/>
      <c r="Y29" s="316">
        <f>'24'!Y29+'25'!V29</f>
        <v/>
      </c>
      <c r="Z29" s="275" t="n"/>
    </row>
    <row r="30" ht="21.9" customHeight="1" s="251">
      <c r="A30" s="104" t="inlineStr">
        <is>
          <t>요소수 공급</t>
        </is>
      </c>
      <c r="B30" s="278" t="n"/>
      <c r="C30" s="279" t="n"/>
      <c r="D30" s="104">
        <f>'24'!G30</f>
        <v/>
      </c>
      <c r="E30" s="278" t="n"/>
      <c r="F30" s="279" t="n"/>
      <c r="G30" s="104" t="n">
        <v>53540</v>
      </c>
      <c r="H30" s="278" t="n"/>
      <c r="I30" s="279" t="n"/>
      <c r="J30" s="288">
        <f>IF(G30-D30&lt;0,,G30-D30)</f>
        <v/>
      </c>
      <c r="K30" s="274" t="n"/>
      <c r="L30" s="275" t="n"/>
      <c r="M30" s="288">
        <f>'24'!M30+J30</f>
        <v/>
      </c>
      <c r="N30" s="275" t="n"/>
      <c r="P30" s="104" t="inlineStr">
        <is>
          <t>계</t>
        </is>
      </c>
      <c r="Q30" s="278" t="n"/>
      <c r="R30" s="279" t="n"/>
      <c r="S30" s="288">
        <f>'24'!V30</f>
        <v/>
      </c>
      <c r="T30" s="274" t="n"/>
      <c r="U30" s="275" t="n"/>
      <c r="V30" s="280" t="n"/>
      <c r="W30" s="278" t="n"/>
      <c r="X30" s="279" t="n"/>
      <c r="Y30" s="316">
        <f>'24'!Y30+'25'!V30</f>
        <v/>
      </c>
      <c r="Z30" s="275" t="n"/>
    </row>
    <row r="31" ht="21.9" customHeight="1" s="251">
      <c r="A31" s="104" t="inlineStr">
        <is>
          <t xml:space="preserve">F.D </t>
        </is>
      </c>
      <c r="B31" s="278" t="n"/>
      <c r="C31" s="279" t="n"/>
      <c r="D31" s="104">
        <f>'24'!G31</f>
        <v/>
      </c>
      <c r="E31" s="278" t="n"/>
      <c r="F31" s="279" t="n"/>
      <c r="G31" s="288" t="n">
        <v>6396564</v>
      </c>
      <c r="H31" s="274" t="n"/>
      <c r="I31" s="275" t="n"/>
      <c r="J31" s="104">
        <f>G31-D31</f>
        <v/>
      </c>
      <c r="K31" s="278" t="n"/>
      <c r="L31" s="279" t="n"/>
      <c r="M31" s="288">
        <f>'24'!M31+J31</f>
        <v/>
      </c>
      <c r="N31" s="275" t="n"/>
      <c r="P31" s="172" t="n"/>
      <c r="Q31" s="172" t="n"/>
      <c r="R31" s="172" t="n"/>
      <c r="S31" s="172" t="n"/>
      <c r="T31" s="172" t="n"/>
      <c r="U31" s="172" t="n"/>
      <c r="V31" s="305" t="n"/>
      <c r="W31" s="305" t="n"/>
      <c r="X31" s="305" t="n"/>
      <c r="Y31" s="305" t="n"/>
      <c r="Z31" s="305" t="n"/>
    </row>
    <row r="32" ht="21.9" customHeight="1" s="251">
      <c r="A32" s="104" t="inlineStr">
        <is>
          <t>활성탄 BAG</t>
        </is>
      </c>
      <c r="B32" s="278" t="n"/>
      <c r="C32" s="279" t="n"/>
      <c r="D32" s="104">
        <f>'24'!G32</f>
        <v/>
      </c>
      <c r="E32" s="278" t="n"/>
      <c r="F32" s="279" t="n"/>
      <c r="G32" s="288" t="n">
        <v>1.8</v>
      </c>
      <c r="H32" s="274" t="n"/>
      <c r="I32" s="275" t="n"/>
      <c r="J32" s="288">
        <f>G32-D32</f>
        <v/>
      </c>
      <c r="K32" s="274" t="n"/>
      <c r="L32" s="275" t="n"/>
      <c r="M32" s="288">
        <f>'24'!M32+J32</f>
        <v/>
      </c>
      <c r="N32" s="275" t="n"/>
      <c r="P32" s="172" t="n"/>
      <c r="Q32" s="172" t="n"/>
      <c r="R32" s="172" t="n"/>
      <c r="S32" s="172" t="n"/>
      <c r="T32" s="172" t="n"/>
      <c r="U32" s="172" t="n"/>
      <c r="V32" s="305" t="n"/>
      <c r="W32" s="305" t="n"/>
      <c r="X32" s="305" t="n"/>
      <c r="Y32" s="305" t="n"/>
      <c r="Z32" s="305" t="n"/>
    </row>
    <row r="33" ht="21.9" customHeight="1" s="251">
      <c r="A33" s="104" t="inlineStr">
        <is>
          <t>소석회 BAG</t>
        </is>
      </c>
      <c r="B33" s="278" t="n"/>
      <c r="C33" s="279" t="n"/>
      <c r="D33" s="104">
        <f>'24'!G33</f>
        <v/>
      </c>
      <c r="E33" s="278" t="n"/>
      <c r="F33" s="279" t="n"/>
      <c r="G33" s="288" t="n">
        <v>0</v>
      </c>
      <c r="H33" s="274" t="n"/>
      <c r="I33" s="275" t="n"/>
      <c r="J33" s="288">
        <f>G33-D33</f>
        <v/>
      </c>
      <c r="K33" s="274" t="n"/>
      <c r="L33" s="275" t="n"/>
      <c r="M33" s="288">
        <f>'24'!M33+J33</f>
        <v/>
      </c>
      <c r="N33" s="275" t="n"/>
      <c r="P33" s="172" t="n"/>
      <c r="Q33" s="172" t="n"/>
      <c r="R33" s="172" t="n"/>
      <c r="S33" s="172" t="n"/>
      <c r="T33" s="172" t="n"/>
      <c r="U33" s="172" t="n"/>
      <c r="V33" s="305" t="n"/>
      <c r="W33" s="305" t="n"/>
      <c r="X33" s="305" t="n"/>
      <c r="Y33" s="305" t="n"/>
      <c r="Z33" s="305" t="n"/>
    </row>
  </sheetData>
  <mergeCells count="217">
    <mergeCell ref="V24:X24"/>
    <mergeCell ref="A15:B15"/>
    <mergeCell ref="P27:R27"/>
    <mergeCell ref="S23:U23"/>
    <mergeCell ref="C15:D15"/>
    <mergeCell ref="J27:L27"/>
    <mergeCell ref="S14:V15"/>
    <mergeCell ref="Y24:Z24"/>
    <mergeCell ref="U7:W7"/>
    <mergeCell ref="A26:C26"/>
    <mergeCell ref="J25:L25"/>
    <mergeCell ref="G24:I24"/>
    <mergeCell ref="D28:F28"/>
    <mergeCell ref="I16:J16"/>
    <mergeCell ref="A23:C23"/>
    <mergeCell ref="S24:U24"/>
    <mergeCell ref="P6:Q6"/>
    <mergeCell ref="P28:R28"/>
    <mergeCell ref="W1:X1"/>
    <mergeCell ref="Y1:Z1"/>
    <mergeCell ref="G26:I26"/>
    <mergeCell ref="S16:T17"/>
    <mergeCell ref="D30:F30"/>
    <mergeCell ref="G18:H18"/>
    <mergeCell ref="U8:W8"/>
    <mergeCell ref="B1:C1"/>
    <mergeCell ref="I18:J18"/>
    <mergeCell ref="H3:S3"/>
    <mergeCell ref="M16:N16"/>
    <mergeCell ref="P30:R30"/>
    <mergeCell ref="M25:N25"/>
    <mergeCell ref="D29:F29"/>
    <mergeCell ref="D23:F23"/>
    <mergeCell ref="Y25:Z25"/>
    <mergeCell ref="M18:N18"/>
    <mergeCell ref="M33:N33"/>
    <mergeCell ref="A17:B17"/>
    <mergeCell ref="S25:U25"/>
    <mergeCell ref="C17:D17"/>
    <mergeCell ref="U18:V20"/>
    <mergeCell ref="J29:L29"/>
    <mergeCell ref="M17:N17"/>
    <mergeCell ref="W18:X20"/>
    <mergeCell ref="G20:H20"/>
    <mergeCell ref="I20:J20"/>
    <mergeCell ref="S27:U27"/>
    <mergeCell ref="A19:B19"/>
    <mergeCell ref="V23:X23"/>
    <mergeCell ref="C19:D19"/>
    <mergeCell ref="A6:C6"/>
    <mergeCell ref="Y2:Z3"/>
    <mergeCell ref="Y18:Z20"/>
    <mergeCell ref="M19:N19"/>
    <mergeCell ref="P22:U22"/>
    <mergeCell ref="I13:J13"/>
    <mergeCell ref="K13:L13"/>
    <mergeCell ref="X7:Z7"/>
    <mergeCell ref="E12:F12"/>
    <mergeCell ref="J24:L24"/>
    <mergeCell ref="G12:H12"/>
    <mergeCell ref="G28:I28"/>
    <mergeCell ref="D27:F27"/>
    <mergeCell ref="G6:I6"/>
    <mergeCell ref="I15:J15"/>
    <mergeCell ref="A11:B11"/>
    <mergeCell ref="K15:L15"/>
    <mergeCell ref="S28:U28"/>
    <mergeCell ref="C14:D14"/>
    <mergeCell ref="E14:F14"/>
    <mergeCell ref="J26:L26"/>
    <mergeCell ref="G30:I30"/>
    <mergeCell ref="J7:L7"/>
    <mergeCell ref="V27:X27"/>
    <mergeCell ref="A32:C32"/>
    <mergeCell ref="A29:C29"/>
    <mergeCell ref="D25:F25"/>
    <mergeCell ref="V25:X25"/>
    <mergeCell ref="Y26:Z26"/>
    <mergeCell ref="M13:N13"/>
    <mergeCell ref="G32:I32"/>
    <mergeCell ref="J33:L33"/>
    <mergeCell ref="W14:Z15"/>
    <mergeCell ref="A31:C31"/>
    <mergeCell ref="S26:U26"/>
    <mergeCell ref="M27:N27"/>
    <mergeCell ref="I17:J17"/>
    <mergeCell ref="A24:C24"/>
    <mergeCell ref="Y27:Z27"/>
    <mergeCell ref="K17:L17"/>
    <mergeCell ref="P29:R29"/>
    <mergeCell ref="M24:N24"/>
    <mergeCell ref="E16:F16"/>
    <mergeCell ref="J28:L28"/>
    <mergeCell ref="G27:I27"/>
    <mergeCell ref="G16:H16"/>
    <mergeCell ref="D31:F31"/>
    <mergeCell ref="U2:V3"/>
    <mergeCell ref="I19:J19"/>
    <mergeCell ref="U1:V1"/>
    <mergeCell ref="G8:I8"/>
    <mergeCell ref="K19:L19"/>
    <mergeCell ref="C18:D18"/>
    <mergeCell ref="A7:C7"/>
    <mergeCell ref="V29:X29"/>
    <mergeCell ref="E18:F18"/>
    <mergeCell ref="J30:L30"/>
    <mergeCell ref="R6:T6"/>
    <mergeCell ref="K16:L16"/>
    <mergeCell ref="A25:C25"/>
    <mergeCell ref="J6:L6"/>
    <mergeCell ref="D1:E1"/>
    <mergeCell ref="D32:F32"/>
    <mergeCell ref="G11:H11"/>
    <mergeCell ref="I11:J11"/>
    <mergeCell ref="P23:R23"/>
    <mergeCell ref="W11:Z11"/>
    <mergeCell ref="D7:F7"/>
    <mergeCell ref="Y16:Z17"/>
    <mergeCell ref="S18:T20"/>
    <mergeCell ref="C20:D20"/>
    <mergeCell ref="Y30:Z30"/>
    <mergeCell ref="E20:F20"/>
    <mergeCell ref="K11:L11"/>
    <mergeCell ref="J32:L32"/>
    <mergeCell ref="M11:N11"/>
    <mergeCell ref="Y29:Z29"/>
    <mergeCell ref="H1:S2"/>
    <mergeCell ref="V26:X26"/>
    <mergeCell ref="E13:F13"/>
    <mergeCell ref="S30:U30"/>
    <mergeCell ref="G13:H13"/>
    <mergeCell ref="M31:N31"/>
    <mergeCell ref="G29:I29"/>
    <mergeCell ref="D8:F8"/>
    <mergeCell ref="D33:F33"/>
    <mergeCell ref="W12:Z13"/>
    <mergeCell ref="A12:B12"/>
    <mergeCell ref="A28:C28"/>
    <mergeCell ref="S29:U29"/>
    <mergeCell ref="C12:D12"/>
    <mergeCell ref="A1:A3"/>
    <mergeCell ref="M15:N15"/>
    <mergeCell ref="E15:F15"/>
    <mergeCell ref="M12:N12"/>
    <mergeCell ref="G15:H15"/>
    <mergeCell ref="G31:I31"/>
    <mergeCell ref="Y28:Z28"/>
    <mergeCell ref="P18:R20"/>
    <mergeCell ref="A14:B14"/>
    <mergeCell ref="J8:L8"/>
    <mergeCell ref="A30:C30"/>
    <mergeCell ref="M26:N26"/>
    <mergeCell ref="U6:W6"/>
    <mergeCell ref="P25:R25"/>
    <mergeCell ref="M29:N29"/>
    <mergeCell ref="M23:N23"/>
    <mergeCell ref="F2:G3"/>
    <mergeCell ref="G23:I23"/>
    <mergeCell ref="Y23:Z23"/>
    <mergeCell ref="U16:V17"/>
    <mergeCell ref="W16:X17"/>
    <mergeCell ref="G7:I7"/>
    <mergeCell ref="K18:L18"/>
    <mergeCell ref="P12:R13"/>
    <mergeCell ref="D6:F6"/>
    <mergeCell ref="F1:G1"/>
    <mergeCell ref="T1:T3"/>
    <mergeCell ref="V28:X28"/>
    <mergeCell ref="P11:R11"/>
    <mergeCell ref="P14:R15"/>
    <mergeCell ref="A27:C27"/>
    <mergeCell ref="V30:X30"/>
    <mergeCell ref="W2:X3"/>
    <mergeCell ref="E17:F17"/>
    <mergeCell ref="G17:H17"/>
    <mergeCell ref="G33:I33"/>
    <mergeCell ref="X6:Z6"/>
    <mergeCell ref="A33:C33"/>
    <mergeCell ref="K20:L20"/>
    <mergeCell ref="A16:B16"/>
    <mergeCell ref="C16:D16"/>
    <mergeCell ref="M20:N20"/>
    <mergeCell ref="A8:C8"/>
    <mergeCell ref="E19:F19"/>
    <mergeCell ref="P8:Q8"/>
    <mergeCell ref="J31:L31"/>
    <mergeCell ref="G19:H19"/>
    <mergeCell ref="A18:B18"/>
    <mergeCell ref="G25:I25"/>
    <mergeCell ref="D24:F24"/>
    <mergeCell ref="M30:N30"/>
    <mergeCell ref="I12:J12"/>
    <mergeCell ref="K12:L12"/>
    <mergeCell ref="P24:R24"/>
    <mergeCell ref="P7:Q7"/>
    <mergeCell ref="C11:D11"/>
    <mergeCell ref="M28:N28"/>
    <mergeCell ref="E11:F11"/>
    <mergeCell ref="J23:L23"/>
    <mergeCell ref="D26:F26"/>
    <mergeCell ref="G14:H14"/>
    <mergeCell ref="S11:V11"/>
    <mergeCell ref="I14:J14"/>
    <mergeCell ref="R8:T8"/>
    <mergeCell ref="K14:L14"/>
    <mergeCell ref="P26:R26"/>
    <mergeCell ref="P16:R17"/>
    <mergeCell ref="A20:B20"/>
    <mergeCell ref="B2:C3"/>
    <mergeCell ref="D2:E3"/>
    <mergeCell ref="M32:N32"/>
    <mergeCell ref="M14:N14"/>
    <mergeCell ref="X8:Z8"/>
    <mergeCell ref="A13:B13"/>
    <mergeCell ref="C13:D13"/>
    <mergeCell ref="R7:T7"/>
    <mergeCell ref="S12:V13"/>
  </mergeCells>
  <pageMargins left="0.7086614173228347" right="0.7086614173228347" top="0.7480314960629921" bottom="0.7480314960629921" header="0.3149606299212598" footer="0.3149606299212598"/>
  <pageSetup orientation="portrait" paperSize="9" scale="59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AE33"/>
  <sheetViews>
    <sheetView topLeftCell="A4" zoomScaleNormal="100" zoomScaleSheetLayoutView="100" workbookViewId="0">
      <selection activeCell="G18" sqref="G18:H18"/>
    </sheetView>
  </sheetViews>
  <sheetFormatPr baseColWidth="8" defaultRowHeight="17.4"/>
  <cols>
    <col width="2.8984375" customWidth="1" style="251" min="1" max="1"/>
    <col width="5.59765625" customWidth="1" style="251" min="2" max="14"/>
    <col width="3.59765625" customWidth="1" style="251" min="15" max="15"/>
    <col width="4.59765625" customWidth="1" style="251" min="16" max="22"/>
    <col width="5.59765625" customWidth="1" style="251" min="23" max="26"/>
  </cols>
  <sheetData>
    <row r="1" ht="18.75" customHeight="1" s="251">
      <c r="A1" s="122" t="inlineStr">
        <is>
          <t>근
무
자</t>
        </is>
      </c>
      <c r="B1" s="120" t="inlineStr">
        <is>
          <t>오  전</t>
        </is>
      </c>
      <c r="C1" s="252" t="n"/>
      <c r="D1" s="120" t="inlineStr">
        <is>
          <t>오  후</t>
        </is>
      </c>
      <c r="E1" s="252" t="n"/>
      <c r="F1" s="120" t="inlineStr">
        <is>
          <t>야  간</t>
        </is>
      </c>
      <c r="G1" s="252" t="n"/>
      <c r="H1" s="253" t="inlineStr">
        <is>
          <t>유동상소각로 운전일지</t>
        </is>
      </c>
      <c r="S1" s="254" t="n"/>
      <c r="T1" s="255" t="inlineStr">
        <is>
          <t>결
재</t>
        </is>
      </c>
      <c r="U1" s="120" t="inlineStr">
        <is>
          <t>반장</t>
        </is>
      </c>
      <c r="V1" s="252" t="n"/>
      <c r="W1" s="120" t="inlineStr">
        <is>
          <t>대리</t>
        </is>
      </c>
      <c r="X1" s="252" t="n"/>
      <c r="Y1" s="120" t="inlineStr">
        <is>
          <t>팀장</t>
        </is>
      </c>
      <c r="Z1" s="252" t="n"/>
    </row>
    <row r="2" ht="14.25" customHeight="1" s="251">
      <c r="A2" s="256" t="n"/>
      <c r="B2" s="257" t="inlineStr">
        <is>
          <t>김문한</t>
        </is>
      </c>
      <c r="C2" s="258" t="n"/>
      <c r="D2" s="257" t="inlineStr">
        <is>
          <t>김동욱</t>
        </is>
      </c>
      <c r="E2" s="258" t="n"/>
      <c r="F2" s="257" t="inlineStr">
        <is>
          <t>권정민</t>
        </is>
      </c>
      <c r="G2" s="258" t="n"/>
      <c r="H2" s="259" t="n"/>
      <c r="I2" s="260" t="n"/>
      <c r="J2" s="260" t="n"/>
      <c r="K2" s="260" t="n"/>
      <c r="L2" s="260" t="n"/>
      <c r="M2" s="260" t="n"/>
      <c r="N2" s="260" t="n"/>
      <c r="O2" s="260" t="n"/>
      <c r="P2" s="260" t="n"/>
      <c r="Q2" s="260" t="n"/>
      <c r="R2" s="260" t="n"/>
      <c r="S2" s="261" t="n"/>
      <c r="T2" s="262" t="n"/>
      <c r="U2" s="105" t="n"/>
      <c r="V2" s="254" t="n"/>
      <c r="W2" s="105" t="n"/>
      <c r="X2" s="254" t="n"/>
      <c r="Y2" s="105" t="n"/>
      <c r="Z2" s="254" t="n"/>
    </row>
    <row r="3" ht="37.5" customHeight="1" s="251">
      <c r="A3" s="263" t="n"/>
      <c r="B3" s="264" t="n"/>
      <c r="C3" s="265" t="n"/>
      <c r="D3" s="264" t="n"/>
      <c r="E3" s="265" t="n"/>
      <c r="F3" s="264" t="n"/>
      <c r="G3" s="265" t="n"/>
      <c r="H3" s="266" t="n">
        <v>46229</v>
      </c>
      <c r="I3" s="267" t="n"/>
      <c r="J3" s="267" t="n"/>
      <c r="K3" s="267" t="n"/>
      <c r="L3" s="267" t="n"/>
      <c r="M3" s="267" t="n"/>
      <c r="N3" s="267" t="n"/>
      <c r="O3" s="267" t="n"/>
      <c r="P3" s="267" t="n"/>
      <c r="Q3" s="267" t="n"/>
      <c r="R3" s="267" t="n"/>
      <c r="S3" s="268" t="n"/>
      <c r="T3" s="269" t="n"/>
      <c r="U3" s="264" t="n"/>
      <c r="V3" s="265" t="n"/>
      <c r="W3" s="264" t="n"/>
      <c r="X3" s="265" t="n"/>
      <c r="Y3" s="264" t="n"/>
      <c r="Z3" s="265" t="n"/>
    </row>
    <row r="4" ht="13.5" customHeight="1" s="25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inlineStr">
        <is>
          <t>1. 소각현황(KG)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inlineStr">
        <is>
          <t>2. BOILER 운전현황(TON, HR)</t>
        </is>
      </c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2.5" customHeight="1" s="251" thickBot="1">
      <c r="A6" s="136" t="inlineStr">
        <is>
          <t>구 분</t>
        </is>
      </c>
      <c r="B6" s="270" t="n"/>
      <c r="C6" s="271" t="n"/>
      <c r="D6" s="136" t="inlineStr">
        <is>
          <t>SRF소각량</t>
        </is>
      </c>
      <c r="E6" s="270" t="n"/>
      <c r="F6" s="271" t="n"/>
      <c r="G6" s="136" t="inlineStr">
        <is>
          <t>SLUDGE 소각량</t>
        </is>
      </c>
      <c r="H6" s="270" t="n"/>
      <c r="I6" s="271" t="n"/>
      <c r="J6" s="136" t="inlineStr">
        <is>
          <t>합 계</t>
        </is>
      </c>
      <c r="K6" s="270" t="n"/>
      <c r="L6" s="271" t="n"/>
      <c r="M6" s="1" t="n"/>
      <c r="N6" s="1" t="n"/>
      <c r="O6" s="1" t="n"/>
      <c r="P6" s="136" t="inlineStr">
        <is>
          <t>구 분</t>
        </is>
      </c>
      <c r="Q6" s="271" t="n"/>
      <c r="R6" s="136" t="inlineStr">
        <is>
          <t>스팀 생산량</t>
        </is>
      </c>
      <c r="S6" s="270" t="n"/>
      <c r="T6" s="271" t="n"/>
      <c r="U6" s="136" t="inlineStr">
        <is>
          <t>스팀 송기량</t>
        </is>
      </c>
      <c r="V6" s="270" t="n"/>
      <c r="W6" s="271" t="n"/>
      <c r="X6" s="136" t="inlineStr">
        <is>
          <t>가동시간</t>
        </is>
      </c>
      <c r="Y6" s="270" t="n"/>
      <c r="Z6" s="271" t="n"/>
    </row>
    <row r="7" ht="30" customHeight="1" s="251" thickTop="1">
      <c r="A7" s="105" t="inlineStr">
        <is>
          <t>금 일</t>
        </is>
      </c>
      <c r="B7" s="272" t="n"/>
      <c r="C7" s="265" t="n"/>
      <c r="D7" s="139" t="n">
        <v>71161</v>
      </c>
      <c r="E7" s="272" t="n"/>
      <c r="F7" s="265" t="n"/>
      <c r="G7" s="139" t="n">
        <v>146000</v>
      </c>
      <c r="H7" s="272" t="n"/>
      <c r="I7" s="265" t="n"/>
      <c r="J7" s="154">
        <f>D7+G7</f>
        <v/>
      </c>
      <c r="K7" s="278" t="n"/>
      <c r="L7" s="279" t="n"/>
      <c r="M7" s="1" t="n"/>
      <c r="N7" s="1" t="n"/>
      <c r="O7" s="1" t="n"/>
      <c r="P7" s="105" t="inlineStr">
        <is>
          <t>금 일</t>
        </is>
      </c>
      <c r="Q7" s="265" t="n"/>
      <c r="R7" s="276" t="n">
        <v>484.2</v>
      </c>
      <c r="S7" s="272" t="n"/>
      <c r="T7" s="265" t="n"/>
      <c r="U7" s="276" t="n">
        <v>409.2</v>
      </c>
      <c r="V7" s="272" t="n"/>
      <c r="W7" s="265" t="n"/>
      <c r="X7" s="277" t="n">
        <v>24</v>
      </c>
      <c r="Y7" s="272" t="n"/>
      <c r="Z7" s="265" t="n"/>
    </row>
    <row r="8" ht="30" customHeight="1" s="251">
      <c r="A8" s="104" t="inlineStr">
        <is>
          <t>누 계</t>
        </is>
      </c>
      <c r="B8" s="278" t="n"/>
      <c r="C8" s="279" t="n"/>
      <c r="D8" s="154">
        <f>'25'!D8+'26'!D7</f>
        <v/>
      </c>
      <c r="E8" s="278" t="n"/>
      <c r="F8" s="279" t="n"/>
      <c r="G8" s="154">
        <f>'25'!G8+'26'!G7</f>
        <v/>
      </c>
      <c r="H8" s="278" t="n"/>
      <c r="I8" s="279" t="n"/>
      <c r="J8" s="154">
        <f>D8+G8</f>
        <v/>
      </c>
      <c r="K8" s="278" t="n"/>
      <c r="L8" s="279" t="n"/>
      <c r="M8" s="1" t="n"/>
      <c r="N8" s="1" t="n"/>
      <c r="O8" s="1" t="n"/>
      <c r="P8" s="104" t="inlineStr">
        <is>
          <t>누 계</t>
        </is>
      </c>
      <c r="Q8" s="279" t="n"/>
      <c r="R8" s="280">
        <f>'25'!R8+R7</f>
        <v/>
      </c>
      <c r="S8" s="278" t="n"/>
      <c r="T8" s="279" t="n"/>
      <c r="U8" s="280">
        <f>'25'!U8+U7</f>
        <v/>
      </c>
      <c r="V8" s="278" t="n"/>
      <c r="W8" s="279" t="n"/>
      <c r="X8" s="281">
        <f>'25'!X8+'26'!X7</f>
        <v/>
      </c>
      <c r="Y8" s="278" t="n"/>
      <c r="Z8" s="279" t="n"/>
    </row>
    <row r="9" ht="12" customHeight="1" s="25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inlineStr">
        <is>
          <t>3. 약품 사용현황 (KG)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inlineStr">
        <is>
          <t>4. 소각재 발생량 (TON, 대)</t>
        </is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30.75" customHeight="1" s="251" thickBot="1">
      <c r="A11" s="136" t="inlineStr">
        <is>
          <t>품 명</t>
        </is>
      </c>
      <c r="B11" s="271" t="n"/>
      <c r="C11" s="150" t="inlineStr">
        <is>
          <t>전일 
재고량</t>
        </is>
      </c>
      <c r="D11" s="271" t="n"/>
      <c r="E11" s="136" t="inlineStr">
        <is>
          <t>입고량</t>
        </is>
      </c>
      <c r="F11" s="271" t="n"/>
      <c r="G11" s="136" t="inlineStr">
        <is>
          <t>사용량</t>
        </is>
      </c>
      <c r="H11" s="271" t="n"/>
      <c r="I11" s="282" t="inlineStr">
        <is>
          <t>재고량</t>
        </is>
      </c>
      <c r="J11" s="271" t="n"/>
      <c r="K11" s="150" t="inlineStr">
        <is>
          <t>입고량 
누계</t>
        </is>
      </c>
      <c r="L11" s="271" t="n"/>
      <c r="M11" s="150" t="inlineStr">
        <is>
          <t>사용량 
누계</t>
        </is>
      </c>
      <c r="N11" s="271" t="n"/>
      <c r="O11" s="1" t="n"/>
      <c r="P11" s="136" t="inlineStr">
        <is>
          <t xml:space="preserve"> 구 분</t>
        </is>
      </c>
      <c r="Q11" s="270" t="n"/>
      <c r="R11" s="271" t="n"/>
      <c r="S11" s="282" t="inlineStr">
        <is>
          <t>반출량</t>
        </is>
      </c>
      <c r="T11" s="270" t="n"/>
      <c r="U11" s="270" t="n"/>
      <c r="V11" s="271" t="n"/>
      <c r="W11" s="282" t="inlineStr">
        <is>
          <t>누계</t>
        </is>
      </c>
      <c r="X11" s="270" t="n"/>
      <c r="Y11" s="270" t="n"/>
      <c r="Z11" s="271" t="n"/>
    </row>
    <row r="12" ht="21.9" customHeight="1" s="251" thickTop="1">
      <c r="A12" s="142" t="inlineStr">
        <is>
          <t>탄산암모늄</t>
        </is>
      </c>
      <c r="B12" s="265" t="n"/>
      <c r="C12" s="310">
        <f>'25'!I12</f>
        <v/>
      </c>
      <c r="D12" s="265" t="n"/>
      <c r="E12" s="105" t="n">
        <v>0</v>
      </c>
      <c r="F12" s="265" t="n"/>
      <c r="G12" s="105" t="n">
        <v>4227</v>
      </c>
      <c r="H12" s="265" t="n"/>
      <c r="I12" s="164">
        <f>C12+E12-G12</f>
        <v/>
      </c>
      <c r="J12" s="283" t="n"/>
      <c r="K12" s="105">
        <f>'25'!K12+'26'!E12</f>
        <v/>
      </c>
      <c r="L12" s="265" t="n"/>
      <c r="M12" s="105">
        <f>'25'!M12+G12</f>
        <v/>
      </c>
      <c r="N12" s="265" t="n"/>
      <c r="O12" s="1" t="n"/>
      <c r="P12" s="149" t="inlineStr">
        <is>
          <t xml:space="preserve">
비산재
</t>
        </is>
      </c>
      <c r="R12" s="254" t="n"/>
      <c r="S12" s="284" t="n">
        <v>0</v>
      </c>
      <c r="T12" s="285" t="n"/>
      <c r="U12" s="285" t="n"/>
      <c r="V12" s="285" t="n"/>
      <c r="W12" s="318">
        <f>'25'!W12+'26'!S12</f>
        <v/>
      </c>
      <c r="X12" s="285" t="n"/>
      <c r="Y12" s="285" t="n"/>
      <c r="Z12" s="287" t="n"/>
    </row>
    <row r="13" ht="21.9" customHeight="1" s="251">
      <c r="A13" s="104" t="inlineStr">
        <is>
          <t>청관제</t>
        </is>
      </c>
      <c r="B13" s="279" t="n"/>
      <c r="C13" s="310">
        <f>'25'!I13</f>
        <v/>
      </c>
      <c r="D13" s="265" t="n"/>
      <c r="E13" s="104" t="n">
        <v>0</v>
      </c>
      <c r="F13" s="279" t="n"/>
      <c r="G13" s="104" t="n">
        <v>60</v>
      </c>
      <c r="H13" s="279" t="n"/>
      <c r="I13" s="288">
        <f>C13+E13-G13</f>
        <v/>
      </c>
      <c r="J13" s="275" t="n"/>
      <c r="K13" s="105">
        <f>'25'!K13+'26'!E13</f>
        <v/>
      </c>
      <c r="L13" s="265" t="n"/>
      <c r="M13" s="288">
        <f>'25'!M13+G13</f>
        <v/>
      </c>
      <c r="N13" s="275" t="n"/>
      <c r="O13" s="1" t="n"/>
      <c r="P13" s="264" t="n"/>
      <c r="Q13" s="272" t="n"/>
      <c r="R13" s="265" t="n"/>
      <c r="S13" s="289" t="n"/>
      <c r="T13" s="290" t="n"/>
      <c r="U13" s="290" t="n"/>
      <c r="V13" s="290" t="n"/>
      <c r="W13" s="264" t="n"/>
      <c r="X13" s="272" t="n"/>
      <c r="Y13" s="272" t="n"/>
      <c r="Z13" s="265" t="n"/>
    </row>
    <row r="14" ht="21.9" customHeight="1" s="251">
      <c r="A14" s="104" t="inlineStr">
        <is>
          <t>활성탄</t>
        </is>
      </c>
      <c r="B14" s="279" t="n"/>
      <c r="C14" s="310">
        <f>'25'!I14</f>
        <v/>
      </c>
      <c r="D14" s="265" t="n"/>
      <c r="E14" s="104" t="n">
        <v>0</v>
      </c>
      <c r="F14" s="279" t="n"/>
      <c r="G14" s="104" t="n">
        <v>120</v>
      </c>
      <c r="H14" s="279" t="n"/>
      <c r="I14" s="288">
        <f>C14+E14-G14</f>
        <v/>
      </c>
      <c r="J14" s="275" t="n"/>
      <c r="K14" s="105">
        <f>'25'!K14+'26'!E14</f>
        <v/>
      </c>
      <c r="L14" s="265" t="n"/>
      <c r="M14" s="288">
        <f>'25'!M14+G14</f>
        <v/>
      </c>
      <c r="N14" s="275" t="n"/>
      <c r="O14" s="1" t="n"/>
      <c r="P14" s="104" t="inlineStr">
        <is>
          <t>바닥재</t>
        </is>
      </c>
      <c r="Q14" s="291" t="n"/>
      <c r="R14" s="292" t="n"/>
      <c r="S14" s="293" t="n">
        <v>0</v>
      </c>
      <c r="T14" s="291" t="n"/>
      <c r="U14" s="291" t="n"/>
      <c r="V14" s="291" t="n"/>
      <c r="W14" s="311">
        <f>'25'!W14+'26'!S14</f>
        <v/>
      </c>
      <c r="X14" s="291" t="n"/>
      <c r="Y14" s="291" t="n"/>
      <c r="Z14" s="295" t="n"/>
    </row>
    <row r="15" ht="21.9" customHeight="1" s="251">
      <c r="A15" s="104" t="inlineStr">
        <is>
          <t>가성소다</t>
        </is>
      </c>
      <c r="B15" s="279" t="n"/>
      <c r="C15" s="310">
        <f>'25'!I15</f>
        <v/>
      </c>
      <c r="D15" s="265" t="n"/>
      <c r="E15" s="104" t="n">
        <v>0</v>
      </c>
      <c r="F15" s="279" t="n"/>
      <c r="G15" s="104" t="n">
        <v>0</v>
      </c>
      <c r="H15" s="279" t="n"/>
      <c r="I15" s="288">
        <f>C15+E15-G15</f>
        <v/>
      </c>
      <c r="J15" s="275" t="n"/>
      <c r="K15" s="105">
        <f>'25'!K15+'26'!E15</f>
        <v/>
      </c>
      <c r="L15" s="265" t="n"/>
      <c r="M15" s="288">
        <f>'25'!M15+G15</f>
        <v/>
      </c>
      <c r="N15" s="275" t="n"/>
      <c r="O15" s="1" t="n"/>
      <c r="P15" s="296" t="n"/>
      <c r="Q15" s="290" t="n"/>
      <c r="R15" s="297" t="n"/>
      <c r="S15" s="296" t="n"/>
      <c r="T15" s="290" t="n"/>
      <c r="U15" s="290" t="n"/>
      <c r="V15" s="290" t="n"/>
      <c r="W15" s="298" t="n"/>
      <c r="X15" s="272" t="n"/>
      <c r="Y15" s="272" t="n"/>
      <c r="Z15" s="265" t="n"/>
    </row>
    <row r="16" ht="21.9" customHeight="1" s="251">
      <c r="A16" s="104" t="inlineStr">
        <is>
          <t>소석회</t>
        </is>
      </c>
      <c r="B16" s="279" t="n"/>
      <c r="C16" s="310">
        <f>'25'!I16</f>
        <v/>
      </c>
      <c r="D16" s="265" t="n"/>
      <c r="E16" s="104" t="n">
        <v>0</v>
      </c>
      <c r="F16" s="279" t="n"/>
      <c r="G16" s="104" t="n">
        <v>20</v>
      </c>
      <c r="H16" s="279" t="n"/>
      <c r="I16" s="288">
        <f>C16+E16-G16</f>
        <v/>
      </c>
      <c r="J16" s="275" t="n"/>
      <c r="K16" s="105">
        <f>'25'!K16+'26'!E16</f>
        <v/>
      </c>
      <c r="L16" s="265" t="n"/>
      <c r="M16" s="288">
        <f>'25'!M16+G16</f>
        <v/>
      </c>
      <c r="N16" s="275" t="n"/>
      <c r="O16" s="1" t="n"/>
      <c r="P16" s="162" t="inlineStr">
        <is>
          <t>구분</t>
        </is>
      </c>
      <c r="Q16" s="291" t="n"/>
      <c r="R16" s="292" t="n"/>
      <c r="S16" s="299" t="inlineStr">
        <is>
          <t>주간</t>
        </is>
      </c>
      <c r="T16" s="292" t="n"/>
      <c r="U16" s="299" t="inlineStr">
        <is>
          <t>야간</t>
        </is>
      </c>
      <c r="V16" s="292" t="n"/>
      <c r="W16" s="299" t="inlineStr">
        <is>
          <t>합계</t>
        </is>
      </c>
      <c r="X16" s="292" t="n"/>
      <c r="Y16" s="299" t="inlineStr">
        <is>
          <t>누계</t>
        </is>
      </c>
      <c r="Z16" s="292" t="n"/>
    </row>
    <row r="17" ht="21.9" customHeight="1" s="251" thickBot="1">
      <c r="A17" s="104" t="inlineStr">
        <is>
          <t>소 금</t>
        </is>
      </c>
      <c r="B17" s="279" t="n"/>
      <c r="C17" s="310">
        <f>'25'!I17</f>
        <v/>
      </c>
      <c r="D17" s="265" t="n"/>
      <c r="E17" s="104" t="n">
        <v>1440</v>
      </c>
      <c r="F17" s="279" t="n"/>
      <c r="G17" s="104" t="n">
        <v>200</v>
      </c>
      <c r="H17" s="279" t="n"/>
      <c r="I17" s="288">
        <f>C17+E17-G17</f>
        <v/>
      </c>
      <c r="J17" s="275" t="n"/>
      <c r="K17" s="105">
        <f>'25'!K17+'26'!E17</f>
        <v/>
      </c>
      <c r="L17" s="265" t="n"/>
      <c r="M17" s="288">
        <f>'25'!M17+G17</f>
        <v/>
      </c>
      <c r="N17" s="275" t="n"/>
      <c r="O17" s="1" t="n"/>
      <c r="P17" s="296" t="n"/>
      <c r="Q17" s="290" t="n"/>
      <c r="R17" s="297" t="n"/>
      <c r="S17" s="300" t="n"/>
      <c r="T17" s="301" t="n"/>
      <c r="U17" s="300" t="n"/>
      <c r="V17" s="301" t="n"/>
      <c r="W17" s="300" t="n"/>
      <c r="X17" s="301" t="n"/>
      <c r="Y17" s="300" t="n"/>
      <c r="Z17" s="301" t="n"/>
      <c r="AE17" s="302" t="n"/>
    </row>
    <row r="18" ht="21.9" customHeight="1" s="251" thickTop="1">
      <c r="A18" s="104" t="inlineStr">
        <is>
          <t>경 유</t>
        </is>
      </c>
      <c r="B18" s="279" t="n"/>
      <c r="C18" s="310">
        <f>'25'!I18</f>
        <v/>
      </c>
      <c r="D18" s="265" t="n"/>
      <c r="E18" s="104" t="n">
        <v>0</v>
      </c>
      <c r="F18" s="279" t="n"/>
      <c r="G18" s="104" t="n">
        <v>0</v>
      </c>
      <c r="H18" s="279" t="n"/>
      <c r="I18" s="288">
        <f>C18+E18-G18</f>
        <v/>
      </c>
      <c r="J18" s="275" t="n"/>
      <c r="K18" s="105">
        <f>'25'!K18+'26'!E18</f>
        <v/>
      </c>
      <c r="L18" s="265" t="n"/>
      <c r="M18" s="288">
        <f>'25'!M18+G18</f>
        <v/>
      </c>
      <c r="N18" s="275" t="n"/>
      <c r="O18" s="1" t="n"/>
      <c r="P18" s="164" t="inlineStr">
        <is>
          <t>불연물</t>
        </is>
      </c>
      <c r="Q18" s="285" t="n"/>
      <c r="R18" s="287" t="n"/>
      <c r="S18" s="303" t="n">
        <v>1</v>
      </c>
      <c r="T18" s="287" t="n"/>
      <c r="U18" s="303" t="n">
        <v>1</v>
      </c>
      <c r="V18" s="287" t="n"/>
      <c r="W18" s="303">
        <f>S18+U18</f>
        <v/>
      </c>
      <c r="X18" s="287" t="n"/>
      <c r="Y18" s="303">
        <f>'25'!Y18+'26'!W18</f>
        <v/>
      </c>
      <c r="Z18" s="287" t="n"/>
    </row>
    <row r="19" ht="21.9" customHeight="1" s="251">
      <c r="A19" s="153" t="inlineStr">
        <is>
          <t>SRF</t>
        </is>
      </c>
      <c r="B19" s="279" t="n"/>
      <c r="C19" s="310">
        <f>'25'!I19</f>
        <v/>
      </c>
      <c r="D19" s="265" t="n"/>
      <c r="E19" s="154" t="n">
        <v>64810</v>
      </c>
      <c r="F19" s="279" t="n"/>
      <c r="G19" s="154">
        <f>D7</f>
        <v/>
      </c>
      <c r="H19" s="279" t="n"/>
      <c r="I19" s="273">
        <f>C19+E19-G19</f>
        <v/>
      </c>
      <c r="J19" s="275" t="n"/>
      <c r="K19" s="139">
        <f>'25'!K19+'26'!E19</f>
        <v/>
      </c>
      <c r="L19" s="265" t="n"/>
      <c r="M19" s="273">
        <f>'25'!M19+G19</f>
        <v/>
      </c>
      <c r="N19" s="275" t="n"/>
      <c r="O19" s="1" t="n"/>
      <c r="P19" s="256" t="n"/>
      <c r="R19" s="254" t="n"/>
      <c r="S19" s="256" t="n"/>
      <c r="T19" s="254" t="n"/>
      <c r="U19" s="256" t="n"/>
      <c r="V19" s="254" t="n"/>
      <c r="W19" s="256" t="n"/>
      <c r="X19" s="254" t="n"/>
      <c r="Y19" s="256" t="n"/>
      <c r="Z19" s="254" t="n"/>
    </row>
    <row r="20" ht="21.9" customHeight="1" s="251">
      <c r="A20" s="104" t="inlineStr">
        <is>
          <t>규 사</t>
        </is>
      </c>
      <c r="B20" s="279" t="n"/>
      <c r="C20" s="310">
        <f>'25'!I20</f>
        <v/>
      </c>
      <c r="D20" s="265" t="n"/>
      <c r="E20" s="288" t="n"/>
      <c r="F20" s="275" t="n"/>
      <c r="G20" s="104" t="n"/>
      <c r="H20" s="279" t="n"/>
      <c r="I20" s="288" t="inlineStr">
        <is>
          <t>-</t>
        </is>
      </c>
      <c r="J20" s="275" t="n"/>
      <c r="K20" s="105">
        <f>'25'!K20+'26'!E20</f>
        <v/>
      </c>
      <c r="L20" s="265" t="n"/>
      <c r="M20" s="273">
        <f>'25'!M20+G20</f>
        <v/>
      </c>
      <c r="N20" s="275" t="n"/>
      <c r="O20" s="1" t="n"/>
      <c r="P20" s="264" t="n"/>
      <c r="Q20" s="272" t="n"/>
      <c r="R20" s="265" t="n"/>
      <c r="S20" s="264" t="n"/>
      <c r="T20" s="265" t="n"/>
      <c r="U20" s="264" t="n"/>
      <c r="V20" s="265" t="n"/>
      <c r="W20" s="264" t="n"/>
      <c r="X20" s="265" t="n"/>
      <c r="Y20" s="264" t="n"/>
      <c r="Z20" s="265" t="n"/>
    </row>
    <row r="21" ht="12" customHeight="1" s="25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 t="inlineStr">
        <is>
          <t>5. 전력 사용량 (KWH)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10" t="inlineStr">
        <is>
          <t>6. 유틸리티 사용현황 (㎥)</t>
        </is>
      </c>
      <c r="Q22" s="290" t="n"/>
      <c r="R22" s="290" t="n"/>
      <c r="S22" s="290" t="n"/>
      <c r="T22" s="290" t="n"/>
      <c r="U22" s="290" t="n"/>
      <c r="V22" s="1" t="n"/>
      <c r="W22" s="1" t="n"/>
      <c r="X22" s="1" t="n"/>
      <c r="Y22" s="1" t="n"/>
      <c r="Z22" s="1" t="n"/>
    </row>
    <row r="23" ht="28.5" customHeight="1" s="251" thickBot="1">
      <c r="A23" s="136" t="inlineStr">
        <is>
          <t>구 분</t>
        </is>
      </c>
      <c r="B23" s="270" t="n"/>
      <c r="C23" s="271" t="n"/>
      <c r="D23" s="136" t="inlineStr">
        <is>
          <t>전일지침</t>
        </is>
      </c>
      <c r="E23" s="270" t="n"/>
      <c r="F23" s="271" t="n"/>
      <c r="G23" s="136" t="inlineStr">
        <is>
          <t>금일지침</t>
        </is>
      </c>
      <c r="H23" s="270" t="n"/>
      <c r="I23" s="271" t="n"/>
      <c r="J23" s="136" t="inlineStr">
        <is>
          <t>사용량</t>
        </is>
      </c>
      <c r="K23" s="270" t="n"/>
      <c r="L23" s="271" t="n"/>
      <c r="M23" s="136" t="inlineStr">
        <is>
          <t>누 계</t>
        </is>
      </c>
      <c r="N23" s="271" t="n"/>
      <c r="P23" s="136" t="inlineStr">
        <is>
          <t>구 분</t>
        </is>
      </c>
      <c r="Q23" s="270" t="n"/>
      <c r="R23" s="271" t="n"/>
      <c r="S23" s="136" t="inlineStr">
        <is>
          <t>전일 사용량</t>
        </is>
      </c>
      <c r="T23" s="270" t="n"/>
      <c r="U23" s="271" t="n"/>
      <c r="V23" s="136" t="inlineStr">
        <is>
          <t>금일 사용량</t>
        </is>
      </c>
      <c r="W23" s="270" t="n"/>
      <c r="X23" s="271" t="n"/>
      <c r="Y23" s="136" t="inlineStr">
        <is>
          <t>누 계</t>
        </is>
      </c>
      <c r="Z23" s="271" t="n"/>
    </row>
    <row r="24" ht="21.9" customHeight="1" s="251" thickTop="1">
      <c r="A24" s="105" t="inlineStr">
        <is>
          <t>MAIN</t>
        </is>
      </c>
      <c r="B24" s="272" t="n"/>
      <c r="C24" s="265" t="n"/>
      <c r="D24" s="187">
        <f>'25'!G24</f>
        <v/>
      </c>
      <c r="E24" s="285" t="n"/>
      <c r="F24" s="287" t="n"/>
      <c r="G24" s="164" t="n">
        <v>4259150</v>
      </c>
      <c r="H24" s="304" t="n"/>
      <c r="I24" s="283" t="n"/>
      <c r="J24" s="164">
        <f>IF(G24-D24&lt;0,,G24-D24)</f>
        <v/>
      </c>
      <c r="K24" s="304" t="n"/>
      <c r="L24" s="283" t="n"/>
      <c r="M24" s="164">
        <f>'25'!M24+J24</f>
        <v/>
      </c>
      <c r="N24" s="283" t="n"/>
      <c r="P24" s="105" t="inlineStr">
        <is>
          <t>재이용수</t>
        </is>
      </c>
      <c r="Q24" s="272" t="n"/>
      <c r="R24" s="265" t="n"/>
      <c r="S24" s="105">
        <f>'25'!V24</f>
        <v/>
      </c>
      <c r="T24" s="272" t="n"/>
      <c r="U24" s="265" t="n"/>
      <c r="V24" s="276" t="n">
        <v>560.8</v>
      </c>
      <c r="W24" s="272" t="n"/>
      <c r="X24" s="265" t="n"/>
      <c r="Y24" s="276">
        <f>'25'!Y24+'26'!V24</f>
        <v/>
      </c>
      <c r="Z24" s="265" t="n"/>
    </row>
    <row r="25" ht="21.9" customHeight="1" s="251">
      <c r="A25" s="104" t="inlineStr">
        <is>
          <t>ASH 저장조</t>
        </is>
      </c>
      <c r="B25" s="278" t="n"/>
      <c r="C25" s="279" t="n"/>
      <c r="D25" s="104">
        <f>'25'!G25</f>
        <v/>
      </c>
      <c r="E25" s="278" t="n"/>
      <c r="F25" s="279" t="n"/>
      <c r="G25" s="104" t="n">
        <v>33639.2</v>
      </c>
      <c r="H25" s="278" t="n"/>
      <c r="I25" s="279" t="n"/>
      <c r="J25" s="288">
        <f>IF(G25-D25&lt;0,,G25-D25)</f>
        <v/>
      </c>
      <c r="K25" s="274" t="n"/>
      <c r="L25" s="275" t="n"/>
      <c r="M25" s="288">
        <f>'25'!M25+J25</f>
        <v/>
      </c>
      <c r="N25" s="275" t="n"/>
      <c r="P25" s="104" t="inlineStr">
        <is>
          <t>복류수</t>
        </is>
      </c>
      <c r="Q25" s="278" t="n"/>
      <c r="R25" s="279" t="n"/>
      <c r="S25" s="288">
        <f>'25'!V25</f>
        <v/>
      </c>
      <c r="T25" s="274" t="n"/>
      <c r="U25" s="275" t="n"/>
      <c r="V25" s="280" t="n">
        <v>61.6</v>
      </c>
      <c r="W25" s="278" t="n"/>
      <c r="X25" s="279" t="n"/>
      <c r="Y25" s="316">
        <f>'25'!Y25+'26'!V25</f>
        <v/>
      </c>
      <c r="Z25" s="275" t="n"/>
    </row>
    <row r="26" ht="21.9" customHeight="1" s="251">
      <c r="A26" s="104" t="inlineStr">
        <is>
          <t>BAG FILTER</t>
        </is>
      </c>
      <c r="B26" s="278" t="n"/>
      <c r="C26" s="279" t="n"/>
      <c r="D26" s="104">
        <f>'25'!G26</f>
        <v/>
      </c>
      <c r="E26" s="278" t="n"/>
      <c r="F26" s="279" t="n"/>
      <c r="G26" s="104" t="n">
        <v>24840</v>
      </c>
      <c r="H26" s="278" t="n"/>
      <c r="I26" s="279" t="n"/>
      <c r="J26" s="288">
        <f>IF(G26-D26&lt;0,,G26-D26)</f>
        <v/>
      </c>
      <c r="K26" s="274" t="n"/>
      <c r="L26" s="275" t="n"/>
      <c r="M26" s="288">
        <f>'25'!M26+J26</f>
        <v/>
      </c>
      <c r="N26" s="275" t="n"/>
      <c r="P26" s="104" t="inlineStr">
        <is>
          <t>응축수</t>
        </is>
      </c>
      <c r="Q26" s="278" t="n"/>
      <c r="R26" s="279" t="n"/>
      <c r="S26" s="288">
        <f>'25'!V26</f>
        <v/>
      </c>
      <c r="T26" s="274" t="n"/>
      <c r="U26" s="275" t="n"/>
      <c r="V26" s="280" t="n">
        <v>602.9</v>
      </c>
      <c r="W26" s="278" t="n"/>
      <c r="X26" s="279" t="n"/>
      <c r="Y26" s="316">
        <f>'25'!Y26+'26'!V26</f>
        <v/>
      </c>
      <c r="Z26" s="275" t="n"/>
    </row>
    <row r="27" ht="21.9" customHeight="1" s="251">
      <c r="A27" s="104" t="inlineStr">
        <is>
          <t>SCRUBBER</t>
        </is>
      </c>
      <c r="B27" s="278" t="n"/>
      <c r="C27" s="279" t="n"/>
      <c r="D27" s="104">
        <f>'25'!G27</f>
        <v/>
      </c>
      <c r="E27" s="278" t="n"/>
      <c r="F27" s="279" t="n"/>
      <c r="G27" s="104" t="n">
        <v>1425000</v>
      </c>
      <c r="H27" s="278" t="n"/>
      <c r="I27" s="279" t="n"/>
      <c r="J27" s="288">
        <f>IF(G27-D27&lt;0,,G27-D27)</f>
        <v/>
      </c>
      <c r="K27" s="274" t="n"/>
      <c r="L27" s="275" t="n"/>
      <c r="M27" s="288">
        <f>'25'!M27+J27</f>
        <v/>
      </c>
      <c r="N27" s="275" t="n"/>
      <c r="P27" s="104" t="inlineStr">
        <is>
          <t>보일러 급수</t>
        </is>
      </c>
      <c r="Q27" s="278" t="n"/>
      <c r="R27" s="279" t="n"/>
      <c r="S27" s="288">
        <f>'25'!V27</f>
        <v/>
      </c>
      <c r="T27" s="274" t="n"/>
      <c r="U27" s="275" t="n"/>
      <c r="V27" s="280" t="n">
        <v>523.4</v>
      </c>
      <c r="W27" s="278" t="n"/>
      <c r="X27" s="279" t="n"/>
      <c r="Y27" s="316">
        <f>'25'!Y27+'26'!V27</f>
        <v/>
      </c>
      <c r="Z27" s="275" t="n"/>
    </row>
    <row r="28" ht="21.9" customHeight="1" s="251">
      <c r="A28" s="104" t="inlineStr">
        <is>
          <t>활성탄 공급</t>
        </is>
      </c>
      <c r="B28" s="278" t="n"/>
      <c r="C28" s="279" t="n"/>
      <c r="D28" s="104">
        <f>'25'!G28</f>
        <v/>
      </c>
      <c r="E28" s="278" t="n"/>
      <c r="F28" s="279" t="n"/>
      <c r="G28" s="104" t="n">
        <v>6339</v>
      </c>
      <c r="H28" s="278" t="n"/>
      <c r="I28" s="279" t="n"/>
      <c r="J28" s="288">
        <f>IF(G28-D28&lt;0,,G28-D28)</f>
        <v/>
      </c>
      <c r="K28" s="274" t="n"/>
      <c r="L28" s="275" t="n"/>
      <c r="M28" s="288">
        <f>'25'!M28+J28</f>
        <v/>
      </c>
      <c r="N28" s="275" t="n"/>
      <c r="P28" s="104" t="inlineStr">
        <is>
          <t>폐 수</t>
        </is>
      </c>
      <c r="Q28" s="278" t="n"/>
      <c r="R28" s="279" t="n"/>
      <c r="S28" s="288">
        <f>'25'!V28</f>
        <v/>
      </c>
      <c r="T28" s="274" t="n"/>
      <c r="U28" s="275" t="n"/>
      <c r="V28" s="280" t="n">
        <v>0</v>
      </c>
      <c r="W28" s="278" t="n"/>
      <c r="X28" s="279" t="n"/>
      <c r="Y28" s="316">
        <f>'25'!Y28+'26'!V28</f>
        <v/>
      </c>
      <c r="Z28" s="275" t="n"/>
    </row>
    <row r="29" ht="21.9" customHeight="1" s="251">
      <c r="A29" s="104" t="inlineStr">
        <is>
          <t>소석회 공급</t>
        </is>
      </c>
      <c r="B29" s="278" t="n"/>
      <c r="C29" s="279" t="n"/>
      <c r="D29" s="104">
        <f>'25'!G29</f>
        <v/>
      </c>
      <c r="E29" s="278" t="n"/>
      <c r="F29" s="279" t="n"/>
      <c r="G29" s="104" t="n">
        <v>66260</v>
      </c>
      <c r="H29" s="278" t="n"/>
      <c r="I29" s="279" t="n"/>
      <c r="J29" s="288">
        <f>IF(G29-D29&lt;0,,G29-D29)</f>
        <v/>
      </c>
      <c r="K29" s="274" t="n"/>
      <c r="L29" s="275" t="n"/>
      <c r="M29" s="288">
        <f>'25'!M29+J29</f>
        <v/>
      </c>
      <c r="N29" s="275" t="n"/>
      <c r="P29" s="104" t="inlineStr">
        <is>
          <t>연 수</t>
        </is>
      </c>
      <c r="Q29" s="278" t="n"/>
      <c r="R29" s="279" t="n"/>
      <c r="S29" s="288">
        <f>'25'!V29</f>
        <v/>
      </c>
      <c r="T29" s="274" t="n"/>
      <c r="U29" s="275" t="n"/>
      <c r="V29" s="280" t="n">
        <v>74.59999999999999</v>
      </c>
      <c r="W29" s="278" t="n"/>
      <c r="X29" s="279" t="n"/>
      <c r="Y29" s="316">
        <f>'25'!Y29+'26'!V29</f>
        <v/>
      </c>
      <c r="Z29" s="275" t="n"/>
    </row>
    <row r="30" ht="21.9" customHeight="1" s="251">
      <c r="A30" s="104" t="inlineStr">
        <is>
          <t>요소수 공급</t>
        </is>
      </c>
      <c r="B30" s="278" t="n"/>
      <c r="C30" s="279" t="n"/>
      <c r="D30" s="104">
        <f>'25'!G30</f>
        <v/>
      </c>
      <c r="E30" s="278" t="n"/>
      <c r="F30" s="279" t="n"/>
      <c r="G30" s="104" t="n">
        <v>53550</v>
      </c>
      <c r="H30" s="278" t="n"/>
      <c r="I30" s="279" t="n"/>
      <c r="J30" s="288">
        <f>IF(G30-D30&lt;0,,G30-D30)</f>
        <v/>
      </c>
      <c r="K30" s="274" t="n"/>
      <c r="L30" s="275" t="n"/>
      <c r="M30" s="288">
        <f>'25'!M30+J30</f>
        <v/>
      </c>
      <c r="N30" s="275" t="n"/>
      <c r="P30" s="104" t="inlineStr">
        <is>
          <t>계</t>
        </is>
      </c>
      <c r="Q30" s="278" t="n"/>
      <c r="R30" s="279" t="n"/>
      <c r="S30" s="288">
        <f>'25'!V30</f>
        <v/>
      </c>
      <c r="T30" s="274" t="n"/>
      <c r="U30" s="275" t="n"/>
      <c r="V30" s="280" t="n"/>
      <c r="W30" s="278" t="n"/>
      <c r="X30" s="279" t="n"/>
      <c r="Y30" s="316">
        <f>'25'!Y30+'26'!V30</f>
        <v/>
      </c>
      <c r="Z30" s="275" t="n"/>
    </row>
    <row r="31" ht="21.9" customHeight="1" s="251">
      <c r="A31" s="104" t="inlineStr">
        <is>
          <t xml:space="preserve">F.D </t>
        </is>
      </c>
      <c r="B31" s="278" t="n"/>
      <c r="C31" s="279" t="n"/>
      <c r="D31" s="104">
        <f>'25'!G31</f>
        <v/>
      </c>
      <c r="E31" s="278" t="n"/>
      <c r="F31" s="279" t="n"/>
      <c r="G31" s="288" t="n">
        <v>6404199</v>
      </c>
      <c r="H31" s="274" t="n"/>
      <c r="I31" s="275" t="n"/>
      <c r="J31" s="104">
        <f>G31-D31</f>
        <v/>
      </c>
      <c r="K31" s="278" t="n"/>
      <c r="L31" s="279" t="n"/>
      <c r="M31" s="288">
        <f>'25'!M31+J31</f>
        <v/>
      </c>
      <c r="N31" s="275" t="n"/>
      <c r="P31" s="172" t="n"/>
      <c r="Q31" s="172" t="n"/>
      <c r="R31" s="172" t="n"/>
      <c r="S31" s="172" t="n"/>
      <c r="T31" s="172" t="n"/>
      <c r="U31" s="172" t="n"/>
      <c r="V31" s="305" t="n"/>
      <c r="W31" s="305" t="n"/>
      <c r="X31" s="305" t="n"/>
      <c r="Y31" s="305" t="n"/>
      <c r="Z31" s="305" t="n"/>
    </row>
    <row r="32" ht="21.9" customHeight="1" s="251">
      <c r="A32" s="104" t="inlineStr">
        <is>
          <t>활성탄 BAG</t>
        </is>
      </c>
      <c r="B32" s="278" t="n"/>
      <c r="C32" s="279" t="n"/>
      <c r="D32" s="104">
        <f>'25'!G32</f>
        <v/>
      </c>
      <c r="E32" s="278" t="n"/>
      <c r="F32" s="279" t="n"/>
      <c r="G32" s="288" t="n">
        <v>1.8</v>
      </c>
      <c r="H32" s="274" t="n"/>
      <c r="I32" s="275" t="n"/>
      <c r="J32" s="288">
        <f>G32-D32</f>
        <v/>
      </c>
      <c r="K32" s="274" t="n"/>
      <c r="L32" s="275" t="n"/>
      <c r="M32" s="288">
        <f>'25'!M32+J32</f>
        <v/>
      </c>
      <c r="N32" s="275" t="n"/>
      <c r="P32" s="172" t="n"/>
      <c r="Q32" s="172" t="n"/>
      <c r="R32" s="172" t="n"/>
      <c r="S32" s="172" t="n"/>
      <c r="T32" s="172" t="n"/>
      <c r="U32" s="172" t="n"/>
      <c r="V32" s="305" t="n"/>
      <c r="W32" s="305" t="n"/>
      <c r="X32" s="305" t="n"/>
      <c r="Y32" s="305" t="n"/>
      <c r="Z32" s="305" t="n"/>
    </row>
    <row r="33" ht="21.9" customHeight="1" s="251">
      <c r="A33" s="104" t="inlineStr">
        <is>
          <t>소석회 BAG</t>
        </is>
      </c>
      <c r="B33" s="278" t="n"/>
      <c r="C33" s="279" t="n"/>
      <c r="D33" s="104">
        <f>'25'!G33</f>
        <v/>
      </c>
      <c r="E33" s="278" t="n"/>
      <c r="F33" s="279" t="n"/>
      <c r="G33" s="288" t="n">
        <v>0</v>
      </c>
      <c r="H33" s="274" t="n"/>
      <c r="I33" s="275" t="n"/>
      <c r="J33" s="288">
        <f>G33-D33</f>
        <v/>
      </c>
      <c r="K33" s="274" t="n"/>
      <c r="L33" s="275" t="n"/>
      <c r="M33" s="288">
        <f>'25'!M33+J33</f>
        <v/>
      </c>
      <c r="N33" s="275" t="n"/>
      <c r="P33" s="172" t="n"/>
      <c r="Q33" s="172" t="n"/>
      <c r="R33" s="172" t="n"/>
      <c r="S33" s="172" t="n"/>
      <c r="T33" s="172" t="n"/>
      <c r="U33" s="172" t="n"/>
      <c r="V33" s="305" t="n"/>
      <c r="W33" s="305" t="n"/>
      <c r="X33" s="305" t="n"/>
      <c r="Y33" s="305" t="n"/>
      <c r="Z33" s="305" t="n"/>
    </row>
  </sheetData>
  <mergeCells count="217">
    <mergeCell ref="V24:X24"/>
    <mergeCell ref="A15:B15"/>
    <mergeCell ref="P27:R27"/>
    <mergeCell ref="S23:U23"/>
    <mergeCell ref="C15:D15"/>
    <mergeCell ref="J27:L27"/>
    <mergeCell ref="S14:V15"/>
    <mergeCell ref="Y24:Z24"/>
    <mergeCell ref="U7:W7"/>
    <mergeCell ref="A26:C26"/>
    <mergeCell ref="J25:L25"/>
    <mergeCell ref="G24:I24"/>
    <mergeCell ref="D28:F28"/>
    <mergeCell ref="I16:J16"/>
    <mergeCell ref="A23:C23"/>
    <mergeCell ref="S24:U24"/>
    <mergeCell ref="P6:Q6"/>
    <mergeCell ref="P28:R28"/>
    <mergeCell ref="W1:X1"/>
    <mergeCell ref="Y1:Z1"/>
    <mergeCell ref="G26:I26"/>
    <mergeCell ref="S16:T17"/>
    <mergeCell ref="D30:F30"/>
    <mergeCell ref="G18:H18"/>
    <mergeCell ref="U8:W8"/>
    <mergeCell ref="B1:C1"/>
    <mergeCell ref="I18:J18"/>
    <mergeCell ref="H3:S3"/>
    <mergeCell ref="M16:N16"/>
    <mergeCell ref="P30:R30"/>
    <mergeCell ref="M25:N25"/>
    <mergeCell ref="D29:F29"/>
    <mergeCell ref="D23:F23"/>
    <mergeCell ref="Y25:Z25"/>
    <mergeCell ref="M18:N18"/>
    <mergeCell ref="M33:N33"/>
    <mergeCell ref="A17:B17"/>
    <mergeCell ref="S25:U25"/>
    <mergeCell ref="C17:D17"/>
    <mergeCell ref="U18:V20"/>
    <mergeCell ref="J29:L29"/>
    <mergeCell ref="M17:N17"/>
    <mergeCell ref="W18:X20"/>
    <mergeCell ref="G20:H20"/>
    <mergeCell ref="I20:J20"/>
    <mergeCell ref="S27:U27"/>
    <mergeCell ref="A19:B19"/>
    <mergeCell ref="V23:X23"/>
    <mergeCell ref="C19:D19"/>
    <mergeCell ref="A6:C6"/>
    <mergeCell ref="Y2:Z3"/>
    <mergeCell ref="Y18:Z20"/>
    <mergeCell ref="M19:N19"/>
    <mergeCell ref="P22:U22"/>
    <mergeCell ref="I13:J13"/>
    <mergeCell ref="K13:L13"/>
    <mergeCell ref="X7:Z7"/>
    <mergeCell ref="E12:F12"/>
    <mergeCell ref="J24:L24"/>
    <mergeCell ref="G12:H12"/>
    <mergeCell ref="G28:I28"/>
    <mergeCell ref="D27:F27"/>
    <mergeCell ref="G6:I6"/>
    <mergeCell ref="I15:J15"/>
    <mergeCell ref="A11:B11"/>
    <mergeCell ref="K15:L15"/>
    <mergeCell ref="S28:U28"/>
    <mergeCell ref="C14:D14"/>
    <mergeCell ref="E14:F14"/>
    <mergeCell ref="J26:L26"/>
    <mergeCell ref="G30:I30"/>
    <mergeCell ref="J7:L7"/>
    <mergeCell ref="V27:X27"/>
    <mergeCell ref="A32:C32"/>
    <mergeCell ref="A29:C29"/>
    <mergeCell ref="D25:F25"/>
    <mergeCell ref="V25:X25"/>
    <mergeCell ref="Y26:Z26"/>
    <mergeCell ref="M13:N13"/>
    <mergeCell ref="G32:I32"/>
    <mergeCell ref="J33:L33"/>
    <mergeCell ref="W14:Z15"/>
    <mergeCell ref="A31:C31"/>
    <mergeCell ref="S26:U26"/>
    <mergeCell ref="M27:N27"/>
    <mergeCell ref="I17:J17"/>
    <mergeCell ref="A24:C24"/>
    <mergeCell ref="Y27:Z27"/>
    <mergeCell ref="K17:L17"/>
    <mergeCell ref="P29:R29"/>
    <mergeCell ref="M24:N24"/>
    <mergeCell ref="E16:F16"/>
    <mergeCell ref="J28:L28"/>
    <mergeCell ref="G27:I27"/>
    <mergeCell ref="G16:H16"/>
    <mergeCell ref="D31:F31"/>
    <mergeCell ref="U2:V3"/>
    <mergeCell ref="I19:J19"/>
    <mergeCell ref="U1:V1"/>
    <mergeCell ref="G8:I8"/>
    <mergeCell ref="K19:L19"/>
    <mergeCell ref="C18:D18"/>
    <mergeCell ref="A7:C7"/>
    <mergeCell ref="V29:X29"/>
    <mergeCell ref="E18:F18"/>
    <mergeCell ref="J30:L30"/>
    <mergeCell ref="R6:T6"/>
    <mergeCell ref="K16:L16"/>
    <mergeCell ref="A25:C25"/>
    <mergeCell ref="J6:L6"/>
    <mergeCell ref="D1:E1"/>
    <mergeCell ref="D32:F32"/>
    <mergeCell ref="G11:H11"/>
    <mergeCell ref="I11:J11"/>
    <mergeCell ref="P23:R23"/>
    <mergeCell ref="W11:Z11"/>
    <mergeCell ref="D7:F7"/>
    <mergeCell ref="Y16:Z17"/>
    <mergeCell ref="S18:T20"/>
    <mergeCell ref="C20:D20"/>
    <mergeCell ref="Y30:Z30"/>
    <mergeCell ref="E20:F20"/>
    <mergeCell ref="K11:L11"/>
    <mergeCell ref="J32:L32"/>
    <mergeCell ref="M11:N11"/>
    <mergeCell ref="Y29:Z29"/>
    <mergeCell ref="H1:S2"/>
    <mergeCell ref="V26:X26"/>
    <mergeCell ref="E13:F13"/>
    <mergeCell ref="S30:U30"/>
    <mergeCell ref="G13:H13"/>
    <mergeCell ref="M31:N31"/>
    <mergeCell ref="G29:I29"/>
    <mergeCell ref="D8:F8"/>
    <mergeCell ref="D33:F33"/>
    <mergeCell ref="W12:Z13"/>
    <mergeCell ref="A12:B12"/>
    <mergeCell ref="A28:C28"/>
    <mergeCell ref="S29:U29"/>
    <mergeCell ref="C12:D12"/>
    <mergeCell ref="A1:A3"/>
    <mergeCell ref="M15:N15"/>
    <mergeCell ref="E15:F15"/>
    <mergeCell ref="M12:N12"/>
    <mergeCell ref="G15:H15"/>
    <mergeCell ref="G31:I31"/>
    <mergeCell ref="Y28:Z28"/>
    <mergeCell ref="P18:R20"/>
    <mergeCell ref="A14:B14"/>
    <mergeCell ref="J8:L8"/>
    <mergeCell ref="A30:C30"/>
    <mergeCell ref="M26:N26"/>
    <mergeCell ref="U6:W6"/>
    <mergeCell ref="P25:R25"/>
    <mergeCell ref="M29:N29"/>
    <mergeCell ref="M23:N23"/>
    <mergeCell ref="F2:G3"/>
    <mergeCell ref="G23:I23"/>
    <mergeCell ref="Y23:Z23"/>
    <mergeCell ref="U16:V17"/>
    <mergeCell ref="W16:X17"/>
    <mergeCell ref="G7:I7"/>
    <mergeCell ref="K18:L18"/>
    <mergeCell ref="P12:R13"/>
    <mergeCell ref="D6:F6"/>
    <mergeCell ref="F1:G1"/>
    <mergeCell ref="T1:T3"/>
    <mergeCell ref="V28:X28"/>
    <mergeCell ref="P11:R11"/>
    <mergeCell ref="P14:R15"/>
    <mergeCell ref="A27:C27"/>
    <mergeCell ref="V30:X30"/>
    <mergeCell ref="W2:X3"/>
    <mergeCell ref="E17:F17"/>
    <mergeCell ref="G17:H17"/>
    <mergeCell ref="G33:I33"/>
    <mergeCell ref="X6:Z6"/>
    <mergeCell ref="A33:C33"/>
    <mergeCell ref="K20:L20"/>
    <mergeCell ref="A16:B16"/>
    <mergeCell ref="C16:D16"/>
    <mergeCell ref="M20:N20"/>
    <mergeCell ref="A8:C8"/>
    <mergeCell ref="E19:F19"/>
    <mergeCell ref="P8:Q8"/>
    <mergeCell ref="J31:L31"/>
    <mergeCell ref="G19:H19"/>
    <mergeCell ref="A18:B18"/>
    <mergeCell ref="G25:I25"/>
    <mergeCell ref="D24:F24"/>
    <mergeCell ref="M30:N30"/>
    <mergeCell ref="I12:J12"/>
    <mergeCell ref="K12:L12"/>
    <mergeCell ref="P24:R24"/>
    <mergeCell ref="P7:Q7"/>
    <mergeCell ref="C11:D11"/>
    <mergeCell ref="M28:N28"/>
    <mergeCell ref="E11:F11"/>
    <mergeCell ref="J23:L23"/>
    <mergeCell ref="D26:F26"/>
    <mergeCell ref="G14:H14"/>
    <mergeCell ref="S11:V11"/>
    <mergeCell ref="I14:J14"/>
    <mergeCell ref="R8:T8"/>
    <mergeCell ref="K14:L14"/>
    <mergeCell ref="P26:R26"/>
    <mergeCell ref="P16:R17"/>
    <mergeCell ref="A20:B20"/>
    <mergeCell ref="B2:C3"/>
    <mergeCell ref="D2:E3"/>
    <mergeCell ref="M32:N32"/>
    <mergeCell ref="M14:N14"/>
    <mergeCell ref="X8:Z8"/>
    <mergeCell ref="A13:B13"/>
    <mergeCell ref="C13:D13"/>
    <mergeCell ref="R7:T7"/>
    <mergeCell ref="S12:V13"/>
  </mergeCells>
  <pageMargins left="0.7086614173228347" right="0.7086614173228347" top="0.7480314960629921" bottom="0.7480314960629921" header="0.3149606299212598" footer="0.3149606299212598"/>
  <pageSetup orientation="portrait" paperSize="9" scale="59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AE33"/>
  <sheetViews>
    <sheetView zoomScaleNormal="100" zoomScaleSheetLayoutView="100" workbookViewId="0">
      <selection activeCell="G31" sqref="G31:I31"/>
    </sheetView>
  </sheetViews>
  <sheetFormatPr baseColWidth="8" defaultRowHeight="17.4"/>
  <cols>
    <col width="2.8984375" customWidth="1" style="251" min="1" max="1"/>
    <col width="5.59765625" customWidth="1" style="251" min="2" max="14"/>
    <col width="3.59765625" customWidth="1" style="251" min="15" max="15"/>
    <col width="4.59765625" customWidth="1" style="251" min="16" max="22"/>
    <col width="5.59765625" customWidth="1" style="251" min="23" max="26"/>
  </cols>
  <sheetData>
    <row r="1" ht="18.75" customHeight="1" s="251">
      <c r="A1" s="122" t="inlineStr">
        <is>
          <t>근
무
자</t>
        </is>
      </c>
      <c r="B1" s="120" t="inlineStr">
        <is>
          <t>오  전</t>
        </is>
      </c>
      <c r="C1" s="252" t="n"/>
      <c r="D1" s="120" t="inlineStr">
        <is>
          <t>오  후</t>
        </is>
      </c>
      <c r="E1" s="252" t="n"/>
      <c r="F1" s="120" t="inlineStr">
        <is>
          <t>야  간</t>
        </is>
      </c>
      <c r="G1" s="252" t="n"/>
      <c r="H1" s="253" t="inlineStr">
        <is>
          <t>유동상소각로 운전일지</t>
        </is>
      </c>
      <c r="S1" s="254" t="n"/>
      <c r="T1" s="255" t="inlineStr">
        <is>
          <t>결
재</t>
        </is>
      </c>
      <c r="U1" s="120" t="inlineStr">
        <is>
          <t>반장</t>
        </is>
      </c>
      <c r="V1" s="252" t="n"/>
      <c r="W1" s="120" t="inlineStr">
        <is>
          <t>대리</t>
        </is>
      </c>
      <c r="X1" s="252" t="n"/>
      <c r="Y1" s="120" t="inlineStr">
        <is>
          <t>팀장</t>
        </is>
      </c>
      <c r="Z1" s="252" t="n"/>
    </row>
    <row r="2" ht="14.25" customHeight="1" s="251">
      <c r="A2" s="256" t="n"/>
      <c r="B2" s="257" t="inlineStr">
        <is>
          <t>김문한</t>
        </is>
      </c>
      <c r="C2" s="258" t="n"/>
      <c r="D2" s="325" t="inlineStr">
        <is>
          <t>김동욱</t>
        </is>
      </c>
      <c r="E2" s="258" t="n"/>
      <c r="F2" s="257" t="inlineStr">
        <is>
          <t>권정민</t>
        </is>
      </c>
      <c r="G2" s="258" t="n"/>
      <c r="H2" s="259" t="n"/>
      <c r="I2" s="260" t="n"/>
      <c r="J2" s="260" t="n"/>
      <c r="K2" s="260" t="n"/>
      <c r="L2" s="260" t="n"/>
      <c r="M2" s="260" t="n"/>
      <c r="N2" s="260" t="n"/>
      <c r="O2" s="260" t="n"/>
      <c r="P2" s="260" t="n"/>
      <c r="Q2" s="260" t="n"/>
      <c r="R2" s="260" t="n"/>
      <c r="S2" s="261" t="n"/>
      <c r="T2" s="262" t="n"/>
      <c r="U2" s="105" t="n"/>
      <c r="V2" s="254" t="n"/>
      <c r="W2" s="105" t="n"/>
      <c r="X2" s="254" t="n"/>
      <c r="Y2" s="105" t="n"/>
      <c r="Z2" s="254" t="n"/>
    </row>
    <row r="3" ht="37.5" customHeight="1" s="251">
      <c r="A3" s="263" t="n"/>
      <c r="B3" s="264" t="n"/>
      <c r="C3" s="265" t="n"/>
      <c r="D3" s="264" t="n"/>
      <c r="E3" s="265" t="n"/>
      <c r="F3" s="264" t="n"/>
      <c r="G3" s="265" t="n"/>
      <c r="H3" s="266" t="n">
        <v>46230</v>
      </c>
      <c r="I3" s="267" t="n"/>
      <c r="J3" s="267" t="n"/>
      <c r="K3" s="267" t="n"/>
      <c r="L3" s="267" t="n"/>
      <c r="M3" s="267" t="n"/>
      <c r="N3" s="267" t="n"/>
      <c r="O3" s="267" t="n"/>
      <c r="P3" s="267" t="n"/>
      <c r="Q3" s="267" t="n"/>
      <c r="R3" s="267" t="n"/>
      <c r="S3" s="268" t="n"/>
      <c r="T3" s="269" t="n"/>
      <c r="U3" s="264" t="n"/>
      <c r="V3" s="265" t="n"/>
      <c r="W3" s="264" t="n"/>
      <c r="X3" s="265" t="n"/>
      <c r="Y3" s="264" t="n"/>
      <c r="Z3" s="265" t="n"/>
    </row>
    <row r="4" ht="13.5" customHeight="1" s="25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inlineStr">
        <is>
          <t>1. 소각현황(KG)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inlineStr">
        <is>
          <t>2. BOILER 운전현황(TON, HR)</t>
        </is>
      </c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2.5" customHeight="1" s="251" thickBot="1">
      <c r="A6" s="136" t="inlineStr">
        <is>
          <t>구 분</t>
        </is>
      </c>
      <c r="B6" s="270" t="n"/>
      <c r="C6" s="271" t="n"/>
      <c r="D6" s="136" t="inlineStr">
        <is>
          <t>SRF소각량</t>
        </is>
      </c>
      <c r="E6" s="270" t="n"/>
      <c r="F6" s="271" t="n"/>
      <c r="G6" s="136" t="inlineStr">
        <is>
          <t>SLUDGE 소각량</t>
        </is>
      </c>
      <c r="H6" s="270" t="n"/>
      <c r="I6" s="271" t="n"/>
      <c r="J6" s="136" t="inlineStr">
        <is>
          <t>합 계</t>
        </is>
      </c>
      <c r="K6" s="270" t="n"/>
      <c r="L6" s="271" t="n"/>
      <c r="M6" s="1" t="n"/>
      <c r="N6" s="1" t="n"/>
      <c r="O6" s="1" t="n"/>
      <c r="P6" s="136" t="inlineStr">
        <is>
          <t>구 분</t>
        </is>
      </c>
      <c r="Q6" s="271" t="n"/>
      <c r="R6" s="136" t="inlineStr">
        <is>
          <t>스팀 생산량</t>
        </is>
      </c>
      <c r="S6" s="270" t="n"/>
      <c r="T6" s="271" t="n"/>
      <c r="U6" s="136" t="inlineStr">
        <is>
          <t>스팀 송기량</t>
        </is>
      </c>
      <c r="V6" s="270" t="n"/>
      <c r="W6" s="271" t="n"/>
      <c r="X6" s="136" t="inlineStr">
        <is>
          <t>가동시간</t>
        </is>
      </c>
      <c r="Y6" s="270" t="n"/>
      <c r="Z6" s="271" t="n"/>
    </row>
    <row r="7" ht="30" customHeight="1" s="251" thickTop="1">
      <c r="A7" s="105" t="inlineStr">
        <is>
          <t>금 일</t>
        </is>
      </c>
      <c r="B7" s="272" t="n"/>
      <c r="C7" s="265" t="n"/>
      <c r="D7" s="139" t="n">
        <v>78087</v>
      </c>
      <c r="E7" s="272" t="n"/>
      <c r="F7" s="265" t="n"/>
      <c r="G7" s="139" t="n">
        <v>136100</v>
      </c>
      <c r="H7" s="272" t="n"/>
      <c r="I7" s="265" t="n"/>
      <c r="J7" s="154">
        <f>D7+G7</f>
        <v/>
      </c>
      <c r="K7" s="278" t="n"/>
      <c r="L7" s="279" t="n"/>
      <c r="M7" s="1" t="n"/>
      <c r="N7" s="1" t="n"/>
      <c r="O7" s="1" t="n"/>
      <c r="P7" s="105" t="inlineStr">
        <is>
          <t>금 일</t>
        </is>
      </c>
      <c r="Q7" s="265" t="n"/>
      <c r="R7" s="276" t="n">
        <v>490.6</v>
      </c>
      <c r="S7" s="272" t="n"/>
      <c r="T7" s="265" t="n"/>
      <c r="U7" s="276" t="n">
        <v>396.3</v>
      </c>
      <c r="V7" s="272" t="n"/>
      <c r="W7" s="265" t="n"/>
      <c r="X7" s="277" t="n">
        <v>24</v>
      </c>
      <c r="Y7" s="272" t="n"/>
      <c r="Z7" s="265" t="n"/>
    </row>
    <row r="8" ht="30" customHeight="1" s="251">
      <c r="A8" s="104" t="inlineStr">
        <is>
          <t>누 계</t>
        </is>
      </c>
      <c r="B8" s="278" t="n"/>
      <c r="C8" s="279" t="n"/>
      <c r="D8" s="154">
        <f>'26'!D8+'27'!D7</f>
        <v/>
      </c>
      <c r="E8" s="278" t="n"/>
      <c r="F8" s="279" t="n"/>
      <c r="G8" s="154">
        <f>'26'!G8+'27'!G7</f>
        <v/>
      </c>
      <c r="H8" s="278" t="n"/>
      <c r="I8" s="279" t="n"/>
      <c r="J8" s="154">
        <f>D8+G8</f>
        <v/>
      </c>
      <c r="K8" s="278" t="n"/>
      <c r="L8" s="279" t="n"/>
      <c r="M8" s="1" t="n"/>
      <c r="N8" s="1" t="n"/>
      <c r="O8" s="1" t="n"/>
      <c r="P8" s="104" t="inlineStr">
        <is>
          <t>누 계</t>
        </is>
      </c>
      <c r="Q8" s="279" t="n"/>
      <c r="R8" s="280">
        <f>'26'!R8+R7</f>
        <v/>
      </c>
      <c r="S8" s="278" t="n"/>
      <c r="T8" s="279" t="n"/>
      <c r="U8" s="280">
        <f>'26'!U8+U7</f>
        <v/>
      </c>
      <c r="V8" s="278" t="n"/>
      <c r="W8" s="279" t="n"/>
      <c r="X8" s="281">
        <f>'26'!X8+'27'!X7</f>
        <v/>
      </c>
      <c r="Y8" s="278" t="n"/>
      <c r="Z8" s="279" t="n"/>
    </row>
    <row r="9" ht="12" customHeight="1" s="25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inlineStr">
        <is>
          <t>3. 약품 사용현황 (KG)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inlineStr">
        <is>
          <t>4. 소각재 발생량 (TON, 대)</t>
        </is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30.75" customHeight="1" s="251" thickBot="1">
      <c r="A11" s="136" t="inlineStr">
        <is>
          <t>품 명</t>
        </is>
      </c>
      <c r="B11" s="271" t="n"/>
      <c r="C11" s="150" t="inlineStr">
        <is>
          <t>전일 
재고량</t>
        </is>
      </c>
      <c r="D11" s="271" t="n"/>
      <c r="E11" s="136" t="inlineStr">
        <is>
          <t>입고량</t>
        </is>
      </c>
      <c r="F11" s="271" t="n"/>
      <c r="G11" s="136" t="inlineStr">
        <is>
          <t>사용량</t>
        </is>
      </c>
      <c r="H11" s="271" t="n"/>
      <c r="I11" s="282" t="inlineStr">
        <is>
          <t>재고량</t>
        </is>
      </c>
      <c r="J11" s="271" t="n"/>
      <c r="K11" s="150" t="inlineStr">
        <is>
          <t>입고량 
누계</t>
        </is>
      </c>
      <c r="L11" s="271" t="n"/>
      <c r="M11" s="150" t="inlineStr">
        <is>
          <t>사용량 
누계</t>
        </is>
      </c>
      <c r="N11" s="271" t="n"/>
      <c r="O11" s="1" t="n"/>
      <c r="P11" s="136" t="inlineStr">
        <is>
          <t xml:space="preserve"> 구 분</t>
        </is>
      </c>
      <c r="Q11" s="270" t="n"/>
      <c r="R11" s="271" t="n"/>
      <c r="S11" s="282" t="inlineStr">
        <is>
          <t>반출량</t>
        </is>
      </c>
      <c r="T11" s="270" t="n"/>
      <c r="U11" s="270" t="n"/>
      <c r="V11" s="271" t="n"/>
      <c r="W11" s="282" t="inlineStr">
        <is>
          <t>누계</t>
        </is>
      </c>
      <c r="X11" s="270" t="n"/>
      <c r="Y11" s="270" t="n"/>
      <c r="Z11" s="271" t="n"/>
    </row>
    <row r="12" ht="21.9" customHeight="1" s="251" thickTop="1">
      <c r="A12" s="142" t="inlineStr">
        <is>
          <t>탄산암모늄</t>
        </is>
      </c>
      <c r="B12" s="265" t="n"/>
      <c r="C12" s="310">
        <f>'26'!I12</f>
        <v/>
      </c>
      <c r="D12" s="265" t="n"/>
      <c r="E12" s="105" t="n">
        <v>14100</v>
      </c>
      <c r="F12" s="265" t="n"/>
      <c r="G12" s="105" t="n">
        <v>4433</v>
      </c>
      <c r="H12" s="265" t="n"/>
      <c r="I12" s="164">
        <f>C12+E12-G12</f>
        <v/>
      </c>
      <c r="J12" s="283" t="n"/>
      <c r="K12" s="105">
        <f>'26'!K12+'27'!E12</f>
        <v/>
      </c>
      <c r="L12" s="265" t="n"/>
      <c r="M12" s="105">
        <f>'26'!M12+G12</f>
        <v/>
      </c>
      <c r="N12" s="265" t="n"/>
      <c r="O12" s="1" t="n"/>
      <c r="P12" s="149" t="inlineStr">
        <is>
          <t xml:space="preserve">
비산재
</t>
        </is>
      </c>
      <c r="R12" s="254" t="n"/>
      <c r="S12" s="284" t="n">
        <v>57.92</v>
      </c>
      <c r="T12" s="285" t="n"/>
      <c r="U12" s="285" t="n"/>
      <c r="V12" s="285" t="n"/>
      <c r="W12" s="318">
        <f>'26'!W12+'27'!S12</f>
        <v/>
      </c>
      <c r="X12" s="285" t="n"/>
      <c r="Y12" s="285" t="n"/>
      <c r="Z12" s="287" t="n"/>
    </row>
    <row r="13" ht="21.9" customHeight="1" s="251">
      <c r="A13" s="104" t="inlineStr">
        <is>
          <t>청관제</t>
        </is>
      </c>
      <c r="B13" s="279" t="n"/>
      <c r="C13" s="310">
        <f>'26'!I13</f>
        <v/>
      </c>
      <c r="D13" s="265" t="n"/>
      <c r="E13" s="104" t="n">
        <v>0</v>
      </c>
      <c r="F13" s="279" t="n"/>
      <c r="G13" s="104" t="n">
        <v>60</v>
      </c>
      <c r="H13" s="279" t="n"/>
      <c r="I13" s="288">
        <f>C13+E13-G13</f>
        <v/>
      </c>
      <c r="J13" s="275" t="n"/>
      <c r="K13" s="105">
        <f>'26'!K13+'27'!E13</f>
        <v/>
      </c>
      <c r="L13" s="265" t="n"/>
      <c r="M13" s="288">
        <f>'26'!M13+G13</f>
        <v/>
      </c>
      <c r="N13" s="275" t="n"/>
      <c r="O13" s="1" t="n"/>
      <c r="P13" s="264" t="n"/>
      <c r="Q13" s="272" t="n"/>
      <c r="R13" s="265" t="n"/>
      <c r="S13" s="289" t="n"/>
      <c r="T13" s="290" t="n"/>
      <c r="U13" s="290" t="n"/>
      <c r="V13" s="290" t="n"/>
      <c r="W13" s="264" t="n"/>
      <c r="X13" s="272" t="n"/>
      <c r="Y13" s="272" t="n"/>
      <c r="Z13" s="265" t="n"/>
    </row>
    <row r="14" ht="21.9" customHeight="1" s="251">
      <c r="A14" s="104" t="inlineStr">
        <is>
          <t>활성탄</t>
        </is>
      </c>
      <c r="B14" s="279" t="n"/>
      <c r="C14" s="310">
        <f>'26'!I14</f>
        <v/>
      </c>
      <c r="D14" s="265" t="n"/>
      <c r="E14" s="104" t="n">
        <v>0</v>
      </c>
      <c r="F14" s="279" t="n"/>
      <c r="G14" s="104" t="n">
        <v>120</v>
      </c>
      <c r="H14" s="279" t="n"/>
      <c r="I14" s="288">
        <f>C14+E14-G14</f>
        <v/>
      </c>
      <c r="J14" s="275" t="n"/>
      <c r="K14" s="105">
        <f>'26'!K14+'27'!E14</f>
        <v/>
      </c>
      <c r="L14" s="265" t="n"/>
      <c r="M14" s="288">
        <f>'26'!M14+G14</f>
        <v/>
      </c>
      <c r="N14" s="275" t="n"/>
      <c r="O14" s="1" t="n"/>
      <c r="P14" s="104" t="inlineStr">
        <is>
          <t>바닥재</t>
        </is>
      </c>
      <c r="Q14" s="291" t="n"/>
      <c r="R14" s="292" t="n"/>
      <c r="S14" s="293" t="n">
        <v>0</v>
      </c>
      <c r="T14" s="291" t="n"/>
      <c r="U14" s="291" t="n"/>
      <c r="V14" s="291" t="n"/>
      <c r="W14" s="311">
        <f>'26'!W14+'27'!S14</f>
        <v/>
      </c>
      <c r="X14" s="291" t="n"/>
      <c r="Y14" s="291" t="n"/>
      <c r="Z14" s="295" t="n"/>
    </row>
    <row r="15" ht="21.9" customHeight="1" s="251">
      <c r="A15" s="104" t="inlineStr">
        <is>
          <t>가성소다</t>
        </is>
      </c>
      <c r="B15" s="279" t="n"/>
      <c r="C15" s="310">
        <f>'26'!I15</f>
        <v/>
      </c>
      <c r="D15" s="265" t="n"/>
      <c r="E15" s="104" t="n">
        <v>0</v>
      </c>
      <c r="F15" s="279" t="n"/>
      <c r="G15" s="104" t="n">
        <v>0</v>
      </c>
      <c r="H15" s="279" t="n"/>
      <c r="I15" s="288">
        <f>C15+E15-G15</f>
        <v/>
      </c>
      <c r="J15" s="275" t="n"/>
      <c r="K15" s="105">
        <f>'26'!K15+'27'!E15</f>
        <v/>
      </c>
      <c r="L15" s="265" t="n"/>
      <c r="M15" s="288">
        <f>'26'!M15+G15</f>
        <v/>
      </c>
      <c r="N15" s="275" t="n"/>
      <c r="O15" s="1" t="n"/>
      <c r="P15" s="296" t="n"/>
      <c r="Q15" s="290" t="n"/>
      <c r="R15" s="297" t="n"/>
      <c r="S15" s="296" t="n"/>
      <c r="T15" s="290" t="n"/>
      <c r="U15" s="290" t="n"/>
      <c r="V15" s="290" t="n"/>
      <c r="W15" s="298" t="n"/>
      <c r="X15" s="272" t="n"/>
      <c r="Y15" s="272" t="n"/>
      <c r="Z15" s="265" t="n"/>
    </row>
    <row r="16" ht="21.9" customHeight="1" s="251">
      <c r="A16" s="104" t="inlineStr">
        <is>
          <t>소석회</t>
        </is>
      </c>
      <c r="B16" s="279" t="n"/>
      <c r="C16" s="310">
        <f>'26'!I16</f>
        <v/>
      </c>
      <c r="D16" s="265" t="n"/>
      <c r="E16" s="104" t="n">
        <v>0</v>
      </c>
      <c r="F16" s="279" t="n"/>
      <c r="G16" s="104" t="n">
        <v>20</v>
      </c>
      <c r="H16" s="279" t="n"/>
      <c r="I16" s="288">
        <f>C16+E16-G16</f>
        <v/>
      </c>
      <c r="J16" s="275" t="n"/>
      <c r="K16" s="105">
        <f>'26'!K16+'27'!E16</f>
        <v/>
      </c>
      <c r="L16" s="265" t="n"/>
      <c r="M16" s="288">
        <f>'26'!M16+G16</f>
        <v/>
      </c>
      <c r="N16" s="275" t="n"/>
      <c r="O16" s="1" t="n"/>
      <c r="P16" s="162" t="inlineStr">
        <is>
          <t>구분</t>
        </is>
      </c>
      <c r="Q16" s="291" t="n"/>
      <c r="R16" s="292" t="n"/>
      <c r="S16" s="299" t="inlineStr">
        <is>
          <t>주간</t>
        </is>
      </c>
      <c r="T16" s="292" t="n"/>
      <c r="U16" s="299" t="inlineStr">
        <is>
          <t>야간</t>
        </is>
      </c>
      <c r="V16" s="292" t="n"/>
      <c r="W16" s="299" t="inlineStr">
        <is>
          <t>합계</t>
        </is>
      </c>
      <c r="X16" s="292" t="n"/>
      <c r="Y16" s="299" t="inlineStr">
        <is>
          <t>누계</t>
        </is>
      </c>
      <c r="Z16" s="292" t="n"/>
    </row>
    <row r="17" ht="21.9" customHeight="1" s="251" thickBot="1">
      <c r="A17" s="104" t="inlineStr">
        <is>
          <t>소 금</t>
        </is>
      </c>
      <c r="B17" s="279" t="n"/>
      <c r="C17" s="310">
        <f>'26'!I17</f>
        <v/>
      </c>
      <c r="D17" s="265" t="n"/>
      <c r="E17" s="104" t="n">
        <v>1440</v>
      </c>
      <c r="F17" s="279" t="n"/>
      <c r="G17" s="104" t="n">
        <v>200</v>
      </c>
      <c r="H17" s="279" t="n"/>
      <c r="I17" s="288">
        <f>C17+E17-G17</f>
        <v/>
      </c>
      <c r="J17" s="275" t="n"/>
      <c r="K17" s="105">
        <f>'26'!K17+'27'!E17</f>
        <v/>
      </c>
      <c r="L17" s="265" t="n"/>
      <c r="M17" s="288">
        <f>'26'!M17+G17</f>
        <v/>
      </c>
      <c r="N17" s="275" t="n"/>
      <c r="O17" s="1" t="n"/>
      <c r="P17" s="296" t="n"/>
      <c r="Q17" s="290" t="n"/>
      <c r="R17" s="297" t="n"/>
      <c r="S17" s="300" t="n"/>
      <c r="T17" s="301" t="n"/>
      <c r="U17" s="300" t="n"/>
      <c r="V17" s="301" t="n"/>
      <c r="W17" s="300" t="n"/>
      <c r="X17" s="301" t="n"/>
      <c r="Y17" s="300" t="n"/>
      <c r="Z17" s="301" t="n"/>
      <c r="AE17" s="302" t="n"/>
    </row>
    <row r="18" ht="21.9" customHeight="1" s="251" thickTop="1">
      <c r="A18" s="104" t="inlineStr">
        <is>
          <t>경 유</t>
        </is>
      </c>
      <c r="B18" s="279" t="n"/>
      <c r="C18" s="310">
        <f>'26'!I18</f>
        <v/>
      </c>
      <c r="D18" s="265" t="n"/>
      <c r="E18" s="104" t="n">
        <v>0</v>
      </c>
      <c r="F18" s="279" t="n"/>
      <c r="G18" s="104" t="n">
        <v>0</v>
      </c>
      <c r="H18" s="279" t="n"/>
      <c r="I18" s="288">
        <f>C18+E18-G18</f>
        <v/>
      </c>
      <c r="J18" s="275" t="n"/>
      <c r="K18" s="105">
        <f>'26'!K18+'27'!E18</f>
        <v/>
      </c>
      <c r="L18" s="265" t="n"/>
      <c r="M18" s="288">
        <f>'26'!M18+G18</f>
        <v/>
      </c>
      <c r="N18" s="275" t="n"/>
      <c r="O18" s="1" t="n"/>
      <c r="P18" s="164" t="inlineStr">
        <is>
          <t>불연물</t>
        </is>
      </c>
      <c r="Q18" s="285" t="n"/>
      <c r="R18" s="287" t="n"/>
      <c r="S18" s="303" t="n">
        <v>2</v>
      </c>
      <c r="T18" s="287" t="n"/>
      <c r="U18" s="303" t="n">
        <v>1</v>
      </c>
      <c r="V18" s="287" t="n"/>
      <c r="W18" s="303">
        <f>S18+U18</f>
        <v/>
      </c>
      <c r="X18" s="287" t="n"/>
      <c r="Y18" s="303">
        <f>'26'!Y18+'27'!W18</f>
        <v/>
      </c>
      <c r="Z18" s="287" t="n"/>
    </row>
    <row r="19" ht="21.9" customHeight="1" s="251">
      <c r="A19" s="153" t="inlineStr">
        <is>
          <t>SRF</t>
        </is>
      </c>
      <c r="B19" s="279" t="n"/>
      <c r="C19" s="310">
        <f>'26'!I19</f>
        <v/>
      </c>
      <c r="D19" s="265" t="n"/>
      <c r="E19" s="154" t="n">
        <v>72610</v>
      </c>
      <c r="F19" s="279" t="n"/>
      <c r="G19" s="154">
        <f>D7</f>
        <v/>
      </c>
      <c r="H19" s="279" t="n"/>
      <c r="I19" s="273">
        <f>C19+E19-G19</f>
        <v/>
      </c>
      <c r="J19" s="275" t="n"/>
      <c r="K19" s="139">
        <f>'26'!K19+'27'!E19</f>
        <v/>
      </c>
      <c r="L19" s="265" t="n"/>
      <c r="M19" s="273">
        <f>'26'!M19+G19</f>
        <v/>
      </c>
      <c r="N19" s="275" t="n"/>
      <c r="O19" s="1" t="n"/>
      <c r="P19" s="256" t="n"/>
      <c r="R19" s="254" t="n"/>
      <c r="S19" s="256" t="n"/>
      <c r="T19" s="254" t="n"/>
      <c r="U19" s="256" t="n"/>
      <c r="V19" s="254" t="n"/>
      <c r="W19" s="256" t="n"/>
      <c r="X19" s="254" t="n"/>
      <c r="Y19" s="256" t="n"/>
      <c r="Z19" s="254" t="n"/>
    </row>
    <row r="20" ht="21.9" customHeight="1" s="251">
      <c r="A20" s="104" t="inlineStr">
        <is>
          <t>규 사</t>
        </is>
      </c>
      <c r="B20" s="279" t="n"/>
      <c r="C20" s="310">
        <f>'26'!I20</f>
        <v/>
      </c>
      <c r="D20" s="265" t="n"/>
      <c r="E20" s="288" t="n"/>
      <c r="F20" s="275" t="n"/>
      <c r="G20" s="104" t="n"/>
      <c r="H20" s="279" t="n"/>
      <c r="I20" s="288" t="inlineStr">
        <is>
          <t>-</t>
        </is>
      </c>
      <c r="J20" s="275" t="n"/>
      <c r="K20" s="105">
        <f>'26'!K20+'27'!E20</f>
        <v/>
      </c>
      <c r="L20" s="265" t="n"/>
      <c r="M20" s="273">
        <f>'26'!M20+G20</f>
        <v/>
      </c>
      <c r="N20" s="275" t="n"/>
      <c r="O20" s="1" t="n"/>
      <c r="P20" s="264" t="n"/>
      <c r="Q20" s="272" t="n"/>
      <c r="R20" s="265" t="n"/>
      <c r="S20" s="264" t="n"/>
      <c r="T20" s="265" t="n"/>
      <c r="U20" s="264" t="n"/>
      <c r="V20" s="265" t="n"/>
      <c r="W20" s="264" t="n"/>
      <c r="X20" s="265" t="n"/>
      <c r="Y20" s="264" t="n"/>
      <c r="Z20" s="265" t="n"/>
    </row>
    <row r="21" ht="12" customHeight="1" s="25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 t="inlineStr">
        <is>
          <t>5. 전력 사용량 (KWH)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10" t="inlineStr">
        <is>
          <t>6. 유틸리티 사용현황 (㎥)</t>
        </is>
      </c>
      <c r="Q22" s="290" t="n"/>
      <c r="R22" s="290" t="n"/>
      <c r="S22" s="290" t="n"/>
      <c r="T22" s="290" t="n"/>
      <c r="U22" s="290" t="n"/>
      <c r="V22" s="1" t="n"/>
      <c r="W22" s="1" t="n"/>
      <c r="X22" s="1" t="n"/>
      <c r="Y22" s="1" t="n"/>
      <c r="Z22" s="1" t="n"/>
    </row>
    <row r="23" ht="28.5" customHeight="1" s="251" thickBot="1">
      <c r="A23" s="136" t="inlineStr">
        <is>
          <t>구 분</t>
        </is>
      </c>
      <c r="B23" s="270" t="n"/>
      <c r="C23" s="271" t="n"/>
      <c r="D23" s="136" t="inlineStr">
        <is>
          <t>전일지침</t>
        </is>
      </c>
      <c r="E23" s="270" t="n"/>
      <c r="F23" s="271" t="n"/>
      <c r="G23" s="136" t="inlineStr">
        <is>
          <t>금일지침</t>
        </is>
      </c>
      <c r="H23" s="270" t="n"/>
      <c r="I23" s="271" t="n"/>
      <c r="J23" s="136" t="inlineStr">
        <is>
          <t>사용량</t>
        </is>
      </c>
      <c r="K23" s="270" t="n"/>
      <c r="L23" s="271" t="n"/>
      <c r="M23" s="136" t="inlineStr">
        <is>
          <t>누 계</t>
        </is>
      </c>
      <c r="N23" s="271" t="n"/>
      <c r="P23" s="136" t="inlineStr">
        <is>
          <t>구 분</t>
        </is>
      </c>
      <c r="Q23" s="270" t="n"/>
      <c r="R23" s="271" t="n"/>
      <c r="S23" s="136" t="inlineStr">
        <is>
          <t>전일 사용량</t>
        </is>
      </c>
      <c r="T23" s="270" t="n"/>
      <c r="U23" s="271" t="n"/>
      <c r="V23" s="136" t="inlineStr">
        <is>
          <t>금일 사용량</t>
        </is>
      </c>
      <c r="W23" s="270" t="n"/>
      <c r="X23" s="271" t="n"/>
      <c r="Y23" s="136" t="inlineStr">
        <is>
          <t>누 계</t>
        </is>
      </c>
      <c r="Z23" s="271" t="n"/>
    </row>
    <row r="24" ht="21.9" customHeight="1" s="251" thickTop="1">
      <c r="A24" s="105" t="inlineStr">
        <is>
          <t>MAIN</t>
        </is>
      </c>
      <c r="B24" s="272" t="n"/>
      <c r="C24" s="265" t="n"/>
      <c r="D24" s="187">
        <f>'26'!G24</f>
        <v/>
      </c>
      <c r="E24" s="285" t="n"/>
      <c r="F24" s="287" t="n"/>
      <c r="G24" s="164" t="n">
        <v>4281867</v>
      </c>
      <c r="H24" s="304" t="n"/>
      <c r="I24" s="283" t="n"/>
      <c r="J24" s="164">
        <f>IF(G24-D24&lt;0,,G24-D24)</f>
        <v/>
      </c>
      <c r="K24" s="304" t="n"/>
      <c r="L24" s="283" t="n"/>
      <c r="M24" s="164">
        <f>'26'!M24+J24</f>
        <v/>
      </c>
      <c r="N24" s="283" t="n"/>
      <c r="P24" s="105" t="inlineStr">
        <is>
          <t>재이용수</t>
        </is>
      </c>
      <c r="Q24" s="272" t="n"/>
      <c r="R24" s="265" t="n"/>
      <c r="S24" s="105">
        <f>'26'!V24</f>
        <v/>
      </c>
      <c r="T24" s="272" t="n"/>
      <c r="U24" s="265" t="n"/>
      <c r="V24" s="276" t="n">
        <v>561.5</v>
      </c>
      <c r="W24" s="272" t="n"/>
      <c r="X24" s="265" t="n"/>
      <c r="Y24" s="276">
        <f>'26'!Y24+'27'!V24</f>
        <v/>
      </c>
      <c r="Z24" s="265" t="n"/>
    </row>
    <row r="25" ht="21.9" customHeight="1" s="251">
      <c r="A25" s="104" t="inlineStr">
        <is>
          <t>ASH 저장조</t>
        </is>
      </c>
      <c r="B25" s="278" t="n"/>
      <c r="C25" s="279" t="n"/>
      <c r="D25" s="104">
        <f>'26'!G25</f>
        <v/>
      </c>
      <c r="E25" s="278" t="n"/>
      <c r="F25" s="279" t="n"/>
      <c r="G25" s="104" t="n">
        <v>33672.5</v>
      </c>
      <c r="H25" s="278" t="n"/>
      <c r="I25" s="279" t="n"/>
      <c r="J25" s="288">
        <f>IF(G25-D25&lt;0,,G25-D25)</f>
        <v/>
      </c>
      <c r="K25" s="274" t="n"/>
      <c r="L25" s="275" t="n"/>
      <c r="M25" s="288">
        <f>'26'!M25+J25</f>
        <v/>
      </c>
      <c r="N25" s="275" t="n"/>
      <c r="P25" s="104" t="inlineStr">
        <is>
          <t>복류수</t>
        </is>
      </c>
      <c r="Q25" s="278" t="n"/>
      <c r="R25" s="279" t="n"/>
      <c r="S25" s="288">
        <f>'26'!V25</f>
        <v/>
      </c>
      <c r="T25" s="274" t="n"/>
      <c r="U25" s="275" t="n"/>
      <c r="V25" s="280" t="n">
        <v>66.7</v>
      </c>
      <c r="W25" s="278" t="n"/>
      <c r="X25" s="279" t="n"/>
      <c r="Y25" s="316">
        <f>'26'!Y25+'27'!V25</f>
        <v/>
      </c>
      <c r="Z25" s="275" t="n"/>
    </row>
    <row r="26" ht="21.9" customHeight="1" s="251">
      <c r="A26" s="104" t="inlineStr">
        <is>
          <t>BAG FILTER</t>
        </is>
      </c>
      <c r="B26" s="278" t="n"/>
      <c r="C26" s="279" t="n"/>
      <c r="D26" s="104">
        <f>'26'!G26</f>
        <v/>
      </c>
      <c r="E26" s="278" t="n"/>
      <c r="F26" s="279" t="n"/>
      <c r="G26" s="104" t="n">
        <v>24860</v>
      </c>
      <c r="H26" s="278" t="n"/>
      <c r="I26" s="279" t="n"/>
      <c r="J26" s="288">
        <f>IF(G26-D26&lt;0,,G26-D26)</f>
        <v/>
      </c>
      <c r="K26" s="274" t="n"/>
      <c r="L26" s="275" t="n"/>
      <c r="M26" s="288">
        <f>'26'!M26+J26</f>
        <v/>
      </c>
      <c r="N26" s="275" t="n"/>
      <c r="P26" s="104" t="inlineStr">
        <is>
          <t>응축수</t>
        </is>
      </c>
      <c r="Q26" s="278" t="n"/>
      <c r="R26" s="279" t="n"/>
      <c r="S26" s="288">
        <f>'26'!V26</f>
        <v/>
      </c>
      <c r="T26" s="274" t="n"/>
      <c r="U26" s="275" t="n"/>
      <c r="V26" s="280" t="n">
        <v>556.3</v>
      </c>
      <c r="W26" s="278" t="n"/>
      <c r="X26" s="279" t="n"/>
      <c r="Y26" s="316">
        <f>'26'!Y26+'27'!V26</f>
        <v/>
      </c>
      <c r="Z26" s="275" t="n"/>
    </row>
    <row r="27" ht="21.9" customHeight="1" s="251">
      <c r="A27" s="104" t="inlineStr">
        <is>
          <t>SCRUBBER</t>
        </is>
      </c>
      <c r="B27" s="278" t="n"/>
      <c r="C27" s="279" t="n"/>
      <c r="D27" s="104">
        <f>'26'!G27</f>
        <v/>
      </c>
      <c r="E27" s="278" t="n"/>
      <c r="F27" s="279" t="n"/>
      <c r="G27" s="104" t="n">
        <v>1429000</v>
      </c>
      <c r="H27" s="278" t="n"/>
      <c r="I27" s="279" t="n"/>
      <c r="J27" s="288">
        <f>IF(G27-D27&lt;0,,G27-D27)</f>
        <v/>
      </c>
      <c r="K27" s="274" t="n"/>
      <c r="L27" s="275" t="n"/>
      <c r="M27" s="288">
        <f>'26'!M27+J27</f>
        <v/>
      </c>
      <c r="N27" s="275" t="n"/>
      <c r="P27" s="104" t="inlineStr">
        <is>
          <t>보일러 급수</t>
        </is>
      </c>
      <c r="Q27" s="278" t="n"/>
      <c r="R27" s="279" t="n"/>
      <c r="S27" s="288">
        <f>'26'!V27</f>
        <v/>
      </c>
      <c r="T27" s="274" t="n"/>
      <c r="U27" s="275" t="n"/>
      <c r="V27" s="280" t="n">
        <v>523.9</v>
      </c>
      <c r="W27" s="278" t="n"/>
      <c r="X27" s="279" t="n"/>
      <c r="Y27" s="316">
        <f>'26'!Y27+'27'!V27</f>
        <v/>
      </c>
      <c r="Z27" s="275" t="n"/>
    </row>
    <row r="28" ht="21.9" customHeight="1" s="251">
      <c r="A28" s="104" t="inlineStr">
        <is>
          <t>활성탄 공급</t>
        </is>
      </c>
      <c r="B28" s="278" t="n"/>
      <c r="C28" s="279" t="n"/>
      <c r="D28" s="104">
        <f>'26'!G28</f>
        <v/>
      </c>
      <c r="E28" s="278" t="n"/>
      <c r="F28" s="279" t="n"/>
      <c r="G28" s="104" t="n">
        <v>6391</v>
      </c>
      <c r="H28" s="278" t="n"/>
      <c r="I28" s="279" t="n"/>
      <c r="J28" s="288">
        <f>IF(G28-D28&lt;0,,G28-D28)</f>
        <v/>
      </c>
      <c r="K28" s="274" t="n"/>
      <c r="L28" s="275" t="n"/>
      <c r="M28" s="288">
        <f>'26'!M28+J28</f>
        <v/>
      </c>
      <c r="N28" s="275" t="n"/>
      <c r="P28" s="104" t="inlineStr">
        <is>
          <t>폐 수</t>
        </is>
      </c>
      <c r="Q28" s="278" t="n"/>
      <c r="R28" s="279" t="n"/>
      <c r="S28" s="288">
        <f>'26'!V28</f>
        <v/>
      </c>
      <c r="T28" s="274" t="n"/>
      <c r="U28" s="275" t="n"/>
      <c r="V28" s="280" t="n">
        <v>0</v>
      </c>
      <c r="W28" s="278" t="n"/>
      <c r="X28" s="279" t="n"/>
      <c r="Y28" s="316">
        <f>'26'!Y28+'27'!V28</f>
        <v/>
      </c>
      <c r="Z28" s="275" t="n"/>
    </row>
    <row r="29" ht="21.9" customHeight="1" s="251">
      <c r="A29" s="104" t="inlineStr">
        <is>
          <t>소석회 공급</t>
        </is>
      </c>
      <c r="B29" s="278" t="n"/>
      <c r="C29" s="279" t="n"/>
      <c r="D29" s="104">
        <f>'26'!G29</f>
        <v/>
      </c>
      <c r="E29" s="278" t="n"/>
      <c r="F29" s="279" t="n"/>
      <c r="G29" s="104" t="n">
        <v>66260</v>
      </c>
      <c r="H29" s="278" t="n"/>
      <c r="I29" s="279" t="n"/>
      <c r="J29" s="288">
        <f>IF(G29-D29&lt;0,,G29-D29)</f>
        <v/>
      </c>
      <c r="K29" s="274" t="n"/>
      <c r="L29" s="275" t="n"/>
      <c r="M29" s="288">
        <f>'26'!M29+J29</f>
        <v/>
      </c>
      <c r="N29" s="275" t="n"/>
      <c r="P29" s="104" t="inlineStr">
        <is>
          <t>연 수</t>
        </is>
      </c>
      <c r="Q29" s="278" t="n"/>
      <c r="R29" s="279" t="n"/>
      <c r="S29" s="288">
        <f>'26'!V29</f>
        <v/>
      </c>
      <c r="T29" s="274" t="n"/>
      <c r="U29" s="275" t="n"/>
      <c r="V29" s="280" t="n">
        <v>74.3</v>
      </c>
      <c r="W29" s="278" t="n"/>
      <c r="X29" s="279" t="n"/>
      <c r="Y29" s="316">
        <f>'26'!Y29+'27'!V29</f>
        <v/>
      </c>
      <c r="Z29" s="275" t="n"/>
    </row>
    <row r="30" ht="21.9" customHeight="1" s="251">
      <c r="A30" s="104" t="inlineStr">
        <is>
          <t>요소수 공급</t>
        </is>
      </c>
      <c r="B30" s="278" t="n"/>
      <c r="C30" s="279" t="n"/>
      <c r="D30" s="104">
        <f>'26'!G30</f>
        <v/>
      </c>
      <c r="E30" s="278" t="n"/>
      <c r="F30" s="279" t="n"/>
      <c r="G30" s="104" t="n">
        <v>53560</v>
      </c>
      <c r="H30" s="278" t="n"/>
      <c r="I30" s="279" t="n"/>
      <c r="J30" s="288">
        <f>IF(G30-D30&lt;0,,G30-D30)</f>
        <v/>
      </c>
      <c r="K30" s="274" t="n"/>
      <c r="L30" s="275" t="n"/>
      <c r="M30" s="288">
        <f>'26'!M30+J30</f>
        <v/>
      </c>
      <c r="N30" s="275" t="n"/>
      <c r="P30" s="104" t="inlineStr">
        <is>
          <t>계</t>
        </is>
      </c>
      <c r="Q30" s="278" t="n"/>
      <c r="R30" s="279" t="n"/>
      <c r="S30" s="288">
        <f>'26'!V30</f>
        <v/>
      </c>
      <c r="T30" s="274" t="n"/>
      <c r="U30" s="275" t="n"/>
      <c r="V30" s="280" t="n"/>
      <c r="W30" s="278" t="n"/>
      <c r="X30" s="279" t="n"/>
      <c r="Y30" s="316">
        <f>'26'!Y30+'27'!V30</f>
        <v/>
      </c>
      <c r="Z30" s="275" t="n"/>
    </row>
    <row r="31" ht="21.9" customHeight="1" s="251">
      <c r="A31" s="104" t="inlineStr">
        <is>
          <t xml:space="preserve">F.D </t>
        </is>
      </c>
      <c r="B31" s="278" t="n"/>
      <c r="C31" s="279" t="n"/>
      <c r="D31" s="104">
        <f>'26'!G31</f>
        <v/>
      </c>
      <c r="E31" s="278" t="n"/>
      <c r="F31" s="279" t="n"/>
      <c r="G31" s="288" t="n">
        <v>6411972</v>
      </c>
      <c r="H31" s="274" t="n"/>
      <c r="I31" s="275" t="n"/>
      <c r="J31" s="104">
        <f>G31-D31</f>
        <v/>
      </c>
      <c r="K31" s="278" t="n"/>
      <c r="L31" s="279" t="n"/>
      <c r="M31" s="288">
        <f>'26'!M31+J31</f>
        <v/>
      </c>
      <c r="N31" s="275" t="n"/>
      <c r="P31" s="172" t="n"/>
      <c r="Q31" s="172" t="n"/>
      <c r="R31" s="172" t="n"/>
      <c r="S31" s="172" t="n"/>
      <c r="T31" s="172" t="n"/>
      <c r="U31" s="172" t="n"/>
      <c r="V31" s="305" t="n"/>
      <c r="W31" s="305" t="n"/>
      <c r="X31" s="305" t="n"/>
      <c r="Y31" s="305" t="n"/>
      <c r="Z31" s="305" t="n"/>
    </row>
    <row r="32" ht="21.9" customHeight="1" s="251">
      <c r="A32" s="104" t="inlineStr">
        <is>
          <t>활성탄 BAG</t>
        </is>
      </c>
      <c r="B32" s="278" t="n"/>
      <c r="C32" s="279" t="n"/>
      <c r="D32" s="104">
        <f>'26'!G32</f>
        <v/>
      </c>
      <c r="E32" s="278" t="n"/>
      <c r="F32" s="279" t="n"/>
      <c r="G32" s="288" t="n">
        <v>1.8</v>
      </c>
      <c r="H32" s="274" t="n"/>
      <c r="I32" s="275" t="n"/>
      <c r="J32" s="288">
        <f>G32-D32</f>
        <v/>
      </c>
      <c r="K32" s="274" t="n"/>
      <c r="L32" s="275" t="n"/>
      <c r="M32" s="288">
        <f>'26'!M32+J32</f>
        <v/>
      </c>
      <c r="N32" s="275" t="n"/>
      <c r="P32" s="172" t="n"/>
      <c r="Q32" s="172" t="n"/>
      <c r="R32" s="172" t="n"/>
      <c r="S32" s="172" t="n"/>
      <c r="T32" s="172" t="n"/>
      <c r="U32" s="172" t="n"/>
      <c r="V32" s="305" t="n"/>
      <c r="W32" s="305" t="n"/>
      <c r="X32" s="305" t="n"/>
      <c r="Y32" s="305" t="n"/>
      <c r="Z32" s="305" t="n"/>
    </row>
    <row r="33" ht="21.9" customHeight="1" s="251">
      <c r="A33" s="104" t="inlineStr">
        <is>
          <t>소석회 BAG</t>
        </is>
      </c>
      <c r="B33" s="278" t="n"/>
      <c r="C33" s="279" t="n"/>
      <c r="D33" s="104">
        <f>'26'!G33</f>
        <v/>
      </c>
      <c r="E33" s="278" t="n"/>
      <c r="F33" s="279" t="n"/>
      <c r="G33" s="288" t="n"/>
      <c r="H33" s="274" t="n"/>
      <c r="I33" s="275" t="n"/>
      <c r="J33" s="288">
        <f>G33-D33</f>
        <v/>
      </c>
      <c r="K33" s="274" t="n"/>
      <c r="L33" s="275" t="n"/>
      <c r="M33" s="288">
        <f>'26'!M33+J33</f>
        <v/>
      </c>
      <c r="N33" s="275" t="n"/>
      <c r="P33" s="172" t="n"/>
      <c r="Q33" s="172" t="n"/>
      <c r="R33" s="172" t="n"/>
      <c r="S33" s="172" t="n"/>
      <c r="T33" s="172" t="n"/>
      <c r="U33" s="172" t="n"/>
      <c r="V33" s="305" t="n"/>
      <c r="W33" s="305" t="n"/>
      <c r="X33" s="305" t="n"/>
      <c r="Y33" s="305" t="n"/>
      <c r="Z33" s="305" t="n"/>
    </row>
  </sheetData>
  <mergeCells count="217">
    <mergeCell ref="V24:X24"/>
    <mergeCell ref="A15:B15"/>
    <mergeCell ref="P27:R27"/>
    <mergeCell ref="S23:U23"/>
    <mergeCell ref="C15:D15"/>
    <mergeCell ref="J27:L27"/>
    <mergeCell ref="S14:V15"/>
    <mergeCell ref="Y24:Z24"/>
    <mergeCell ref="U7:W7"/>
    <mergeCell ref="A26:C26"/>
    <mergeCell ref="J25:L25"/>
    <mergeCell ref="G24:I24"/>
    <mergeCell ref="D28:F28"/>
    <mergeCell ref="I16:J16"/>
    <mergeCell ref="A23:C23"/>
    <mergeCell ref="S24:U24"/>
    <mergeCell ref="P6:Q6"/>
    <mergeCell ref="P28:R28"/>
    <mergeCell ref="W1:X1"/>
    <mergeCell ref="Y1:Z1"/>
    <mergeCell ref="G26:I26"/>
    <mergeCell ref="S16:T17"/>
    <mergeCell ref="D30:F30"/>
    <mergeCell ref="G18:H18"/>
    <mergeCell ref="U8:W8"/>
    <mergeCell ref="B1:C1"/>
    <mergeCell ref="I18:J18"/>
    <mergeCell ref="H3:S3"/>
    <mergeCell ref="M16:N16"/>
    <mergeCell ref="P30:R30"/>
    <mergeCell ref="M25:N25"/>
    <mergeCell ref="D29:F29"/>
    <mergeCell ref="D23:F23"/>
    <mergeCell ref="Y25:Z25"/>
    <mergeCell ref="M18:N18"/>
    <mergeCell ref="M33:N33"/>
    <mergeCell ref="A17:B17"/>
    <mergeCell ref="S25:U25"/>
    <mergeCell ref="C17:D17"/>
    <mergeCell ref="U18:V20"/>
    <mergeCell ref="J29:L29"/>
    <mergeCell ref="M17:N17"/>
    <mergeCell ref="W18:X20"/>
    <mergeCell ref="G20:H20"/>
    <mergeCell ref="I20:J20"/>
    <mergeCell ref="S27:U27"/>
    <mergeCell ref="A19:B19"/>
    <mergeCell ref="V23:X23"/>
    <mergeCell ref="C19:D19"/>
    <mergeCell ref="A6:C6"/>
    <mergeCell ref="Y2:Z3"/>
    <mergeCell ref="Y18:Z20"/>
    <mergeCell ref="M19:N19"/>
    <mergeCell ref="P22:U22"/>
    <mergeCell ref="I13:J13"/>
    <mergeCell ref="K13:L13"/>
    <mergeCell ref="X7:Z7"/>
    <mergeCell ref="E12:F12"/>
    <mergeCell ref="J24:L24"/>
    <mergeCell ref="G12:H12"/>
    <mergeCell ref="G28:I28"/>
    <mergeCell ref="D27:F27"/>
    <mergeCell ref="G6:I6"/>
    <mergeCell ref="I15:J15"/>
    <mergeCell ref="A11:B11"/>
    <mergeCell ref="K15:L15"/>
    <mergeCell ref="S28:U28"/>
    <mergeCell ref="C14:D14"/>
    <mergeCell ref="E14:F14"/>
    <mergeCell ref="J26:L26"/>
    <mergeCell ref="G30:I30"/>
    <mergeCell ref="J7:L7"/>
    <mergeCell ref="V27:X27"/>
    <mergeCell ref="A32:C32"/>
    <mergeCell ref="A29:C29"/>
    <mergeCell ref="D25:F25"/>
    <mergeCell ref="V25:X25"/>
    <mergeCell ref="Y26:Z26"/>
    <mergeCell ref="M13:N13"/>
    <mergeCell ref="G32:I32"/>
    <mergeCell ref="J33:L33"/>
    <mergeCell ref="W14:Z15"/>
    <mergeCell ref="A31:C31"/>
    <mergeCell ref="S26:U26"/>
    <mergeCell ref="M27:N27"/>
    <mergeCell ref="I17:J17"/>
    <mergeCell ref="A24:C24"/>
    <mergeCell ref="Y27:Z27"/>
    <mergeCell ref="K17:L17"/>
    <mergeCell ref="P29:R29"/>
    <mergeCell ref="M24:N24"/>
    <mergeCell ref="E16:F16"/>
    <mergeCell ref="J28:L28"/>
    <mergeCell ref="G27:I27"/>
    <mergeCell ref="G16:H16"/>
    <mergeCell ref="D31:F31"/>
    <mergeCell ref="U2:V3"/>
    <mergeCell ref="I19:J19"/>
    <mergeCell ref="U1:V1"/>
    <mergeCell ref="G8:I8"/>
    <mergeCell ref="K19:L19"/>
    <mergeCell ref="C18:D18"/>
    <mergeCell ref="A7:C7"/>
    <mergeCell ref="V29:X29"/>
    <mergeCell ref="E18:F18"/>
    <mergeCell ref="J30:L30"/>
    <mergeCell ref="R6:T6"/>
    <mergeCell ref="K16:L16"/>
    <mergeCell ref="A25:C25"/>
    <mergeCell ref="J6:L6"/>
    <mergeCell ref="D1:E1"/>
    <mergeCell ref="D32:F32"/>
    <mergeCell ref="G11:H11"/>
    <mergeCell ref="I11:J11"/>
    <mergeCell ref="P23:R23"/>
    <mergeCell ref="W11:Z11"/>
    <mergeCell ref="D7:F7"/>
    <mergeCell ref="Y16:Z17"/>
    <mergeCell ref="S18:T20"/>
    <mergeCell ref="C20:D20"/>
    <mergeCell ref="Y30:Z30"/>
    <mergeCell ref="E20:F20"/>
    <mergeCell ref="K11:L11"/>
    <mergeCell ref="J32:L32"/>
    <mergeCell ref="M11:N11"/>
    <mergeCell ref="Y29:Z29"/>
    <mergeCell ref="H1:S2"/>
    <mergeCell ref="V26:X26"/>
    <mergeCell ref="E13:F13"/>
    <mergeCell ref="S30:U30"/>
    <mergeCell ref="G13:H13"/>
    <mergeCell ref="M31:N31"/>
    <mergeCell ref="G29:I29"/>
    <mergeCell ref="D8:F8"/>
    <mergeCell ref="D33:F33"/>
    <mergeCell ref="W12:Z13"/>
    <mergeCell ref="A12:B12"/>
    <mergeCell ref="A28:C28"/>
    <mergeCell ref="S29:U29"/>
    <mergeCell ref="C12:D12"/>
    <mergeCell ref="A1:A3"/>
    <mergeCell ref="M15:N15"/>
    <mergeCell ref="E15:F15"/>
    <mergeCell ref="M12:N12"/>
    <mergeCell ref="G15:H15"/>
    <mergeCell ref="G31:I31"/>
    <mergeCell ref="Y28:Z28"/>
    <mergeCell ref="P18:R20"/>
    <mergeCell ref="A14:B14"/>
    <mergeCell ref="J8:L8"/>
    <mergeCell ref="A30:C30"/>
    <mergeCell ref="M26:N26"/>
    <mergeCell ref="U6:W6"/>
    <mergeCell ref="P25:R25"/>
    <mergeCell ref="M29:N29"/>
    <mergeCell ref="M23:N23"/>
    <mergeCell ref="F2:G3"/>
    <mergeCell ref="G23:I23"/>
    <mergeCell ref="Y23:Z23"/>
    <mergeCell ref="U16:V17"/>
    <mergeCell ref="W16:X17"/>
    <mergeCell ref="G7:I7"/>
    <mergeCell ref="K18:L18"/>
    <mergeCell ref="P12:R13"/>
    <mergeCell ref="D6:F6"/>
    <mergeCell ref="F1:G1"/>
    <mergeCell ref="T1:T3"/>
    <mergeCell ref="V28:X28"/>
    <mergeCell ref="P11:R11"/>
    <mergeCell ref="P14:R15"/>
    <mergeCell ref="A27:C27"/>
    <mergeCell ref="V30:X30"/>
    <mergeCell ref="W2:X3"/>
    <mergeCell ref="E17:F17"/>
    <mergeCell ref="G17:H17"/>
    <mergeCell ref="G33:I33"/>
    <mergeCell ref="X6:Z6"/>
    <mergeCell ref="A33:C33"/>
    <mergeCell ref="K20:L20"/>
    <mergeCell ref="A16:B16"/>
    <mergeCell ref="C16:D16"/>
    <mergeCell ref="M20:N20"/>
    <mergeCell ref="A8:C8"/>
    <mergeCell ref="E19:F19"/>
    <mergeCell ref="P8:Q8"/>
    <mergeCell ref="J31:L31"/>
    <mergeCell ref="G19:H19"/>
    <mergeCell ref="A18:B18"/>
    <mergeCell ref="G25:I25"/>
    <mergeCell ref="D24:F24"/>
    <mergeCell ref="M30:N30"/>
    <mergeCell ref="I12:J12"/>
    <mergeCell ref="K12:L12"/>
    <mergeCell ref="P24:R24"/>
    <mergeCell ref="P7:Q7"/>
    <mergeCell ref="C11:D11"/>
    <mergeCell ref="M28:N28"/>
    <mergeCell ref="E11:F11"/>
    <mergeCell ref="J23:L23"/>
    <mergeCell ref="D26:F26"/>
    <mergeCell ref="G14:H14"/>
    <mergeCell ref="S11:V11"/>
    <mergeCell ref="I14:J14"/>
    <mergeCell ref="R8:T8"/>
    <mergeCell ref="K14:L14"/>
    <mergeCell ref="P26:R26"/>
    <mergeCell ref="P16:R17"/>
    <mergeCell ref="A20:B20"/>
    <mergeCell ref="B2:C3"/>
    <mergeCell ref="D2:E3"/>
    <mergeCell ref="M32:N32"/>
    <mergeCell ref="M14:N14"/>
    <mergeCell ref="X8:Z8"/>
    <mergeCell ref="A13:B13"/>
    <mergeCell ref="C13:D13"/>
    <mergeCell ref="R7:T7"/>
    <mergeCell ref="S12:V13"/>
  </mergeCells>
  <pageMargins left="0.7086614173228347" right="0.7086614173228347" top="0.7480314960629921" bottom="0.7480314960629921" header="0.3149606299212598" footer="0.3149606299212598"/>
  <pageSetup orientation="portrait" paperSize="9" scale="59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AE33"/>
  <sheetViews>
    <sheetView zoomScaleNormal="100" zoomScaleSheetLayoutView="100" workbookViewId="0">
      <selection activeCell="G17" sqref="G17:H17"/>
    </sheetView>
  </sheetViews>
  <sheetFormatPr baseColWidth="8" defaultRowHeight="17.4"/>
  <cols>
    <col width="2.8984375" customWidth="1" style="251" min="1" max="1"/>
    <col width="5.59765625" customWidth="1" style="251" min="2" max="14"/>
    <col width="3.59765625" customWidth="1" style="251" min="15" max="15"/>
    <col width="4.59765625" customWidth="1" style="251" min="16" max="22"/>
    <col width="5.59765625" customWidth="1" style="251" min="23" max="26"/>
  </cols>
  <sheetData>
    <row r="1" ht="18.75" customHeight="1" s="251">
      <c r="A1" s="122" t="inlineStr">
        <is>
          <t>근
무
자</t>
        </is>
      </c>
      <c r="B1" s="120" t="inlineStr">
        <is>
          <t>오  전</t>
        </is>
      </c>
      <c r="C1" s="252" t="n"/>
      <c r="D1" s="120" t="inlineStr">
        <is>
          <t>오  후</t>
        </is>
      </c>
      <c r="E1" s="252" t="n"/>
      <c r="F1" s="120" t="inlineStr">
        <is>
          <t>야  간</t>
        </is>
      </c>
      <c r="G1" s="252" t="n"/>
      <c r="H1" s="253" t="inlineStr">
        <is>
          <t>유동상소각로 운전일지</t>
        </is>
      </c>
      <c r="S1" s="254" t="n"/>
      <c r="T1" s="255" t="inlineStr">
        <is>
          <t>결
재</t>
        </is>
      </c>
      <c r="U1" s="120" t="inlineStr">
        <is>
          <t>반장</t>
        </is>
      </c>
      <c r="V1" s="252" t="n"/>
      <c r="W1" s="120" t="inlineStr">
        <is>
          <t>대리</t>
        </is>
      </c>
      <c r="X1" s="252" t="n"/>
      <c r="Y1" s="120" t="inlineStr">
        <is>
          <t>팀장</t>
        </is>
      </c>
      <c r="Z1" s="252" t="n"/>
    </row>
    <row r="2" ht="14.25" customHeight="1" s="251">
      <c r="A2" s="256" t="n"/>
      <c r="B2" s="257" t="inlineStr">
        <is>
          <t>김문한</t>
        </is>
      </c>
      <c r="C2" s="258" t="n"/>
      <c r="D2" s="257" t="inlineStr">
        <is>
          <t>임종민</t>
        </is>
      </c>
      <c r="E2" s="258" t="n"/>
      <c r="F2" s="257" t="inlineStr">
        <is>
          <t>권정민</t>
        </is>
      </c>
      <c r="G2" s="258" t="n"/>
      <c r="H2" s="259" t="n"/>
      <c r="I2" s="260" t="n"/>
      <c r="J2" s="260" t="n"/>
      <c r="K2" s="260" t="n"/>
      <c r="L2" s="260" t="n"/>
      <c r="M2" s="260" t="n"/>
      <c r="N2" s="260" t="n"/>
      <c r="O2" s="260" t="n"/>
      <c r="P2" s="260" t="n"/>
      <c r="Q2" s="260" t="n"/>
      <c r="R2" s="260" t="n"/>
      <c r="S2" s="261" t="n"/>
      <c r="T2" s="262" t="n"/>
      <c r="U2" s="105" t="n"/>
      <c r="V2" s="254" t="n"/>
      <c r="W2" s="105" t="n"/>
      <c r="X2" s="254" t="n"/>
      <c r="Y2" s="105" t="n"/>
      <c r="Z2" s="254" t="n"/>
    </row>
    <row r="3" ht="37.5" customHeight="1" s="251">
      <c r="A3" s="263" t="n"/>
      <c r="B3" s="264" t="n"/>
      <c r="C3" s="265" t="n"/>
      <c r="D3" s="264" t="n"/>
      <c r="E3" s="265" t="n"/>
      <c r="F3" s="264" t="n"/>
      <c r="G3" s="265" t="n"/>
      <c r="H3" s="266" t="n">
        <v>46231</v>
      </c>
      <c r="I3" s="267" t="n"/>
      <c r="J3" s="267" t="n"/>
      <c r="K3" s="267" t="n"/>
      <c r="L3" s="267" t="n"/>
      <c r="M3" s="267" t="n"/>
      <c r="N3" s="267" t="n"/>
      <c r="O3" s="267" t="n"/>
      <c r="P3" s="267" t="n"/>
      <c r="Q3" s="267" t="n"/>
      <c r="R3" s="267" t="n"/>
      <c r="S3" s="268" t="n"/>
      <c r="T3" s="269" t="n"/>
      <c r="U3" s="264" t="n"/>
      <c r="V3" s="265" t="n"/>
      <c r="W3" s="264" t="n"/>
      <c r="X3" s="265" t="n"/>
      <c r="Y3" s="264" t="n"/>
      <c r="Z3" s="265" t="n"/>
    </row>
    <row r="4" ht="13.5" customHeight="1" s="25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inlineStr">
        <is>
          <t>1. 소각현황(KG)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inlineStr">
        <is>
          <t>2. BOILER 운전현황(TON, HR)</t>
        </is>
      </c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2.5" customHeight="1" s="251" thickBot="1">
      <c r="A6" s="136" t="inlineStr">
        <is>
          <t>구 분</t>
        </is>
      </c>
      <c r="B6" s="270" t="n"/>
      <c r="C6" s="271" t="n"/>
      <c r="D6" s="136" t="inlineStr">
        <is>
          <t>SRF소각량</t>
        </is>
      </c>
      <c r="E6" s="270" t="n"/>
      <c r="F6" s="271" t="n"/>
      <c r="G6" s="136" t="inlineStr">
        <is>
          <t>SLUDGE 소각량</t>
        </is>
      </c>
      <c r="H6" s="270" t="n"/>
      <c r="I6" s="271" t="n"/>
      <c r="J6" s="136" t="inlineStr">
        <is>
          <t>합 계</t>
        </is>
      </c>
      <c r="K6" s="270" t="n"/>
      <c r="L6" s="271" t="n"/>
      <c r="M6" s="1" t="n"/>
      <c r="N6" s="1" t="n"/>
      <c r="O6" s="1" t="n"/>
      <c r="P6" s="136" t="inlineStr">
        <is>
          <t>구 분</t>
        </is>
      </c>
      <c r="Q6" s="271" t="n"/>
      <c r="R6" s="136" t="inlineStr">
        <is>
          <t>스팀 생산량</t>
        </is>
      </c>
      <c r="S6" s="270" t="n"/>
      <c r="T6" s="271" t="n"/>
      <c r="U6" s="136" t="inlineStr">
        <is>
          <t>스팀 송기량</t>
        </is>
      </c>
      <c r="V6" s="270" t="n"/>
      <c r="W6" s="271" t="n"/>
      <c r="X6" s="136" t="inlineStr">
        <is>
          <t>가동시간</t>
        </is>
      </c>
      <c r="Y6" s="270" t="n"/>
      <c r="Z6" s="271" t="n"/>
    </row>
    <row r="7" ht="30" customHeight="1" s="251" thickTop="1">
      <c r="A7" s="105" t="inlineStr">
        <is>
          <t>금 일</t>
        </is>
      </c>
      <c r="B7" s="272" t="n"/>
      <c r="C7" s="265" t="n"/>
      <c r="D7" s="139" t="n">
        <v>73304</v>
      </c>
      <c r="E7" s="272" t="n"/>
      <c r="F7" s="265" t="n"/>
      <c r="G7" s="139" t="n">
        <v>133100</v>
      </c>
      <c r="H7" s="272" t="n"/>
      <c r="I7" s="265" t="n"/>
      <c r="J7" s="154">
        <f>D7+G7</f>
        <v/>
      </c>
      <c r="K7" s="278" t="n"/>
      <c r="L7" s="279" t="n"/>
      <c r="M7" s="1" t="n"/>
      <c r="N7" s="1" t="n"/>
      <c r="O7" s="1" t="n"/>
      <c r="P7" s="105" t="inlineStr">
        <is>
          <t>금 일</t>
        </is>
      </c>
      <c r="Q7" s="265" t="n"/>
      <c r="R7" s="276" t="n">
        <v>475.5</v>
      </c>
      <c r="S7" s="272" t="n"/>
      <c r="T7" s="265" t="n"/>
      <c r="U7" s="276" t="n">
        <v>32.8</v>
      </c>
      <c r="V7" s="272" t="n"/>
      <c r="W7" s="265" t="n"/>
      <c r="X7" s="277" t="n">
        <v>24</v>
      </c>
      <c r="Y7" s="272" t="n"/>
      <c r="Z7" s="265" t="n"/>
    </row>
    <row r="8" ht="30" customHeight="1" s="251">
      <c r="A8" s="104" t="inlineStr">
        <is>
          <t>누 계</t>
        </is>
      </c>
      <c r="B8" s="278" t="n"/>
      <c r="C8" s="279" t="n"/>
      <c r="D8" s="154">
        <f>'27'!D8+'28'!D7</f>
        <v/>
      </c>
      <c r="E8" s="278" t="n"/>
      <c r="F8" s="279" t="n"/>
      <c r="G8" s="154">
        <f>'27'!G8+'28'!G7</f>
        <v/>
      </c>
      <c r="H8" s="278" t="n"/>
      <c r="I8" s="279" t="n"/>
      <c r="J8" s="154">
        <f>D8+G8</f>
        <v/>
      </c>
      <c r="K8" s="278" t="n"/>
      <c r="L8" s="279" t="n"/>
      <c r="M8" s="1" t="n"/>
      <c r="N8" s="1" t="n"/>
      <c r="O8" s="1" t="n"/>
      <c r="P8" s="104" t="inlineStr">
        <is>
          <t>누 계</t>
        </is>
      </c>
      <c r="Q8" s="279" t="n"/>
      <c r="R8" s="280">
        <f>'27'!R8+R7</f>
        <v/>
      </c>
      <c r="S8" s="278" t="n"/>
      <c r="T8" s="279" t="n"/>
      <c r="U8" s="280">
        <f>'27'!U8+U7</f>
        <v/>
      </c>
      <c r="V8" s="278" t="n"/>
      <c r="W8" s="279" t="n"/>
      <c r="X8" s="281">
        <f>'27'!X8+'28'!X7</f>
        <v/>
      </c>
      <c r="Y8" s="278" t="n"/>
      <c r="Z8" s="279" t="n"/>
    </row>
    <row r="9" ht="12" customHeight="1" s="25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inlineStr">
        <is>
          <t>3. 약품 사용현황 (KG)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inlineStr">
        <is>
          <t>4. 소각재 발생량 (TON, 대)</t>
        </is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30.75" customHeight="1" s="251" thickBot="1">
      <c r="A11" s="136" t="inlineStr">
        <is>
          <t>품 명</t>
        </is>
      </c>
      <c r="B11" s="271" t="n"/>
      <c r="C11" s="150" t="inlineStr">
        <is>
          <t>전일 
재고량</t>
        </is>
      </c>
      <c r="D11" s="271" t="n"/>
      <c r="E11" s="136" t="inlineStr">
        <is>
          <t>입고량</t>
        </is>
      </c>
      <c r="F11" s="271" t="n"/>
      <c r="G11" s="136" t="inlineStr">
        <is>
          <t>사용량</t>
        </is>
      </c>
      <c r="H11" s="271" t="n"/>
      <c r="I11" s="282" t="inlineStr">
        <is>
          <t>재고량</t>
        </is>
      </c>
      <c r="J11" s="271" t="n"/>
      <c r="K11" s="150" t="inlineStr">
        <is>
          <t>입고량 
누계</t>
        </is>
      </c>
      <c r="L11" s="271" t="n"/>
      <c r="M11" s="150" t="inlineStr">
        <is>
          <t>사용량 
누계</t>
        </is>
      </c>
      <c r="N11" s="271" t="n"/>
      <c r="O11" s="1" t="n"/>
      <c r="P11" s="136" t="inlineStr">
        <is>
          <t xml:space="preserve"> 구 분</t>
        </is>
      </c>
      <c r="Q11" s="270" t="n"/>
      <c r="R11" s="271" t="n"/>
      <c r="S11" s="282" t="inlineStr">
        <is>
          <t>반출량</t>
        </is>
      </c>
      <c r="T11" s="270" t="n"/>
      <c r="U11" s="270" t="n"/>
      <c r="V11" s="271" t="n"/>
      <c r="W11" s="282" t="inlineStr">
        <is>
          <t>누계</t>
        </is>
      </c>
      <c r="X11" s="270" t="n"/>
      <c r="Y11" s="270" t="n"/>
      <c r="Z11" s="271" t="n"/>
    </row>
    <row r="12" ht="21.9" customHeight="1" s="251" thickTop="1">
      <c r="A12" s="142" t="inlineStr">
        <is>
          <t>탄산암모늄</t>
        </is>
      </c>
      <c r="B12" s="265" t="n"/>
      <c r="C12" s="310">
        <f>'27'!I12</f>
        <v/>
      </c>
      <c r="D12" s="265" t="n"/>
      <c r="E12" s="105" t="n">
        <v>0</v>
      </c>
      <c r="F12" s="265" t="n"/>
      <c r="G12" s="105" t="n">
        <v>4206</v>
      </c>
      <c r="H12" s="265" t="n"/>
      <c r="I12" s="164">
        <f>C12+E12-G12</f>
        <v/>
      </c>
      <c r="J12" s="283" t="n"/>
      <c r="K12" s="105">
        <f>'27'!K12+'28'!E12</f>
        <v/>
      </c>
      <c r="L12" s="265" t="n"/>
      <c r="M12" s="105">
        <f>'27'!M12+G12</f>
        <v/>
      </c>
      <c r="N12" s="265" t="n"/>
      <c r="O12" s="1" t="n"/>
      <c r="P12" s="149" t="inlineStr">
        <is>
          <t xml:space="preserve">
비산재
</t>
        </is>
      </c>
      <c r="R12" s="254" t="n"/>
      <c r="S12" s="284" t="n">
        <v>57.45</v>
      </c>
      <c r="T12" s="285" t="n"/>
      <c r="U12" s="285" t="n"/>
      <c r="V12" s="285" t="n"/>
      <c r="W12" s="318">
        <f>'27'!W12+'28'!S12</f>
        <v/>
      </c>
      <c r="X12" s="285" t="n"/>
      <c r="Y12" s="285" t="n"/>
      <c r="Z12" s="287" t="n"/>
    </row>
    <row r="13" ht="21.9" customHeight="1" s="251">
      <c r="A13" s="104" t="inlineStr">
        <is>
          <t>청관제</t>
        </is>
      </c>
      <c r="B13" s="279" t="n"/>
      <c r="C13" s="310">
        <f>'27'!I13</f>
        <v/>
      </c>
      <c r="D13" s="265" t="n"/>
      <c r="E13" s="104" t="n">
        <v>0</v>
      </c>
      <c r="F13" s="279" t="n"/>
      <c r="G13" s="104" t="n">
        <v>60</v>
      </c>
      <c r="H13" s="279" t="n"/>
      <c r="I13" s="288">
        <f>C13+E13-G13</f>
        <v/>
      </c>
      <c r="J13" s="275" t="n"/>
      <c r="K13" s="288">
        <f>'27'!K13+'28'!E13</f>
        <v/>
      </c>
      <c r="L13" s="275" t="n"/>
      <c r="M13" s="288">
        <f>'27'!M13+G13</f>
        <v/>
      </c>
      <c r="N13" s="275" t="n"/>
      <c r="O13" s="1" t="n"/>
      <c r="P13" s="264" t="n"/>
      <c r="Q13" s="272" t="n"/>
      <c r="R13" s="265" t="n"/>
      <c r="S13" s="289" t="n"/>
      <c r="T13" s="290" t="n"/>
      <c r="U13" s="290" t="n"/>
      <c r="V13" s="290" t="n"/>
      <c r="W13" s="264" t="n"/>
      <c r="X13" s="272" t="n"/>
      <c r="Y13" s="272" t="n"/>
      <c r="Z13" s="265" t="n"/>
    </row>
    <row r="14" ht="21.9" customHeight="1" s="251">
      <c r="A14" s="104" t="inlineStr">
        <is>
          <t>활성탄</t>
        </is>
      </c>
      <c r="B14" s="279" t="n"/>
      <c r="C14" s="310">
        <f>'27'!I14</f>
        <v/>
      </c>
      <c r="D14" s="265" t="n"/>
      <c r="E14" s="104" t="n">
        <v>0</v>
      </c>
      <c r="F14" s="279" t="n"/>
      <c r="G14" s="104" t="n">
        <v>120</v>
      </c>
      <c r="H14" s="279" t="n"/>
      <c r="I14" s="288">
        <f>C14+E14-G14</f>
        <v/>
      </c>
      <c r="J14" s="275" t="n"/>
      <c r="K14" s="288">
        <f>'27'!K14+'28'!E14</f>
        <v/>
      </c>
      <c r="L14" s="275" t="n"/>
      <c r="M14" s="288">
        <f>'27'!M14+G14</f>
        <v/>
      </c>
      <c r="N14" s="275" t="n"/>
      <c r="O14" s="1" t="n"/>
      <c r="P14" s="104" t="inlineStr">
        <is>
          <t>바닥재</t>
        </is>
      </c>
      <c r="Q14" s="291" t="n"/>
      <c r="R14" s="292" t="n"/>
      <c r="S14" s="293" t="n">
        <v>0</v>
      </c>
      <c r="T14" s="291" t="n"/>
      <c r="U14" s="291" t="n"/>
      <c r="V14" s="291" t="n"/>
      <c r="W14" s="311">
        <f>'27'!W14+'28'!S14</f>
        <v/>
      </c>
      <c r="X14" s="291" t="n"/>
      <c r="Y14" s="291" t="n"/>
      <c r="Z14" s="295" t="n"/>
    </row>
    <row r="15" ht="21.9" customHeight="1" s="251">
      <c r="A15" s="104" t="inlineStr">
        <is>
          <t>가성소다</t>
        </is>
      </c>
      <c r="B15" s="279" t="n"/>
      <c r="C15" s="310">
        <f>'27'!I15</f>
        <v/>
      </c>
      <c r="D15" s="265" t="n"/>
      <c r="E15" s="104" t="n">
        <v>0</v>
      </c>
      <c r="F15" s="279" t="n"/>
      <c r="G15" s="104" t="n">
        <v>0</v>
      </c>
      <c r="H15" s="279" t="n"/>
      <c r="I15" s="288">
        <f>C15+E15-G15</f>
        <v/>
      </c>
      <c r="J15" s="275" t="n"/>
      <c r="K15" s="288">
        <f>'27'!K15+'28'!E15</f>
        <v/>
      </c>
      <c r="L15" s="275" t="n"/>
      <c r="M15" s="288">
        <f>'27'!M15+G15</f>
        <v/>
      </c>
      <c r="N15" s="275" t="n"/>
      <c r="O15" s="1" t="n"/>
      <c r="P15" s="296" t="n"/>
      <c r="Q15" s="290" t="n"/>
      <c r="R15" s="297" t="n"/>
      <c r="S15" s="296" t="n"/>
      <c r="T15" s="290" t="n"/>
      <c r="U15" s="290" t="n"/>
      <c r="V15" s="290" t="n"/>
      <c r="W15" s="298" t="n"/>
      <c r="X15" s="272" t="n"/>
      <c r="Y15" s="272" t="n"/>
      <c r="Z15" s="265" t="n"/>
    </row>
    <row r="16" ht="21.9" customHeight="1" s="251">
      <c r="A16" s="104" t="inlineStr">
        <is>
          <t>소석회</t>
        </is>
      </c>
      <c r="B16" s="279" t="n"/>
      <c r="C16" s="310">
        <f>'27'!I16</f>
        <v/>
      </c>
      <c r="D16" s="265" t="n"/>
      <c r="E16" s="104" t="n">
        <v>0</v>
      </c>
      <c r="F16" s="279" t="n"/>
      <c r="G16" s="104" t="n">
        <v>20</v>
      </c>
      <c r="H16" s="279" t="n"/>
      <c r="I16" s="288">
        <f>C16+E16-G16</f>
        <v/>
      </c>
      <c r="J16" s="275" t="n"/>
      <c r="K16" s="288">
        <f>'27'!K16+'28'!E16</f>
        <v/>
      </c>
      <c r="L16" s="275" t="n"/>
      <c r="M16" s="288">
        <f>'27'!M16+G16</f>
        <v/>
      </c>
      <c r="N16" s="275" t="n"/>
      <c r="O16" s="1" t="n"/>
      <c r="P16" s="162" t="inlineStr">
        <is>
          <t>구분</t>
        </is>
      </c>
      <c r="Q16" s="291" t="n"/>
      <c r="R16" s="292" t="n"/>
      <c r="S16" s="299" t="inlineStr">
        <is>
          <t>주간</t>
        </is>
      </c>
      <c r="T16" s="292" t="n"/>
      <c r="U16" s="299" t="inlineStr">
        <is>
          <t>야간</t>
        </is>
      </c>
      <c r="V16" s="292" t="n"/>
      <c r="W16" s="299" t="inlineStr">
        <is>
          <t>합계</t>
        </is>
      </c>
      <c r="X16" s="292" t="n"/>
      <c r="Y16" s="299" t="inlineStr">
        <is>
          <t>누계</t>
        </is>
      </c>
      <c r="Z16" s="292" t="n"/>
    </row>
    <row r="17" ht="21.9" customHeight="1" s="251" thickBot="1">
      <c r="A17" s="104" t="inlineStr">
        <is>
          <t>소 금</t>
        </is>
      </c>
      <c r="B17" s="279" t="n"/>
      <c r="C17" s="310">
        <f>'27'!I17</f>
        <v/>
      </c>
      <c r="D17" s="265" t="n"/>
      <c r="E17" s="104" t="n">
        <v>0</v>
      </c>
      <c r="F17" s="279" t="n"/>
      <c r="G17" s="104" t="n">
        <v>200</v>
      </c>
      <c r="H17" s="279" t="n"/>
      <c r="I17" s="288">
        <f>C17+E17-G17</f>
        <v/>
      </c>
      <c r="J17" s="275" t="n"/>
      <c r="K17" s="288">
        <f>'27'!K17+'28'!E17</f>
        <v/>
      </c>
      <c r="L17" s="275" t="n"/>
      <c r="M17" s="288">
        <f>'27'!M17+G17</f>
        <v/>
      </c>
      <c r="N17" s="275" t="n"/>
      <c r="O17" s="1" t="n"/>
      <c r="P17" s="296" t="n"/>
      <c r="Q17" s="290" t="n"/>
      <c r="R17" s="297" t="n"/>
      <c r="S17" s="300" t="n"/>
      <c r="T17" s="301" t="n"/>
      <c r="U17" s="300" t="n"/>
      <c r="V17" s="301" t="n"/>
      <c r="W17" s="300" t="n"/>
      <c r="X17" s="301" t="n"/>
      <c r="Y17" s="300" t="n"/>
      <c r="Z17" s="301" t="n"/>
      <c r="AE17" s="302" t="n"/>
    </row>
    <row r="18" ht="21.9" customHeight="1" s="251" thickTop="1">
      <c r="A18" s="104" t="inlineStr">
        <is>
          <t>경 유</t>
        </is>
      </c>
      <c r="B18" s="279" t="n"/>
      <c r="C18" s="310">
        <f>'27'!I18</f>
        <v/>
      </c>
      <c r="D18" s="265" t="n"/>
      <c r="E18" s="104" t="n">
        <v>0</v>
      </c>
      <c r="F18" s="279" t="n"/>
      <c r="G18" s="104" t="n">
        <v>350</v>
      </c>
      <c r="H18" s="279" t="n"/>
      <c r="I18" s="288">
        <f>C18+E18-G18</f>
        <v/>
      </c>
      <c r="J18" s="275" t="n"/>
      <c r="K18" s="288">
        <f>'27'!K18+'28'!E18</f>
        <v/>
      </c>
      <c r="L18" s="275" t="n"/>
      <c r="M18" s="288">
        <f>'27'!M18+G18</f>
        <v/>
      </c>
      <c r="N18" s="275" t="n"/>
      <c r="O18" s="1" t="n"/>
      <c r="P18" s="164" t="inlineStr">
        <is>
          <t>불연물</t>
        </is>
      </c>
      <c r="Q18" s="285" t="n"/>
      <c r="R18" s="287" t="n"/>
      <c r="S18" s="303" t="n">
        <v>1</v>
      </c>
      <c r="T18" s="287" t="n"/>
      <c r="U18" s="303" t="n">
        <v>1</v>
      </c>
      <c r="V18" s="287" t="n"/>
      <c r="W18" s="303">
        <f>S18+U18</f>
        <v/>
      </c>
      <c r="X18" s="287" t="n"/>
      <c r="Y18" s="303">
        <f>'27'!Y18+'28'!W18</f>
        <v/>
      </c>
      <c r="Z18" s="287" t="n"/>
    </row>
    <row r="19" ht="21.9" customHeight="1" s="251">
      <c r="A19" s="153" t="inlineStr">
        <is>
          <t>SRF</t>
        </is>
      </c>
      <c r="B19" s="279" t="n"/>
      <c r="C19" s="310">
        <f>'27'!I19</f>
        <v/>
      </c>
      <c r="D19" s="265" t="n"/>
      <c r="E19" s="154" t="n">
        <v>86990</v>
      </c>
      <c r="F19" s="279" t="n"/>
      <c r="G19" s="154">
        <f>D7</f>
        <v/>
      </c>
      <c r="H19" s="279" t="n"/>
      <c r="I19" s="273">
        <f>C19+E19-G19</f>
        <v/>
      </c>
      <c r="J19" s="275" t="n"/>
      <c r="K19" s="273">
        <f>'27'!K19+'28'!E19</f>
        <v/>
      </c>
      <c r="L19" s="275" t="n"/>
      <c r="M19" s="273">
        <f>'27'!M19+G19</f>
        <v/>
      </c>
      <c r="N19" s="275" t="n"/>
      <c r="O19" s="1" t="n"/>
      <c r="P19" s="256" t="n"/>
      <c r="R19" s="254" t="n"/>
      <c r="S19" s="256" t="n"/>
      <c r="T19" s="254" t="n"/>
      <c r="U19" s="256" t="n"/>
      <c r="V19" s="254" t="n"/>
      <c r="W19" s="256" t="n"/>
      <c r="X19" s="254" t="n"/>
      <c r="Y19" s="256" t="n"/>
      <c r="Z19" s="254" t="n"/>
    </row>
    <row r="20" ht="21.9" customHeight="1" s="251">
      <c r="A20" s="104" t="inlineStr">
        <is>
          <t>규 사</t>
        </is>
      </c>
      <c r="B20" s="279" t="n"/>
      <c r="C20" s="310">
        <f>'27'!I20</f>
        <v/>
      </c>
      <c r="D20" s="265" t="n"/>
      <c r="E20" s="288" t="n"/>
      <c r="F20" s="275" t="n"/>
      <c r="G20" s="104" t="n"/>
      <c r="H20" s="279" t="n"/>
      <c r="I20" s="288" t="inlineStr">
        <is>
          <t>-</t>
        </is>
      </c>
      <c r="J20" s="275" t="n"/>
      <c r="K20" s="105">
        <f>'27'!K20+'28'!E20</f>
        <v/>
      </c>
      <c r="L20" s="265" t="n"/>
      <c r="M20" s="273">
        <f>'27'!M20+G20</f>
        <v/>
      </c>
      <c r="N20" s="275" t="n"/>
      <c r="O20" s="1" t="n"/>
      <c r="P20" s="264" t="n"/>
      <c r="Q20" s="272" t="n"/>
      <c r="R20" s="265" t="n"/>
      <c r="S20" s="264" t="n"/>
      <c r="T20" s="265" t="n"/>
      <c r="U20" s="264" t="n"/>
      <c r="V20" s="265" t="n"/>
      <c r="W20" s="264" t="n"/>
      <c r="X20" s="265" t="n"/>
      <c r="Y20" s="264" t="n"/>
      <c r="Z20" s="265" t="n"/>
    </row>
    <row r="21" ht="12" customHeight="1" s="25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 t="inlineStr">
        <is>
          <t>5. 전력 사용량 (KWH)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10" t="inlineStr">
        <is>
          <t>6. 유틸리티 사용현황 (㎥)</t>
        </is>
      </c>
      <c r="Q22" s="290" t="n"/>
      <c r="R22" s="290" t="n"/>
      <c r="S22" s="290" t="n"/>
      <c r="T22" s="290" t="n"/>
      <c r="U22" s="290" t="n"/>
      <c r="V22" s="1" t="n"/>
      <c r="W22" s="1" t="n"/>
      <c r="X22" s="1" t="n"/>
      <c r="Y22" s="1" t="n"/>
      <c r="Z22" s="1" t="n"/>
    </row>
    <row r="23" ht="28.5" customHeight="1" s="251" thickBot="1">
      <c r="A23" s="136" t="inlineStr">
        <is>
          <t>구 분</t>
        </is>
      </c>
      <c r="B23" s="270" t="n"/>
      <c r="C23" s="271" t="n"/>
      <c r="D23" s="136" t="inlineStr">
        <is>
          <t>전일지침</t>
        </is>
      </c>
      <c r="E23" s="270" t="n"/>
      <c r="F23" s="271" t="n"/>
      <c r="G23" s="136" t="inlineStr">
        <is>
          <t>금일지침</t>
        </is>
      </c>
      <c r="H23" s="270" t="n"/>
      <c r="I23" s="271" t="n"/>
      <c r="J23" s="136" t="inlineStr">
        <is>
          <t>사용량</t>
        </is>
      </c>
      <c r="K23" s="270" t="n"/>
      <c r="L23" s="271" t="n"/>
      <c r="M23" s="136" t="inlineStr">
        <is>
          <t>누 계</t>
        </is>
      </c>
      <c r="N23" s="271" t="n"/>
      <c r="P23" s="136" t="inlineStr">
        <is>
          <t>구 분</t>
        </is>
      </c>
      <c r="Q23" s="270" t="n"/>
      <c r="R23" s="271" t="n"/>
      <c r="S23" s="136" t="inlineStr">
        <is>
          <t>전일 사용량</t>
        </is>
      </c>
      <c r="T23" s="270" t="n"/>
      <c r="U23" s="271" t="n"/>
      <c r="V23" s="136" t="inlineStr">
        <is>
          <t>금일 사용량</t>
        </is>
      </c>
      <c r="W23" s="270" t="n"/>
      <c r="X23" s="271" t="n"/>
      <c r="Y23" s="136" t="inlineStr">
        <is>
          <t>누 계</t>
        </is>
      </c>
      <c r="Z23" s="271" t="n"/>
    </row>
    <row r="24" ht="21.9" customHeight="1" s="251" thickTop="1">
      <c r="A24" s="105" t="inlineStr">
        <is>
          <t>MAIN</t>
        </is>
      </c>
      <c r="B24" s="272" t="n"/>
      <c r="C24" s="265" t="n"/>
      <c r="D24" s="187">
        <f>'27'!G24</f>
        <v/>
      </c>
      <c r="E24" s="285" t="n"/>
      <c r="F24" s="287" t="n"/>
      <c r="G24" s="164" t="n">
        <v>4304153</v>
      </c>
      <c r="H24" s="304" t="n"/>
      <c r="I24" s="283" t="n"/>
      <c r="J24" s="164">
        <f>IF(G24-D24&lt;0,,G24-D24)</f>
        <v/>
      </c>
      <c r="K24" s="304" t="n"/>
      <c r="L24" s="283" t="n"/>
      <c r="M24" s="164">
        <f>'27'!M24+J24</f>
        <v/>
      </c>
      <c r="N24" s="283" t="n"/>
      <c r="P24" s="105" t="inlineStr">
        <is>
          <t>재이용수</t>
        </is>
      </c>
      <c r="Q24" s="272" t="n"/>
      <c r="R24" s="265" t="n"/>
      <c r="S24" s="105">
        <f>'27'!V24</f>
        <v/>
      </c>
      <c r="T24" s="272" t="n"/>
      <c r="U24" s="265" t="n"/>
      <c r="V24" s="276" t="n">
        <v>554.7</v>
      </c>
      <c r="W24" s="272" t="n"/>
      <c r="X24" s="265" t="n"/>
      <c r="Y24" s="276">
        <f>'27'!Y24+'28'!V24</f>
        <v/>
      </c>
      <c r="Z24" s="265" t="n"/>
    </row>
    <row r="25" ht="21.9" customHeight="1" s="251">
      <c r="A25" s="104" t="inlineStr">
        <is>
          <t>ASH 저장조</t>
        </is>
      </c>
      <c r="B25" s="278" t="n"/>
      <c r="C25" s="279" t="n"/>
      <c r="D25" s="104">
        <f>'27'!G25</f>
        <v/>
      </c>
      <c r="E25" s="278" t="n"/>
      <c r="F25" s="279" t="n"/>
      <c r="G25" s="104" t="n">
        <v>33704.3</v>
      </c>
      <c r="H25" s="278" t="n"/>
      <c r="I25" s="279" t="n"/>
      <c r="J25" s="288">
        <f>IF(G25-D25&lt;0,,G25-D25)</f>
        <v/>
      </c>
      <c r="K25" s="274" t="n"/>
      <c r="L25" s="275" t="n"/>
      <c r="M25" s="288">
        <f>'27'!M25+J25</f>
        <v/>
      </c>
      <c r="N25" s="275" t="n"/>
      <c r="P25" s="104" t="inlineStr">
        <is>
          <t>복류수</t>
        </is>
      </c>
      <c r="Q25" s="278" t="n"/>
      <c r="R25" s="279" t="n"/>
      <c r="S25" s="288">
        <f>'27'!V25</f>
        <v/>
      </c>
      <c r="T25" s="274" t="n"/>
      <c r="U25" s="275" t="n"/>
      <c r="V25" s="280" t="n">
        <v>69.7</v>
      </c>
      <c r="W25" s="278" t="n"/>
      <c r="X25" s="279" t="n"/>
      <c r="Y25" s="316">
        <f>'27'!Y25+'28'!V25</f>
        <v/>
      </c>
      <c r="Z25" s="275" t="n"/>
    </row>
    <row r="26" ht="21.9" customHeight="1" s="251">
      <c r="A26" s="104" t="inlineStr">
        <is>
          <t>BAG FILTER</t>
        </is>
      </c>
      <c r="B26" s="278" t="n"/>
      <c r="C26" s="279" t="n"/>
      <c r="D26" s="104">
        <f>'27'!G26</f>
        <v/>
      </c>
      <c r="E26" s="278" t="n"/>
      <c r="F26" s="279" t="n"/>
      <c r="G26" s="104" t="n">
        <v>24870</v>
      </c>
      <c r="H26" s="278" t="n"/>
      <c r="I26" s="279" t="n"/>
      <c r="J26" s="288">
        <f>IF(G26-D26&lt;0,,G26-D26)</f>
        <v/>
      </c>
      <c r="K26" s="274" t="n"/>
      <c r="L26" s="275" t="n"/>
      <c r="M26" s="288">
        <f>'27'!M26+J26</f>
        <v/>
      </c>
      <c r="N26" s="275" t="n"/>
      <c r="P26" s="104" t="inlineStr">
        <is>
          <t>응축수</t>
        </is>
      </c>
      <c r="Q26" s="278" t="n"/>
      <c r="R26" s="279" t="n"/>
      <c r="S26" s="288">
        <f>'27'!V26</f>
        <v/>
      </c>
      <c r="T26" s="274" t="n"/>
      <c r="U26" s="275" t="n"/>
      <c r="V26" s="280" t="n">
        <v>617.1</v>
      </c>
      <c r="W26" s="278" t="n"/>
      <c r="X26" s="279" t="n"/>
      <c r="Y26" s="316">
        <f>'27'!Y26+'28'!V26</f>
        <v/>
      </c>
      <c r="Z26" s="275" t="n"/>
    </row>
    <row r="27" ht="21.9" customHeight="1" s="251">
      <c r="A27" s="104" t="inlineStr">
        <is>
          <t>SCRUBBER</t>
        </is>
      </c>
      <c r="B27" s="278" t="n"/>
      <c r="C27" s="279" t="n"/>
      <c r="D27" s="104">
        <f>'27'!G27</f>
        <v/>
      </c>
      <c r="E27" s="278" t="n"/>
      <c r="F27" s="279" t="n"/>
      <c r="G27" s="104" t="n">
        <v>1433000</v>
      </c>
      <c r="H27" s="278" t="n"/>
      <c r="I27" s="279" t="n"/>
      <c r="J27" s="288">
        <f>IF(G27-D27&lt;0,,G27-D27)</f>
        <v/>
      </c>
      <c r="K27" s="274" t="n"/>
      <c r="L27" s="275" t="n"/>
      <c r="M27" s="288">
        <f>'27'!M27+J27</f>
        <v/>
      </c>
      <c r="N27" s="275" t="n"/>
      <c r="P27" s="104" t="inlineStr">
        <is>
          <t>보일러 급수</t>
        </is>
      </c>
      <c r="Q27" s="278" t="n"/>
      <c r="R27" s="279" t="n"/>
      <c r="S27" s="288">
        <f>'27'!V27</f>
        <v/>
      </c>
      <c r="T27" s="274" t="n"/>
      <c r="U27" s="275" t="n"/>
      <c r="V27" s="280" t="n">
        <v>511.7</v>
      </c>
      <c r="W27" s="278" t="n"/>
      <c r="X27" s="279" t="n"/>
      <c r="Y27" s="316">
        <f>'27'!Y27+'28'!V27</f>
        <v/>
      </c>
      <c r="Z27" s="275" t="n"/>
    </row>
    <row r="28" ht="21.9" customHeight="1" s="251">
      <c r="A28" s="104" t="inlineStr">
        <is>
          <t>활성탄 공급</t>
        </is>
      </c>
      <c r="B28" s="278" t="n"/>
      <c r="C28" s="279" t="n"/>
      <c r="D28" s="104">
        <f>'27'!G28</f>
        <v/>
      </c>
      <c r="E28" s="278" t="n"/>
      <c r="F28" s="279" t="n"/>
      <c r="G28" s="104" t="n">
        <v>6440</v>
      </c>
      <c r="H28" s="278" t="n"/>
      <c r="I28" s="279" t="n"/>
      <c r="J28" s="288">
        <f>IF(G28-D28&lt;0,,G28-D28)</f>
        <v/>
      </c>
      <c r="K28" s="274" t="n"/>
      <c r="L28" s="275" t="n"/>
      <c r="M28" s="288">
        <f>'27'!M28+J28</f>
        <v/>
      </c>
      <c r="N28" s="275" t="n"/>
      <c r="P28" s="104" t="inlineStr">
        <is>
          <t>폐 수</t>
        </is>
      </c>
      <c r="Q28" s="278" t="n"/>
      <c r="R28" s="279" t="n"/>
      <c r="S28" s="288">
        <f>'27'!V28</f>
        <v/>
      </c>
      <c r="T28" s="274" t="n"/>
      <c r="U28" s="275" t="n"/>
      <c r="V28" s="280" t="n">
        <v>0</v>
      </c>
      <c r="W28" s="278" t="n"/>
      <c r="X28" s="279" t="n"/>
      <c r="Y28" s="316">
        <f>'27'!Y28+'28'!V28</f>
        <v/>
      </c>
      <c r="Z28" s="275" t="n"/>
    </row>
    <row r="29" ht="21.9" customHeight="1" s="251">
      <c r="A29" s="104" t="inlineStr">
        <is>
          <t>소석회 공급</t>
        </is>
      </c>
      <c r="B29" s="278" t="n"/>
      <c r="C29" s="279" t="n"/>
      <c r="D29" s="104">
        <f>'27'!G29</f>
        <v/>
      </c>
      <c r="E29" s="278" t="n"/>
      <c r="F29" s="279" t="n"/>
      <c r="G29" s="104" t="n">
        <v>66260</v>
      </c>
      <c r="H29" s="278" t="n"/>
      <c r="I29" s="279" t="n"/>
      <c r="J29" s="288">
        <f>IF(G29-D29&lt;0,,G29-D29)</f>
        <v/>
      </c>
      <c r="K29" s="274" t="n"/>
      <c r="L29" s="275" t="n"/>
      <c r="M29" s="288">
        <f>'27'!M29+J29</f>
        <v/>
      </c>
      <c r="N29" s="275" t="n"/>
      <c r="P29" s="104" t="inlineStr">
        <is>
          <t>연 수</t>
        </is>
      </c>
      <c r="Q29" s="278" t="n"/>
      <c r="R29" s="279" t="n"/>
      <c r="S29" s="288">
        <f>'27'!V29</f>
        <v/>
      </c>
      <c r="T29" s="274" t="n"/>
      <c r="U29" s="275" t="n"/>
      <c r="V29" s="280" t="n">
        <v>82</v>
      </c>
      <c r="W29" s="278" t="n"/>
      <c r="X29" s="279" t="n"/>
      <c r="Y29" s="316">
        <f>'27'!Y29+'28'!V29</f>
        <v/>
      </c>
      <c r="Z29" s="275" t="n"/>
    </row>
    <row r="30" ht="21.9" customHeight="1" s="251">
      <c r="A30" s="104" t="inlineStr">
        <is>
          <t>요소수 공급</t>
        </is>
      </c>
      <c r="B30" s="278" t="n"/>
      <c r="C30" s="279" t="n"/>
      <c r="D30" s="104">
        <f>'27'!G30</f>
        <v/>
      </c>
      <c r="E30" s="278" t="n"/>
      <c r="F30" s="279" t="n"/>
      <c r="G30" s="104" t="n">
        <v>53570</v>
      </c>
      <c r="H30" s="278" t="n"/>
      <c r="I30" s="279" t="n"/>
      <c r="J30" s="288">
        <f>IF(G30-D30&lt;0,,G30-D30)</f>
        <v/>
      </c>
      <c r="K30" s="274" t="n"/>
      <c r="L30" s="275" t="n"/>
      <c r="M30" s="288">
        <f>'27'!M30+J30</f>
        <v/>
      </c>
      <c r="N30" s="275" t="n"/>
      <c r="P30" s="104" t="inlineStr">
        <is>
          <t>계</t>
        </is>
      </c>
      <c r="Q30" s="278" t="n"/>
      <c r="R30" s="279" t="n"/>
      <c r="S30" s="288">
        <f>'27'!V30</f>
        <v/>
      </c>
      <c r="T30" s="274" t="n"/>
      <c r="U30" s="275" t="n"/>
      <c r="V30" s="280" t="n"/>
      <c r="W30" s="278" t="n"/>
      <c r="X30" s="279" t="n"/>
      <c r="Y30" s="316">
        <f>'27'!Y30+'28'!V30</f>
        <v/>
      </c>
      <c r="Z30" s="275" t="n"/>
    </row>
    <row r="31" ht="21.9" customHeight="1" s="251">
      <c r="A31" s="104" t="inlineStr">
        <is>
          <t xml:space="preserve">F.D </t>
        </is>
      </c>
      <c r="B31" s="278" t="n"/>
      <c r="C31" s="279" t="n"/>
      <c r="D31" s="104">
        <f>'27'!G31</f>
        <v/>
      </c>
      <c r="E31" s="278" t="n"/>
      <c r="F31" s="279" t="n"/>
      <c r="G31" s="288" t="n">
        <v>6419418</v>
      </c>
      <c r="H31" s="274" t="n"/>
      <c r="I31" s="275" t="n"/>
      <c r="J31" s="104">
        <f>G31-D31</f>
        <v/>
      </c>
      <c r="K31" s="278" t="n"/>
      <c r="L31" s="279" t="n"/>
      <c r="M31" s="288">
        <f>'27'!M31+J31</f>
        <v/>
      </c>
      <c r="N31" s="275" t="n"/>
      <c r="P31" s="172" t="n"/>
      <c r="Q31" s="172" t="n"/>
      <c r="R31" s="172" t="n"/>
      <c r="S31" s="172" t="n"/>
      <c r="T31" s="172" t="n"/>
      <c r="U31" s="172" t="n"/>
      <c r="V31" s="305" t="n"/>
      <c r="W31" s="305" t="n"/>
      <c r="X31" s="305" t="n"/>
      <c r="Y31" s="305" t="n"/>
      <c r="Z31" s="305" t="n"/>
    </row>
    <row r="32" ht="21.9" customHeight="1" s="251">
      <c r="A32" s="104" t="inlineStr">
        <is>
          <t>활성탄 BAG</t>
        </is>
      </c>
      <c r="B32" s="278" t="n"/>
      <c r="C32" s="279" t="n"/>
      <c r="D32" s="104">
        <f>'27'!G32</f>
        <v/>
      </c>
      <c r="E32" s="278" t="n"/>
      <c r="F32" s="279" t="n"/>
      <c r="G32" s="288" t="n">
        <v>1.8</v>
      </c>
      <c r="H32" s="274" t="n"/>
      <c r="I32" s="275" t="n"/>
      <c r="J32" s="288">
        <f>G32-D32</f>
        <v/>
      </c>
      <c r="K32" s="274" t="n"/>
      <c r="L32" s="275" t="n"/>
      <c r="M32" s="288">
        <f>'27'!M32+J32</f>
        <v/>
      </c>
      <c r="N32" s="275" t="n"/>
      <c r="P32" s="172" t="n"/>
      <c r="Q32" s="172" t="n"/>
      <c r="R32" s="172" t="n"/>
      <c r="S32" s="172" t="n"/>
      <c r="T32" s="172" t="n"/>
      <c r="U32" s="172" t="n"/>
      <c r="V32" s="305" t="n"/>
      <c r="W32" s="305" t="n"/>
      <c r="X32" s="305" t="n"/>
      <c r="Y32" s="305" t="n"/>
      <c r="Z32" s="305" t="n"/>
    </row>
    <row r="33" ht="21.9" customHeight="1" s="251">
      <c r="A33" s="104" t="inlineStr">
        <is>
          <t>소석회 BAG</t>
        </is>
      </c>
      <c r="B33" s="278" t="n"/>
      <c r="C33" s="279" t="n"/>
      <c r="D33" s="104">
        <f>'27'!G33</f>
        <v/>
      </c>
      <c r="E33" s="278" t="n"/>
      <c r="F33" s="279" t="n"/>
      <c r="G33" s="288" t="n">
        <v>0</v>
      </c>
      <c r="H33" s="274" t="n"/>
      <c r="I33" s="275" t="n"/>
      <c r="J33" s="288">
        <f>G33-D33</f>
        <v/>
      </c>
      <c r="K33" s="274" t="n"/>
      <c r="L33" s="275" t="n"/>
      <c r="M33" s="288">
        <f>'27'!M33+J33</f>
        <v/>
      </c>
      <c r="N33" s="275" t="n"/>
      <c r="P33" s="172" t="n"/>
      <c r="Q33" s="172" t="n"/>
      <c r="R33" s="172" t="n"/>
      <c r="S33" s="172" t="n"/>
      <c r="T33" s="172" t="n"/>
      <c r="U33" s="172" t="n"/>
      <c r="V33" s="305" t="n"/>
      <c r="W33" s="305" t="n"/>
      <c r="X33" s="305" t="n"/>
      <c r="Y33" s="305" t="n"/>
      <c r="Z33" s="305" t="n"/>
    </row>
  </sheetData>
  <mergeCells count="217">
    <mergeCell ref="V24:X24"/>
    <mergeCell ref="A15:B15"/>
    <mergeCell ref="P27:R27"/>
    <mergeCell ref="S23:U23"/>
    <mergeCell ref="C15:D15"/>
    <mergeCell ref="J27:L27"/>
    <mergeCell ref="S14:V15"/>
    <mergeCell ref="Y24:Z24"/>
    <mergeCell ref="U7:W7"/>
    <mergeCell ref="A26:C26"/>
    <mergeCell ref="J25:L25"/>
    <mergeCell ref="G24:I24"/>
    <mergeCell ref="D28:F28"/>
    <mergeCell ref="I16:J16"/>
    <mergeCell ref="A23:C23"/>
    <mergeCell ref="S24:U24"/>
    <mergeCell ref="P6:Q6"/>
    <mergeCell ref="P28:R28"/>
    <mergeCell ref="W1:X1"/>
    <mergeCell ref="Y1:Z1"/>
    <mergeCell ref="G26:I26"/>
    <mergeCell ref="S16:T17"/>
    <mergeCell ref="D30:F30"/>
    <mergeCell ref="G18:H18"/>
    <mergeCell ref="U8:W8"/>
    <mergeCell ref="B1:C1"/>
    <mergeCell ref="I18:J18"/>
    <mergeCell ref="H3:S3"/>
    <mergeCell ref="M16:N16"/>
    <mergeCell ref="P30:R30"/>
    <mergeCell ref="M25:N25"/>
    <mergeCell ref="D29:F29"/>
    <mergeCell ref="D23:F23"/>
    <mergeCell ref="Y25:Z25"/>
    <mergeCell ref="M18:N18"/>
    <mergeCell ref="M33:N33"/>
    <mergeCell ref="A17:B17"/>
    <mergeCell ref="S25:U25"/>
    <mergeCell ref="C17:D17"/>
    <mergeCell ref="U18:V20"/>
    <mergeCell ref="J29:L29"/>
    <mergeCell ref="M17:N17"/>
    <mergeCell ref="W18:X20"/>
    <mergeCell ref="G20:H20"/>
    <mergeCell ref="I20:J20"/>
    <mergeCell ref="S27:U27"/>
    <mergeCell ref="A19:B19"/>
    <mergeCell ref="V23:X23"/>
    <mergeCell ref="C19:D19"/>
    <mergeCell ref="A6:C6"/>
    <mergeCell ref="Y2:Z3"/>
    <mergeCell ref="Y18:Z20"/>
    <mergeCell ref="M19:N19"/>
    <mergeCell ref="P22:U22"/>
    <mergeCell ref="I13:J13"/>
    <mergeCell ref="K13:L13"/>
    <mergeCell ref="X7:Z7"/>
    <mergeCell ref="E12:F12"/>
    <mergeCell ref="J24:L24"/>
    <mergeCell ref="G12:H12"/>
    <mergeCell ref="G28:I28"/>
    <mergeCell ref="D27:F27"/>
    <mergeCell ref="G6:I6"/>
    <mergeCell ref="I15:J15"/>
    <mergeCell ref="A11:B11"/>
    <mergeCell ref="K15:L15"/>
    <mergeCell ref="S28:U28"/>
    <mergeCell ref="C14:D14"/>
    <mergeCell ref="E14:F14"/>
    <mergeCell ref="J26:L26"/>
    <mergeCell ref="G30:I30"/>
    <mergeCell ref="J7:L7"/>
    <mergeCell ref="V27:X27"/>
    <mergeCell ref="A32:C32"/>
    <mergeCell ref="A29:C29"/>
    <mergeCell ref="D25:F25"/>
    <mergeCell ref="V25:X25"/>
    <mergeCell ref="Y26:Z26"/>
    <mergeCell ref="M13:N13"/>
    <mergeCell ref="G32:I32"/>
    <mergeCell ref="J33:L33"/>
    <mergeCell ref="W14:Z15"/>
    <mergeCell ref="A31:C31"/>
    <mergeCell ref="S26:U26"/>
    <mergeCell ref="M27:N27"/>
    <mergeCell ref="I17:J17"/>
    <mergeCell ref="A24:C24"/>
    <mergeCell ref="Y27:Z27"/>
    <mergeCell ref="K17:L17"/>
    <mergeCell ref="P29:R29"/>
    <mergeCell ref="M24:N24"/>
    <mergeCell ref="E16:F16"/>
    <mergeCell ref="J28:L28"/>
    <mergeCell ref="G27:I27"/>
    <mergeCell ref="G16:H16"/>
    <mergeCell ref="D31:F31"/>
    <mergeCell ref="U2:V3"/>
    <mergeCell ref="I19:J19"/>
    <mergeCell ref="U1:V1"/>
    <mergeCell ref="G8:I8"/>
    <mergeCell ref="K19:L19"/>
    <mergeCell ref="C18:D18"/>
    <mergeCell ref="A7:C7"/>
    <mergeCell ref="V29:X29"/>
    <mergeCell ref="E18:F18"/>
    <mergeCell ref="J30:L30"/>
    <mergeCell ref="R6:T6"/>
    <mergeCell ref="K16:L16"/>
    <mergeCell ref="A25:C25"/>
    <mergeCell ref="J6:L6"/>
    <mergeCell ref="D1:E1"/>
    <mergeCell ref="D32:F32"/>
    <mergeCell ref="G11:H11"/>
    <mergeCell ref="I11:J11"/>
    <mergeCell ref="P23:R23"/>
    <mergeCell ref="W11:Z11"/>
    <mergeCell ref="D7:F7"/>
    <mergeCell ref="Y16:Z17"/>
    <mergeCell ref="S18:T20"/>
    <mergeCell ref="C20:D20"/>
    <mergeCell ref="Y30:Z30"/>
    <mergeCell ref="E20:F20"/>
    <mergeCell ref="K11:L11"/>
    <mergeCell ref="J32:L32"/>
    <mergeCell ref="M11:N11"/>
    <mergeCell ref="Y29:Z29"/>
    <mergeCell ref="H1:S2"/>
    <mergeCell ref="V26:X26"/>
    <mergeCell ref="E13:F13"/>
    <mergeCell ref="S30:U30"/>
    <mergeCell ref="G13:H13"/>
    <mergeCell ref="M31:N31"/>
    <mergeCell ref="G29:I29"/>
    <mergeCell ref="D8:F8"/>
    <mergeCell ref="D33:F33"/>
    <mergeCell ref="W12:Z13"/>
    <mergeCell ref="A12:B12"/>
    <mergeCell ref="A28:C28"/>
    <mergeCell ref="S29:U29"/>
    <mergeCell ref="C12:D12"/>
    <mergeCell ref="A1:A3"/>
    <mergeCell ref="M15:N15"/>
    <mergeCell ref="E15:F15"/>
    <mergeCell ref="M12:N12"/>
    <mergeCell ref="G15:H15"/>
    <mergeCell ref="G31:I31"/>
    <mergeCell ref="Y28:Z28"/>
    <mergeCell ref="P18:R20"/>
    <mergeCell ref="A14:B14"/>
    <mergeCell ref="J8:L8"/>
    <mergeCell ref="A30:C30"/>
    <mergeCell ref="M26:N26"/>
    <mergeCell ref="U6:W6"/>
    <mergeCell ref="P25:R25"/>
    <mergeCell ref="M29:N29"/>
    <mergeCell ref="M23:N23"/>
    <mergeCell ref="F2:G3"/>
    <mergeCell ref="G23:I23"/>
    <mergeCell ref="Y23:Z23"/>
    <mergeCell ref="U16:V17"/>
    <mergeCell ref="W16:X17"/>
    <mergeCell ref="G7:I7"/>
    <mergeCell ref="K18:L18"/>
    <mergeCell ref="P12:R13"/>
    <mergeCell ref="D6:F6"/>
    <mergeCell ref="F1:G1"/>
    <mergeCell ref="T1:T3"/>
    <mergeCell ref="V28:X28"/>
    <mergeCell ref="P11:R11"/>
    <mergeCell ref="P14:R15"/>
    <mergeCell ref="A27:C27"/>
    <mergeCell ref="V30:X30"/>
    <mergeCell ref="W2:X3"/>
    <mergeCell ref="E17:F17"/>
    <mergeCell ref="G17:H17"/>
    <mergeCell ref="G33:I33"/>
    <mergeCell ref="X6:Z6"/>
    <mergeCell ref="A33:C33"/>
    <mergeCell ref="K20:L20"/>
    <mergeCell ref="A16:B16"/>
    <mergeCell ref="C16:D16"/>
    <mergeCell ref="M20:N20"/>
    <mergeCell ref="A8:C8"/>
    <mergeCell ref="E19:F19"/>
    <mergeCell ref="P8:Q8"/>
    <mergeCell ref="J31:L31"/>
    <mergeCell ref="G19:H19"/>
    <mergeCell ref="A18:B18"/>
    <mergeCell ref="G25:I25"/>
    <mergeCell ref="D24:F24"/>
    <mergeCell ref="M30:N30"/>
    <mergeCell ref="I12:J12"/>
    <mergeCell ref="K12:L12"/>
    <mergeCell ref="P24:R24"/>
    <mergeCell ref="P7:Q7"/>
    <mergeCell ref="C11:D11"/>
    <mergeCell ref="M28:N28"/>
    <mergeCell ref="E11:F11"/>
    <mergeCell ref="J23:L23"/>
    <mergeCell ref="D26:F26"/>
    <mergeCell ref="G14:H14"/>
    <mergeCell ref="S11:V11"/>
    <mergeCell ref="I14:J14"/>
    <mergeCell ref="R8:T8"/>
    <mergeCell ref="K14:L14"/>
    <mergeCell ref="P26:R26"/>
    <mergeCell ref="P16:R17"/>
    <mergeCell ref="A20:B20"/>
    <mergeCell ref="B2:C3"/>
    <mergeCell ref="D2:E3"/>
    <mergeCell ref="M32:N32"/>
    <mergeCell ref="M14:N14"/>
    <mergeCell ref="X8:Z8"/>
    <mergeCell ref="A13:B13"/>
    <mergeCell ref="C13:D13"/>
    <mergeCell ref="R7:T7"/>
    <mergeCell ref="S12:V13"/>
  </mergeCells>
  <pageMargins left="0.7086614173228347" right="0.7086614173228347" top="0.7480314960629921" bottom="0.7480314960629921" header="0.3149606299212598" footer="0.3149606299212598"/>
  <pageSetup orientation="portrait" paperSize="9" scale="59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AE33"/>
  <sheetViews>
    <sheetView zoomScaleNormal="100" zoomScaleSheetLayoutView="100" workbookViewId="0">
      <selection activeCell="D8" sqref="D8:F8"/>
    </sheetView>
  </sheetViews>
  <sheetFormatPr baseColWidth="8" defaultRowHeight="17.4"/>
  <cols>
    <col width="2.8984375" customWidth="1" style="251" min="1" max="1"/>
    <col width="5.59765625" customWidth="1" style="251" min="2" max="14"/>
    <col width="3.59765625" customWidth="1" style="251" min="15" max="15"/>
    <col width="4.59765625" customWidth="1" style="251" min="16" max="22"/>
    <col width="5.59765625" customWidth="1" style="251" min="23" max="26"/>
  </cols>
  <sheetData>
    <row r="1" ht="18.75" customHeight="1" s="251">
      <c r="A1" s="122" t="inlineStr">
        <is>
          <t>근
무
자</t>
        </is>
      </c>
      <c r="B1" s="120" t="inlineStr">
        <is>
          <t>오  전</t>
        </is>
      </c>
      <c r="C1" s="252" t="n"/>
      <c r="D1" s="120" t="inlineStr">
        <is>
          <t>오  후</t>
        </is>
      </c>
      <c r="E1" s="252" t="n"/>
      <c r="F1" s="120" t="inlineStr">
        <is>
          <t>야  간</t>
        </is>
      </c>
      <c r="G1" s="252" t="n"/>
      <c r="H1" s="253" t="inlineStr">
        <is>
          <t>유동상소각로 운전일지</t>
        </is>
      </c>
      <c r="S1" s="254" t="n"/>
      <c r="T1" s="255" t="inlineStr">
        <is>
          <t>결
재</t>
        </is>
      </c>
      <c r="U1" s="120" t="inlineStr">
        <is>
          <t>반장</t>
        </is>
      </c>
      <c r="V1" s="252" t="n"/>
      <c r="W1" s="120" t="inlineStr">
        <is>
          <t>대리</t>
        </is>
      </c>
      <c r="X1" s="252" t="n"/>
      <c r="Y1" s="120" t="inlineStr">
        <is>
          <t>팀장</t>
        </is>
      </c>
      <c r="Z1" s="252" t="n"/>
    </row>
    <row r="2" ht="14.25" customHeight="1" s="251">
      <c r="A2" s="256" t="n"/>
      <c r="B2" s="257" t="inlineStr">
        <is>
          <t>김문한</t>
        </is>
      </c>
      <c r="C2" s="258" t="n"/>
      <c r="D2" s="257" t="inlineStr">
        <is>
          <t>임종민</t>
        </is>
      </c>
      <c r="E2" s="258" t="n"/>
      <c r="F2" s="257" t="inlineStr">
        <is>
          <t>권정민</t>
        </is>
      </c>
      <c r="G2" s="258" t="n"/>
      <c r="H2" s="259" t="n"/>
      <c r="I2" s="260" t="n"/>
      <c r="J2" s="260" t="n"/>
      <c r="K2" s="260" t="n"/>
      <c r="L2" s="260" t="n"/>
      <c r="M2" s="260" t="n"/>
      <c r="N2" s="260" t="n"/>
      <c r="O2" s="260" t="n"/>
      <c r="P2" s="260" t="n"/>
      <c r="Q2" s="260" t="n"/>
      <c r="R2" s="260" t="n"/>
      <c r="S2" s="261" t="n"/>
      <c r="T2" s="262" t="n"/>
      <c r="U2" s="105" t="n"/>
      <c r="V2" s="254" t="n"/>
      <c r="W2" s="105" t="n"/>
      <c r="X2" s="254" t="n"/>
      <c r="Y2" s="105" t="n"/>
      <c r="Z2" s="254" t="n"/>
    </row>
    <row r="3" ht="37.5" customHeight="1" s="251">
      <c r="A3" s="263" t="n"/>
      <c r="B3" s="264" t="n"/>
      <c r="C3" s="265" t="n"/>
      <c r="D3" s="264" t="n"/>
      <c r="E3" s="265" t="n"/>
      <c r="F3" s="264" t="n"/>
      <c r="G3" s="265" t="n"/>
      <c r="H3" s="266" t="n">
        <v>46232</v>
      </c>
      <c r="I3" s="267" t="n"/>
      <c r="J3" s="267" t="n"/>
      <c r="K3" s="267" t="n"/>
      <c r="L3" s="267" t="n"/>
      <c r="M3" s="267" t="n"/>
      <c r="N3" s="267" t="n"/>
      <c r="O3" s="267" t="n"/>
      <c r="P3" s="267" t="n"/>
      <c r="Q3" s="267" t="n"/>
      <c r="R3" s="267" t="n"/>
      <c r="S3" s="268" t="n"/>
      <c r="T3" s="269" t="n"/>
      <c r="U3" s="264" t="n"/>
      <c r="V3" s="265" t="n"/>
      <c r="W3" s="264" t="n"/>
      <c r="X3" s="265" t="n"/>
      <c r="Y3" s="264" t="n"/>
      <c r="Z3" s="265" t="n"/>
    </row>
    <row r="4" ht="13.5" customHeight="1" s="25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inlineStr">
        <is>
          <t>1. 소각현황(KG)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inlineStr">
        <is>
          <t>2. BOILER 운전현황(TON, HR)</t>
        </is>
      </c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2.5" customHeight="1" s="251" thickBot="1">
      <c r="A6" s="136" t="inlineStr">
        <is>
          <t>구 분</t>
        </is>
      </c>
      <c r="B6" s="270" t="n"/>
      <c r="C6" s="271" t="n"/>
      <c r="D6" s="136" t="inlineStr">
        <is>
          <t>SRF소각량</t>
        </is>
      </c>
      <c r="E6" s="270" t="n"/>
      <c r="F6" s="271" t="n"/>
      <c r="G6" s="136" t="inlineStr">
        <is>
          <t>SLUDGE 소각량</t>
        </is>
      </c>
      <c r="H6" s="270" t="n"/>
      <c r="I6" s="271" t="n"/>
      <c r="J6" s="136" t="inlineStr">
        <is>
          <t>합 계</t>
        </is>
      </c>
      <c r="K6" s="270" t="n"/>
      <c r="L6" s="271" t="n"/>
      <c r="M6" s="1" t="n"/>
      <c r="N6" s="1" t="n"/>
      <c r="O6" s="1" t="n"/>
      <c r="P6" s="136" t="inlineStr">
        <is>
          <t>구 분</t>
        </is>
      </c>
      <c r="Q6" s="271" t="n"/>
      <c r="R6" s="136" t="inlineStr">
        <is>
          <t>스팀 생산량</t>
        </is>
      </c>
      <c r="S6" s="270" t="n"/>
      <c r="T6" s="271" t="n"/>
      <c r="U6" s="136" t="inlineStr">
        <is>
          <t>스팀 송기량</t>
        </is>
      </c>
      <c r="V6" s="270" t="n"/>
      <c r="W6" s="271" t="n"/>
      <c r="X6" s="136" t="inlineStr">
        <is>
          <t>가동시간</t>
        </is>
      </c>
      <c r="Y6" s="270" t="n"/>
      <c r="Z6" s="271" t="n"/>
    </row>
    <row r="7" ht="30" customHeight="1" s="251" thickTop="1">
      <c r="A7" s="105" t="inlineStr">
        <is>
          <t>금 일</t>
        </is>
      </c>
      <c r="B7" s="272" t="n"/>
      <c r="C7" s="265" t="n"/>
      <c r="D7" s="139" t="n">
        <v>74612</v>
      </c>
      <c r="E7" s="272" t="n"/>
      <c r="F7" s="265" t="n"/>
      <c r="G7" s="139" t="n">
        <v>123300</v>
      </c>
      <c r="H7" s="272" t="n"/>
      <c r="I7" s="265" t="n"/>
      <c r="J7" s="154">
        <f>D7+G7</f>
        <v/>
      </c>
      <c r="K7" s="278" t="n"/>
      <c r="L7" s="279" t="n"/>
      <c r="M7" s="1" t="n"/>
      <c r="N7" s="1" t="n"/>
      <c r="O7" s="1" t="n"/>
      <c r="P7" s="105" t="inlineStr">
        <is>
          <t>금 일</t>
        </is>
      </c>
      <c r="Q7" s="265" t="n"/>
      <c r="R7" s="276" t="n">
        <v>467.4</v>
      </c>
      <c r="S7" s="272" t="n"/>
      <c r="T7" s="265" t="n"/>
      <c r="U7" s="276" t="n">
        <v>53.9</v>
      </c>
      <c r="V7" s="272" t="n"/>
      <c r="W7" s="265" t="n"/>
      <c r="X7" s="277" t="n">
        <v>24</v>
      </c>
      <c r="Y7" s="272" t="n"/>
      <c r="Z7" s="265" t="n"/>
    </row>
    <row r="8" ht="30" customHeight="1" s="251">
      <c r="A8" s="104" t="inlineStr">
        <is>
          <t>누 계</t>
        </is>
      </c>
      <c r="B8" s="278" t="n"/>
      <c r="C8" s="279" t="n"/>
      <c r="D8" s="154">
        <f>'28'!D8+'29'!D7</f>
        <v/>
      </c>
      <c r="E8" s="278" t="n"/>
      <c r="F8" s="279" t="n"/>
      <c r="G8" s="154">
        <f>'28'!G8+'29'!G7</f>
        <v/>
      </c>
      <c r="H8" s="278" t="n"/>
      <c r="I8" s="279" t="n"/>
      <c r="J8" s="154">
        <f>D8+G8</f>
        <v/>
      </c>
      <c r="K8" s="278" t="n"/>
      <c r="L8" s="279" t="n"/>
      <c r="M8" s="1" t="n"/>
      <c r="N8" s="1" t="n"/>
      <c r="O8" s="1" t="n"/>
      <c r="P8" s="104" t="inlineStr">
        <is>
          <t>누 계</t>
        </is>
      </c>
      <c r="Q8" s="279" t="n"/>
      <c r="R8" s="280">
        <f>'28'!R8+R7</f>
        <v/>
      </c>
      <c r="S8" s="278" t="n"/>
      <c r="T8" s="279" t="n"/>
      <c r="U8" s="280">
        <f>'28'!U8+U7</f>
        <v/>
      </c>
      <c r="V8" s="278" t="n"/>
      <c r="W8" s="279" t="n"/>
      <c r="X8" s="281">
        <f>'28'!X8+'29'!X7</f>
        <v/>
      </c>
      <c r="Y8" s="278" t="n"/>
      <c r="Z8" s="279" t="n"/>
    </row>
    <row r="9" ht="12" customHeight="1" s="25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inlineStr">
        <is>
          <t>3. 약품 사용현황 (KG)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inlineStr">
        <is>
          <t>4. 소각재 발생량 (TON, 대)</t>
        </is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30.75" customHeight="1" s="251" thickBot="1">
      <c r="A11" s="136" t="inlineStr">
        <is>
          <t>품 명</t>
        </is>
      </c>
      <c r="B11" s="271" t="n"/>
      <c r="C11" s="150" t="inlineStr">
        <is>
          <t>전일 
재고량</t>
        </is>
      </c>
      <c r="D11" s="271" t="n"/>
      <c r="E11" s="136" t="inlineStr">
        <is>
          <t>입고량</t>
        </is>
      </c>
      <c r="F11" s="271" t="n"/>
      <c r="G11" s="136" t="inlineStr">
        <is>
          <t>사용량</t>
        </is>
      </c>
      <c r="H11" s="271" t="n"/>
      <c r="I11" s="282" t="inlineStr">
        <is>
          <t>재고량</t>
        </is>
      </c>
      <c r="J11" s="271" t="n"/>
      <c r="K11" s="150" t="inlineStr">
        <is>
          <t>입고량 
누계</t>
        </is>
      </c>
      <c r="L11" s="271" t="n"/>
      <c r="M11" s="150" t="inlineStr">
        <is>
          <t>사용량 
누계</t>
        </is>
      </c>
      <c r="N11" s="271" t="n"/>
      <c r="O11" s="1" t="n"/>
      <c r="P11" s="136" t="inlineStr">
        <is>
          <t xml:space="preserve"> 구 분</t>
        </is>
      </c>
      <c r="Q11" s="270" t="n"/>
      <c r="R11" s="271" t="n"/>
      <c r="S11" s="282" t="inlineStr">
        <is>
          <t>반출량</t>
        </is>
      </c>
      <c r="T11" s="270" t="n"/>
      <c r="U11" s="270" t="n"/>
      <c r="V11" s="271" t="n"/>
      <c r="W11" s="282" t="inlineStr">
        <is>
          <t>누계</t>
        </is>
      </c>
      <c r="X11" s="270" t="n"/>
      <c r="Y11" s="270" t="n"/>
      <c r="Z11" s="271" t="n"/>
    </row>
    <row r="12" ht="21.9" customHeight="1" s="251" thickTop="1">
      <c r="A12" s="142" t="inlineStr">
        <is>
          <t>탄산암모늄</t>
        </is>
      </c>
      <c r="B12" s="265" t="n"/>
      <c r="C12" s="310">
        <f>'28'!I12</f>
        <v/>
      </c>
      <c r="D12" s="265" t="n"/>
      <c r="E12" s="105" t="n">
        <v>4870</v>
      </c>
      <c r="F12" s="265" t="n"/>
      <c r="G12" s="105" t="n">
        <v>3776</v>
      </c>
      <c r="H12" s="265" t="n"/>
      <c r="I12" s="164">
        <f>C12+E12-G12</f>
        <v/>
      </c>
      <c r="J12" s="283" t="n"/>
      <c r="K12" s="105">
        <f>'28'!K12+'29'!E12</f>
        <v/>
      </c>
      <c r="L12" s="265" t="n"/>
      <c r="M12" s="105">
        <f>'28'!M12+G12</f>
        <v/>
      </c>
      <c r="N12" s="265" t="n"/>
      <c r="O12" s="1" t="n"/>
      <c r="P12" s="149" t="inlineStr">
        <is>
          <t xml:space="preserve">
비산재
</t>
        </is>
      </c>
      <c r="R12" s="254" t="n"/>
      <c r="S12" s="284" t="n">
        <v>57.25</v>
      </c>
      <c r="T12" s="285" t="n"/>
      <c r="U12" s="285" t="n"/>
      <c r="V12" s="285" t="n"/>
      <c r="W12" s="318">
        <f>'28'!W12+'29'!S12</f>
        <v/>
      </c>
      <c r="X12" s="285" t="n"/>
      <c r="Y12" s="285" t="n"/>
      <c r="Z12" s="287" t="n"/>
    </row>
    <row r="13" ht="21.9" customHeight="1" s="251">
      <c r="A13" s="104" t="inlineStr">
        <is>
          <t>청관제</t>
        </is>
      </c>
      <c r="B13" s="279" t="n"/>
      <c r="C13" s="310">
        <f>'28'!I13</f>
        <v/>
      </c>
      <c r="D13" s="265" t="n"/>
      <c r="E13" s="104" t="n">
        <v>390</v>
      </c>
      <c r="F13" s="279" t="n"/>
      <c r="G13" s="104" t="n">
        <v>50</v>
      </c>
      <c r="H13" s="279" t="n"/>
      <c r="I13" s="288">
        <f>C13+E13-G13</f>
        <v/>
      </c>
      <c r="J13" s="275" t="n"/>
      <c r="K13" s="288">
        <f>'28'!K13+'29'!E13</f>
        <v/>
      </c>
      <c r="L13" s="275" t="n"/>
      <c r="M13" s="288">
        <f>'28'!M13+G13</f>
        <v/>
      </c>
      <c r="N13" s="275" t="n"/>
      <c r="O13" s="1" t="n"/>
      <c r="P13" s="264" t="n"/>
      <c r="Q13" s="272" t="n"/>
      <c r="R13" s="265" t="n"/>
      <c r="S13" s="289" t="n"/>
      <c r="T13" s="290" t="n"/>
      <c r="U13" s="290" t="n"/>
      <c r="V13" s="290" t="n"/>
      <c r="W13" s="264" t="n"/>
      <c r="X13" s="272" t="n"/>
      <c r="Y13" s="272" t="n"/>
      <c r="Z13" s="265" t="n"/>
    </row>
    <row r="14" ht="21.9" customHeight="1" s="251">
      <c r="A14" s="104" t="inlineStr">
        <is>
          <t>활성탄</t>
        </is>
      </c>
      <c r="B14" s="279" t="n"/>
      <c r="C14" s="310">
        <f>'28'!I14</f>
        <v/>
      </c>
      <c r="D14" s="265" t="n"/>
      <c r="E14" s="104" t="n">
        <v>0</v>
      </c>
      <c r="F14" s="279" t="n"/>
      <c r="G14" s="104" t="n">
        <v>120</v>
      </c>
      <c r="H14" s="279" t="n"/>
      <c r="I14" s="288">
        <f>C14+E14-G14</f>
        <v/>
      </c>
      <c r="J14" s="275" t="n"/>
      <c r="K14" s="288">
        <f>'28'!K14+'29'!E14</f>
        <v/>
      </c>
      <c r="L14" s="275" t="n"/>
      <c r="M14" s="288">
        <f>'28'!M14+G14</f>
        <v/>
      </c>
      <c r="N14" s="275" t="n"/>
      <c r="O14" s="1" t="n"/>
      <c r="P14" s="104" t="inlineStr">
        <is>
          <t>바닥재</t>
        </is>
      </c>
      <c r="Q14" s="291" t="n"/>
      <c r="R14" s="292" t="n"/>
      <c r="S14" s="293" t="n">
        <v>25.78</v>
      </c>
      <c r="T14" s="291" t="n"/>
      <c r="U14" s="291" t="n"/>
      <c r="V14" s="291" t="n"/>
      <c r="W14" s="311">
        <f>'28'!W14+'29'!S14</f>
        <v/>
      </c>
      <c r="X14" s="291" t="n"/>
      <c r="Y14" s="291" t="n"/>
      <c r="Z14" s="295" t="n"/>
    </row>
    <row r="15" ht="21.9" customHeight="1" s="251">
      <c r="A15" s="104" t="inlineStr">
        <is>
          <t>가성소다</t>
        </is>
      </c>
      <c r="B15" s="279" t="n"/>
      <c r="C15" s="310">
        <f>'28'!I15</f>
        <v/>
      </c>
      <c r="D15" s="265" t="n"/>
      <c r="E15" s="104" t="n">
        <v>0</v>
      </c>
      <c r="F15" s="279" t="n"/>
      <c r="G15" s="104" t="n">
        <v>0</v>
      </c>
      <c r="H15" s="279" t="n"/>
      <c r="I15" s="288">
        <f>C15+E15-G15</f>
        <v/>
      </c>
      <c r="J15" s="275" t="n"/>
      <c r="K15" s="288">
        <f>'28'!K15+'29'!E15</f>
        <v/>
      </c>
      <c r="L15" s="275" t="n"/>
      <c r="M15" s="288">
        <f>'28'!M15+G15</f>
        <v/>
      </c>
      <c r="N15" s="275" t="n"/>
      <c r="O15" s="1" t="n"/>
      <c r="P15" s="296" t="n"/>
      <c r="Q15" s="290" t="n"/>
      <c r="R15" s="297" t="n"/>
      <c r="S15" s="296" t="n"/>
      <c r="T15" s="290" t="n"/>
      <c r="U15" s="290" t="n"/>
      <c r="V15" s="290" t="n"/>
      <c r="W15" s="298" t="n"/>
      <c r="X15" s="272" t="n"/>
      <c r="Y15" s="272" t="n"/>
      <c r="Z15" s="265" t="n"/>
    </row>
    <row r="16" ht="21.9" customHeight="1" s="251">
      <c r="A16" s="104" t="inlineStr">
        <is>
          <t>소석회</t>
        </is>
      </c>
      <c r="B16" s="279" t="n"/>
      <c r="C16" s="310">
        <f>'28'!I16</f>
        <v/>
      </c>
      <c r="D16" s="265" t="n"/>
      <c r="E16" s="104" t="n">
        <v>0</v>
      </c>
      <c r="F16" s="279" t="n"/>
      <c r="G16" s="104" t="n">
        <v>20</v>
      </c>
      <c r="H16" s="279" t="n"/>
      <c r="I16" s="288">
        <f>C16+E16-G16</f>
        <v/>
      </c>
      <c r="J16" s="275" t="n"/>
      <c r="K16" s="288">
        <f>'28'!K16+'29'!E16</f>
        <v/>
      </c>
      <c r="L16" s="275" t="n"/>
      <c r="M16" s="288">
        <f>'28'!M16+G16</f>
        <v/>
      </c>
      <c r="N16" s="275" t="n"/>
      <c r="O16" s="1" t="n"/>
      <c r="P16" s="162" t="inlineStr">
        <is>
          <t>구분</t>
        </is>
      </c>
      <c r="Q16" s="291" t="n"/>
      <c r="R16" s="292" t="n"/>
      <c r="S16" s="299" t="inlineStr">
        <is>
          <t>주간</t>
        </is>
      </c>
      <c r="T16" s="292" t="n"/>
      <c r="U16" s="299" t="inlineStr">
        <is>
          <t>야간</t>
        </is>
      </c>
      <c r="V16" s="292" t="n"/>
      <c r="W16" s="299" t="inlineStr">
        <is>
          <t>합계</t>
        </is>
      </c>
      <c r="X16" s="292" t="n"/>
      <c r="Y16" s="299" t="inlineStr">
        <is>
          <t>누계</t>
        </is>
      </c>
      <c r="Z16" s="292" t="n"/>
    </row>
    <row r="17" ht="21.9" customHeight="1" s="251" thickBot="1">
      <c r="A17" s="104" t="inlineStr">
        <is>
          <t>소 금</t>
        </is>
      </c>
      <c r="B17" s="279" t="n"/>
      <c r="C17" s="310">
        <f>'28'!I17</f>
        <v/>
      </c>
      <c r="D17" s="265" t="n"/>
      <c r="E17" s="104" t="n">
        <v>0</v>
      </c>
      <c r="F17" s="279" t="n"/>
      <c r="G17" s="104" t="n">
        <v>200</v>
      </c>
      <c r="H17" s="279" t="n"/>
      <c r="I17" s="288">
        <f>C17+E17-G17</f>
        <v/>
      </c>
      <c r="J17" s="275" t="n"/>
      <c r="K17" s="288">
        <f>'28'!K17+'29'!E17</f>
        <v/>
      </c>
      <c r="L17" s="275" t="n"/>
      <c r="M17" s="288">
        <f>'28'!M17+G17</f>
        <v/>
      </c>
      <c r="N17" s="275" t="n"/>
      <c r="O17" s="1" t="n"/>
      <c r="P17" s="296" t="n"/>
      <c r="Q17" s="290" t="n"/>
      <c r="R17" s="297" t="n"/>
      <c r="S17" s="300" t="n"/>
      <c r="T17" s="301" t="n"/>
      <c r="U17" s="300" t="n"/>
      <c r="V17" s="301" t="n"/>
      <c r="W17" s="300" t="n"/>
      <c r="X17" s="301" t="n"/>
      <c r="Y17" s="300" t="n"/>
      <c r="Z17" s="301" t="n"/>
      <c r="AE17" s="302" t="n"/>
    </row>
    <row r="18" ht="21.9" customHeight="1" s="251" thickTop="1">
      <c r="A18" s="104" t="inlineStr">
        <is>
          <t>경 유</t>
        </is>
      </c>
      <c r="B18" s="279" t="n"/>
      <c r="C18" s="310">
        <f>'28'!I18</f>
        <v/>
      </c>
      <c r="D18" s="265" t="n"/>
      <c r="E18" s="104" t="n">
        <v>0</v>
      </c>
      <c r="F18" s="279" t="n"/>
      <c r="G18" s="104" t="n">
        <v>0</v>
      </c>
      <c r="H18" s="279" t="n"/>
      <c r="I18" s="288">
        <f>C18+E18-G18</f>
        <v/>
      </c>
      <c r="J18" s="275" t="n"/>
      <c r="K18" s="288">
        <f>'28'!K18+'29'!E18</f>
        <v/>
      </c>
      <c r="L18" s="275" t="n"/>
      <c r="M18" s="288">
        <f>'28'!M18+G18</f>
        <v/>
      </c>
      <c r="N18" s="275" t="n"/>
      <c r="O18" s="1" t="n"/>
      <c r="P18" s="164" t="inlineStr">
        <is>
          <t>불연물</t>
        </is>
      </c>
      <c r="Q18" s="285" t="n"/>
      <c r="R18" s="287" t="n"/>
      <c r="S18" s="303" t="n">
        <v>2</v>
      </c>
      <c r="T18" s="287" t="n"/>
      <c r="U18" s="303" t="n">
        <v>2</v>
      </c>
      <c r="V18" s="287" t="n"/>
      <c r="W18" s="303">
        <f>S18+U18</f>
        <v/>
      </c>
      <c r="X18" s="287" t="n"/>
      <c r="Y18" s="303">
        <f>'28'!Y18+'29'!W18</f>
        <v/>
      </c>
      <c r="Z18" s="287" t="n"/>
    </row>
    <row r="19" ht="21.9" customHeight="1" s="251">
      <c r="A19" s="153" t="inlineStr">
        <is>
          <t>SRF</t>
        </is>
      </c>
      <c r="B19" s="279" t="n"/>
      <c r="C19" s="310">
        <f>'28'!I19</f>
        <v/>
      </c>
      <c r="D19" s="265" t="n"/>
      <c r="E19" s="154" t="n">
        <v>44760</v>
      </c>
      <c r="F19" s="279" t="n"/>
      <c r="G19" s="154">
        <f>D7</f>
        <v/>
      </c>
      <c r="H19" s="279" t="n"/>
      <c r="I19" s="273">
        <f>C19+E19-G19</f>
        <v/>
      </c>
      <c r="J19" s="275" t="n"/>
      <c r="K19" s="273">
        <f>'28'!K19+'29'!E19</f>
        <v/>
      </c>
      <c r="L19" s="275" t="n"/>
      <c r="M19" s="273">
        <f>'28'!M19+G19</f>
        <v/>
      </c>
      <c r="N19" s="275" t="n"/>
      <c r="O19" s="1" t="n"/>
      <c r="P19" s="256" t="n"/>
      <c r="R19" s="254" t="n"/>
      <c r="S19" s="256" t="n"/>
      <c r="T19" s="254" t="n"/>
      <c r="U19" s="256" t="n"/>
      <c r="V19" s="254" t="n"/>
      <c r="W19" s="256" t="n"/>
      <c r="X19" s="254" t="n"/>
      <c r="Y19" s="256" t="n"/>
      <c r="Z19" s="254" t="n"/>
    </row>
    <row r="20" ht="21.9" customHeight="1" s="251">
      <c r="A20" s="104" t="inlineStr">
        <is>
          <t>규 사</t>
        </is>
      </c>
      <c r="B20" s="279" t="n"/>
      <c r="C20" s="310">
        <f>'28'!I20</f>
        <v/>
      </c>
      <c r="D20" s="265" t="n"/>
      <c r="E20" s="288" t="n">
        <v>0</v>
      </c>
      <c r="F20" s="275" t="n"/>
      <c r="G20" s="104" t="n">
        <v>0</v>
      </c>
      <c r="H20" s="279" t="n"/>
      <c r="I20" s="288" t="inlineStr">
        <is>
          <t>-</t>
        </is>
      </c>
      <c r="J20" s="275" t="n"/>
      <c r="K20" s="105">
        <f>'28'!K20+'29'!E20</f>
        <v/>
      </c>
      <c r="L20" s="265" t="n"/>
      <c r="M20" s="273">
        <f>'28'!M20+G20</f>
        <v/>
      </c>
      <c r="N20" s="275" t="n"/>
      <c r="O20" s="1" t="n"/>
      <c r="P20" s="264" t="n"/>
      <c r="Q20" s="272" t="n"/>
      <c r="R20" s="265" t="n"/>
      <c r="S20" s="264" t="n"/>
      <c r="T20" s="265" t="n"/>
      <c r="U20" s="264" t="n"/>
      <c r="V20" s="265" t="n"/>
      <c r="W20" s="264" t="n"/>
      <c r="X20" s="265" t="n"/>
      <c r="Y20" s="264" t="n"/>
      <c r="Z20" s="265" t="n"/>
    </row>
    <row r="21" ht="12" customHeight="1" s="25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 t="inlineStr">
        <is>
          <t>5. 전력 사용량 (KWH)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10" t="inlineStr">
        <is>
          <t>6. 유틸리티 사용현황 (㎥)</t>
        </is>
      </c>
      <c r="Q22" s="290" t="n"/>
      <c r="R22" s="290" t="n"/>
      <c r="S22" s="290" t="n"/>
      <c r="T22" s="290" t="n"/>
      <c r="U22" s="290" t="n"/>
      <c r="V22" s="1" t="n"/>
      <c r="W22" s="1" t="n"/>
      <c r="X22" s="1" t="n"/>
      <c r="Y22" s="1" t="n"/>
      <c r="Z22" s="1" t="n"/>
    </row>
    <row r="23" ht="28.5" customHeight="1" s="251" thickBot="1">
      <c r="A23" s="136" t="inlineStr">
        <is>
          <t>구 분</t>
        </is>
      </c>
      <c r="B23" s="270" t="n"/>
      <c r="C23" s="271" t="n"/>
      <c r="D23" s="136" t="inlineStr">
        <is>
          <t>전일지침</t>
        </is>
      </c>
      <c r="E23" s="270" t="n"/>
      <c r="F23" s="271" t="n"/>
      <c r="G23" s="136" t="inlineStr">
        <is>
          <t>금일지침</t>
        </is>
      </c>
      <c r="H23" s="270" t="n"/>
      <c r="I23" s="271" t="n"/>
      <c r="J23" s="136" t="inlineStr">
        <is>
          <t>사용량</t>
        </is>
      </c>
      <c r="K23" s="270" t="n"/>
      <c r="L23" s="271" t="n"/>
      <c r="M23" s="136" t="inlineStr">
        <is>
          <t>누 계</t>
        </is>
      </c>
      <c r="N23" s="271" t="n"/>
      <c r="P23" s="136" t="inlineStr">
        <is>
          <t>구 분</t>
        </is>
      </c>
      <c r="Q23" s="270" t="n"/>
      <c r="R23" s="271" t="n"/>
      <c r="S23" s="136" t="inlineStr">
        <is>
          <t>전일 사용량</t>
        </is>
      </c>
      <c r="T23" s="270" t="n"/>
      <c r="U23" s="271" t="n"/>
      <c r="V23" s="136" t="inlineStr">
        <is>
          <t>금일 사용량</t>
        </is>
      </c>
      <c r="W23" s="270" t="n"/>
      <c r="X23" s="271" t="n"/>
      <c r="Y23" s="136" t="inlineStr">
        <is>
          <t>누 계</t>
        </is>
      </c>
      <c r="Z23" s="271" t="n"/>
    </row>
    <row r="24" ht="21.9" customHeight="1" s="251" thickTop="1">
      <c r="A24" s="105" t="inlineStr">
        <is>
          <t>MAIN</t>
        </is>
      </c>
      <c r="B24" s="272" t="n"/>
      <c r="C24" s="265" t="n"/>
      <c r="D24" s="187">
        <f>'28'!G24</f>
        <v/>
      </c>
      <c r="E24" s="285" t="n"/>
      <c r="F24" s="287" t="n"/>
      <c r="G24" s="164" t="n">
        <v>4327173</v>
      </c>
      <c r="H24" s="304" t="n"/>
      <c r="I24" s="283" t="n"/>
      <c r="J24" s="164">
        <f>IF(G24-D24&lt;0,,G24-D24)</f>
        <v/>
      </c>
      <c r="K24" s="304" t="n"/>
      <c r="L24" s="283" t="n"/>
      <c r="M24" s="164">
        <f>'28'!M24+J24</f>
        <v/>
      </c>
      <c r="N24" s="283" t="n"/>
      <c r="P24" s="105" t="inlineStr">
        <is>
          <t>재이용수</t>
        </is>
      </c>
      <c r="Q24" s="272" t="n"/>
      <c r="R24" s="265" t="n"/>
      <c r="S24" s="105">
        <f>'28'!V24</f>
        <v/>
      </c>
      <c r="T24" s="272" t="n"/>
      <c r="U24" s="265" t="n"/>
      <c r="V24" s="276" t="n">
        <v>540.1</v>
      </c>
      <c r="W24" s="272" t="n"/>
      <c r="X24" s="265" t="n"/>
      <c r="Y24" s="276">
        <f>'28'!Y24+'29'!V24</f>
        <v/>
      </c>
      <c r="Z24" s="265" t="n"/>
    </row>
    <row r="25" ht="21.9" customHeight="1" s="251">
      <c r="A25" s="104" t="inlineStr">
        <is>
          <t>ASH 저장조</t>
        </is>
      </c>
      <c r="B25" s="278" t="n"/>
      <c r="C25" s="279" t="n"/>
      <c r="D25" s="104">
        <f>'28'!G25</f>
        <v/>
      </c>
      <c r="E25" s="278" t="n"/>
      <c r="F25" s="279" t="n"/>
      <c r="G25" s="104" t="n">
        <v>33736.5</v>
      </c>
      <c r="H25" s="278" t="n"/>
      <c r="I25" s="279" t="n"/>
      <c r="J25" s="288">
        <f>IF(G25-D25&lt;0,,G25-D25)</f>
        <v/>
      </c>
      <c r="K25" s="274" t="n"/>
      <c r="L25" s="275" t="n"/>
      <c r="M25" s="288">
        <f>'28'!M25+J25</f>
        <v/>
      </c>
      <c r="N25" s="275" t="n"/>
      <c r="P25" s="104" t="inlineStr">
        <is>
          <t>복류수</t>
        </is>
      </c>
      <c r="Q25" s="278" t="n"/>
      <c r="R25" s="279" t="n"/>
      <c r="S25" s="288">
        <f>'28'!V25</f>
        <v/>
      </c>
      <c r="T25" s="274" t="n"/>
      <c r="U25" s="275" t="n"/>
      <c r="V25" s="280" t="n">
        <v>65</v>
      </c>
      <c r="W25" s="278" t="n"/>
      <c r="X25" s="279" t="n"/>
      <c r="Y25" s="316">
        <f>'28'!Y25+'29'!V25</f>
        <v/>
      </c>
      <c r="Z25" s="275" t="n"/>
    </row>
    <row r="26" ht="21.9" customHeight="1" s="251">
      <c r="A26" s="104" t="inlineStr">
        <is>
          <t>BAG FILTER</t>
        </is>
      </c>
      <c r="B26" s="278" t="n"/>
      <c r="C26" s="279" t="n"/>
      <c r="D26" s="104">
        <f>'28'!G26</f>
        <v/>
      </c>
      <c r="E26" s="278" t="n"/>
      <c r="F26" s="279" t="n"/>
      <c r="G26" s="104" t="n">
        <v>24900</v>
      </c>
      <c r="H26" s="278" t="n"/>
      <c r="I26" s="279" t="n"/>
      <c r="J26" s="288">
        <f>IF(G26-D26&lt;0,,G26-D26)</f>
        <v/>
      </c>
      <c r="K26" s="274" t="n"/>
      <c r="L26" s="275" t="n"/>
      <c r="M26" s="288">
        <f>'28'!M26+J26</f>
        <v/>
      </c>
      <c r="N26" s="275" t="n"/>
      <c r="P26" s="104" t="inlineStr">
        <is>
          <t>응축수</t>
        </is>
      </c>
      <c r="Q26" s="278" t="n"/>
      <c r="R26" s="279" t="n"/>
      <c r="S26" s="288">
        <f>'28'!V26</f>
        <v/>
      </c>
      <c r="T26" s="274" t="n"/>
      <c r="U26" s="275" t="n"/>
      <c r="V26" s="280" t="n">
        <v>589</v>
      </c>
      <c r="W26" s="278" t="n"/>
      <c r="X26" s="279" t="n"/>
      <c r="Y26" s="316">
        <f>'28'!Y26+'29'!V26</f>
        <v/>
      </c>
      <c r="Z26" s="275" t="n"/>
    </row>
    <row r="27" ht="21.9" customHeight="1" s="251">
      <c r="A27" s="104" t="inlineStr">
        <is>
          <t>SCRUBBER</t>
        </is>
      </c>
      <c r="B27" s="278" t="n"/>
      <c r="C27" s="279" t="n"/>
      <c r="D27" s="104">
        <f>'28'!G27</f>
        <v/>
      </c>
      <c r="E27" s="278" t="n"/>
      <c r="F27" s="279" t="n"/>
      <c r="G27" s="104" t="n">
        <v>1436000</v>
      </c>
      <c r="H27" s="278" t="n"/>
      <c r="I27" s="279" t="n"/>
      <c r="J27" s="288">
        <f>IF(G27-D27&lt;0,,G27-D27)</f>
        <v/>
      </c>
      <c r="K27" s="274" t="n"/>
      <c r="L27" s="275" t="n"/>
      <c r="M27" s="288">
        <f>'28'!M27+J27</f>
        <v/>
      </c>
      <c r="N27" s="275" t="n"/>
      <c r="P27" s="104" t="inlineStr">
        <is>
          <t>보일러 급수</t>
        </is>
      </c>
      <c r="Q27" s="278" t="n"/>
      <c r="R27" s="279" t="n"/>
      <c r="S27" s="288">
        <f>'28'!V27</f>
        <v/>
      </c>
      <c r="T27" s="274" t="n"/>
      <c r="U27" s="275" t="n"/>
      <c r="V27" s="280" t="n">
        <v>524.8</v>
      </c>
      <c r="W27" s="278" t="n"/>
      <c r="X27" s="279" t="n"/>
      <c r="Y27" s="316">
        <f>'28'!Y27+'29'!V27</f>
        <v/>
      </c>
      <c r="Z27" s="275" t="n"/>
    </row>
    <row r="28" ht="21.9" customHeight="1" s="251">
      <c r="A28" s="104" t="inlineStr">
        <is>
          <t>활성탄 공급</t>
        </is>
      </c>
      <c r="B28" s="278" t="n"/>
      <c r="C28" s="279" t="n"/>
      <c r="D28" s="104">
        <f>'28'!G28</f>
        <v/>
      </c>
      <c r="E28" s="278" t="n"/>
      <c r="F28" s="279" t="n"/>
      <c r="G28" s="104" t="n">
        <v>6490</v>
      </c>
      <c r="H28" s="278" t="n"/>
      <c r="I28" s="279" t="n"/>
      <c r="J28" s="288">
        <f>IF(G28-D28&lt;0,,G28-D28)</f>
        <v/>
      </c>
      <c r="K28" s="274" t="n"/>
      <c r="L28" s="275" t="n"/>
      <c r="M28" s="288">
        <f>'28'!M28+J28</f>
        <v/>
      </c>
      <c r="N28" s="275" t="n"/>
      <c r="P28" s="104" t="inlineStr">
        <is>
          <t>폐 수</t>
        </is>
      </c>
      <c r="Q28" s="278" t="n"/>
      <c r="R28" s="279" t="n"/>
      <c r="S28" s="288">
        <f>'28'!V28</f>
        <v/>
      </c>
      <c r="T28" s="274" t="n"/>
      <c r="U28" s="275" t="n"/>
      <c r="V28" s="280" t="n">
        <v>0</v>
      </c>
      <c r="W28" s="278" t="n"/>
      <c r="X28" s="279" t="n"/>
      <c r="Y28" s="316">
        <f>'28'!Y28+'29'!V28</f>
        <v/>
      </c>
      <c r="Z28" s="275" t="n"/>
    </row>
    <row r="29" ht="21.9" customHeight="1" s="251">
      <c r="A29" s="104" t="inlineStr">
        <is>
          <t>소석회 공급</t>
        </is>
      </c>
      <c r="B29" s="278" t="n"/>
      <c r="C29" s="279" t="n"/>
      <c r="D29" s="104">
        <f>'28'!G29</f>
        <v/>
      </c>
      <c r="E29" s="278" t="n"/>
      <c r="F29" s="279" t="n"/>
      <c r="G29" s="104" t="n">
        <v>66260</v>
      </c>
      <c r="H29" s="278" t="n"/>
      <c r="I29" s="279" t="n"/>
      <c r="J29" s="288">
        <f>IF(G29-D29&lt;0,,G29-D29)</f>
        <v/>
      </c>
      <c r="K29" s="274" t="n"/>
      <c r="L29" s="275" t="n"/>
      <c r="M29" s="288">
        <f>'28'!M29+J29</f>
        <v/>
      </c>
      <c r="N29" s="275" t="n"/>
      <c r="P29" s="104" t="inlineStr">
        <is>
          <t>연 수</t>
        </is>
      </c>
      <c r="Q29" s="278" t="n"/>
      <c r="R29" s="279" t="n"/>
      <c r="S29" s="288">
        <f>'28'!V29</f>
        <v/>
      </c>
      <c r="T29" s="274" t="n"/>
      <c r="U29" s="275" t="n"/>
      <c r="V29" s="280" t="n">
        <v>75.3</v>
      </c>
      <c r="W29" s="278" t="n"/>
      <c r="X29" s="279" t="n"/>
      <c r="Y29" s="316">
        <f>'28'!Y29+'29'!V29</f>
        <v/>
      </c>
      <c r="Z29" s="275" t="n"/>
    </row>
    <row r="30" ht="21.9" customHeight="1" s="251">
      <c r="A30" s="104" t="inlineStr">
        <is>
          <t>요소수 공급</t>
        </is>
      </c>
      <c r="B30" s="278" t="n"/>
      <c r="C30" s="279" t="n"/>
      <c r="D30" s="104">
        <f>'28'!G30</f>
        <v/>
      </c>
      <c r="E30" s="278" t="n"/>
      <c r="F30" s="279" t="n"/>
      <c r="G30" s="104" t="n">
        <v>53590</v>
      </c>
      <c r="H30" s="278" t="n"/>
      <c r="I30" s="279" t="n"/>
      <c r="J30" s="288">
        <f>IF(G30-D30&lt;0,,G30-D30)</f>
        <v/>
      </c>
      <c r="K30" s="274" t="n"/>
      <c r="L30" s="275" t="n"/>
      <c r="M30" s="288">
        <f>'28'!M30+J30</f>
        <v/>
      </c>
      <c r="N30" s="275" t="n"/>
      <c r="P30" s="104" t="inlineStr">
        <is>
          <t>계</t>
        </is>
      </c>
      <c r="Q30" s="278" t="n"/>
      <c r="R30" s="279" t="n"/>
      <c r="S30" s="288">
        <f>'28'!V30</f>
        <v/>
      </c>
      <c r="T30" s="274" t="n"/>
      <c r="U30" s="275" t="n"/>
      <c r="V30" s="280" t="n"/>
      <c r="W30" s="278" t="n"/>
      <c r="X30" s="279" t="n"/>
      <c r="Y30" s="316">
        <f>'28'!Y30+'29'!V30</f>
        <v/>
      </c>
      <c r="Z30" s="275" t="n"/>
    </row>
    <row r="31" ht="21.9" customHeight="1" s="251">
      <c r="A31" s="104" t="inlineStr">
        <is>
          <t xml:space="preserve">F.D </t>
        </is>
      </c>
      <c r="B31" s="278" t="n"/>
      <c r="C31" s="279" t="n"/>
      <c r="D31" s="104">
        <f>'28'!G31</f>
        <v/>
      </c>
      <c r="E31" s="278" t="n"/>
      <c r="F31" s="279" t="n"/>
      <c r="G31" s="288" t="n">
        <v>6427071</v>
      </c>
      <c r="H31" s="274" t="n"/>
      <c r="I31" s="275" t="n"/>
      <c r="J31" s="104">
        <f>G31-D31</f>
        <v/>
      </c>
      <c r="K31" s="278" t="n"/>
      <c r="L31" s="279" t="n"/>
      <c r="M31" s="288">
        <f>'28'!M31+J31</f>
        <v/>
      </c>
      <c r="N31" s="275" t="n"/>
      <c r="P31" s="172" t="n"/>
      <c r="Q31" s="172" t="n"/>
      <c r="R31" s="172" t="n"/>
      <c r="S31" s="172" t="n"/>
      <c r="T31" s="172" t="n"/>
      <c r="U31" s="172" t="n"/>
      <c r="V31" s="305" t="n"/>
      <c r="W31" s="305" t="n"/>
      <c r="X31" s="305" t="n"/>
      <c r="Y31" s="305" t="n"/>
      <c r="Z31" s="305" t="n"/>
    </row>
    <row r="32" ht="21.9" customHeight="1" s="251">
      <c r="A32" s="104" t="inlineStr">
        <is>
          <t>활성탄 BAG</t>
        </is>
      </c>
      <c r="B32" s="278" t="n"/>
      <c r="C32" s="279" t="n"/>
      <c r="D32" s="104">
        <f>'28'!G32</f>
        <v/>
      </c>
      <c r="E32" s="278" t="n"/>
      <c r="F32" s="279" t="n"/>
      <c r="G32" s="288" t="n">
        <v>1.8</v>
      </c>
      <c r="H32" s="274" t="n"/>
      <c r="I32" s="275" t="n"/>
      <c r="J32" s="288">
        <f>G32-D32</f>
        <v/>
      </c>
      <c r="K32" s="274" t="n"/>
      <c r="L32" s="275" t="n"/>
      <c r="M32" s="288">
        <f>'28'!M32+J32</f>
        <v/>
      </c>
      <c r="N32" s="275" t="n"/>
      <c r="P32" s="172" t="n"/>
      <c r="Q32" s="172" t="n"/>
      <c r="R32" s="172" t="n"/>
      <c r="S32" s="172" t="n"/>
      <c r="T32" s="172" t="n"/>
      <c r="U32" s="172" t="n"/>
      <c r="V32" s="305" t="n"/>
      <c r="W32" s="305" t="n"/>
      <c r="X32" s="305" t="n"/>
      <c r="Y32" s="305" t="n"/>
      <c r="Z32" s="305" t="n"/>
    </row>
    <row r="33" ht="21.9" customHeight="1" s="251">
      <c r="A33" s="104" t="inlineStr">
        <is>
          <t>소석회 BAG</t>
        </is>
      </c>
      <c r="B33" s="278" t="n"/>
      <c r="C33" s="279" t="n"/>
      <c r="D33" s="104">
        <f>'28'!G33</f>
        <v/>
      </c>
      <c r="E33" s="278" t="n"/>
      <c r="F33" s="279" t="n"/>
      <c r="G33" s="288" t="n">
        <v>0</v>
      </c>
      <c r="H33" s="274" t="n"/>
      <c r="I33" s="275" t="n"/>
      <c r="J33" s="288">
        <f>G33-D33</f>
        <v/>
      </c>
      <c r="K33" s="274" t="n"/>
      <c r="L33" s="275" t="n"/>
      <c r="M33" s="288">
        <f>'28'!M33+J33</f>
        <v/>
      </c>
      <c r="N33" s="275" t="n"/>
      <c r="P33" s="172" t="n"/>
      <c r="Q33" s="172" t="n"/>
      <c r="R33" s="172" t="n"/>
      <c r="S33" s="172" t="n"/>
      <c r="T33" s="172" t="n"/>
      <c r="U33" s="172" t="n"/>
      <c r="V33" s="305" t="n"/>
      <c r="W33" s="305" t="n"/>
      <c r="X33" s="305" t="n"/>
      <c r="Y33" s="305" t="n"/>
      <c r="Z33" s="305" t="n"/>
    </row>
  </sheetData>
  <mergeCells count="217">
    <mergeCell ref="V24:X24"/>
    <mergeCell ref="A15:B15"/>
    <mergeCell ref="P27:R27"/>
    <mergeCell ref="C15:D15"/>
    <mergeCell ref="S23:U23"/>
    <mergeCell ref="J27:L27"/>
    <mergeCell ref="S14:V15"/>
    <mergeCell ref="Y24:Z24"/>
    <mergeCell ref="U7:W7"/>
    <mergeCell ref="A26:C26"/>
    <mergeCell ref="G24:I24"/>
    <mergeCell ref="J25:L25"/>
    <mergeCell ref="D28:F28"/>
    <mergeCell ref="I16:J16"/>
    <mergeCell ref="A23:C23"/>
    <mergeCell ref="P6:Q6"/>
    <mergeCell ref="S24:U24"/>
    <mergeCell ref="P28:R28"/>
    <mergeCell ref="W1:X1"/>
    <mergeCell ref="Y1:Z1"/>
    <mergeCell ref="G26:I26"/>
    <mergeCell ref="S16:T17"/>
    <mergeCell ref="D30:F30"/>
    <mergeCell ref="B1:C1"/>
    <mergeCell ref="U8:W8"/>
    <mergeCell ref="G18:H18"/>
    <mergeCell ref="I18:J18"/>
    <mergeCell ref="H3:S3"/>
    <mergeCell ref="M16:N16"/>
    <mergeCell ref="P30:R30"/>
    <mergeCell ref="M25:N25"/>
    <mergeCell ref="D29:F29"/>
    <mergeCell ref="D23:F23"/>
    <mergeCell ref="Y25:Z25"/>
    <mergeCell ref="M18:N18"/>
    <mergeCell ref="M33:N33"/>
    <mergeCell ref="A17:B17"/>
    <mergeCell ref="C17:D17"/>
    <mergeCell ref="S25:U25"/>
    <mergeCell ref="U18:V20"/>
    <mergeCell ref="J29:L29"/>
    <mergeCell ref="M17:N17"/>
    <mergeCell ref="W18:X20"/>
    <mergeCell ref="G20:H20"/>
    <mergeCell ref="I20:J20"/>
    <mergeCell ref="S27:U27"/>
    <mergeCell ref="A19:B19"/>
    <mergeCell ref="V23:X23"/>
    <mergeCell ref="A6:C6"/>
    <mergeCell ref="Y2:Z3"/>
    <mergeCell ref="C19:D19"/>
    <mergeCell ref="Y18:Z20"/>
    <mergeCell ref="M19:N19"/>
    <mergeCell ref="P22:U22"/>
    <mergeCell ref="I13:J13"/>
    <mergeCell ref="K13:L13"/>
    <mergeCell ref="X7:Z7"/>
    <mergeCell ref="E12:F12"/>
    <mergeCell ref="J24:L24"/>
    <mergeCell ref="G12:H12"/>
    <mergeCell ref="D27:F27"/>
    <mergeCell ref="G28:I28"/>
    <mergeCell ref="G6:I6"/>
    <mergeCell ref="I15:J15"/>
    <mergeCell ref="A11:B11"/>
    <mergeCell ref="K15:L15"/>
    <mergeCell ref="S28:U28"/>
    <mergeCell ref="C14:D14"/>
    <mergeCell ref="E14:F14"/>
    <mergeCell ref="J26:L26"/>
    <mergeCell ref="G30:I30"/>
    <mergeCell ref="J7:L7"/>
    <mergeCell ref="V27:X27"/>
    <mergeCell ref="A32:C32"/>
    <mergeCell ref="A29:C29"/>
    <mergeCell ref="D25:F25"/>
    <mergeCell ref="V25:X25"/>
    <mergeCell ref="Y26:Z26"/>
    <mergeCell ref="M13:N13"/>
    <mergeCell ref="G32:I32"/>
    <mergeCell ref="J33:L33"/>
    <mergeCell ref="W14:Z15"/>
    <mergeCell ref="A31:C31"/>
    <mergeCell ref="S26:U26"/>
    <mergeCell ref="M27:N27"/>
    <mergeCell ref="I17:J17"/>
    <mergeCell ref="A24:C24"/>
    <mergeCell ref="Y27:Z27"/>
    <mergeCell ref="K17:L17"/>
    <mergeCell ref="P29:R29"/>
    <mergeCell ref="M24:N24"/>
    <mergeCell ref="E16:F16"/>
    <mergeCell ref="G27:I27"/>
    <mergeCell ref="G16:H16"/>
    <mergeCell ref="U2:V3"/>
    <mergeCell ref="J28:L28"/>
    <mergeCell ref="D31:F31"/>
    <mergeCell ref="I19:J19"/>
    <mergeCell ref="U1:V1"/>
    <mergeCell ref="G8:I8"/>
    <mergeCell ref="K19:L19"/>
    <mergeCell ref="C18:D18"/>
    <mergeCell ref="A7:C7"/>
    <mergeCell ref="E18:F18"/>
    <mergeCell ref="V29:X29"/>
    <mergeCell ref="J30:L30"/>
    <mergeCell ref="R6:T6"/>
    <mergeCell ref="K16:L16"/>
    <mergeCell ref="A25:C25"/>
    <mergeCell ref="J6:L6"/>
    <mergeCell ref="D1:E1"/>
    <mergeCell ref="D32:F32"/>
    <mergeCell ref="G11:H11"/>
    <mergeCell ref="I11:J11"/>
    <mergeCell ref="W11:Z11"/>
    <mergeCell ref="P23:R23"/>
    <mergeCell ref="D7:F7"/>
    <mergeCell ref="Y16:Z17"/>
    <mergeCell ref="S18:T20"/>
    <mergeCell ref="C20:D20"/>
    <mergeCell ref="Y30:Z30"/>
    <mergeCell ref="K11:L11"/>
    <mergeCell ref="E20:F20"/>
    <mergeCell ref="J32:L32"/>
    <mergeCell ref="M11:N11"/>
    <mergeCell ref="Y29:Z29"/>
    <mergeCell ref="H1:S2"/>
    <mergeCell ref="V26:X26"/>
    <mergeCell ref="E13:F13"/>
    <mergeCell ref="S30:U30"/>
    <mergeCell ref="G13:H13"/>
    <mergeCell ref="D8:F8"/>
    <mergeCell ref="G29:I29"/>
    <mergeCell ref="M31:N31"/>
    <mergeCell ref="D33:F33"/>
    <mergeCell ref="W12:Z13"/>
    <mergeCell ref="A12:B12"/>
    <mergeCell ref="A28:C28"/>
    <mergeCell ref="A1:A3"/>
    <mergeCell ref="C12:D12"/>
    <mergeCell ref="S29:U29"/>
    <mergeCell ref="M15:N15"/>
    <mergeCell ref="M12:N12"/>
    <mergeCell ref="E15:F15"/>
    <mergeCell ref="G15:H15"/>
    <mergeCell ref="G31:I31"/>
    <mergeCell ref="P18:R20"/>
    <mergeCell ref="Y28:Z28"/>
    <mergeCell ref="J8:L8"/>
    <mergeCell ref="A14:B14"/>
    <mergeCell ref="A30:C30"/>
    <mergeCell ref="M26:N26"/>
    <mergeCell ref="U6:W6"/>
    <mergeCell ref="P25:R25"/>
    <mergeCell ref="M29:N29"/>
    <mergeCell ref="M23:N23"/>
    <mergeCell ref="F2:G3"/>
    <mergeCell ref="G23:I23"/>
    <mergeCell ref="U16:V17"/>
    <mergeCell ref="Y23:Z23"/>
    <mergeCell ref="W16:X17"/>
    <mergeCell ref="D6:F6"/>
    <mergeCell ref="G7:I7"/>
    <mergeCell ref="F1:G1"/>
    <mergeCell ref="P12:R13"/>
    <mergeCell ref="K18:L18"/>
    <mergeCell ref="T1:T3"/>
    <mergeCell ref="V28:X28"/>
    <mergeCell ref="P11:R11"/>
    <mergeCell ref="P14:R15"/>
    <mergeCell ref="A27:C27"/>
    <mergeCell ref="W2:X3"/>
    <mergeCell ref="V30:X30"/>
    <mergeCell ref="E17:F17"/>
    <mergeCell ref="G17:H17"/>
    <mergeCell ref="G33:I33"/>
    <mergeCell ref="X6:Z6"/>
    <mergeCell ref="A16:B16"/>
    <mergeCell ref="K20:L20"/>
    <mergeCell ref="A33:C33"/>
    <mergeCell ref="C16:D16"/>
    <mergeCell ref="M20:N20"/>
    <mergeCell ref="A8:C8"/>
    <mergeCell ref="E19:F19"/>
    <mergeCell ref="P8:Q8"/>
    <mergeCell ref="J31:L31"/>
    <mergeCell ref="G19:H19"/>
    <mergeCell ref="A18:B18"/>
    <mergeCell ref="D24:F24"/>
    <mergeCell ref="G25:I25"/>
    <mergeCell ref="M30:N30"/>
    <mergeCell ref="I12:J12"/>
    <mergeCell ref="K12:L12"/>
    <mergeCell ref="P7:Q7"/>
    <mergeCell ref="P24:R24"/>
    <mergeCell ref="C11:D11"/>
    <mergeCell ref="E11:F11"/>
    <mergeCell ref="M28:N28"/>
    <mergeCell ref="J23:L23"/>
    <mergeCell ref="S11:V11"/>
    <mergeCell ref="G14:H14"/>
    <mergeCell ref="D26:F26"/>
    <mergeCell ref="R8:T8"/>
    <mergeCell ref="I14:J14"/>
    <mergeCell ref="K14:L14"/>
    <mergeCell ref="P26:R26"/>
    <mergeCell ref="P16:R17"/>
    <mergeCell ref="A20:B20"/>
    <mergeCell ref="B2:C3"/>
    <mergeCell ref="D2:E3"/>
    <mergeCell ref="M32:N32"/>
    <mergeCell ref="M14:N14"/>
    <mergeCell ref="X8:Z8"/>
    <mergeCell ref="A13:B13"/>
    <mergeCell ref="C13:D13"/>
    <mergeCell ref="R7:T7"/>
    <mergeCell ref="S12:V13"/>
  </mergeCells>
  <pageMargins left="0.7086614173228347" right="0.7086614173228347" top="0.7480314960629921" bottom="0.7480314960629921" header="0.3149606299212598" footer="0.3149606299212598"/>
  <pageSetup orientation="portrait" paperSize="9" scale="59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AE33"/>
  <sheetViews>
    <sheetView zoomScaleNormal="100" zoomScaleSheetLayoutView="100" workbookViewId="0">
      <selection activeCell="D8" sqref="D8:F8"/>
    </sheetView>
  </sheetViews>
  <sheetFormatPr baseColWidth="8" defaultRowHeight="17.4"/>
  <cols>
    <col width="2.8984375" customWidth="1" style="251" min="1" max="1"/>
    <col width="5.59765625" customWidth="1" style="251" min="2" max="14"/>
    <col width="3.59765625" customWidth="1" style="251" min="15" max="15"/>
    <col width="4.59765625" customWidth="1" style="251" min="16" max="22"/>
    <col width="5.59765625" customWidth="1" style="251" min="23" max="26"/>
  </cols>
  <sheetData>
    <row r="1" ht="18.75" customHeight="1" s="251">
      <c r="A1" s="122" t="inlineStr">
        <is>
          <t>근
무
자</t>
        </is>
      </c>
      <c r="B1" s="120" t="inlineStr">
        <is>
          <t>오  전</t>
        </is>
      </c>
      <c r="C1" s="252" t="n"/>
      <c r="D1" s="120" t="inlineStr">
        <is>
          <t>오  후</t>
        </is>
      </c>
      <c r="E1" s="252" t="n"/>
      <c r="F1" s="120" t="inlineStr">
        <is>
          <t>야  간</t>
        </is>
      </c>
      <c r="G1" s="252" t="n"/>
      <c r="H1" s="253" t="inlineStr">
        <is>
          <t>유동상소각로 운전일지</t>
        </is>
      </c>
      <c r="S1" s="254" t="n"/>
      <c r="T1" s="255" t="inlineStr">
        <is>
          <t>결
재</t>
        </is>
      </c>
      <c r="U1" s="120" t="inlineStr">
        <is>
          <t>반장</t>
        </is>
      </c>
      <c r="V1" s="252" t="n"/>
      <c r="W1" s="120" t="inlineStr">
        <is>
          <t>대리</t>
        </is>
      </c>
      <c r="X1" s="252" t="n"/>
      <c r="Y1" s="120" t="inlineStr">
        <is>
          <t>팀장</t>
        </is>
      </c>
      <c r="Z1" s="252" t="n"/>
    </row>
    <row r="2" ht="14.25" customHeight="1" s="251">
      <c r="A2" s="256" t="n"/>
      <c r="B2" s="257" t="inlineStr">
        <is>
          <t>김동욱</t>
        </is>
      </c>
      <c r="C2" s="258" t="n"/>
      <c r="D2" s="257" t="inlineStr">
        <is>
          <t>김동욱,권정민</t>
        </is>
      </c>
      <c r="E2" s="258" t="n"/>
      <c r="F2" s="257" t="inlineStr">
        <is>
          <t>권정민</t>
        </is>
      </c>
      <c r="G2" s="258" t="n"/>
      <c r="H2" s="259" t="n"/>
      <c r="I2" s="260" t="n"/>
      <c r="J2" s="260" t="n"/>
      <c r="K2" s="260" t="n"/>
      <c r="L2" s="260" t="n"/>
      <c r="M2" s="260" t="n"/>
      <c r="N2" s="260" t="n"/>
      <c r="O2" s="260" t="n"/>
      <c r="P2" s="260" t="n"/>
      <c r="Q2" s="260" t="n"/>
      <c r="R2" s="260" t="n"/>
      <c r="S2" s="261" t="n"/>
      <c r="T2" s="262" t="n"/>
      <c r="U2" s="105" t="n"/>
      <c r="V2" s="254" t="n"/>
      <c r="W2" s="105" t="n"/>
      <c r="X2" s="254" t="n"/>
      <c r="Y2" s="105" t="n"/>
      <c r="Z2" s="254" t="n"/>
    </row>
    <row r="3" ht="37.5" customHeight="1" s="251">
      <c r="A3" s="263" t="n"/>
      <c r="B3" s="264" t="n"/>
      <c r="C3" s="265" t="n"/>
      <c r="D3" s="264" t="n"/>
      <c r="E3" s="265" t="n"/>
      <c r="F3" s="264" t="n"/>
      <c r="G3" s="265" t="n"/>
      <c r="H3" s="266" t="n">
        <v>46233</v>
      </c>
      <c r="I3" s="267" t="n"/>
      <c r="J3" s="267" t="n"/>
      <c r="K3" s="267" t="n"/>
      <c r="L3" s="267" t="n"/>
      <c r="M3" s="267" t="n"/>
      <c r="N3" s="267" t="n"/>
      <c r="O3" s="267" t="n"/>
      <c r="P3" s="267" t="n"/>
      <c r="Q3" s="267" t="n"/>
      <c r="R3" s="267" t="n"/>
      <c r="S3" s="268" t="n"/>
      <c r="T3" s="269" t="n"/>
      <c r="U3" s="264" t="n"/>
      <c r="V3" s="265" t="n"/>
      <c r="W3" s="264" t="n"/>
      <c r="X3" s="265" t="n"/>
      <c r="Y3" s="264" t="n"/>
      <c r="Z3" s="265" t="n"/>
    </row>
    <row r="4" ht="13.5" customHeight="1" s="25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inlineStr">
        <is>
          <t>1. 소각현황(KG)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inlineStr">
        <is>
          <t>2. BOILER 운전현황(TON, HR)</t>
        </is>
      </c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2.5" customHeight="1" s="251" thickBot="1">
      <c r="A6" s="136" t="inlineStr">
        <is>
          <t>구 분</t>
        </is>
      </c>
      <c r="B6" s="270" t="n"/>
      <c r="C6" s="271" t="n"/>
      <c r="D6" s="136" t="inlineStr">
        <is>
          <t>SRF소각량</t>
        </is>
      </c>
      <c r="E6" s="270" t="n"/>
      <c r="F6" s="271" t="n"/>
      <c r="G6" s="136" t="inlineStr">
        <is>
          <t>SLUDGE 소각량</t>
        </is>
      </c>
      <c r="H6" s="270" t="n"/>
      <c r="I6" s="271" t="n"/>
      <c r="J6" s="136" t="inlineStr">
        <is>
          <t>합 계</t>
        </is>
      </c>
      <c r="K6" s="270" t="n"/>
      <c r="L6" s="271" t="n"/>
      <c r="M6" s="1" t="n"/>
      <c r="N6" s="1" t="n"/>
      <c r="O6" s="1" t="n"/>
      <c r="P6" s="136" t="inlineStr">
        <is>
          <t>구 분</t>
        </is>
      </c>
      <c r="Q6" s="271" t="n"/>
      <c r="R6" s="136" t="inlineStr">
        <is>
          <t>스팀 생산량</t>
        </is>
      </c>
      <c r="S6" s="270" t="n"/>
      <c r="T6" s="271" t="n"/>
      <c r="U6" s="136" t="inlineStr">
        <is>
          <t>스팀 송기량</t>
        </is>
      </c>
      <c r="V6" s="270" t="n"/>
      <c r="W6" s="271" t="n"/>
      <c r="X6" s="136" t="inlineStr">
        <is>
          <t>가동시간</t>
        </is>
      </c>
      <c r="Y6" s="270" t="n"/>
      <c r="Z6" s="271" t="n"/>
    </row>
    <row r="7" ht="30" customHeight="1" s="251" thickTop="1">
      <c r="A7" s="105" t="inlineStr">
        <is>
          <t>금 일</t>
        </is>
      </c>
      <c r="B7" s="272" t="n"/>
      <c r="C7" s="265" t="n"/>
      <c r="D7" s="139" t="n">
        <v>66673</v>
      </c>
      <c r="E7" s="272" t="n"/>
      <c r="F7" s="265" t="n"/>
      <c r="G7" s="139" t="n">
        <v>173800</v>
      </c>
      <c r="H7" s="272" t="n"/>
      <c r="I7" s="265" t="n"/>
      <c r="J7" s="154">
        <f>D7+G7</f>
        <v/>
      </c>
      <c r="K7" s="278" t="n"/>
      <c r="L7" s="279" t="n"/>
      <c r="M7" s="1" t="n"/>
      <c r="N7" s="1" t="n"/>
      <c r="O7" s="1" t="n"/>
      <c r="P7" s="105" t="inlineStr">
        <is>
          <t>금 일</t>
        </is>
      </c>
      <c r="Q7" s="265" t="n"/>
      <c r="R7" s="276" t="n">
        <v>498.3</v>
      </c>
      <c r="S7" s="272" t="n"/>
      <c r="T7" s="265" t="n"/>
      <c r="U7" s="276" t="n">
        <v>342.5</v>
      </c>
      <c r="V7" s="272" t="n"/>
      <c r="W7" s="265" t="n"/>
      <c r="X7" s="277" t="n">
        <v>24</v>
      </c>
      <c r="Y7" s="272" t="n"/>
      <c r="Z7" s="265" t="n"/>
    </row>
    <row r="8" ht="30" customHeight="1" s="251">
      <c r="A8" s="104" t="inlineStr">
        <is>
          <t>누 계</t>
        </is>
      </c>
      <c r="B8" s="278" t="n"/>
      <c r="C8" s="279" t="n"/>
      <c r="D8" s="154">
        <f>'29'!D8+'30'!D7</f>
        <v/>
      </c>
      <c r="E8" s="278" t="n"/>
      <c r="F8" s="279" t="n"/>
      <c r="G8" s="154">
        <f>'29'!G8+'30'!G7</f>
        <v/>
      </c>
      <c r="H8" s="278" t="n"/>
      <c r="I8" s="279" t="n"/>
      <c r="J8" s="154">
        <f>D8+G8</f>
        <v/>
      </c>
      <c r="K8" s="278" t="n"/>
      <c r="L8" s="279" t="n"/>
      <c r="M8" s="1" t="n"/>
      <c r="N8" s="1" t="n"/>
      <c r="O8" s="1" t="n"/>
      <c r="P8" s="104" t="inlineStr">
        <is>
          <t>누 계</t>
        </is>
      </c>
      <c r="Q8" s="279" t="n"/>
      <c r="R8" s="280">
        <f>'29'!R8+R7</f>
        <v/>
      </c>
      <c r="S8" s="278" t="n"/>
      <c r="T8" s="279" t="n"/>
      <c r="U8" s="280">
        <f>'29'!U8+U7</f>
        <v/>
      </c>
      <c r="V8" s="278" t="n"/>
      <c r="W8" s="279" t="n"/>
      <c r="X8" s="281">
        <f>'29'!X8+'30'!X7</f>
        <v/>
      </c>
      <c r="Y8" s="278" t="n"/>
      <c r="Z8" s="279" t="n"/>
    </row>
    <row r="9" ht="12" customHeight="1" s="25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inlineStr">
        <is>
          <t>3. 약품 사용현황 (KG)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inlineStr">
        <is>
          <t>4. 소각재 발생량 (TON, 대)</t>
        </is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30.75" customHeight="1" s="251" thickBot="1">
      <c r="A11" s="136" t="inlineStr">
        <is>
          <t>품 명</t>
        </is>
      </c>
      <c r="B11" s="271" t="n"/>
      <c r="C11" s="150" t="inlineStr">
        <is>
          <t>전일 
재고량</t>
        </is>
      </c>
      <c r="D11" s="271" t="n"/>
      <c r="E11" s="136" t="inlineStr">
        <is>
          <t>입고량</t>
        </is>
      </c>
      <c r="F11" s="271" t="n"/>
      <c r="G11" s="136" t="inlineStr">
        <is>
          <t>사용량</t>
        </is>
      </c>
      <c r="H11" s="271" t="n"/>
      <c r="I11" s="282" t="inlineStr">
        <is>
          <t>재고량</t>
        </is>
      </c>
      <c r="J11" s="271" t="n"/>
      <c r="K11" s="150" t="inlineStr">
        <is>
          <t>입고량 
누계</t>
        </is>
      </c>
      <c r="L11" s="271" t="n"/>
      <c r="M11" s="150" t="inlineStr">
        <is>
          <t>사용량 
누계</t>
        </is>
      </c>
      <c r="N11" s="271" t="n"/>
      <c r="O11" s="1" t="n"/>
      <c r="P11" s="136" t="inlineStr">
        <is>
          <t xml:space="preserve"> 구 분</t>
        </is>
      </c>
      <c r="Q11" s="270" t="n"/>
      <c r="R11" s="271" t="n"/>
      <c r="S11" s="282" t="inlineStr">
        <is>
          <t>반출량</t>
        </is>
      </c>
      <c r="T11" s="270" t="n"/>
      <c r="U11" s="270" t="n"/>
      <c r="V11" s="271" t="n"/>
      <c r="W11" s="282" t="inlineStr">
        <is>
          <t>누계</t>
        </is>
      </c>
      <c r="X11" s="270" t="n"/>
      <c r="Y11" s="270" t="n"/>
      <c r="Z11" s="271" t="n"/>
    </row>
    <row r="12" ht="21.9" customHeight="1" s="251" thickTop="1">
      <c r="A12" s="142" t="inlineStr">
        <is>
          <t>탄산암모늄</t>
        </is>
      </c>
      <c r="B12" s="265" t="n"/>
      <c r="C12" s="310">
        <f>'29'!I12</f>
        <v/>
      </c>
      <c r="D12" s="265" t="n"/>
      <c r="E12" s="105" t="n">
        <v>0</v>
      </c>
      <c r="F12" s="265" t="n"/>
      <c r="G12" s="105" t="n">
        <v>4682</v>
      </c>
      <c r="H12" s="265" t="n"/>
      <c r="I12" s="164">
        <f>C12+E12-G12</f>
        <v/>
      </c>
      <c r="J12" s="283" t="n"/>
      <c r="K12" s="105">
        <f>'29'!K12+'30'!E12</f>
        <v/>
      </c>
      <c r="L12" s="265" t="n"/>
      <c r="M12" s="105">
        <f>'29'!M12+G12</f>
        <v/>
      </c>
      <c r="N12" s="265" t="n"/>
      <c r="O12" s="1" t="n"/>
      <c r="P12" s="149" t="inlineStr">
        <is>
          <t xml:space="preserve">
비산재
</t>
        </is>
      </c>
      <c r="R12" s="254" t="n"/>
      <c r="S12" s="284" t="n">
        <v>30.19</v>
      </c>
      <c r="T12" s="285" t="n"/>
      <c r="U12" s="285" t="n"/>
      <c r="V12" s="285" t="n"/>
      <c r="W12" s="318">
        <f>'29'!W12+'30'!S12</f>
        <v/>
      </c>
      <c r="X12" s="285" t="n"/>
      <c r="Y12" s="285" t="n"/>
      <c r="Z12" s="287" t="n"/>
    </row>
    <row r="13" ht="21.9" customHeight="1" s="251">
      <c r="A13" s="104" t="inlineStr">
        <is>
          <t>청관제</t>
        </is>
      </c>
      <c r="B13" s="279" t="n"/>
      <c r="C13" s="310">
        <f>'29'!I13</f>
        <v/>
      </c>
      <c r="D13" s="265" t="n"/>
      <c r="E13" s="104" t="n">
        <v>0</v>
      </c>
      <c r="F13" s="279" t="n"/>
      <c r="G13" s="104" t="n">
        <v>90</v>
      </c>
      <c r="H13" s="279" t="n"/>
      <c r="I13" s="288">
        <f>C13+E13-G13</f>
        <v/>
      </c>
      <c r="J13" s="275" t="n"/>
      <c r="K13" s="288">
        <f>'29'!K13+'30'!E13</f>
        <v/>
      </c>
      <c r="L13" s="275" t="n"/>
      <c r="M13" s="288">
        <f>'29'!M13+G13</f>
        <v/>
      </c>
      <c r="N13" s="275" t="n"/>
      <c r="O13" s="1" t="n"/>
      <c r="P13" s="264" t="n"/>
      <c r="Q13" s="272" t="n"/>
      <c r="R13" s="265" t="n"/>
      <c r="S13" s="289" t="n"/>
      <c r="T13" s="290" t="n"/>
      <c r="U13" s="290" t="n"/>
      <c r="V13" s="290" t="n"/>
      <c r="W13" s="264" t="n"/>
      <c r="X13" s="272" t="n"/>
      <c r="Y13" s="272" t="n"/>
      <c r="Z13" s="265" t="n"/>
    </row>
    <row r="14" ht="21.9" customHeight="1" s="251">
      <c r="A14" s="104" t="inlineStr">
        <is>
          <t>활성탄</t>
        </is>
      </c>
      <c r="B14" s="279" t="n"/>
      <c r="C14" s="310">
        <f>'29'!I14</f>
        <v/>
      </c>
      <c r="D14" s="265" t="n"/>
      <c r="E14" s="104" t="n">
        <v>0</v>
      </c>
      <c r="F14" s="279" t="n"/>
      <c r="G14" s="104" t="n">
        <v>120</v>
      </c>
      <c r="H14" s="279" t="n"/>
      <c r="I14" s="288">
        <f>C14+E14-G14</f>
        <v/>
      </c>
      <c r="J14" s="275" t="n"/>
      <c r="K14" s="288">
        <f>'29'!K14+'30'!E14</f>
        <v/>
      </c>
      <c r="L14" s="275" t="n"/>
      <c r="M14" s="288">
        <f>'29'!M14+G14</f>
        <v/>
      </c>
      <c r="N14" s="275" t="n"/>
      <c r="O14" s="1" t="n"/>
      <c r="P14" s="104" t="inlineStr">
        <is>
          <t>바닥재</t>
        </is>
      </c>
      <c r="Q14" s="291" t="n"/>
      <c r="R14" s="292" t="n"/>
      <c r="S14" s="293" t="n">
        <v>0</v>
      </c>
      <c r="T14" s="291" t="n"/>
      <c r="U14" s="291" t="n"/>
      <c r="V14" s="291" t="n"/>
      <c r="W14" s="311">
        <f>'29'!W14+'30'!S14</f>
        <v/>
      </c>
      <c r="X14" s="291" t="n"/>
      <c r="Y14" s="291" t="n"/>
      <c r="Z14" s="295" t="n"/>
    </row>
    <row r="15" ht="21.9" customHeight="1" s="251">
      <c r="A15" s="104" t="inlineStr">
        <is>
          <t>가성소다</t>
        </is>
      </c>
      <c r="B15" s="279" t="n"/>
      <c r="C15" s="310">
        <f>'29'!I15</f>
        <v/>
      </c>
      <c r="D15" s="265" t="n"/>
      <c r="E15" s="104" t="n">
        <v>0</v>
      </c>
      <c r="F15" s="279" t="n"/>
      <c r="G15" s="104" t="n">
        <v>0</v>
      </c>
      <c r="H15" s="279" t="n"/>
      <c r="I15" s="288">
        <f>C15+E15-G15</f>
        <v/>
      </c>
      <c r="J15" s="275" t="n"/>
      <c r="K15" s="288">
        <f>'29'!K15+'30'!E15</f>
        <v/>
      </c>
      <c r="L15" s="275" t="n"/>
      <c r="M15" s="288">
        <f>'29'!M15+G15</f>
        <v/>
      </c>
      <c r="N15" s="275" t="n"/>
      <c r="O15" s="1" t="n"/>
      <c r="P15" s="296" t="n"/>
      <c r="Q15" s="290" t="n"/>
      <c r="R15" s="297" t="n"/>
      <c r="S15" s="296" t="n"/>
      <c r="T15" s="290" t="n"/>
      <c r="U15" s="290" t="n"/>
      <c r="V15" s="290" t="n"/>
      <c r="W15" s="298" t="n"/>
      <c r="X15" s="272" t="n"/>
      <c r="Y15" s="272" t="n"/>
      <c r="Z15" s="265" t="n"/>
    </row>
    <row r="16" ht="21.9" customHeight="1" s="251">
      <c r="A16" s="104" t="inlineStr">
        <is>
          <t>소석회</t>
        </is>
      </c>
      <c r="B16" s="279" t="n"/>
      <c r="C16" s="310">
        <f>'29'!I16</f>
        <v/>
      </c>
      <c r="D16" s="265" t="n"/>
      <c r="E16" s="104" t="n">
        <v>0</v>
      </c>
      <c r="F16" s="279" t="n"/>
      <c r="G16" s="104" t="n">
        <v>20</v>
      </c>
      <c r="H16" s="279" t="n"/>
      <c r="I16" s="288">
        <f>C16+E16-G16</f>
        <v/>
      </c>
      <c r="J16" s="275" t="n"/>
      <c r="K16" s="288">
        <f>'29'!K16+'30'!E16</f>
        <v/>
      </c>
      <c r="L16" s="275" t="n"/>
      <c r="M16" s="288">
        <f>'29'!M16+G16</f>
        <v/>
      </c>
      <c r="N16" s="275" t="n"/>
      <c r="O16" s="1" t="n"/>
      <c r="P16" s="162" t="inlineStr">
        <is>
          <t>구분</t>
        </is>
      </c>
      <c r="Q16" s="291" t="n"/>
      <c r="R16" s="292" t="n"/>
      <c r="S16" s="299" t="inlineStr">
        <is>
          <t>주간</t>
        </is>
      </c>
      <c r="T16" s="292" t="n"/>
      <c r="U16" s="299" t="inlineStr">
        <is>
          <t>야간</t>
        </is>
      </c>
      <c r="V16" s="292" t="n"/>
      <c r="W16" s="299" t="inlineStr">
        <is>
          <t>합계</t>
        </is>
      </c>
      <c r="X16" s="292" t="n"/>
      <c r="Y16" s="299" t="inlineStr">
        <is>
          <t>누계</t>
        </is>
      </c>
      <c r="Z16" s="292" t="n"/>
    </row>
    <row r="17" ht="21.9" customHeight="1" s="251" thickBot="1">
      <c r="A17" s="104" t="inlineStr">
        <is>
          <t>소 금</t>
        </is>
      </c>
      <c r="B17" s="279" t="n"/>
      <c r="C17" s="310">
        <f>'29'!I17</f>
        <v/>
      </c>
      <c r="D17" s="265" t="n"/>
      <c r="E17" s="104" t="n">
        <v>0</v>
      </c>
      <c r="F17" s="279" t="n"/>
      <c r="G17" s="104" t="n">
        <v>200</v>
      </c>
      <c r="H17" s="279" t="n"/>
      <c r="I17" s="288">
        <f>C17+E17-G17</f>
        <v/>
      </c>
      <c r="J17" s="275" t="n"/>
      <c r="K17" s="288">
        <f>'29'!K17+'30'!E17</f>
        <v/>
      </c>
      <c r="L17" s="275" t="n"/>
      <c r="M17" s="288">
        <f>'29'!M17+G17</f>
        <v/>
      </c>
      <c r="N17" s="275" t="n"/>
      <c r="O17" s="1" t="n"/>
      <c r="P17" s="296" t="n"/>
      <c r="Q17" s="290" t="n"/>
      <c r="R17" s="297" t="n"/>
      <c r="S17" s="300" t="n"/>
      <c r="T17" s="301" t="n"/>
      <c r="U17" s="300" t="n"/>
      <c r="V17" s="301" t="n"/>
      <c r="W17" s="300" t="n"/>
      <c r="X17" s="301" t="n"/>
      <c r="Y17" s="300" t="n"/>
      <c r="Z17" s="301" t="n"/>
      <c r="AE17" s="302" t="n"/>
    </row>
    <row r="18" ht="21.9" customHeight="1" s="251" thickTop="1">
      <c r="A18" s="104" t="inlineStr">
        <is>
          <t>경 유</t>
        </is>
      </c>
      <c r="B18" s="279" t="n"/>
      <c r="C18" s="310">
        <f>'29'!I18</f>
        <v/>
      </c>
      <c r="D18" s="265" t="n"/>
      <c r="E18" s="104" t="n">
        <v>0</v>
      </c>
      <c r="F18" s="279" t="n"/>
      <c r="G18" s="104" t="n">
        <v>0</v>
      </c>
      <c r="H18" s="279" t="n"/>
      <c r="I18" s="288">
        <f>C18+E18-G18</f>
        <v/>
      </c>
      <c r="J18" s="275" t="n"/>
      <c r="K18" s="288">
        <f>'29'!K18+'30'!E18</f>
        <v/>
      </c>
      <c r="L18" s="275" t="n"/>
      <c r="M18" s="288">
        <f>'29'!M18+G18</f>
        <v/>
      </c>
      <c r="N18" s="275" t="n"/>
      <c r="O18" s="1" t="n"/>
      <c r="P18" s="164" t="inlineStr">
        <is>
          <t>불연물</t>
        </is>
      </c>
      <c r="Q18" s="285" t="n"/>
      <c r="R18" s="287" t="n"/>
      <c r="S18" s="303" t="n">
        <v>1</v>
      </c>
      <c r="T18" s="287" t="n"/>
      <c r="U18" s="303" t="n">
        <v>2</v>
      </c>
      <c r="V18" s="287" t="n"/>
      <c r="W18" s="303">
        <f>S18+U18</f>
        <v/>
      </c>
      <c r="X18" s="287" t="n"/>
      <c r="Y18" s="303">
        <f>'29'!Y18+'30'!W18</f>
        <v/>
      </c>
      <c r="Z18" s="287" t="n"/>
    </row>
    <row r="19" ht="21.9" customHeight="1" s="251">
      <c r="A19" s="153" t="inlineStr">
        <is>
          <t>SRF</t>
        </is>
      </c>
      <c r="B19" s="279" t="n"/>
      <c r="C19" s="310">
        <f>'29'!I19</f>
        <v/>
      </c>
      <c r="D19" s="265" t="n"/>
      <c r="E19" s="154" t="n">
        <v>90300</v>
      </c>
      <c r="F19" s="279" t="n"/>
      <c r="G19" s="154">
        <f>D7</f>
        <v/>
      </c>
      <c r="H19" s="279" t="n"/>
      <c r="I19" s="273">
        <f>C19+E19-G19</f>
        <v/>
      </c>
      <c r="J19" s="275" t="n"/>
      <c r="K19" s="273">
        <f>'29'!K19+'30'!E19</f>
        <v/>
      </c>
      <c r="L19" s="275" t="n"/>
      <c r="M19" s="273">
        <f>'29'!M19+G19</f>
        <v/>
      </c>
      <c r="N19" s="275" t="n"/>
      <c r="O19" s="1" t="n"/>
      <c r="P19" s="256" t="n"/>
      <c r="R19" s="254" t="n"/>
      <c r="S19" s="256" t="n"/>
      <c r="T19" s="254" t="n"/>
      <c r="U19" s="256" t="n"/>
      <c r="V19" s="254" t="n"/>
      <c r="W19" s="256" t="n"/>
      <c r="X19" s="254" t="n"/>
      <c r="Y19" s="256" t="n"/>
      <c r="Z19" s="254" t="n"/>
    </row>
    <row r="20" ht="21.9" customHeight="1" s="251">
      <c r="A20" s="104" t="inlineStr">
        <is>
          <t>규 사</t>
        </is>
      </c>
      <c r="B20" s="279" t="n"/>
      <c r="C20" s="310">
        <f>'29'!I20</f>
        <v/>
      </c>
      <c r="D20" s="265" t="n"/>
      <c r="E20" s="288" t="n">
        <v>0</v>
      </c>
      <c r="F20" s="275" t="n"/>
      <c r="G20" s="104" t="n">
        <v>0</v>
      </c>
      <c r="H20" s="279" t="n"/>
      <c r="I20" s="288" t="inlineStr">
        <is>
          <t>-</t>
        </is>
      </c>
      <c r="J20" s="275" t="n"/>
      <c r="K20" s="105">
        <f>'29'!K20+'30'!E20</f>
        <v/>
      </c>
      <c r="L20" s="265" t="n"/>
      <c r="M20" s="273">
        <f>'29'!M20+G20</f>
        <v/>
      </c>
      <c r="N20" s="275" t="n"/>
      <c r="O20" s="1" t="n"/>
      <c r="P20" s="264" t="n"/>
      <c r="Q20" s="272" t="n"/>
      <c r="R20" s="265" t="n"/>
      <c r="S20" s="264" t="n"/>
      <c r="T20" s="265" t="n"/>
      <c r="U20" s="264" t="n"/>
      <c r="V20" s="265" t="n"/>
      <c r="W20" s="264" t="n"/>
      <c r="X20" s="265" t="n"/>
      <c r="Y20" s="264" t="n"/>
      <c r="Z20" s="265" t="n"/>
    </row>
    <row r="21" ht="12" customHeight="1" s="25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 t="inlineStr">
        <is>
          <t>5. 전력 사용량 (KWH)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10" t="inlineStr">
        <is>
          <t>6. 유틸리티 사용현황 (㎥)</t>
        </is>
      </c>
      <c r="Q22" s="290" t="n"/>
      <c r="R22" s="290" t="n"/>
      <c r="S22" s="290" t="n"/>
      <c r="T22" s="290" t="n"/>
      <c r="U22" s="290" t="n"/>
      <c r="V22" s="1" t="n"/>
      <c r="W22" s="1" t="n"/>
      <c r="X22" s="1" t="n"/>
      <c r="Y22" s="1" t="n"/>
      <c r="Z22" s="1" t="n"/>
    </row>
    <row r="23" ht="28.5" customHeight="1" s="251" thickBot="1">
      <c r="A23" s="136" t="inlineStr">
        <is>
          <t>구 분</t>
        </is>
      </c>
      <c r="B23" s="270" t="n"/>
      <c r="C23" s="271" t="n"/>
      <c r="D23" s="136" t="inlineStr">
        <is>
          <t>전일지침</t>
        </is>
      </c>
      <c r="E23" s="270" t="n"/>
      <c r="F23" s="271" t="n"/>
      <c r="G23" s="136" t="inlineStr">
        <is>
          <t>금일지침</t>
        </is>
      </c>
      <c r="H23" s="270" t="n"/>
      <c r="I23" s="271" t="n"/>
      <c r="J23" s="136" t="inlineStr">
        <is>
          <t>사용량</t>
        </is>
      </c>
      <c r="K23" s="270" t="n"/>
      <c r="L23" s="271" t="n"/>
      <c r="M23" s="136" t="inlineStr">
        <is>
          <t>누 계</t>
        </is>
      </c>
      <c r="N23" s="271" t="n"/>
      <c r="P23" s="136" t="inlineStr">
        <is>
          <t>구 분</t>
        </is>
      </c>
      <c r="Q23" s="270" t="n"/>
      <c r="R23" s="271" t="n"/>
      <c r="S23" s="136" t="inlineStr">
        <is>
          <t>전일 사용량</t>
        </is>
      </c>
      <c r="T23" s="270" t="n"/>
      <c r="U23" s="271" t="n"/>
      <c r="V23" s="136" t="inlineStr">
        <is>
          <t>금일 사용량</t>
        </is>
      </c>
      <c r="W23" s="270" t="n"/>
      <c r="X23" s="271" t="n"/>
      <c r="Y23" s="136" t="inlineStr">
        <is>
          <t>누 계</t>
        </is>
      </c>
      <c r="Z23" s="271" t="n"/>
    </row>
    <row r="24" ht="21.9" customHeight="1" s="251" thickTop="1">
      <c r="A24" s="105" t="inlineStr">
        <is>
          <t>MAIN</t>
        </is>
      </c>
      <c r="B24" s="272" t="n"/>
      <c r="C24" s="265" t="n"/>
      <c r="D24" s="187">
        <f>'29'!G24</f>
        <v/>
      </c>
      <c r="E24" s="285" t="n"/>
      <c r="F24" s="287" t="n"/>
      <c r="G24" s="164" t="n">
        <v>4349267</v>
      </c>
      <c r="H24" s="304" t="n"/>
      <c r="I24" s="283" t="n"/>
      <c r="J24" s="164">
        <f>IF(G24-D24&lt;0,,G24-D24)</f>
        <v/>
      </c>
      <c r="K24" s="304" t="n"/>
      <c r="L24" s="283" t="n"/>
      <c r="M24" s="164">
        <f>'29'!M24+J24</f>
        <v/>
      </c>
      <c r="N24" s="283" t="n"/>
      <c r="P24" s="105" t="inlineStr">
        <is>
          <t>재이용수</t>
        </is>
      </c>
      <c r="Q24" s="272" t="n"/>
      <c r="R24" s="265" t="n"/>
      <c r="S24" s="105">
        <f>'29'!V24</f>
        <v/>
      </c>
      <c r="T24" s="272" t="n"/>
      <c r="U24" s="265" t="n"/>
      <c r="V24" s="276" t="n">
        <v>543.4</v>
      </c>
      <c r="W24" s="272" t="n"/>
      <c r="X24" s="265" t="n"/>
      <c r="Y24" s="276">
        <f>'29'!Y24+'30'!V24</f>
        <v/>
      </c>
      <c r="Z24" s="265" t="n"/>
    </row>
    <row r="25" ht="21.9" customHeight="1" s="251">
      <c r="A25" s="104" t="inlineStr">
        <is>
          <t>ASH 저장조</t>
        </is>
      </c>
      <c r="B25" s="278" t="n"/>
      <c r="C25" s="279" t="n"/>
      <c r="D25" s="104">
        <f>'29'!G25</f>
        <v/>
      </c>
      <c r="E25" s="278" t="n"/>
      <c r="F25" s="279" t="n"/>
      <c r="G25" s="104" t="n">
        <v>33766.3</v>
      </c>
      <c r="H25" s="278" t="n"/>
      <c r="I25" s="279" t="n"/>
      <c r="J25" s="288">
        <f>IF(G25-D25&lt;0,,G25-D25)</f>
        <v/>
      </c>
      <c r="K25" s="274" t="n"/>
      <c r="L25" s="275" t="n"/>
      <c r="M25" s="288">
        <f>'29'!M25+J25</f>
        <v/>
      </c>
      <c r="N25" s="275" t="n"/>
      <c r="P25" s="104" t="inlineStr">
        <is>
          <t>복류수</t>
        </is>
      </c>
      <c r="Q25" s="278" t="n"/>
      <c r="R25" s="279" t="n"/>
      <c r="S25" s="288">
        <f>'29'!V25</f>
        <v/>
      </c>
      <c r="T25" s="274" t="n"/>
      <c r="U25" s="275" t="n"/>
      <c r="V25" s="280" t="n">
        <v>65.59999999999999</v>
      </c>
      <c r="W25" s="278" t="n"/>
      <c r="X25" s="279" t="n"/>
      <c r="Y25" s="316">
        <f>'29'!Y25+'30'!V25</f>
        <v/>
      </c>
      <c r="Z25" s="275" t="n"/>
    </row>
    <row r="26" ht="21.9" customHeight="1" s="251">
      <c r="A26" s="104" t="inlineStr">
        <is>
          <t>BAG FILTER</t>
        </is>
      </c>
      <c r="B26" s="278" t="n"/>
      <c r="C26" s="279" t="n"/>
      <c r="D26" s="104">
        <f>'29'!G26</f>
        <v/>
      </c>
      <c r="E26" s="278" t="n"/>
      <c r="F26" s="279" t="n"/>
      <c r="G26" s="104" t="n">
        <v>24910</v>
      </c>
      <c r="H26" s="278" t="n"/>
      <c r="I26" s="279" t="n"/>
      <c r="J26" s="288">
        <f>IF(G26-D26&lt;0,,G26-D26)</f>
        <v/>
      </c>
      <c r="K26" s="274" t="n"/>
      <c r="L26" s="275" t="n"/>
      <c r="M26" s="288">
        <f>'29'!M26+J26</f>
        <v/>
      </c>
      <c r="N26" s="275" t="n"/>
      <c r="P26" s="104" t="inlineStr">
        <is>
          <t>응축수</t>
        </is>
      </c>
      <c r="Q26" s="278" t="n"/>
      <c r="R26" s="279" t="n"/>
      <c r="S26" s="288">
        <f>'29'!V26</f>
        <v/>
      </c>
      <c r="T26" s="274" t="n"/>
      <c r="U26" s="275" t="n"/>
      <c r="V26" s="280" t="n">
        <v>589.1</v>
      </c>
      <c r="W26" s="278" t="n"/>
      <c r="X26" s="279" t="n"/>
      <c r="Y26" s="316">
        <f>'29'!Y26+'30'!V26</f>
        <v/>
      </c>
      <c r="Z26" s="275" t="n"/>
    </row>
    <row r="27" ht="21.9" customHeight="1" s="251">
      <c r="A27" s="104" t="inlineStr">
        <is>
          <t>SCRUBBER</t>
        </is>
      </c>
      <c r="B27" s="278" t="n"/>
      <c r="C27" s="279" t="n"/>
      <c r="D27" s="104">
        <f>'29'!G27</f>
        <v/>
      </c>
      <c r="E27" s="278" t="n"/>
      <c r="F27" s="279" t="n"/>
      <c r="G27" s="104" t="n">
        <v>1440000</v>
      </c>
      <c r="H27" s="278" t="n"/>
      <c r="I27" s="279" t="n"/>
      <c r="J27" s="288">
        <f>IF(G27-D27&lt;0,,G27-D27)</f>
        <v/>
      </c>
      <c r="K27" s="274" t="n"/>
      <c r="L27" s="275" t="n"/>
      <c r="M27" s="288">
        <f>'29'!M27+J27</f>
        <v/>
      </c>
      <c r="N27" s="275" t="n"/>
      <c r="P27" s="104" t="inlineStr">
        <is>
          <t>보일러 급수</t>
        </is>
      </c>
      <c r="Q27" s="278" t="n"/>
      <c r="R27" s="279" t="n"/>
      <c r="S27" s="288">
        <f>'29'!V27</f>
        <v/>
      </c>
      <c r="T27" s="274" t="n"/>
      <c r="U27" s="275" t="n"/>
      <c r="V27" s="280" t="n">
        <v>539.7</v>
      </c>
      <c r="W27" s="278" t="n"/>
      <c r="X27" s="279" t="n"/>
      <c r="Y27" s="316">
        <f>'29'!Y27+'30'!V27</f>
        <v/>
      </c>
      <c r="Z27" s="275" t="n"/>
    </row>
    <row r="28" ht="21.9" customHeight="1" s="251">
      <c r="A28" s="104" t="inlineStr">
        <is>
          <t>활성탄 공급</t>
        </is>
      </c>
      <c r="B28" s="278" t="n"/>
      <c r="C28" s="279" t="n"/>
      <c r="D28" s="104">
        <f>'29'!G28</f>
        <v/>
      </c>
      <c r="E28" s="278" t="n"/>
      <c r="F28" s="279" t="n"/>
      <c r="G28" s="104" t="n">
        <v>6541</v>
      </c>
      <c r="H28" s="278" t="n"/>
      <c r="I28" s="279" t="n"/>
      <c r="J28" s="288">
        <f>IF(G28-D28&lt;0,,G28-D28)</f>
        <v/>
      </c>
      <c r="K28" s="274" t="n"/>
      <c r="L28" s="275" t="n"/>
      <c r="M28" s="288">
        <f>'29'!M28+J28</f>
        <v/>
      </c>
      <c r="N28" s="275" t="n"/>
      <c r="P28" s="104" t="inlineStr">
        <is>
          <t>폐 수</t>
        </is>
      </c>
      <c r="Q28" s="278" t="n"/>
      <c r="R28" s="279" t="n"/>
      <c r="S28" s="288">
        <f>'29'!V28</f>
        <v/>
      </c>
      <c r="T28" s="274" t="n"/>
      <c r="U28" s="275" t="n"/>
      <c r="V28" s="280" t="n">
        <v>0</v>
      </c>
      <c r="W28" s="278" t="n"/>
      <c r="X28" s="279" t="n"/>
      <c r="Y28" s="316">
        <f>'29'!Y28+'30'!V28</f>
        <v/>
      </c>
      <c r="Z28" s="275" t="n"/>
    </row>
    <row r="29" ht="21.9" customHeight="1" s="251">
      <c r="A29" s="104" t="inlineStr">
        <is>
          <t>소석회 공급</t>
        </is>
      </c>
      <c r="B29" s="278" t="n"/>
      <c r="C29" s="279" t="n"/>
      <c r="D29" s="104">
        <f>'29'!G29</f>
        <v/>
      </c>
      <c r="E29" s="278" t="n"/>
      <c r="F29" s="279" t="n"/>
      <c r="G29" s="104" t="n">
        <v>66260</v>
      </c>
      <c r="H29" s="278" t="n"/>
      <c r="I29" s="279" t="n"/>
      <c r="J29" s="288">
        <f>IF(G29-D29&lt;0,,G29-D29)</f>
        <v/>
      </c>
      <c r="K29" s="274" t="n"/>
      <c r="L29" s="275" t="n"/>
      <c r="M29" s="288">
        <f>'29'!M29+J29</f>
        <v/>
      </c>
      <c r="N29" s="275" t="n"/>
      <c r="P29" s="104" t="inlineStr">
        <is>
          <t>연 수</t>
        </is>
      </c>
      <c r="Q29" s="278" t="n"/>
      <c r="R29" s="279" t="n"/>
      <c r="S29" s="288">
        <f>'29'!V29</f>
        <v/>
      </c>
      <c r="T29" s="274" t="n"/>
      <c r="U29" s="275" t="n"/>
      <c r="V29" s="280" t="n">
        <v>77.5</v>
      </c>
      <c r="W29" s="278" t="n"/>
      <c r="X29" s="279" t="n"/>
      <c r="Y29" s="316">
        <f>'29'!Y29+'30'!V29</f>
        <v/>
      </c>
      <c r="Z29" s="275" t="n"/>
    </row>
    <row r="30" ht="21.9" customHeight="1" s="251">
      <c r="A30" s="104" t="inlineStr">
        <is>
          <t>요소수 공급</t>
        </is>
      </c>
      <c r="B30" s="278" t="n"/>
      <c r="C30" s="279" t="n"/>
      <c r="D30" s="104">
        <f>'29'!G30</f>
        <v/>
      </c>
      <c r="E30" s="278" t="n"/>
      <c r="F30" s="279" t="n"/>
      <c r="G30" s="104" t="n">
        <v>53600</v>
      </c>
      <c r="H30" s="278" t="n"/>
      <c r="I30" s="279" t="n"/>
      <c r="J30" s="288">
        <f>IF(G30-D30&lt;0,,G30-D30)</f>
        <v/>
      </c>
      <c r="K30" s="274" t="n"/>
      <c r="L30" s="275" t="n"/>
      <c r="M30" s="288">
        <f>'29'!M30+J30</f>
        <v/>
      </c>
      <c r="N30" s="275" t="n"/>
      <c r="P30" s="104" t="inlineStr">
        <is>
          <t>계</t>
        </is>
      </c>
      <c r="Q30" s="278" t="n"/>
      <c r="R30" s="279" t="n"/>
      <c r="S30" s="288">
        <f>'29'!V30</f>
        <v/>
      </c>
      <c r="T30" s="274" t="n"/>
      <c r="U30" s="275" t="n"/>
      <c r="V30" s="280" t="n"/>
      <c r="W30" s="278" t="n"/>
      <c r="X30" s="279" t="n"/>
      <c r="Y30" s="316">
        <f>'29'!Y30+'30'!V30</f>
        <v/>
      </c>
      <c r="Z30" s="275" t="n"/>
    </row>
    <row r="31" ht="21.9" customHeight="1" s="251">
      <c r="A31" s="104" t="inlineStr">
        <is>
          <t xml:space="preserve">F.D </t>
        </is>
      </c>
      <c r="B31" s="278" t="n"/>
      <c r="C31" s="279" t="n"/>
      <c r="D31" s="104">
        <f>'29'!G31</f>
        <v/>
      </c>
      <c r="E31" s="278" t="n"/>
      <c r="F31" s="279" t="n"/>
      <c r="G31" s="288" t="n">
        <v>6434557</v>
      </c>
      <c r="H31" s="274" t="n"/>
      <c r="I31" s="275" t="n"/>
      <c r="J31" s="104">
        <f>G31-D31</f>
        <v/>
      </c>
      <c r="K31" s="278" t="n"/>
      <c r="L31" s="279" t="n"/>
      <c r="M31" s="288">
        <f>'29'!M31+J31</f>
        <v/>
      </c>
      <c r="N31" s="275" t="n"/>
      <c r="P31" s="172" t="n"/>
      <c r="Q31" s="172" t="n"/>
      <c r="R31" s="172" t="n"/>
      <c r="S31" s="172" t="n"/>
      <c r="T31" s="172" t="n"/>
      <c r="U31" s="172" t="n"/>
      <c r="V31" s="305" t="n"/>
      <c r="W31" s="305" t="n"/>
      <c r="X31" s="305" t="n"/>
      <c r="Y31" s="305" t="n"/>
      <c r="Z31" s="305" t="n"/>
    </row>
    <row r="32" ht="21.9" customHeight="1" s="251">
      <c r="A32" s="104" t="inlineStr">
        <is>
          <t>활성탄 BAG</t>
        </is>
      </c>
      <c r="B32" s="278" t="n"/>
      <c r="C32" s="279" t="n"/>
      <c r="D32" s="104">
        <f>'29'!G32</f>
        <v/>
      </c>
      <c r="E32" s="278" t="n"/>
      <c r="F32" s="279" t="n"/>
      <c r="G32" s="288" t="n">
        <v>1.8</v>
      </c>
      <c r="H32" s="274" t="n"/>
      <c r="I32" s="275" t="n"/>
      <c r="J32" s="288">
        <f>G32-D32</f>
        <v/>
      </c>
      <c r="K32" s="274" t="n"/>
      <c r="L32" s="275" t="n"/>
      <c r="M32" s="288">
        <f>'29'!M32+J32</f>
        <v/>
      </c>
      <c r="N32" s="275" t="n"/>
      <c r="P32" s="172" t="n"/>
      <c r="Q32" s="172" t="n"/>
      <c r="R32" s="172" t="n"/>
      <c r="S32" s="172" t="n"/>
      <c r="T32" s="172" t="n"/>
      <c r="U32" s="172" t="n"/>
      <c r="V32" s="305" t="n"/>
      <c r="W32" s="305" t="n"/>
      <c r="X32" s="305" t="n"/>
      <c r="Y32" s="305" t="n"/>
      <c r="Z32" s="305" t="n"/>
    </row>
    <row r="33" ht="21.9" customHeight="1" s="251">
      <c r="A33" s="104" t="inlineStr">
        <is>
          <t>소석회 BAG</t>
        </is>
      </c>
      <c r="B33" s="278" t="n"/>
      <c r="C33" s="279" t="n"/>
      <c r="D33" s="104">
        <f>'29'!G33</f>
        <v/>
      </c>
      <c r="E33" s="278" t="n"/>
      <c r="F33" s="279" t="n"/>
      <c r="G33" s="288" t="n">
        <v>0</v>
      </c>
      <c r="H33" s="274" t="n"/>
      <c r="I33" s="275" t="n"/>
      <c r="J33" s="288">
        <f>G33-D33</f>
        <v/>
      </c>
      <c r="K33" s="274" t="n"/>
      <c r="L33" s="275" t="n"/>
      <c r="M33" s="288">
        <f>'29'!M33+J33</f>
        <v/>
      </c>
      <c r="N33" s="275" t="n"/>
      <c r="P33" s="172" t="n"/>
      <c r="Q33" s="172" t="n"/>
      <c r="R33" s="172" t="n"/>
      <c r="S33" s="172" t="n"/>
      <c r="T33" s="172" t="n"/>
      <c r="U33" s="172" t="n"/>
      <c r="V33" s="305" t="n"/>
      <c r="W33" s="305" t="n"/>
      <c r="X33" s="305" t="n"/>
      <c r="Y33" s="305" t="n"/>
      <c r="Z33" s="305" t="n"/>
    </row>
  </sheetData>
  <mergeCells count="217">
    <mergeCell ref="V24:X24"/>
    <mergeCell ref="A15:B15"/>
    <mergeCell ref="P27:R27"/>
    <mergeCell ref="C15:D15"/>
    <mergeCell ref="S23:U23"/>
    <mergeCell ref="J27:L27"/>
    <mergeCell ref="S14:V15"/>
    <mergeCell ref="Y24:Z24"/>
    <mergeCell ref="U7:W7"/>
    <mergeCell ref="A26:C26"/>
    <mergeCell ref="G24:I24"/>
    <mergeCell ref="J25:L25"/>
    <mergeCell ref="D28:F28"/>
    <mergeCell ref="I16:J16"/>
    <mergeCell ref="A23:C23"/>
    <mergeCell ref="P6:Q6"/>
    <mergeCell ref="S24:U24"/>
    <mergeCell ref="P28:R28"/>
    <mergeCell ref="W1:X1"/>
    <mergeCell ref="Y1:Z1"/>
    <mergeCell ref="G26:I26"/>
    <mergeCell ref="S16:T17"/>
    <mergeCell ref="D30:F30"/>
    <mergeCell ref="B1:C1"/>
    <mergeCell ref="U8:W8"/>
    <mergeCell ref="G18:H18"/>
    <mergeCell ref="I18:J18"/>
    <mergeCell ref="H3:S3"/>
    <mergeCell ref="M16:N16"/>
    <mergeCell ref="P30:R30"/>
    <mergeCell ref="M25:N25"/>
    <mergeCell ref="D29:F29"/>
    <mergeCell ref="D23:F23"/>
    <mergeCell ref="Y25:Z25"/>
    <mergeCell ref="M18:N18"/>
    <mergeCell ref="M33:N33"/>
    <mergeCell ref="A17:B17"/>
    <mergeCell ref="C17:D17"/>
    <mergeCell ref="S25:U25"/>
    <mergeCell ref="U18:V20"/>
    <mergeCell ref="J29:L29"/>
    <mergeCell ref="M17:N17"/>
    <mergeCell ref="W18:X20"/>
    <mergeCell ref="G20:H20"/>
    <mergeCell ref="I20:J20"/>
    <mergeCell ref="S27:U27"/>
    <mergeCell ref="A19:B19"/>
    <mergeCell ref="V23:X23"/>
    <mergeCell ref="A6:C6"/>
    <mergeCell ref="Y2:Z3"/>
    <mergeCell ref="C19:D19"/>
    <mergeCell ref="Y18:Z20"/>
    <mergeCell ref="M19:N19"/>
    <mergeCell ref="P22:U22"/>
    <mergeCell ref="I13:J13"/>
    <mergeCell ref="K13:L13"/>
    <mergeCell ref="X7:Z7"/>
    <mergeCell ref="E12:F12"/>
    <mergeCell ref="J24:L24"/>
    <mergeCell ref="G12:H12"/>
    <mergeCell ref="D27:F27"/>
    <mergeCell ref="G28:I28"/>
    <mergeCell ref="G6:I6"/>
    <mergeCell ref="I15:J15"/>
    <mergeCell ref="A11:B11"/>
    <mergeCell ref="K15:L15"/>
    <mergeCell ref="S28:U28"/>
    <mergeCell ref="C14:D14"/>
    <mergeCell ref="E14:F14"/>
    <mergeCell ref="J26:L26"/>
    <mergeCell ref="G30:I30"/>
    <mergeCell ref="J7:L7"/>
    <mergeCell ref="V27:X27"/>
    <mergeCell ref="A32:C32"/>
    <mergeCell ref="A29:C29"/>
    <mergeCell ref="D25:F25"/>
    <mergeCell ref="V25:X25"/>
    <mergeCell ref="Y26:Z26"/>
    <mergeCell ref="M13:N13"/>
    <mergeCell ref="G32:I32"/>
    <mergeCell ref="J33:L33"/>
    <mergeCell ref="W14:Z15"/>
    <mergeCell ref="A31:C31"/>
    <mergeCell ref="S26:U26"/>
    <mergeCell ref="M27:N27"/>
    <mergeCell ref="I17:J17"/>
    <mergeCell ref="A24:C24"/>
    <mergeCell ref="Y27:Z27"/>
    <mergeCell ref="K17:L17"/>
    <mergeCell ref="P29:R29"/>
    <mergeCell ref="M24:N24"/>
    <mergeCell ref="E16:F16"/>
    <mergeCell ref="G27:I27"/>
    <mergeCell ref="G16:H16"/>
    <mergeCell ref="U2:V3"/>
    <mergeCell ref="J28:L28"/>
    <mergeCell ref="D31:F31"/>
    <mergeCell ref="I19:J19"/>
    <mergeCell ref="U1:V1"/>
    <mergeCell ref="G8:I8"/>
    <mergeCell ref="K19:L19"/>
    <mergeCell ref="C18:D18"/>
    <mergeCell ref="A7:C7"/>
    <mergeCell ref="E18:F18"/>
    <mergeCell ref="V29:X29"/>
    <mergeCell ref="J30:L30"/>
    <mergeCell ref="R6:T6"/>
    <mergeCell ref="K16:L16"/>
    <mergeCell ref="A25:C25"/>
    <mergeCell ref="J6:L6"/>
    <mergeCell ref="D1:E1"/>
    <mergeCell ref="D32:F32"/>
    <mergeCell ref="G11:H11"/>
    <mergeCell ref="I11:J11"/>
    <mergeCell ref="W11:Z11"/>
    <mergeCell ref="P23:R23"/>
    <mergeCell ref="D7:F7"/>
    <mergeCell ref="Y16:Z17"/>
    <mergeCell ref="S18:T20"/>
    <mergeCell ref="C20:D20"/>
    <mergeCell ref="Y30:Z30"/>
    <mergeCell ref="K11:L11"/>
    <mergeCell ref="E20:F20"/>
    <mergeCell ref="J32:L32"/>
    <mergeCell ref="M11:N11"/>
    <mergeCell ref="Y29:Z29"/>
    <mergeCell ref="H1:S2"/>
    <mergeCell ref="V26:X26"/>
    <mergeCell ref="E13:F13"/>
    <mergeCell ref="S30:U30"/>
    <mergeCell ref="G13:H13"/>
    <mergeCell ref="D8:F8"/>
    <mergeCell ref="G29:I29"/>
    <mergeCell ref="M31:N31"/>
    <mergeCell ref="D33:F33"/>
    <mergeCell ref="W12:Z13"/>
    <mergeCell ref="A12:B12"/>
    <mergeCell ref="A28:C28"/>
    <mergeCell ref="A1:A3"/>
    <mergeCell ref="C12:D12"/>
    <mergeCell ref="S29:U29"/>
    <mergeCell ref="M15:N15"/>
    <mergeCell ref="M12:N12"/>
    <mergeCell ref="E15:F15"/>
    <mergeCell ref="G15:H15"/>
    <mergeCell ref="G31:I31"/>
    <mergeCell ref="P18:R20"/>
    <mergeCell ref="Y28:Z28"/>
    <mergeCell ref="J8:L8"/>
    <mergeCell ref="A14:B14"/>
    <mergeCell ref="A30:C30"/>
    <mergeCell ref="M26:N26"/>
    <mergeCell ref="U6:W6"/>
    <mergeCell ref="P25:R25"/>
    <mergeCell ref="M29:N29"/>
    <mergeCell ref="M23:N23"/>
    <mergeCell ref="F2:G3"/>
    <mergeCell ref="G23:I23"/>
    <mergeCell ref="U16:V17"/>
    <mergeCell ref="Y23:Z23"/>
    <mergeCell ref="W16:X17"/>
    <mergeCell ref="D6:F6"/>
    <mergeCell ref="G7:I7"/>
    <mergeCell ref="F1:G1"/>
    <mergeCell ref="P12:R13"/>
    <mergeCell ref="K18:L18"/>
    <mergeCell ref="T1:T3"/>
    <mergeCell ref="V28:X28"/>
    <mergeCell ref="P11:R11"/>
    <mergeCell ref="P14:R15"/>
    <mergeCell ref="A27:C27"/>
    <mergeCell ref="W2:X3"/>
    <mergeCell ref="V30:X30"/>
    <mergeCell ref="E17:F17"/>
    <mergeCell ref="G17:H17"/>
    <mergeCell ref="G33:I33"/>
    <mergeCell ref="X6:Z6"/>
    <mergeCell ref="A16:B16"/>
    <mergeCell ref="K20:L20"/>
    <mergeCell ref="A33:C33"/>
    <mergeCell ref="C16:D16"/>
    <mergeCell ref="M20:N20"/>
    <mergeCell ref="A8:C8"/>
    <mergeCell ref="E19:F19"/>
    <mergeCell ref="P8:Q8"/>
    <mergeCell ref="J31:L31"/>
    <mergeCell ref="G19:H19"/>
    <mergeCell ref="A18:B18"/>
    <mergeCell ref="D24:F24"/>
    <mergeCell ref="G25:I25"/>
    <mergeCell ref="M30:N30"/>
    <mergeCell ref="I12:J12"/>
    <mergeCell ref="K12:L12"/>
    <mergeCell ref="P7:Q7"/>
    <mergeCell ref="P24:R24"/>
    <mergeCell ref="C11:D11"/>
    <mergeCell ref="E11:F11"/>
    <mergeCell ref="M28:N28"/>
    <mergeCell ref="J23:L23"/>
    <mergeCell ref="S11:V11"/>
    <mergeCell ref="G14:H14"/>
    <mergeCell ref="D26:F26"/>
    <mergeCell ref="R8:T8"/>
    <mergeCell ref="I14:J14"/>
    <mergeCell ref="K14:L14"/>
    <mergeCell ref="P26:R26"/>
    <mergeCell ref="P16:R17"/>
    <mergeCell ref="A20:B20"/>
    <mergeCell ref="B2:C3"/>
    <mergeCell ref="D2:E3"/>
    <mergeCell ref="M32:N32"/>
    <mergeCell ref="M14:N14"/>
    <mergeCell ref="X8:Z8"/>
    <mergeCell ref="A13:B13"/>
    <mergeCell ref="C13:D13"/>
    <mergeCell ref="R7:T7"/>
    <mergeCell ref="S12:V13"/>
  </mergeCells>
  <pageMargins left="0.7086614173228347" right="0.7086614173228347" top="0.7480314960629921" bottom="0.7480314960629921" header="0.3149606299212598" footer="0.3149606299212598"/>
  <pageSetup orientation="portrait" paperSize="9" scale="59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AE33"/>
  <sheetViews>
    <sheetView zoomScaleNormal="100" zoomScaleSheetLayoutView="100" workbookViewId="0">
      <selection activeCell="U8" sqref="U8:W8"/>
    </sheetView>
  </sheetViews>
  <sheetFormatPr baseColWidth="8" defaultRowHeight="17.4"/>
  <cols>
    <col width="2.8984375" customWidth="1" style="251" min="1" max="1"/>
    <col width="5.59765625" customWidth="1" style="251" min="2" max="14"/>
    <col width="3.59765625" customWidth="1" style="251" min="15" max="15"/>
    <col width="4.59765625" customWidth="1" style="251" min="16" max="22"/>
    <col width="5.59765625" customWidth="1" style="251" min="23" max="26"/>
  </cols>
  <sheetData>
    <row r="1" ht="18.75" customHeight="1" s="251">
      <c r="A1" s="122" t="inlineStr">
        <is>
          <t>근
무
자</t>
        </is>
      </c>
      <c r="B1" s="120" t="inlineStr">
        <is>
          <t>오  전</t>
        </is>
      </c>
      <c r="C1" s="252" t="n"/>
      <c r="D1" s="120" t="inlineStr">
        <is>
          <t>오  후</t>
        </is>
      </c>
      <c r="E1" s="252" t="n"/>
      <c r="F1" s="120" t="inlineStr">
        <is>
          <t>야  간</t>
        </is>
      </c>
      <c r="G1" s="252" t="n"/>
      <c r="H1" s="253" t="inlineStr">
        <is>
          <t>유동상소각로 운전일지</t>
        </is>
      </c>
      <c r="S1" s="254" t="n"/>
      <c r="T1" s="255" t="inlineStr">
        <is>
          <t>결
재</t>
        </is>
      </c>
      <c r="U1" s="120" t="inlineStr">
        <is>
          <t>반장</t>
        </is>
      </c>
      <c r="V1" s="252" t="n"/>
      <c r="W1" s="120" t="inlineStr">
        <is>
          <t>대리</t>
        </is>
      </c>
      <c r="X1" s="252" t="n"/>
      <c r="Y1" s="120" t="inlineStr">
        <is>
          <t>팀장</t>
        </is>
      </c>
      <c r="Z1" s="252" t="n"/>
    </row>
    <row r="2" ht="14.25" customHeight="1" s="251">
      <c r="A2" s="256" t="n"/>
      <c r="B2" s="257" t="inlineStr">
        <is>
          <t>김동욱</t>
        </is>
      </c>
      <c r="C2" s="258" t="n"/>
      <c r="D2" s="257" t="inlineStr">
        <is>
          <t>김동욱,김문한</t>
        </is>
      </c>
      <c r="E2" s="258" t="n"/>
      <c r="F2" s="257" t="inlineStr">
        <is>
          <t>김문한</t>
        </is>
      </c>
      <c r="G2" s="258" t="n"/>
      <c r="H2" s="259" t="n"/>
      <c r="I2" s="260" t="n"/>
      <c r="J2" s="260" t="n"/>
      <c r="K2" s="260" t="n"/>
      <c r="L2" s="260" t="n"/>
      <c r="M2" s="260" t="n"/>
      <c r="N2" s="260" t="n"/>
      <c r="O2" s="260" t="n"/>
      <c r="P2" s="260" t="n"/>
      <c r="Q2" s="260" t="n"/>
      <c r="R2" s="260" t="n"/>
      <c r="S2" s="261" t="n"/>
      <c r="T2" s="262" t="n"/>
      <c r="U2" s="105" t="n"/>
      <c r="V2" s="254" t="n"/>
      <c r="W2" s="105" t="n"/>
      <c r="X2" s="254" t="n"/>
      <c r="Y2" s="105" t="n"/>
      <c r="Z2" s="254" t="n"/>
    </row>
    <row r="3" ht="37.5" customHeight="1" s="251">
      <c r="A3" s="263" t="n"/>
      <c r="B3" s="264" t="n"/>
      <c r="C3" s="265" t="n"/>
      <c r="D3" s="264" t="n"/>
      <c r="E3" s="265" t="n"/>
      <c r="F3" s="264" t="n"/>
      <c r="G3" s="265" t="n"/>
      <c r="H3" s="266" t="n">
        <v>46234</v>
      </c>
      <c r="I3" s="267" t="n"/>
      <c r="J3" s="267" t="n"/>
      <c r="K3" s="267" t="n"/>
      <c r="L3" s="267" t="n"/>
      <c r="M3" s="267" t="n"/>
      <c r="N3" s="267" t="n"/>
      <c r="O3" s="267" t="n"/>
      <c r="P3" s="267" t="n"/>
      <c r="Q3" s="267" t="n"/>
      <c r="R3" s="267" t="n"/>
      <c r="S3" s="268" t="n"/>
      <c r="T3" s="269" t="n"/>
      <c r="U3" s="264" t="n"/>
      <c r="V3" s="265" t="n"/>
      <c r="W3" s="264" t="n"/>
      <c r="X3" s="265" t="n"/>
      <c r="Y3" s="264" t="n"/>
      <c r="Z3" s="265" t="n"/>
    </row>
    <row r="4" ht="13.5" customHeight="1" s="25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inlineStr">
        <is>
          <t>1. 소각현황(KG)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inlineStr">
        <is>
          <t>2. BOILER 운전현황(TON, HR)</t>
        </is>
      </c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2.5" customHeight="1" s="251" thickBot="1">
      <c r="A6" s="136" t="inlineStr">
        <is>
          <t>구 분</t>
        </is>
      </c>
      <c r="B6" s="270" t="n"/>
      <c r="C6" s="271" t="n"/>
      <c r="D6" s="136" t="inlineStr">
        <is>
          <t>SRF소각량</t>
        </is>
      </c>
      <c r="E6" s="270" t="n"/>
      <c r="F6" s="271" t="n"/>
      <c r="G6" s="136" t="inlineStr">
        <is>
          <t>SLUDGE 소각량</t>
        </is>
      </c>
      <c r="H6" s="270" t="n"/>
      <c r="I6" s="271" t="n"/>
      <c r="J6" s="136" t="inlineStr">
        <is>
          <t>합 계</t>
        </is>
      </c>
      <c r="K6" s="270" t="n"/>
      <c r="L6" s="271" t="n"/>
      <c r="M6" s="1" t="n"/>
      <c r="N6" s="1" t="n"/>
      <c r="O6" s="1" t="n"/>
      <c r="P6" s="136" t="inlineStr">
        <is>
          <t>구 분</t>
        </is>
      </c>
      <c r="Q6" s="271" t="n"/>
      <c r="R6" s="136" t="inlineStr">
        <is>
          <t>스팀 생산량</t>
        </is>
      </c>
      <c r="S6" s="270" t="n"/>
      <c r="T6" s="271" t="n"/>
      <c r="U6" s="136" t="inlineStr">
        <is>
          <t>스팀 송기량</t>
        </is>
      </c>
      <c r="V6" s="270" t="n"/>
      <c r="W6" s="271" t="n"/>
      <c r="X6" s="136" t="inlineStr">
        <is>
          <t>가동시간</t>
        </is>
      </c>
      <c r="Y6" s="270" t="n"/>
      <c r="Z6" s="271" t="n"/>
    </row>
    <row r="7" ht="30" customHeight="1" s="251" thickTop="1">
      <c r="A7" s="105" t="inlineStr">
        <is>
          <t>금 일</t>
        </is>
      </c>
      <c r="B7" s="272" t="n"/>
      <c r="C7" s="265" t="n"/>
      <c r="D7" s="139" t="n">
        <v>56104</v>
      </c>
      <c r="E7" s="272" t="n"/>
      <c r="F7" s="265" t="n"/>
      <c r="G7" s="139" t="n">
        <v>188400</v>
      </c>
      <c r="H7" s="272" t="n"/>
      <c r="I7" s="265" t="n"/>
      <c r="J7" s="154">
        <f>D7+G7</f>
        <v/>
      </c>
      <c r="K7" s="278" t="n"/>
      <c r="L7" s="279" t="n"/>
      <c r="M7" s="1" t="n"/>
      <c r="N7" s="1" t="n"/>
      <c r="O7" s="1" t="n"/>
      <c r="P7" s="105" t="inlineStr">
        <is>
          <t>금 일</t>
        </is>
      </c>
      <c r="Q7" s="265" t="n"/>
      <c r="R7" s="276" t="n">
        <v>494.7</v>
      </c>
      <c r="S7" s="272" t="n"/>
      <c r="T7" s="265" t="n"/>
      <c r="U7" s="276" t="n">
        <v>286.4</v>
      </c>
      <c r="V7" s="272" t="n"/>
      <c r="W7" s="265" t="n"/>
      <c r="X7" s="277" t="n">
        <v>24</v>
      </c>
      <c r="Y7" s="272" t="n"/>
      <c r="Z7" s="265" t="n"/>
    </row>
    <row r="8" ht="30" customHeight="1" s="251">
      <c r="A8" s="104" t="inlineStr">
        <is>
          <t>누 계</t>
        </is>
      </c>
      <c r="B8" s="278" t="n"/>
      <c r="C8" s="279" t="n"/>
      <c r="D8" s="154">
        <f>'30'!D8+'31'!D7</f>
        <v/>
      </c>
      <c r="E8" s="278" t="n"/>
      <c r="F8" s="279" t="n"/>
      <c r="G8" s="154">
        <f>'30'!G8+'31'!G7</f>
        <v/>
      </c>
      <c r="H8" s="278" t="n"/>
      <c r="I8" s="279" t="n"/>
      <c r="J8" s="154">
        <f>D8+G8</f>
        <v/>
      </c>
      <c r="K8" s="278" t="n"/>
      <c r="L8" s="279" t="n"/>
      <c r="M8" s="1" t="n"/>
      <c r="N8" s="1" t="n"/>
      <c r="O8" s="1" t="n"/>
      <c r="P8" s="104" t="inlineStr">
        <is>
          <t>누 계</t>
        </is>
      </c>
      <c r="Q8" s="279" t="n"/>
      <c r="R8" s="280">
        <f>'30'!R8+R7</f>
        <v/>
      </c>
      <c r="S8" s="278" t="n"/>
      <c r="T8" s="279" t="n"/>
      <c r="U8" s="280">
        <f>'30'!U8+U7</f>
        <v/>
      </c>
      <c r="V8" s="278" t="n"/>
      <c r="W8" s="279" t="n"/>
      <c r="X8" s="281">
        <f>'30'!X8+'31'!X7</f>
        <v/>
      </c>
      <c r="Y8" s="278" t="n"/>
      <c r="Z8" s="279" t="n"/>
    </row>
    <row r="9" ht="12" customHeight="1" s="25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inlineStr">
        <is>
          <t>3. 약품 사용현황 (KG)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inlineStr">
        <is>
          <t>4. 소각재 발생량 (TON, 대)</t>
        </is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30.75" customHeight="1" s="251" thickBot="1">
      <c r="A11" s="136" t="inlineStr">
        <is>
          <t>품 명</t>
        </is>
      </c>
      <c r="B11" s="271" t="n"/>
      <c r="C11" s="150" t="inlineStr">
        <is>
          <t>전일 
재고량</t>
        </is>
      </c>
      <c r="D11" s="271" t="n"/>
      <c r="E11" s="136" t="inlineStr">
        <is>
          <t>입고량</t>
        </is>
      </c>
      <c r="F11" s="271" t="n"/>
      <c r="G11" s="136" t="inlineStr">
        <is>
          <t>사용량</t>
        </is>
      </c>
      <c r="H11" s="271" t="n"/>
      <c r="I11" s="282" t="inlineStr">
        <is>
          <t>재고량</t>
        </is>
      </c>
      <c r="J11" s="271" t="n"/>
      <c r="K11" s="150" t="inlineStr">
        <is>
          <t>입고량 
누계</t>
        </is>
      </c>
      <c r="L11" s="271" t="n"/>
      <c r="M11" s="150" t="inlineStr">
        <is>
          <t>사용량 
누계</t>
        </is>
      </c>
      <c r="N11" s="271" t="n"/>
      <c r="O11" s="1" t="n"/>
      <c r="P11" s="136" t="inlineStr">
        <is>
          <t xml:space="preserve"> 구 분</t>
        </is>
      </c>
      <c r="Q11" s="270" t="n"/>
      <c r="R11" s="271" t="n"/>
      <c r="S11" s="282" t="inlineStr">
        <is>
          <t>반출량</t>
        </is>
      </c>
      <c r="T11" s="270" t="n"/>
      <c r="U11" s="270" t="n"/>
      <c r="V11" s="271" t="n"/>
      <c r="W11" s="282" t="inlineStr">
        <is>
          <t>누계</t>
        </is>
      </c>
      <c r="X11" s="270" t="n"/>
      <c r="Y11" s="270" t="n"/>
      <c r="Z11" s="271" t="n"/>
    </row>
    <row r="12" ht="21.9" customHeight="1" s="251" thickTop="1">
      <c r="A12" s="142" t="inlineStr">
        <is>
          <t>탄산암모늄</t>
        </is>
      </c>
      <c r="B12" s="265" t="n"/>
      <c r="C12" s="310">
        <f>'30'!I12</f>
        <v/>
      </c>
      <c r="D12" s="265" t="n"/>
      <c r="E12" s="105" t="n">
        <v>13800</v>
      </c>
      <c r="F12" s="265" t="n"/>
      <c r="G12" s="105" t="n">
        <v>4015</v>
      </c>
      <c r="H12" s="265" t="n"/>
      <c r="I12" s="164">
        <f>C12+E12-G12</f>
        <v/>
      </c>
      <c r="J12" s="283" t="n"/>
      <c r="K12" s="105">
        <f>'30'!K12+'31'!E12</f>
        <v/>
      </c>
      <c r="L12" s="265" t="n"/>
      <c r="M12" s="105">
        <f>'30'!M12+G12</f>
        <v/>
      </c>
      <c r="N12" s="265" t="n"/>
      <c r="O12" s="1" t="n"/>
      <c r="P12" s="149" t="inlineStr">
        <is>
          <t xml:space="preserve">
비산재
</t>
        </is>
      </c>
      <c r="R12" s="254" t="n"/>
      <c r="S12" s="284" t="n">
        <v>27.32</v>
      </c>
      <c r="T12" s="285" t="n"/>
      <c r="U12" s="285" t="n"/>
      <c r="V12" s="285" t="n"/>
      <c r="W12" s="318">
        <f>'30'!W12+'31'!S12</f>
        <v/>
      </c>
      <c r="X12" s="285" t="n"/>
      <c r="Y12" s="285" t="n"/>
      <c r="Z12" s="287" t="n"/>
    </row>
    <row r="13" ht="21.9" customHeight="1" s="251">
      <c r="A13" s="104" t="inlineStr">
        <is>
          <t>청관제</t>
        </is>
      </c>
      <c r="B13" s="279" t="n"/>
      <c r="C13" s="310">
        <f>'30'!I13</f>
        <v/>
      </c>
      <c r="D13" s="265" t="n"/>
      <c r="E13" s="104" t="n">
        <v>0</v>
      </c>
      <c r="F13" s="279" t="n"/>
      <c r="G13" s="104" t="n">
        <v>90</v>
      </c>
      <c r="H13" s="279" t="n"/>
      <c r="I13" s="288">
        <f>C13+E13-G13</f>
        <v/>
      </c>
      <c r="J13" s="275" t="n"/>
      <c r="K13" s="288">
        <f>'30'!K13+'31'!E13</f>
        <v/>
      </c>
      <c r="L13" s="275" t="n"/>
      <c r="M13" s="288">
        <f>'30'!M13+G13</f>
        <v/>
      </c>
      <c r="N13" s="275" t="n"/>
      <c r="O13" s="1" t="n"/>
      <c r="P13" s="264" t="n"/>
      <c r="Q13" s="272" t="n"/>
      <c r="R13" s="265" t="n"/>
      <c r="S13" s="289" t="n"/>
      <c r="T13" s="290" t="n"/>
      <c r="U13" s="290" t="n"/>
      <c r="V13" s="290" t="n"/>
      <c r="W13" s="264" t="n"/>
      <c r="X13" s="272" t="n"/>
      <c r="Y13" s="272" t="n"/>
      <c r="Z13" s="265" t="n"/>
    </row>
    <row r="14" ht="21.9" customHeight="1" s="251">
      <c r="A14" s="104" t="inlineStr">
        <is>
          <t>활성탄</t>
        </is>
      </c>
      <c r="B14" s="279" t="n"/>
      <c r="C14" s="310">
        <f>'30'!I14</f>
        <v/>
      </c>
      <c r="D14" s="265" t="n"/>
      <c r="E14" s="104" t="n">
        <v>0</v>
      </c>
      <c r="F14" s="279" t="n"/>
      <c r="G14" s="104" t="n">
        <v>120</v>
      </c>
      <c r="H14" s="279" t="n"/>
      <c r="I14" s="288">
        <f>C14+E14-G14</f>
        <v/>
      </c>
      <c r="J14" s="275" t="n"/>
      <c r="K14" s="288">
        <f>'30'!K14+'31'!E14</f>
        <v/>
      </c>
      <c r="L14" s="275" t="n"/>
      <c r="M14" s="288">
        <f>'30'!M14+G14</f>
        <v/>
      </c>
      <c r="N14" s="275" t="n"/>
      <c r="O14" s="1" t="n"/>
      <c r="P14" s="104" t="inlineStr">
        <is>
          <t>바닥재</t>
        </is>
      </c>
      <c r="Q14" s="291" t="n"/>
      <c r="R14" s="292" t="n"/>
      <c r="S14" s="293" t="n">
        <v>0</v>
      </c>
      <c r="T14" s="291" t="n"/>
      <c r="U14" s="291" t="n"/>
      <c r="V14" s="291" t="n"/>
      <c r="W14" s="311">
        <f>'30'!W14+'31'!S14</f>
        <v/>
      </c>
      <c r="X14" s="291" t="n"/>
      <c r="Y14" s="291" t="n"/>
      <c r="Z14" s="295" t="n"/>
    </row>
    <row r="15" ht="21.9" customHeight="1" s="251">
      <c r="A15" s="104" t="inlineStr">
        <is>
          <t>가성소다</t>
        </is>
      </c>
      <c r="B15" s="279" t="n"/>
      <c r="C15" s="310">
        <f>'30'!I15</f>
        <v/>
      </c>
      <c r="D15" s="265" t="n"/>
      <c r="E15" s="104" t="n">
        <v>0</v>
      </c>
      <c r="F15" s="279" t="n"/>
      <c r="G15" s="104" t="n">
        <v>0</v>
      </c>
      <c r="H15" s="279" t="n"/>
      <c r="I15" s="288">
        <f>C15+E15-G15</f>
        <v/>
      </c>
      <c r="J15" s="275" t="n"/>
      <c r="K15" s="288">
        <f>'30'!K15+'31'!E15</f>
        <v/>
      </c>
      <c r="L15" s="275" t="n"/>
      <c r="M15" s="288">
        <f>'30'!M15+G15</f>
        <v/>
      </c>
      <c r="N15" s="275" t="n"/>
      <c r="O15" s="1" t="n"/>
      <c r="P15" s="296" t="n"/>
      <c r="Q15" s="290" t="n"/>
      <c r="R15" s="297" t="n"/>
      <c r="S15" s="296" t="n"/>
      <c r="T15" s="290" t="n"/>
      <c r="U15" s="290" t="n"/>
      <c r="V15" s="290" t="n"/>
      <c r="W15" s="298" t="n"/>
      <c r="X15" s="272" t="n"/>
      <c r="Y15" s="272" t="n"/>
      <c r="Z15" s="265" t="n"/>
    </row>
    <row r="16" ht="21.9" customHeight="1" s="251">
      <c r="A16" s="104" t="inlineStr">
        <is>
          <t>소석회</t>
        </is>
      </c>
      <c r="B16" s="279" t="n"/>
      <c r="C16" s="310">
        <f>'30'!I16</f>
        <v/>
      </c>
      <c r="D16" s="265" t="n"/>
      <c r="E16" s="104" t="n">
        <v>0</v>
      </c>
      <c r="F16" s="279" t="n"/>
      <c r="G16" s="104" t="n">
        <v>20</v>
      </c>
      <c r="H16" s="279" t="n"/>
      <c r="I16" s="288">
        <f>C16+E16-G16</f>
        <v/>
      </c>
      <c r="J16" s="275" t="n"/>
      <c r="K16" s="288">
        <f>'30'!K16+'31'!E16</f>
        <v/>
      </c>
      <c r="L16" s="275" t="n"/>
      <c r="M16" s="288">
        <f>'30'!M16+G16</f>
        <v/>
      </c>
      <c r="N16" s="275" t="n"/>
      <c r="O16" s="1" t="n"/>
      <c r="P16" s="162" t="inlineStr">
        <is>
          <t>구분</t>
        </is>
      </c>
      <c r="Q16" s="291" t="n"/>
      <c r="R16" s="292" t="n"/>
      <c r="S16" s="299" t="inlineStr">
        <is>
          <t>주간</t>
        </is>
      </c>
      <c r="T16" s="292" t="n"/>
      <c r="U16" s="299" t="inlineStr">
        <is>
          <t>야간</t>
        </is>
      </c>
      <c r="V16" s="292" t="n"/>
      <c r="W16" s="299" t="inlineStr">
        <is>
          <t>합계</t>
        </is>
      </c>
      <c r="X16" s="292" t="n"/>
      <c r="Y16" s="299" t="inlineStr">
        <is>
          <t>누계</t>
        </is>
      </c>
      <c r="Z16" s="292" t="n"/>
    </row>
    <row r="17" ht="21.9" customHeight="1" s="251" thickBot="1">
      <c r="A17" s="104" t="inlineStr">
        <is>
          <t>소 금</t>
        </is>
      </c>
      <c r="B17" s="279" t="n"/>
      <c r="C17" s="310">
        <f>'30'!I17</f>
        <v/>
      </c>
      <c r="D17" s="265" t="n"/>
      <c r="E17" s="104" t="n">
        <v>0</v>
      </c>
      <c r="F17" s="279" t="n"/>
      <c r="G17" s="104" t="n">
        <v>200</v>
      </c>
      <c r="H17" s="279" t="n"/>
      <c r="I17" s="288">
        <f>C17+E17-G17</f>
        <v/>
      </c>
      <c r="J17" s="275" t="n"/>
      <c r="K17" s="288">
        <f>'30'!K17+'31'!E17</f>
        <v/>
      </c>
      <c r="L17" s="275" t="n"/>
      <c r="M17" s="288">
        <f>'30'!M17+G17</f>
        <v/>
      </c>
      <c r="N17" s="275" t="n"/>
      <c r="O17" s="1" t="n"/>
      <c r="P17" s="296" t="n"/>
      <c r="Q17" s="290" t="n"/>
      <c r="R17" s="297" t="n"/>
      <c r="S17" s="300" t="n"/>
      <c r="T17" s="301" t="n"/>
      <c r="U17" s="300" t="n"/>
      <c r="V17" s="301" t="n"/>
      <c r="W17" s="300" t="n"/>
      <c r="X17" s="301" t="n"/>
      <c r="Y17" s="300" t="n"/>
      <c r="Z17" s="301" t="n"/>
      <c r="AE17" s="302" t="n"/>
    </row>
    <row r="18" ht="21.9" customHeight="1" s="251" thickTop="1">
      <c r="A18" s="104" t="inlineStr">
        <is>
          <t>경 유</t>
        </is>
      </c>
      <c r="B18" s="279" t="n"/>
      <c r="C18" s="310">
        <f>'30'!I18</f>
        <v/>
      </c>
      <c r="D18" s="265" t="n"/>
      <c r="E18" s="104" t="n">
        <v>0</v>
      </c>
      <c r="F18" s="279" t="n"/>
      <c r="G18" s="104" t="n">
        <v>0</v>
      </c>
      <c r="H18" s="279" t="n"/>
      <c r="I18" s="288">
        <f>C18+E18-G18</f>
        <v/>
      </c>
      <c r="J18" s="275" t="n"/>
      <c r="K18" s="288">
        <f>'30'!K18+'31'!E18</f>
        <v/>
      </c>
      <c r="L18" s="275" t="n"/>
      <c r="M18" s="288">
        <f>'30'!M18+G18</f>
        <v/>
      </c>
      <c r="N18" s="275" t="n"/>
      <c r="O18" s="1" t="n"/>
      <c r="P18" s="164" t="inlineStr">
        <is>
          <t>불연물</t>
        </is>
      </c>
      <c r="Q18" s="285" t="n"/>
      <c r="R18" s="287" t="n"/>
      <c r="S18" s="303" t="n">
        <v>1</v>
      </c>
      <c r="T18" s="287" t="n"/>
      <c r="U18" s="303" t="n">
        <v>1</v>
      </c>
      <c r="V18" s="287" t="n"/>
      <c r="W18" s="303">
        <f>S18+U18</f>
        <v/>
      </c>
      <c r="X18" s="287" t="n"/>
      <c r="Y18" s="303">
        <f>'30'!Y18+'31'!W18</f>
        <v/>
      </c>
      <c r="Z18" s="287" t="n"/>
    </row>
    <row r="19" ht="21.9" customHeight="1" s="251">
      <c r="A19" s="153" t="inlineStr">
        <is>
          <t>SRF</t>
        </is>
      </c>
      <c r="B19" s="279" t="n"/>
      <c r="C19" s="310">
        <f>'30'!I19</f>
        <v/>
      </c>
      <c r="D19" s="265" t="n"/>
      <c r="E19" s="154" t="n">
        <v>48050</v>
      </c>
      <c r="F19" s="279" t="n"/>
      <c r="G19" s="154">
        <f>D7</f>
        <v/>
      </c>
      <c r="H19" s="279" t="n"/>
      <c r="I19" s="273">
        <f>C19+E19-G19</f>
        <v/>
      </c>
      <c r="J19" s="275" t="n"/>
      <c r="K19" s="288">
        <f>'30'!K19+'31'!E19</f>
        <v/>
      </c>
      <c r="L19" s="275" t="n"/>
      <c r="M19" s="288">
        <f>'30'!M19+G19</f>
        <v/>
      </c>
      <c r="N19" s="275" t="n"/>
      <c r="O19" s="1" t="n"/>
      <c r="P19" s="256" t="n"/>
      <c r="R19" s="254" t="n"/>
      <c r="S19" s="256" t="n"/>
      <c r="T19" s="254" t="n"/>
      <c r="U19" s="256" t="n"/>
      <c r="V19" s="254" t="n"/>
      <c r="W19" s="256" t="n"/>
      <c r="X19" s="254" t="n"/>
      <c r="Y19" s="256" t="n"/>
      <c r="Z19" s="254" t="n"/>
    </row>
    <row r="20" ht="21.9" customHeight="1" s="251">
      <c r="A20" s="104" t="inlineStr">
        <is>
          <t>규 사</t>
        </is>
      </c>
      <c r="B20" s="279" t="n"/>
      <c r="C20" s="310">
        <f>'30'!I20</f>
        <v/>
      </c>
      <c r="D20" s="265" t="n"/>
      <c r="E20" s="288" t="n">
        <v>0</v>
      </c>
      <c r="F20" s="275" t="n"/>
      <c r="G20" s="104" t="n">
        <v>0</v>
      </c>
      <c r="H20" s="279" t="n"/>
      <c r="I20" s="288" t="inlineStr">
        <is>
          <t>-</t>
        </is>
      </c>
      <c r="J20" s="275" t="n"/>
      <c r="K20" s="288">
        <f>'30'!K20+'31'!E20</f>
        <v/>
      </c>
      <c r="L20" s="275" t="n"/>
      <c r="M20" s="288">
        <f>'30'!M20+G20</f>
        <v/>
      </c>
      <c r="N20" s="275" t="n"/>
      <c r="O20" s="1" t="n"/>
      <c r="P20" s="264" t="n"/>
      <c r="Q20" s="272" t="n"/>
      <c r="R20" s="265" t="n"/>
      <c r="S20" s="264" t="n"/>
      <c r="T20" s="265" t="n"/>
      <c r="U20" s="264" t="n"/>
      <c r="V20" s="265" t="n"/>
      <c r="W20" s="264" t="n"/>
      <c r="X20" s="265" t="n"/>
      <c r="Y20" s="264" t="n"/>
      <c r="Z20" s="265" t="n"/>
    </row>
    <row r="21" ht="12" customHeight="1" s="25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 t="inlineStr">
        <is>
          <t>5. 전력 사용량 (KWH)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10" t="inlineStr">
        <is>
          <t>6. 유틸리티 사용현황 (㎥)</t>
        </is>
      </c>
      <c r="Q22" s="290" t="n"/>
      <c r="R22" s="290" t="n"/>
      <c r="S22" s="290" t="n"/>
      <c r="T22" s="290" t="n"/>
      <c r="U22" s="290" t="n"/>
      <c r="V22" s="1" t="n"/>
      <c r="W22" s="1" t="n"/>
      <c r="X22" s="1" t="n"/>
      <c r="Y22" s="1" t="n"/>
      <c r="Z22" s="1" t="n"/>
    </row>
    <row r="23" ht="28.5" customHeight="1" s="251" thickBot="1">
      <c r="A23" s="136" t="inlineStr">
        <is>
          <t>구 분</t>
        </is>
      </c>
      <c r="B23" s="270" t="n"/>
      <c r="C23" s="271" t="n"/>
      <c r="D23" s="136" t="inlineStr">
        <is>
          <t>전일지침</t>
        </is>
      </c>
      <c r="E23" s="270" t="n"/>
      <c r="F23" s="271" t="n"/>
      <c r="G23" s="136" t="inlineStr">
        <is>
          <t>금일지침</t>
        </is>
      </c>
      <c r="H23" s="270" t="n"/>
      <c r="I23" s="271" t="n"/>
      <c r="J23" s="136" t="inlineStr">
        <is>
          <t>사용량</t>
        </is>
      </c>
      <c r="K23" s="270" t="n"/>
      <c r="L23" s="271" t="n"/>
      <c r="M23" s="136" t="inlineStr">
        <is>
          <t>누 계</t>
        </is>
      </c>
      <c r="N23" s="271" t="n"/>
      <c r="P23" s="136" t="inlineStr">
        <is>
          <t>구 분</t>
        </is>
      </c>
      <c r="Q23" s="270" t="n"/>
      <c r="R23" s="271" t="n"/>
      <c r="S23" s="136" t="inlineStr">
        <is>
          <t>전일 사용량</t>
        </is>
      </c>
      <c r="T23" s="270" t="n"/>
      <c r="U23" s="271" t="n"/>
      <c r="V23" s="136" t="inlineStr">
        <is>
          <t>금일 사용량</t>
        </is>
      </c>
      <c r="W23" s="270" t="n"/>
      <c r="X23" s="271" t="n"/>
      <c r="Y23" s="136" t="inlineStr">
        <is>
          <t>누 계</t>
        </is>
      </c>
      <c r="Z23" s="271" t="n"/>
    </row>
    <row r="24" ht="21.9" customHeight="1" s="251" thickTop="1">
      <c r="A24" s="105" t="inlineStr">
        <is>
          <t>MAIN</t>
        </is>
      </c>
      <c r="B24" s="272" t="n"/>
      <c r="C24" s="265" t="n"/>
      <c r="D24" s="187">
        <f>'30'!G24</f>
        <v/>
      </c>
      <c r="E24" s="285" t="n"/>
      <c r="F24" s="287" t="n"/>
      <c r="G24" s="164" t="n">
        <v>4371516</v>
      </c>
      <c r="H24" s="304" t="n"/>
      <c r="I24" s="283" t="n"/>
      <c r="J24" s="164">
        <f>IF(G24-D24&lt;0,,G24-D24)</f>
        <v/>
      </c>
      <c r="K24" s="304" t="n"/>
      <c r="L24" s="283" t="n"/>
      <c r="M24" s="164">
        <f>'30'!M24+J24</f>
        <v/>
      </c>
      <c r="N24" s="283" t="n"/>
      <c r="P24" s="105" t="inlineStr">
        <is>
          <t>재이용수</t>
        </is>
      </c>
      <c r="Q24" s="272" t="n"/>
      <c r="R24" s="265" t="n"/>
      <c r="S24" s="105">
        <f>'30'!V24</f>
        <v/>
      </c>
      <c r="T24" s="272" t="n"/>
      <c r="U24" s="265" t="n"/>
      <c r="V24" s="276" t="n">
        <v>555</v>
      </c>
      <c r="W24" s="272" t="n"/>
      <c r="X24" s="265" t="n"/>
      <c r="Y24" s="276">
        <f>'30'!Y24+'31'!V24</f>
        <v/>
      </c>
      <c r="Z24" s="265" t="n"/>
    </row>
    <row r="25" ht="21.9" customHeight="1" s="251">
      <c r="A25" s="104" t="inlineStr">
        <is>
          <t>ASH 저장조</t>
        </is>
      </c>
      <c r="B25" s="278" t="n"/>
      <c r="C25" s="279" t="n"/>
      <c r="D25" s="104">
        <f>'30'!G25</f>
        <v/>
      </c>
      <c r="E25" s="278" t="n"/>
      <c r="F25" s="279" t="n"/>
      <c r="G25" s="104" t="n">
        <v>33795.8</v>
      </c>
      <c r="H25" s="278" t="n"/>
      <c r="I25" s="279" t="n"/>
      <c r="J25" s="288">
        <f>IF(G25-D25&lt;0,,G25-D25)</f>
        <v/>
      </c>
      <c r="K25" s="274" t="n"/>
      <c r="L25" s="275" t="n"/>
      <c r="M25" s="288">
        <f>'30'!M25+J25</f>
        <v/>
      </c>
      <c r="N25" s="275" t="n"/>
      <c r="P25" s="104" t="inlineStr">
        <is>
          <t>복류수</t>
        </is>
      </c>
      <c r="Q25" s="278" t="n"/>
      <c r="R25" s="279" t="n"/>
      <c r="S25" s="105">
        <f>'30'!V25</f>
        <v/>
      </c>
      <c r="T25" s="272" t="n"/>
      <c r="U25" s="265" t="n"/>
      <c r="V25" s="280" t="n">
        <v>61.3</v>
      </c>
      <c r="W25" s="278" t="n"/>
      <c r="X25" s="279" t="n"/>
      <c r="Y25" s="316">
        <f>'30'!Y25+'31'!V25</f>
        <v/>
      </c>
      <c r="Z25" s="275" t="n"/>
    </row>
    <row r="26" ht="21.9" customHeight="1" s="251">
      <c r="A26" s="104" t="inlineStr">
        <is>
          <t>BAG FILTER</t>
        </is>
      </c>
      <c r="B26" s="278" t="n"/>
      <c r="C26" s="279" t="n"/>
      <c r="D26" s="104">
        <f>'30'!G26</f>
        <v/>
      </c>
      <c r="E26" s="278" t="n"/>
      <c r="F26" s="279" t="n"/>
      <c r="G26" s="104" t="n">
        <v>24930</v>
      </c>
      <c r="H26" s="278" t="n"/>
      <c r="I26" s="279" t="n"/>
      <c r="J26" s="288">
        <f>IF(G26-D26&lt;0,,G26-D26)</f>
        <v/>
      </c>
      <c r="K26" s="274" t="n"/>
      <c r="L26" s="275" t="n"/>
      <c r="M26" s="288">
        <f>'30'!M26+J26</f>
        <v/>
      </c>
      <c r="N26" s="275" t="n"/>
      <c r="P26" s="104" t="inlineStr">
        <is>
          <t>응축수</t>
        </is>
      </c>
      <c r="Q26" s="278" t="n"/>
      <c r="R26" s="279" t="n"/>
      <c r="S26" s="105">
        <f>'30'!V26</f>
        <v/>
      </c>
      <c r="T26" s="272" t="n"/>
      <c r="U26" s="265" t="n"/>
      <c r="V26" s="280" t="n">
        <v>543.2</v>
      </c>
      <c r="W26" s="278" t="n"/>
      <c r="X26" s="279" t="n"/>
      <c r="Y26" s="316">
        <f>'30'!Y26+'31'!V26</f>
        <v/>
      </c>
      <c r="Z26" s="275" t="n"/>
    </row>
    <row r="27" ht="21.9" customHeight="1" s="251">
      <c r="A27" s="104" t="inlineStr">
        <is>
          <t>SCRUBBER</t>
        </is>
      </c>
      <c r="B27" s="278" t="n"/>
      <c r="C27" s="279" t="n"/>
      <c r="D27" s="104">
        <f>'30'!G27</f>
        <v/>
      </c>
      <c r="E27" s="278" t="n"/>
      <c r="F27" s="279" t="n"/>
      <c r="G27" s="104" t="n">
        <v>1444000</v>
      </c>
      <c r="H27" s="278" t="n"/>
      <c r="I27" s="279" t="n"/>
      <c r="J27" s="288">
        <f>IF(G27-D27&lt;0,,G27-D27)</f>
        <v/>
      </c>
      <c r="K27" s="274" t="n"/>
      <c r="L27" s="275" t="n"/>
      <c r="M27" s="288">
        <f>'30'!M27+J27</f>
        <v/>
      </c>
      <c r="N27" s="275" t="n"/>
      <c r="P27" s="104" t="inlineStr">
        <is>
          <t>보일러 급수</t>
        </is>
      </c>
      <c r="Q27" s="278" t="n"/>
      <c r="R27" s="279" t="n"/>
      <c r="S27" s="105">
        <f>'30'!V27</f>
        <v/>
      </c>
      <c r="T27" s="272" t="n"/>
      <c r="U27" s="265" t="n"/>
      <c r="V27" s="280" t="n">
        <v>531.3</v>
      </c>
      <c r="W27" s="278" t="n"/>
      <c r="X27" s="279" t="n"/>
      <c r="Y27" s="316">
        <f>'30'!Y27+'31'!V27</f>
        <v/>
      </c>
      <c r="Z27" s="275" t="n"/>
    </row>
    <row r="28" ht="21.9" customHeight="1" s="251">
      <c r="A28" s="104" t="inlineStr">
        <is>
          <t>활성탄 공급</t>
        </is>
      </c>
      <c r="B28" s="278" t="n"/>
      <c r="C28" s="279" t="n"/>
      <c r="D28" s="104">
        <f>'30'!G28</f>
        <v/>
      </c>
      <c r="E28" s="278" t="n"/>
      <c r="F28" s="279" t="n"/>
      <c r="G28" s="104" t="n">
        <v>6591</v>
      </c>
      <c r="H28" s="278" t="n"/>
      <c r="I28" s="279" t="n"/>
      <c r="J28" s="288">
        <f>IF(G28-D28&lt;0,,G28-D28)</f>
        <v/>
      </c>
      <c r="K28" s="274" t="n"/>
      <c r="L28" s="275" t="n"/>
      <c r="M28" s="288">
        <f>'30'!M28+J28</f>
        <v/>
      </c>
      <c r="N28" s="275" t="n"/>
      <c r="P28" s="104" t="inlineStr">
        <is>
          <t>폐 수</t>
        </is>
      </c>
      <c r="Q28" s="278" t="n"/>
      <c r="R28" s="279" t="n"/>
      <c r="S28" s="105">
        <f>'30'!V28</f>
        <v/>
      </c>
      <c r="T28" s="272" t="n"/>
      <c r="U28" s="265" t="n"/>
      <c r="V28" s="280" t="n">
        <v>0</v>
      </c>
      <c r="W28" s="278" t="n"/>
      <c r="X28" s="279" t="n"/>
      <c r="Y28" s="316">
        <f>'30'!Y28+'31'!V28</f>
        <v/>
      </c>
      <c r="Z28" s="275" t="n"/>
    </row>
    <row r="29" ht="21.9" customHeight="1" s="251">
      <c r="A29" s="104" t="inlineStr">
        <is>
          <t>소석회 공급</t>
        </is>
      </c>
      <c r="B29" s="278" t="n"/>
      <c r="C29" s="279" t="n"/>
      <c r="D29" s="104">
        <f>'30'!G29</f>
        <v/>
      </c>
      <c r="E29" s="278" t="n"/>
      <c r="F29" s="279" t="n"/>
      <c r="G29" s="104" t="n">
        <v>66270</v>
      </c>
      <c r="H29" s="278" t="n"/>
      <c r="I29" s="279" t="n"/>
      <c r="J29" s="288">
        <f>IF(G29-D29&lt;0,,G29-D29)</f>
        <v/>
      </c>
      <c r="K29" s="274" t="n"/>
      <c r="L29" s="275" t="n"/>
      <c r="M29" s="288">
        <f>'30'!M29+J29</f>
        <v/>
      </c>
      <c r="N29" s="275" t="n"/>
      <c r="P29" s="104" t="inlineStr">
        <is>
          <t>연 수</t>
        </is>
      </c>
      <c r="Q29" s="278" t="n"/>
      <c r="R29" s="279" t="n"/>
      <c r="S29" s="105">
        <f>'30'!V29</f>
        <v/>
      </c>
      <c r="T29" s="272" t="n"/>
      <c r="U29" s="265" t="n"/>
      <c r="V29" s="280" t="n">
        <v>75.2</v>
      </c>
      <c r="W29" s="278" t="n"/>
      <c r="X29" s="279" t="n"/>
      <c r="Y29" s="316">
        <f>'30'!Y29+'31'!V29</f>
        <v/>
      </c>
      <c r="Z29" s="275" t="n"/>
    </row>
    <row r="30" ht="21.9" customHeight="1" s="251">
      <c r="A30" s="104" t="inlineStr">
        <is>
          <t>요소수 공급</t>
        </is>
      </c>
      <c r="B30" s="278" t="n"/>
      <c r="C30" s="279" t="n"/>
      <c r="D30" s="104">
        <f>'30'!G30</f>
        <v/>
      </c>
      <c r="E30" s="278" t="n"/>
      <c r="F30" s="279" t="n"/>
      <c r="G30" s="104" t="n">
        <v>53610</v>
      </c>
      <c r="H30" s="278" t="n"/>
      <c r="I30" s="279" t="n"/>
      <c r="J30" s="288">
        <f>IF(G30-D30&lt;0,,G30-D30)</f>
        <v/>
      </c>
      <c r="K30" s="274" t="n"/>
      <c r="L30" s="275" t="n"/>
      <c r="M30" s="288">
        <f>'30'!M30+J30</f>
        <v/>
      </c>
      <c r="N30" s="275" t="n"/>
      <c r="P30" s="104" t="inlineStr">
        <is>
          <t>계</t>
        </is>
      </c>
      <c r="Q30" s="278" t="n"/>
      <c r="R30" s="279" t="n"/>
      <c r="S30" s="288">
        <f>'29'!V30</f>
        <v/>
      </c>
      <c r="T30" s="274" t="n"/>
      <c r="U30" s="275" t="n"/>
      <c r="V30" s="280" t="n"/>
      <c r="W30" s="278" t="n"/>
      <c r="X30" s="279" t="n"/>
      <c r="Y30" s="316">
        <f>'30'!Y30+'31'!V30</f>
        <v/>
      </c>
      <c r="Z30" s="275" t="n"/>
    </row>
    <row r="31" ht="21.9" customHeight="1" s="251">
      <c r="A31" s="104" t="inlineStr">
        <is>
          <t xml:space="preserve">F.D </t>
        </is>
      </c>
      <c r="B31" s="278" t="n"/>
      <c r="C31" s="279" t="n"/>
      <c r="D31" s="104">
        <f>'30'!G31</f>
        <v/>
      </c>
      <c r="E31" s="278" t="n"/>
      <c r="F31" s="279" t="n"/>
      <c r="G31" s="288" t="n">
        <v>6442077</v>
      </c>
      <c r="H31" s="274" t="n"/>
      <c r="I31" s="275" t="n"/>
      <c r="J31" s="104">
        <f>G31-D31</f>
        <v/>
      </c>
      <c r="K31" s="278" t="n"/>
      <c r="L31" s="279" t="n"/>
      <c r="M31" s="288">
        <f>'30'!M31+J31</f>
        <v/>
      </c>
      <c r="N31" s="275" t="n"/>
      <c r="P31" s="172" t="n"/>
      <c r="Q31" s="172" t="n"/>
      <c r="R31" s="172" t="n"/>
      <c r="S31" s="172" t="n"/>
      <c r="T31" s="172" t="n"/>
      <c r="U31" s="172" t="n"/>
      <c r="V31" s="305" t="n"/>
      <c r="W31" s="305" t="n"/>
      <c r="X31" s="305" t="n"/>
      <c r="Y31" s="305" t="n"/>
      <c r="Z31" s="305" t="n"/>
    </row>
    <row r="32" ht="21.9" customHeight="1" s="251">
      <c r="A32" s="104" t="inlineStr">
        <is>
          <t>활성탄 BAG</t>
        </is>
      </c>
      <c r="B32" s="278" t="n"/>
      <c r="C32" s="279" t="n"/>
      <c r="D32" s="104">
        <f>'30'!G32</f>
        <v/>
      </c>
      <c r="E32" s="278" t="n"/>
      <c r="F32" s="279" t="n"/>
      <c r="G32" s="288" t="n">
        <v>1.8</v>
      </c>
      <c r="H32" s="274" t="n"/>
      <c r="I32" s="275" t="n"/>
      <c r="J32" s="288">
        <f>G32-D32</f>
        <v/>
      </c>
      <c r="K32" s="274" t="n"/>
      <c r="L32" s="275" t="n"/>
      <c r="M32" s="288">
        <f>'30'!M32+J32</f>
        <v/>
      </c>
      <c r="N32" s="275" t="n"/>
      <c r="P32" s="172" t="n"/>
      <c r="Q32" s="172" t="n"/>
      <c r="R32" s="172" t="n"/>
      <c r="S32" s="172" t="n"/>
      <c r="T32" s="172" t="n"/>
      <c r="U32" s="172" t="n"/>
      <c r="V32" s="305" t="n"/>
      <c r="W32" s="305" t="n"/>
      <c r="X32" s="305" t="n"/>
      <c r="Y32" s="305" t="n"/>
      <c r="Z32" s="305" t="n"/>
    </row>
    <row r="33" ht="21.9" customHeight="1" s="251">
      <c r="A33" s="104" t="inlineStr">
        <is>
          <t>소석회 BAG</t>
        </is>
      </c>
      <c r="B33" s="278" t="n"/>
      <c r="C33" s="279" t="n"/>
      <c r="D33" s="104">
        <f>'30'!G33</f>
        <v/>
      </c>
      <c r="E33" s="278" t="n"/>
      <c r="F33" s="279" t="n"/>
      <c r="G33" s="288" t="n">
        <v>0</v>
      </c>
      <c r="H33" s="274" t="n"/>
      <c r="I33" s="275" t="n"/>
      <c r="J33" s="288">
        <f>G33-D33</f>
        <v/>
      </c>
      <c r="K33" s="274" t="n"/>
      <c r="L33" s="275" t="n"/>
      <c r="M33" s="288">
        <f>'30'!M33+J33</f>
        <v/>
      </c>
      <c r="N33" s="275" t="n"/>
      <c r="P33" s="172" t="n"/>
      <c r="Q33" s="172" t="n"/>
      <c r="R33" s="172" t="n"/>
      <c r="S33" s="172" t="n"/>
      <c r="T33" s="172" t="n"/>
      <c r="U33" s="172" t="n"/>
      <c r="V33" s="305" t="n"/>
      <c r="W33" s="305" t="n"/>
      <c r="X33" s="305" t="n"/>
      <c r="Y33" s="305" t="n"/>
      <c r="Z33" s="305" t="n"/>
    </row>
  </sheetData>
  <mergeCells count="217">
    <mergeCell ref="V24:X24"/>
    <mergeCell ref="A15:B15"/>
    <mergeCell ref="P27:R27"/>
    <mergeCell ref="S23:U23"/>
    <mergeCell ref="C15:D15"/>
    <mergeCell ref="J27:L27"/>
    <mergeCell ref="S14:V15"/>
    <mergeCell ref="Y24:Z24"/>
    <mergeCell ref="U7:W7"/>
    <mergeCell ref="A26:C26"/>
    <mergeCell ref="J25:L25"/>
    <mergeCell ref="G24:I24"/>
    <mergeCell ref="D28:F28"/>
    <mergeCell ref="I16:J16"/>
    <mergeCell ref="A23:C23"/>
    <mergeCell ref="S24:U24"/>
    <mergeCell ref="P6:Q6"/>
    <mergeCell ref="P28:R28"/>
    <mergeCell ref="W1:X1"/>
    <mergeCell ref="Y1:Z1"/>
    <mergeCell ref="G26:I26"/>
    <mergeCell ref="S16:T17"/>
    <mergeCell ref="D30:F30"/>
    <mergeCell ref="G18:H18"/>
    <mergeCell ref="U8:W8"/>
    <mergeCell ref="B1:C1"/>
    <mergeCell ref="I18:J18"/>
    <mergeCell ref="H3:S3"/>
    <mergeCell ref="M16:N16"/>
    <mergeCell ref="P30:R30"/>
    <mergeCell ref="M25:N25"/>
    <mergeCell ref="D29:F29"/>
    <mergeCell ref="D23:F23"/>
    <mergeCell ref="Y25:Z25"/>
    <mergeCell ref="M18:N18"/>
    <mergeCell ref="M33:N33"/>
    <mergeCell ref="A17:B17"/>
    <mergeCell ref="S25:U25"/>
    <mergeCell ref="C17:D17"/>
    <mergeCell ref="U18:V20"/>
    <mergeCell ref="J29:L29"/>
    <mergeCell ref="W18:X20"/>
    <mergeCell ref="M17:N17"/>
    <mergeCell ref="G20:H20"/>
    <mergeCell ref="I20:J20"/>
    <mergeCell ref="S27:U27"/>
    <mergeCell ref="V23:X23"/>
    <mergeCell ref="A19:B19"/>
    <mergeCell ref="C19:D19"/>
    <mergeCell ref="A6:C6"/>
    <mergeCell ref="Y2:Z3"/>
    <mergeCell ref="Y18:Z20"/>
    <mergeCell ref="P22:U22"/>
    <mergeCell ref="M19:N19"/>
    <mergeCell ref="I13:J13"/>
    <mergeCell ref="K13:L13"/>
    <mergeCell ref="X7:Z7"/>
    <mergeCell ref="E12:F12"/>
    <mergeCell ref="J24:L24"/>
    <mergeCell ref="G12:H12"/>
    <mergeCell ref="G28:I28"/>
    <mergeCell ref="D27:F27"/>
    <mergeCell ref="G6:I6"/>
    <mergeCell ref="I15:J15"/>
    <mergeCell ref="A11:B11"/>
    <mergeCell ref="K15:L15"/>
    <mergeCell ref="S28:U28"/>
    <mergeCell ref="C14:D14"/>
    <mergeCell ref="E14:F14"/>
    <mergeCell ref="J26:L26"/>
    <mergeCell ref="G30:I30"/>
    <mergeCell ref="J7:L7"/>
    <mergeCell ref="V27:X27"/>
    <mergeCell ref="A32:C32"/>
    <mergeCell ref="A29:C29"/>
    <mergeCell ref="D25:F25"/>
    <mergeCell ref="Y26:Z26"/>
    <mergeCell ref="V25:X25"/>
    <mergeCell ref="M13:N13"/>
    <mergeCell ref="G32:I32"/>
    <mergeCell ref="J33:L33"/>
    <mergeCell ref="W14:Z15"/>
    <mergeCell ref="A31:C31"/>
    <mergeCell ref="S26:U26"/>
    <mergeCell ref="M27:N27"/>
    <mergeCell ref="I17:J17"/>
    <mergeCell ref="A24:C24"/>
    <mergeCell ref="Y27:Z27"/>
    <mergeCell ref="K17:L17"/>
    <mergeCell ref="P29:R29"/>
    <mergeCell ref="M24:N24"/>
    <mergeCell ref="E16:F16"/>
    <mergeCell ref="J28:L28"/>
    <mergeCell ref="G27:I27"/>
    <mergeCell ref="G16:H16"/>
    <mergeCell ref="D31:F31"/>
    <mergeCell ref="U2:V3"/>
    <mergeCell ref="I19:J19"/>
    <mergeCell ref="U1:V1"/>
    <mergeCell ref="G8:I8"/>
    <mergeCell ref="K19:L19"/>
    <mergeCell ref="C18:D18"/>
    <mergeCell ref="A7:C7"/>
    <mergeCell ref="V29:X29"/>
    <mergeCell ref="E18:F18"/>
    <mergeCell ref="J30:L30"/>
    <mergeCell ref="R6:T6"/>
    <mergeCell ref="K16:L16"/>
    <mergeCell ref="A25:C25"/>
    <mergeCell ref="J6:L6"/>
    <mergeCell ref="D1:E1"/>
    <mergeCell ref="D32:F32"/>
    <mergeCell ref="G11:H11"/>
    <mergeCell ref="I11:J11"/>
    <mergeCell ref="P23:R23"/>
    <mergeCell ref="W11:Z11"/>
    <mergeCell ref="D7:F7"/>
    <mergeCell ref="Y16:Z17"/>
    <mergeCell ref="S18:T20"/>
    <mergeCell ref="Y30:Z30"/>
    <mergeCell ref="C20:D20"/>
    <mergeCell ref="E20:F20"/>
    <mergeCell ref="K11:L11"/>
    <mergeCell ref="J32:L32"/>
    <mergeCell ref="M11:N11"/>
    <mergeCell ref="Y29:Z29"/>
    <mergeCell ref="H1:S2"/>
    <mergeCell ref="V26:X26"/>
    <mergeCell ref="E13:F13"/>
    <mergeCell ref="S30:U30"/>
    <mergeCell ref="G13:H13"/>
    <mergeCell ref="M31:N31"/>
    <mergeCell ref="G29:I29"/>
    <mergeCell ref="D8:F8"/>
    <mergeCell ref="D33:F33"/>
    <mergeCell ref="W12:Z13"/>
    <mergeCell ref="A12:B12"/>
    <mergeCell ref="A28:C28"/>
    <mergeCell ref="S29:U29"/>
    <mergeCell ref="C12:D12"/>
    <mergeCell ref="A1:A3"/>
    <mergeCell ref="M15:N15"/>
    <mergeCell ref="E15:F15"/>
    <mergeCell ref="M12:N12"/>
    <mergeCell ref="G15:H15"/>
    <mergeCell ref="G31:I31"/>
    <mergeCell ref="Y28:Z28"/>
    <mergeCell ref="P18:R20"/>
    <mergeCell ref="A14:B14"/>
    <mergeCell ref="J8:L8"/>
    <mergeCell ref="A30:C30"/>
    <mergeCell ref="M26:N26"/>
    <mergeCell ref="U6:W6"/>
    <mergeCell ref="P25:R25"/>
    <mergeCell ref="M29:N29"/>
    <mergeCell ref="M23:N23"/>
    <mergeCell ref="F2:G3"/>
    <mergeCell ref="G23:I23"/>
    <mergeCell ref="Y23:Z23"/>
    <mergeCell ref="U16:V17"/>
    <mergeCell ref="W16:X17"/>
    <mergeCell ref="G7:I7"/>
    <mergeCell ref="K18:L18"/>
    <mergeCell ref="P12:R13"/>
    <mergeCell ref="D6:F6"/>
    <mergeCell ref="F1:G1"/>
    <mergeCell ref="T1:T3"/>
    <mergeCell ref="V28:X28"/>
    <mergeCell ref="P11:R11"/>
    <mergeCell ref="P14:R15"/>
    <mergeCell ref="A27:C27"/>
    <mergeCell ref="V30:X30"/>
    <mergeCell ref="W2:X3"/>
    <mergeCell ref="E17:F17"/>
    <mergeCell ref="G17:H17"/>
    <mergeCell ref="G33:I33"/>
    <mergeCell ref="X6:Z6"/>
    <mergeCell ref="A33:C33"/>
    <mergeCell ref="K20:L20"/>
    <mergeCell ref="A16:B16"/>
    <mergeCell ref="C16:D16"/>
    <mergeCell ref="M20:N20"/>
    <mergeCell ref="A8:C8"/>
    <mergeCell ref="E19:F19"/>
    <mergeCell ref="P8:Q8"/>
    <mergeCell ref="J31:L31"/>
    <mergeCell ref="G19:H19"/>
    <mergeCell ref="A18:B18"/>
    <mergeCell ref="G25:I25"/>
    <mergeCell ref="D24:F24"/>
    <mergeCell ref="M30:N30"/>
    <mergeCell ref="I12:J12"/>
    <mergeCell ref="K12:L12"/>
    <mergeCell ref="P24:R24"/>
    <mergeCell ref="P7:Q7"/>
    <mergeCell ref="C11:D11"/>
    <mergeCell ref="M28:N28"/>
    <mergeCell ref="E11:F11"/>
    <mergeCell ref="J23:L23"/>
    <mergeCell ref="D26:F26"/>
    <mergeCell ref="G14:H14"/>
    <mergeCell ref="S11:V11"/>
    <mergeCell ref="I14:J14"/>
    <mergeCell ref="R8:T8"/>
    <mergeCell ref="K14:L14"/>
    <mergeCell ref="P26:R26"/>
    <mergeCell ref="P16:R17"/>
    <mergeCell ref="A20:B20"/>
    <mergeCell ref="B2:C3"/>
    <mergeCell ref="D2:E3"/>
    <mergeCell ref="M32:N32"/>
    <mergeCell ref="M14:N14"/>
    <mergeCell ref="X8:Z8"/>
    <mergeCell ref="A13:B13"/>
    <mergeCell ref="C13:D13"/>
    <mergeCell ref="R7:T7"/>
    <mergeCell ref="S12:V13"/>
  </mergeCells>
  <pageMargins left="0.7086614173228347" right="0.7086614173228347" top="0.7480314960629921" bottom="0.7480314960629921" header="0.3149606299212598" footer="0.3149606299212598"/>
  <pageSetup orientation="portrait" paperSize="9" scale="59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B65"/>
  <sheetViews>
    <sheetView tabSelected="1" topLeftCell="A16" zoomScale="115" zoomScaleNormal="115" workbookViewId="0">
      <selection activeCell="S28" sqref="S28"/>
    </sheetView>
  </sheetViews>
  <sheetFormatPr baseColWidth="8" defaultColWidth="9" defaultRowHeight="13.2"/>
  <cols>
    <col width="7" customWidth="1" style="2" min="1" max="1"/>
    <col width="9.3984375" customWidth="1" style="2" min="2" max="2"/>
    <col width="3.59765625" customWidth="1" style="2" min="3" max="5"/>
    <col width="3.59765625" customWidth="1" style="23" min="6" max="7"/>
    <col width="4.19921875" customWidth="1" style="23" min="8" max="8"/>
    <col width="3.59765625" customWidth="1" style="2" min="9" max="9"/>
    <col width="3.59765625" customWidth="1" style="23" min="10" max="10"/>
    <col width="3.59765625" customWidth="1" style="2" min="11" max="11"/>
    <col width="3.59765625" customWidth="1" style="23" min="12" max="12"/>
    <col width="3.59765625" customWidth="1" style="2" min="13" max="14"/>
    <col width="3.59765625" customWidth="1" style="23" min="15" max="15"/>
    <col width="3.59765625" customWidth="1" style="2" min="16" max="16"/>
    <col width="3.59765625" customWidth="1" style="23" min="17" max="17"/>
    <col width="3.59765625" customWidth="1" style="2" min="18" max="33"/>
    <col width="8.5" customWidth="1" style="2" min="34" max="43"/>
    <col width="11.59765625" customWidth="1" style="2" min="44" max="54"/>
    <col width="14.19921875" customWidth="1" style="2" min="55" max="55"/>
    <col width="5.8984375" customWidth="1" style="2" min="56" max="78"/>
    <col width="6.69921875" customWidth="1" style="2" min="79" max="79"/>
    <col width="9" customWidth="1" style="2" min="80" max="16384"/>
  </cols>
  <sheetData>
    <row r="1" ht="20.1" customHeight="1" s="251">
      <c r="B1" s="221" t="inlineStr">
        <is>
          <t>유동상 소각로 운전일지 (7월)</t>
        </is>
      </c>
    </row>
    <row r="2" ht="6.75" customHeight="1" s="251" thickBot="1">
      <c r="C2" s="326" t="n"/>
      <c r="D2" s="326" t="n"/>
      <c r="E2" s="326" t="n"/>
      <c r="F2" s="327" t="n"/>
      <c r="G2" s="327" t="n"/>
      <c r="H2" s="327" t="n"/>
      <c r="I2" s="326" t="n"/>
      <c r="J2" s="327" t="n"/>
      <c r="K2" s="326" t="n"/>
      <c r="L2" s="327" t="n"/>
      <c r="M2" s="326" t="n"/>
      <c r="N2" s="326" t="n"/>
      <c r="O2" s="327" t="n"/>
      <c r="P2" s="326" t="n"/>
      <c r="Q2" s="327" t="n"/>
      <c r="R2" s="326" t="n"/>
      <c r="S2" s="326" t="n"/>
      <c r="T2" s="326" t="n"/>
      <c r="U2" s="326" t="n"/>
      <c r="V2" s="326" t="n"/>
      <c r="W2" s="326" t="n"/>
      <c r="X2" s="326" t="n"/>
      <c r="Y2" s="326" t="n"/>
      <c r="Z2" s="326" t="n"/>
      <c r="AA2" s="326" t="n"/>
      <c r="AB2" s="326" t="n"/>
      <c r="AC2" s="326" t="n"/>
      <c r="AD2" s="326" t="n"/>
      <c r="AE2" s="326" t="n"/>
      <c r="AF2" s="326" t="n"/>
      <c r="AG2" s="326" t="n"/>
    </row>
    <row r="3" ht="20.1" customHeight="1" s="251" thickBot="1">
      <c r="A3" s="222" t="inlineStr">
        <is>
          <t>구분</t>
        </is>
      </c>
      <c r="B3" s="328" t="n"/>
      <c r="C3" s="5" t="n">
        <v>1</v>
      </c>
      <c r="D3" s="5" t="n">
        <v>2</v>
      </c>
      <c r="E3" s="5" t="n">
        <v>3</v>
      </c>
      <c r="F3" s="6" t="n">
        <v>4</v>
      </c>
      <c r="G3" s="6" t="n">
        <v>5</v>
      </c>
      <c r="H3" s="6" t="n">
        <v>6</v>
      </c>
      <c r="I3" s="5" t="n">
        <v>7</v>
      </c>
      <c r="J3" s="6" t="n">
        <v>8</v>
      </c>
      <c r="K3" s="5" t="n">
        <v>9</v>
      </c>
      <c r="L3" s="6" t="n">
        <v>10</v>
      </c>
      <c r="M3" s="5" t="n">
        <v>11</v>
      </c>
      <c r="N3" s="5" t="n">
        <v>12</v>
      </c>
      <c r="O3" s="6" t="n">
        <v>13</v>
      </c>
      <c r="P3" s="5" t="n">
        <v>14</v>
      </c>
      <c r="Q3" s="6" t="n">
        <v>15</v>
      </c>
      <c r="R3" s="5" t="n">
        <v>16</v>
      </c>
      <c r="S3" s="5" t="n">
        <v>17</v>
      </c>
      <c r="T3" s="5" t="n">
        <v>18</v>
      </c>
      <c r="U3" s="5" t="n">
        <v>19</v>
      </c>
      <c r="V3" s="5" t="n">
        <v>20</v>
      </c>
      <c r="W3" s="5" t="n">
        <v>21</v>
      </c>
      <c r="X3" s="5" t="n">
        <v>22</v>
      </c>
      <c r="Y3" s="5" t="n">
        <v>23</v>
      </c>
      <c r="Z3" s="5" t="n">
        <v>24</v>
      </c>
      <c r="AA3" s="5" t="n">
        <v>25</v>
      </c>
      <c r="AB3" s="5" t="n">
        <v>26</v>
      </c>
      <c r="AC3" s="5" t="n">
        <v>27</v>
      </c>
      <c r="AD3" s="5" t="n">
        <v>28</v>
      </c>
      <c r="AE3" s="5" t="n">
        <v>29</v>
      </c>
      <c r="AF3" s="5" t="n">
        <v>30</v>
      </c>
      <c r="AG3" s="5" t="n">
        <v>31</v>
      </c>
      <c r="AH3" s="5" t="inlineStr">
        <is>
          <t>합계</t>
        </is>
      </c>
      <c r="AI3" s="7" t="inlineStr">
        <is>
          <t>평균</t>
        </is>
      </c>
    </row>
    <row r="4" ht="20.1" customHeight="1" s="251" thickTop="1">
      <c r="A4" s="329" t="inlineStr">
        <is>
          <t>탄산암모늄
(KG)</t>
        </is>
      </c>
      <c r="B4" s="8" t="inlineStr">
        <is>
          <t>반입</t>
        </is>
      </c>
      <c r="C4" s="9">
        <f>'1'!$E$12</f>
        <v/>
      </c>
      <c r="D4" s="9">
        <f>'2'!$E$12</f>
        <v/>
      </c>
      <c r="E4" s="9">
        <f>'3'!$E$12</f>
        <v/>
      </c>
      <c r="F4" s="9">
        <f>'4'!$E$12</f>
        <v/>
      </c>
      <c r="G4" s="9">
        <f>'5'!$E$12</f>
        <v/>
      </c>
      <c r="H4" s="9">
        <f>'6'!$E$12</f>
        <v/>
      </c>
      <c r="I4" s="9">
        <f>'7'!$E$12</f>
        <v/>
      </c>
      <c r="J4" s="9">
        <f>'8'!$E$12</f>
        <v/>
      </c>
      <c r="K4" s="9">
        <f>'9'!$E$12</f>
        <v/>
      </c>
      <c r="L4" s="9">
        <f>'10'!$E$12</f>
        <v/>
      </c>
      <c r="M4" s="9">
        <f>'11'!$E$12</f>
        <v/>
      </c>
      <c r="N4" s="9">
        <f>'12'!$E$12</f>
        <v/>
      </c>
      <c r="O4" s="9">
        <f>'13'!$E$12</f>
        <v/>
      </c>
      <c r="P4" s="9">
        <f>'14'!$E$12</f>
        <v/>
      </c>
      <c r="Q4" s="9">
        <f>'15'!$E$12</f>
        <v/>
      </c>
      <c r="R4" s="9">
        <f>'16'!$E$12</f>
        <v/>
      </c>
      <c r="S4" s="9">
        <f>'17'!$E$12</f>
        <v/>
      </c>
      <c r="T4" s="9">
        <f>'18'!$E$12</f>
        <v/>
      </c>
      <c r="U4" s="9">
        <f>'19'!$E$12</f>
        <v/>
      </c>
      <c r="V4" s="9">
        <f>'20'!$E$12</f>
        <v/>
      </c>
      <c r="W4" s="9">
        <f>'21'!$E$12</f>
        <v/>
      </c>
      <c r="X4" s="9">
        <f>'22'!$E$12</f>
        <v/>
      </c>
      <c r="Y4" s="9">
        <f>'23'!$E$12</f>
        <v/>
      </c>
      <c r="Z4" s="9">
        <f>'24'!$E$12</f>
        <v/>
      </c>
      <c r="AA4" s="9">
        <f>'25'!$E$12</f>
        <v/>
      </c>
      <c r="AB4" s="9">
        <f>'26'!$E$12</f>
        <v/>
      </c>
      <c r="AC4" s="9">
        <f>'27'!$E$12</f>
        <v/>
      </c>
      <c r="AD4" s="9">
        <f>'28'!$E$12</f>
        <v/>
      </c>
      <c r="AE4" s="9">
        <f>'29'!$E$12</f>
        <v/>
      </c>
      <c r="AF4" s="9">
        <f>'30'!$E$12</f>
        <v/>
      </c>
      <c r="AG4" s="9">
        <f>'31'!$E$12</f>
        <v/>
      </c>
      <c r="AH4" s="10">
        <f>SUM(C4:AG4)</f>
        <v/>
      </c>
      <c r="AI4" s="330">
        <f>IFERROR(AVERAGE(C4:AG4),"")</f>
        <v/>
      </c>
      <c r="AJ4" s="2">
        <f>('1'!C12+AH4)-AH5</f>
        <v/>
      </c>
      <c r="AK4" s="2">
        <f>AJ4-'30'!I12</f>
        <v/>
      </c>
    </row>
    <row r="5" ht="20.1" customHeight="1" s="251">
      <c r="A5" s="331" t="n"/>
      <c r="B5" s="8" t="inlineStr">
        <is>
          <t>사용</t>
        </is>
      </c>
      <c r="C5" s="9">
        <f>'1'!$G$12</f>
        <v/>
      </c>
      <c r="D5" s="9">
        <f>'2'!$G$12</f>
        <v/>
      </c>
      <c r="E5" s="9">
        <f>'3'!$G$12</f>
        <v/>
      </c>
      <c r="F5" s="9">
        <f>'4'!$G$12</f>
        <v/>
      </c>
      <c r="G5" s="9">
        <f>'5'!$G$12</f>
        <v/>
      </c>
      <c r="H5" s="9">
        <f>'6'!$G$12</f>
        <v/>
      </c>
      <c r="I5" s="9">
        <f>'7'!$G$12</f>
        <v/>
      </c>
      <c r="J5" s="9">
        <f>'8'!$G$12</f>
        <v/>
      </c>
      <c r="K5" s="9">
        <f>'9'!$G$12</f>
        <v/>
      </c>
      <c r="L5" s="9">
        <f>'10'!$G$12</f>
        <v/>
      </c>
      <c r="M5" s="9">
        <f>'11'!$G$12</f>
        <v/>
      </c>
      <c r="N5" s="9">
        <f>'12'!$G$12</f>
        <v/>
      </c>
      <c r="O5" s="9">
        <f>'13'!$G$12</f>
        <v/>
      </c>
      <c r="P5" s="9">
        <f>'14'!$G$12</f>
        <v/>
      </c>
      <c r="Q5" s="9">
        <f>'15'!$G$12</f>
        <v/>
      </c>
      <c r="R5" s="9">
        <f>'16'!$G$12</f>
        <v/>
      </c>
      <c r="S5" s="9">
        <f>'17'!$G$12</f>
        <v/>
      </c>
      <c r="T5" s="9">
        <f>'18'!$G$12</f>
        <v/>
      </c>
      <c r="U5" s="9">
        <f>'19'!$G$12</f>
        <v/>
      </c>
      <c r="V5" s="9">
        <f>'20'!$G$12</f>
        <v/>
      </c>
      <c r="W5" s="9">
        <f>'21'!$G$12</f>
        <v/>
      </c>
      <c r="X5" s="9">
        <f>'22'!$G$12</f>
        <v/>
      </c>
      <c r="Y5" s="9">
        <f>'23'!$G$12</f>
        <v/>
      </c>
      <c r="Z5" s="9">
        <f>'24'!$G$12</f>
        <v/>
      </c>
      <c r="AA5" s="9">
        <f>'25'!$G$12</f>
        <v/>
      </c>
      <c r="AB5" s="9">
        <f>'26'!$G$12</f>
        <v/>
      </c>
      <c r="AC5" s="9">
        <f>'27'!$G$12</f>
        <v/>
      </c>
      <c r="AD5" s="9">
        <f>'28'!$G$12</f>
        <v/>
      </c>
      <c r="AE5" s="9">
        <f>'29'!$G$12</f>
        <v/>
      </c>
      <c r="AF5" s="9">
        <f>'30'!$G$12</f>
        <v/>
      </c>
      <c r="AG5" s="9">
        <f>'31'!$G$12</f>
        <v/>
      </c>
      <c r="AH5" s="10">
        <f>SUM(C5:AG5)</f>
        <v/>
      </c>
      <c r="AI5" s="332">
        <f>IFERROR(AVERAGE(C5:AG5),"")</f>
        <v/>
      </c>
      <c r="AJ5" s="2">
        <f>AF6-AJ4</f>
        <v/>
      </c>
    </row>
    <row r="6" ht="19.5" customHeight="1" s="251" thickBot="1">
      <c r="A6" s="333" t="n"/>
      <c r="B6" s="12" t="inlineStr">
        <is>
          <t>재고</t>
        </is>
      </c>
      <c r="C6" s="13">
        <f>'1'!I12</f>
        <v/>
      </c>
      <c r="D6" s="13">
        <f>C6+D4-D5</f>
        <v/>
      </c>
      <c r="E6" s="13">
        <f>D6+E4-E5</f>
        <v/>
      </c>
      <c r="F6" s="13">
        <f>E6+F4-F5</f>
        <v/>
      </c>
      <c r="G6" s="13">
        <f>F6+G4-G5</f>
        <v/>
      </c>
      <c r="H6" s="13">
        <f>G6+H4-H5</f>
        <v/>
      </c>
      <c r="I6" s="13">
        <f>H6+I4-I5</f>
        <v/>
      </c>
      <c r="J6" s="13">
        <f>I6+J4-J5</f>
        <v/>
      </c>
      <c r="K6" s="13">
        <f>J6+K4-K5</f>
        <v/>
      </c>
      <c r="L6" s="13">
        <f>K6+L4-L5</f>
        <v/>
      </c>
      <c r="M6" s="13">
        <f>L6+M4-M5</f>
        <v/>
      </c>
      <c r="N6" s="13">
        <f>M6+N4-N5</f>
        <v/>
      </c>
      <c r="O6" s="13">
        <f>N6+O4-O5</f>
        <v/>
      </c>
      <c r="P6" s="13">
        <f>O6+P4-P5</f>
        <v/>
      </c>
      <c r="Q6" s="13">
        <f>P6+Q4-Q5</f>
        <v/>
      </c>
      <c r="R6" s="13">
        <f>Q6+R4-R5</f>
        <v/>
      </c>
      <c r="S6" s="13">
        <f>R6+S4-S5</f>
        <v/>
      </c>
      <c r="T6" s="13">
        <f>S6+T4-T5</f>
        <v/>
      </c>
      <c r="U6" s="13">
        <f>T6+U4-U5</f>
        <v/>
      </c>
      <c r="V6" s="13">
        <f>U6+V4-V5</f>
        <v/>
      </c>
      <c r="W6" s="13">
        <f>V6+W4-W5</f>
        <v/>
      </c>
      <c r="X6" s="13">
        <f>W6+X4-X5</f>
        <v/>
      </c>
      <c r="Y6" s="13">
        <f>X6+Y4-Y5</f>
        <v/>
      </c>
      <c r="Z6" s="13">
        <f>Y6+Z4-Z5</f>
        <v/>
      </c>
      <c r="AA6" s="13">
        <f>Z6+AA4-AA5</f>
        <v/>
      </c>
      <c r="AB6" s="13">
        <f>AA6+AB4-AB5</f>
        <v/>
      </c>
      <c r="AC6" s="13">
        <f>AB6+AC4-AC5</f>
        <v/>
      </c>
      <c r="AD6" s="13">
        <f>AC6+AD4-AD5</f>
        <v/>
      </c>
      <c r="AE6" s="13">
        <f>AD6+AE4-AE5</f>
        <v/>
      </c>
      <c r="AF6" s="13">
        <f>AE6+AF4-AF5</f>
        <v/>
      </c>
      <c r="AG6" s="13">
        <f>AF6+AG4-AG5</f>
        <v/>
      </c>
      <c r="AH6" s="80" t="n">
        <v>0</v>
      </c>
      <c r="AI6" s="334">
        <f>IFERROR(AVERAGE(C6:AG6),"")</f>
        <v/>
      </c>
    </row>
    <row r="7" ht="20.1" customHeight="1" s="251">
      <c r="A7" s="94" t="inlineStr">
        <is>
          <t>청관재
(KG)</t>
        </is>
      </c>
      <c r="B7" s="15" t="inlineStr">
        <is>
          <t>반입</t>
        </is>
      </c>
      <c r="C7" s="9">
        <f>'1'!$E$13</f>
        <v/>
      </c>
      <c r="D7" s="9">
        <f>'2'!$E$13</f>
        <v/>
      </c>
      <c r="E7" s="9">
        <f>'3'!$E$13</f>
        <v/>
      </c>
      <c r="F7" s="9">
        <f>'4'!$E$13</f>
        <v/>
      </c>
      <c r="G7" s="9">
        <f>'5'!$E$13</f>
        <v/>
      </c>
      <c r="H7" s="9">
        <f>'6'!$E$13</f>
        <v/>
      </c>
      <c r="I7" s="9">
        <f>'7'!$E$13</f>
        <v/>
      </c>
      <c r="J7" s="9">
        <f>'8'!$E$13</f>
        <v/>
      </c>
      <c r="K7" s="9">
        <f>'9'!$E$13</f>
        <v/>
      </c>
      <c r="L7" s="9">
        <f>'10'!$E$13</f>
        <v/>
      </c>
      <c r="M7" s="9">
        <f>'11'!$E$13</f>
        <v/>
      </c>
      <c r="N7" s="9">
        <f>'12'!$E$13</f>
        <v/>
      </c>
      <c r="O7" s="9">
        <f>'13'!$E$13</f>
        <v/>
      </c>
      <c r="P7" s="9">
        <f>'14'!$E$13</f>
        <v/>
      </c>
      <c r="Q7" s="9">
        <f>'15'!$E$13</f>
        <v/>
      </c>
      <c r="R7" s="9">
        <f>'16'!$E$13</f>
        <v/>
      </c>
      <c r="S7" s="9">
        <f>'17'!$E$13</f>
        <v/>
      </c>
      <c r="T7" s="9">
        <f>'18'!$E$13</f>
        <v/>
      </c>
      <c r="U7" s="9">
        <f>'19'!$E$13</f>
        <v/>
      </c>
      <c r="V7" s="9">
        <f>'20'!$E$13</f>
        <v/>
      </c>
      <c r="W7" s="9">
        <f>'21'!$E$13</f>
        <v/>
      </c>
      <c r="X7" s="9">
        <f>'22'!$E$13</f>
        <v/>
      </c>
      <c r="Y7" s="9">
        <f>'23'!$E$13</f>
        <v/>
      </c>
      <c r="Z7" s="9">
        <f>'24'!$E$13</f>
        <v/>
      </c>
      <c r="AA7" s="9">
        <f>'25'!$E$13</f>
        <v/>
      </c>
      <c r="AB7" s="9">
        <f>'26'!$E$13</f>
        <v/>
      </c>
      <c r="AC7" s="9">
        <f>'27'!$E$13</f>
        <v/>
      </c>
      <c r="AD7" s="9">
        <f>'28'!$E$13</f>
        <v/>
      </c>
      <c r="AE7" s="9">
        <f>'29'!$E$13</f>
        <v/>
      </c>
      <c r="AF7" s="9">
        <f>'30'!$E$13</f>
        <v/>
      </c>
      <c r="AG7" s="9">
        <f>'31'!$E$13</f>
        <v/>
      </c>
      <c r="AH7" s="10">
        <f>SUM(C7:AG7)</f>
        <v/>
      </c>
      <c r="AI7" s="335">
        <f>IFERROR(AVERAGE(C7:AG7),"")</f>
        <v/>
      </c>
      <c r="AJ7" s="2">
        <f>('1'!C13+'요약(약품)'!AH7)-AH8</f>
        <v/>
      </c>
      <c r="AK7" s="2">
        <f>AJ7-'30'!I13</f>
        <v/>
      </c>
    </row>
    <row r="8" ht="20.1" customHeight="1" s="251">
      <c r="A8" s="331" t="n"/>
      <c r="B8" s="8" t="inlineStr">
        <is>
          <t>사용</t>
        </is>
      </c>
      <c r="C8" s="9">
        <f>'1'!$G$13</f>
        <v/>
      </c>
      <c r="D8" s="9">
        <f>'2'!$G$13</f>
        <v/>
      </c>
      <c r="E8" s="9">
        <f>'3'!$G$13</f>
        <v/>
      </c>
      <c r="F8" s="9">
        <f>'4'!$G$13</f>
        <v/>
      </c>
      <c r="G8" s="9">
        <f>'5'!$G$13</f>
        <v/>
      </c>
      <c r="H8" s="9">
        <f>'6'!$G$13</f>
        <v/>
      </c>
      <c r="I8" s="9">
        <f>'7'!$G$13</f>
        <v/>
      </c>
      <c r="J8" s="9">
        <f>'8'!$G$13</f>
        <v/>
      </c>
      <c r="K8" s="9">
        <f>'9'!$G$13</f>
        <v/>
      </c>
      <c r="L8" s="9">
        <f>'10'!$G$13</f>
        <v/>
      </c>
      <c r="M8" s="9">
        <f>'11'!$G$13</f>
        <v/>
      </c>
      <c r="N8" s="9">
        <f>'12'!$G$13</f>
        <v/>
      </c>
      <c r="O8" s="9">
        <f>'13'!$G$13</f>
        <v/>
      </c>
      <c r="P8" s="9">
        <f>'14'!$G$13</f>
        <v/>
      </c>
      <c r="Q8" s="9">
        <f>'15'!$G$13</f>
        <v/>
      </c>
      <c r="R8" s="9">
        <f>'16'!$G$13</f>
        <v/>
      </c>
      <c r="S8" s="9">
        <f>'17'!$G$13</f>
        <v/>
      </c>
      <c r="T8" s="9">
        <f>'18'!$G$13</f>
        <v/>
      </c>
      <c r="U8" s="9">
        <f>'19'!$G$13</f>
        <v/>
      </c>
      <c r="V8" s="9">
        <f>'20'!$G$13</f>
        <v/>
      </c>
      <c r="W8" s="9">
        <f>'21'!$G$13</f>
        <v/>
      </c>
      <c r="X8" s="9">
        <f>'22'!$G$13</f>
        <v/>
      </c>
      <c r="Y8" s="9">
        <f>'23'!$G$13</f>
        <v/>
      </c>
      <c r="Z8" s="9">
        <f>'24'!$G$13</f>
        <v/>
      </c>
      <c r="AA8" s="9">
        <f>'25'!$G$13</f>
        <v/>
      </c>
      <c r="AB8" s="9">
        <f>'26'!$G$13</f>
        <v/>
      </c>
      <c r="AC8" s="9">
        <f>'27'!$G$13</f>
        <v/>
      </c>
      <c r="AD8" s="9">
        <f>'28'!$G$13</f>
        <v/>
      </c>
      <c r="AE8" s="9">
        <f>'29'!$G$13</f>
        <v/>
      </c>
      <c r="AF8" s="9">
        <f>'30'!$G$13</f>
        <v/>
      </c>
      <c r="AG8" s="9">
        <f>'31'!$G$13</f>
        <v/>
      </c>
      <c r="AH8" s="10">
        <f>SUM(C8:AG8)</f>
        <v/>
      </c>
      <c r="AI8" s="332">
        <f>IFERROR(AVERAGE(C8:AG8),"")</f>
        <v/>
      </c>
      <c r="AJ8" s="2">
        <f>AF9-AJ7</f>
        <v/>
      </c>
    </row>
    <row r="9" ht="19.5" customHeight="1" s="251" thickBot="1">
      <c r="A9" s="333" t="n"/>
      <c r="B9" s="12" t="inlineStr">
        <is>
          <t>재고</t>
        </is>
      </c>
      <c r="C9" s="17">
        <f>'1'!I13</f>
        <v/>
      </c>
      <c r="D9" s="17">
        <f>C9+D7-D8</f>
        <v/>
      </c>
      <c r="E9" s="17">
        <f>D9+E7-E8</f>
        <v/>
      </c>
      <c r="F9" s="17">
        <f>E9+F7-F8</f>
        <v/>
      </c>
      <c r="G9" s="17">
        <f>F9+G7-G8</f>
        <v/>
      </c>
      <c r="H9" s="17">
        <f>G9+H7-H8</f>
        <v/>
      </c>
      <c r="I9" s="17">
        <f>H9+I7-I8</f>
        <v/>
      </c>
      <c r="J9" s="17">
        <f>I9+J7-J8</f>
        <v/>
      </c>
      <c r="K9" s="17">
        <f>J9+K7-K8</f>
        <v/>
      </c>
      <c r="L9" s="17">
        <f>K9+L7-L8</f>
        <v/>
      </c>
      <c r="M9" s="17">
        <f>L9+M7-M8</f>
        <v/>
      </c>
      <c r="N9" s="17">
        <f>M9+N7-N8</f>
        <v/>
      </c>
      <c r="O9" s="17">
        <f>N9+O7-O8</f>
        <v/>
      </c>
      <c r="P9" s="17">
        <f>O9+P7-P8</f>
        <v/>
      </c>
      <c r="Q9" s="17">
        <f>P9+Q7-Q8</f>
        <v/>
      </c>
      <c r="R9" s="17">
        <f>Q9+R7-R8</f>
        <v/>
      </c>
      <c r="S9" s="17">
        <f>R9+S7-S8</f>
        <v/>
      </c>
      <c r="T9" s="17">
        <f>S9+T7-T8</f>
        <v/>
      </c>
      <c r="U9" s="17">
        <f>T9+U7-U8</f>
        <v/>
      </c>
      <c r="V9" s="17">
        <f>U9+V7-V8</f>
        <v/>
      </c>
      <c r="W9" s="17">
        <f>V9+W7-W8</f>
        <v/>
      </c>
      <c r="X9" s="17">
        <f>W9+X7-X8</f>
        <v/>
      </c>
      <c r="Y9" s="17">
        <f>X9+Y7-Y8</f>
        <v/>
      </c>
      <c r="Z9" s="17">
        <f>Y9+Z7-Z8</f>
        <v/>
      </c>
      <c r="AA9" s="17">
        <f>Z9+AA7-AA8</f>
        <v/>
      </c>
      <c r="AB9" s="17">
        <f>AA9+AB7-AB8</f>
        <v/>
      </c>
      <c r="AC9" s="17">
        <f>AB9+AC7-AC8</f>
        <v/>
      </c>
      <c r="AD9" s="17">
        <f>AC9+AD7-AD8</f>
        <v/>
      </c>
      <c r="AE9" s="17">
        <f>AD9+AE7-AE8</f>
        <v/>
      </c>
      <c r="AF9" s="17">
        <f>AE9+AF7-AF8</f>
        <v/>
      </c>
      <c r="AG9" s="17">
        <f>AF9+AG7-AG8</f>
        <v/>
      </c>
      <c r="AH9" s="80" t="n">
        <v>0</v>
      </c>
      <c r="AI9" s="334">
        <f>IFERROR(AVERAGE(C9:AG9),"")</f>
        <v/>
      </c>
    </row>
    <row r="10" ht="20.1" customHeight="1" s="251">
      <c r="A10" s="94" t="inlineStr">
        <is>
          <t>활성탄
(KG)</t>
        </is>
      </c>
      <c r="B10" s="15" t="inlineStr">
        <is>
          <t>반입</t>
        </is>
      </c>
      <c r="C10" s="9">
        <f>'1'!$E$14</f>
        <v/>
      </c>
      <c r="D10" s="9">
        <f>'2'!$E$14</f>
        <v/>
      </c>
      <c r="E10" s="9">
        <f>'3'!$E$14</f>
        <v/>
      </c>
      <c r="F10" s="9">
        <f>'4'!$E$14</f>
        <v/>
      </c>
      <c r="G10" s="9">
        <f>'5'!$E$14</f>
        <v/>
      </c>
      <c r="H10" s="9">
        <f>'6'!$E$14</f>
        <v/>
      </c>
      <c r="I10" s="9">
        <f>'7'!$E$14</f>
        <v/>
      </c>
      <c r="J10" s="9">
        <f>'8'!$E$14</f>
        <v/>
      </c>
      <c r="K10" s="9">
        <f>'9'!$E$14</f>
        <v/>
      </c>
      <c r="L10" s="9">
        <f>'10'!$E$14</f>
        <v/>
      </c>
      <c r="M10" s="9">
        <f>'11'!$E$14</f>
        <v/>
      </c>
      <c r="N10" s="9">
        <f>'12'!$E$14</f>
        <v/>
      </c>
      <c r="O10" s="9">
        <f>'13'!$E$14</f>
        <v/>
      </c>
      <c r="P10" s="9">
        <f>'14'!$E$14</f>
        <v/>
      </c>
      <c r="Q10" s="9">
        <f>'15'!$E$14</f>
        <v/>
      </c>
      <c r="R10" s="9">
        <f>'16'!$E$14</f>
        <v/>
      </c>
      <c r="S10" s="9">
        <f>'17'!$E$14</f>
        <v/>
      </c>
      <c r="T10" s="9">
        <f>'18'!$E$14</f>
        <v/>
      </c>
      <c r="U10" s="9">
        <f>'19'!$E$14</f>
        <v/>
      </c>
      <c r="V10" s="9">
        <f>'20'!$E$14</f>
        <v/>
      </c>
      <c r="W10" s="9">
        <f>'21'!$E$14</f>
        <v/>
      </c>
      <c r="X10" s="9">
        <f>'22'!$E$14</f>
        <v/>
      </c>
      <c r="Y10" s="9">
        <f>'23'!$E$14</f>
        <v/>
      </c>
      <c r="Z10" s="9">
        <f>'24'!$E$14</f>
        <v/>
      </c>
      <c r="AA10" s="9">
        <f>'25'!$E$14</f>
        <v/>
      </c>
      <c r="AB10" s="9">
        <f>'26'!$E$14</f>
        <v/>
      </c>
      <c r="AC10" s="9">
        <f>'27'!$E$14</f>
        <v/>
      </c>
      <c r="AD10" s="9">
        <f>'28'!$E$14</f>
        <v/>
      </c>
      <c r="AE10" s="9">
        <f>'29'!$E$14</f>
        <v/>
      </c>
      <c r="AF10" s="9">
        <f>'30'!$E$14</f>
        <v/>
      </c>
      <c r="AG10" s="9">
        <f>'31'!$E$14</f>
        <v/>
      </c>
      <c r="AH10" s="10">
        <f>SUM(C10:AG10)</f>
        <v/>
      </c>
      <c r="AI10" s="335">
        <f>IFERROR(AVERAGE(C10:AG10),"")</f>
        <v/>
      </c>
      <c r="AJ10" s="2">
        <f>('1'!C14+'요약(약품)'!AH10)-AH11</f>
        <v/>
      </c>
      <c r="AK10" s="2">
        <f>AJ10-'30'!I14</f>
        <v/>
      </c>
    </row>
    <row r="11" ht="20.1" customHeight="1" s="251">
      <c r="A11" s="331" t="n"/>
      <c r="B11" s="8" t="inlineStr">
        <is>
          <t>사용</t>
        </is>
      </c>
      <c r="C11" s="9">
        <f>'1'!$G$14</f>
        <v/>
      </c>
      <c r="D11" s="9">
        <f>'2'!$G$14</f>
        <v/>
      </c>
      <c r="E11" s="9">
        <f>'3'!$G$14</f>
        <v/>
      </c>
      <c r="F11" s="9">
        <f>'4'!$G$14</f>
        <v/>
      </c>
      <c r="G11" s="9">
        <f>'5'!$G$14</f>
        <v/>
      </c>
      <c r="H11" s="9">
        <f>'6'!$G$14</f>
        <v/>
      </c>
      <c r="I11" s="9">
        <f>'7'!$G$14</f>
        <v/>
      </c>
      <c r="J11" s="9">
        <f>'8'!$G$14</f>
        <v/>
      </c>
      <c r="K11" s="9">
        <f>'9'!$G$14</f>
        <v/>
      </c>
      <c r="L11" s="9">
        <f>'10'!$G$14</f>
        <v/>
      </c>
      <c r="M11" s="9">
        <f>'11'!$G$14</f>
        <v/>
      </c>
      <c r="N11" s="9">
        <f>'12'!$G$14</f>
        <v/>
      </c>
      <c r="O11" s="9">
        <f>'13'!$G$14</f>
        <v/>
      </c>
      <c r="P11" s="9">
        <f>'14'!$G$14</f>
        <v/>
      </c>
      <c r="Q11" s="9">
        <f>'15'!$G$14</f>
        <v/>
      </c>
      <c r="R11" s="9">
        <f>'16'!$G$14</f>
        <v/>
      </c>
      <c r="S11" s="9">
        <f>'17'!$G$14</f>
        <v/>
      </c>
      <c r="T11" s="9">
        <f>'18'!$G$14</f>
        <v/>
      </c>
      <c r="U11" s="9">
        <f>'19'!$G$14</f>
        <v/>
      </c>
      <c r="V11" s="9">
        <f>'20'!$G$14</f>
        <v/>
      </c>
      <c r="W11" s="9">
        <f>'21'!$G$14</f>
        <v/>
      </c>
      <c r="X11" s="9">
        <f>'22'!$G$14</f>
        <v/>
      </c>
      <c r="Y11" s="9">
        <f>'23'!$G$14</f>
        <v/>
      </c>
      <c r="Z11" s="9">
        <f>'24'!$G$14</f>
        <v/>
      </c>
      <c r="AA11" s="9">
        <f>'25'!$G$14</f>
        <v/>
      </c>
      <c r="AB11" s="9">
        <f>'26'!$G$14</f>
        <v/>
      </c>
      <c r="AC11" s="9">
        <f>'27'!$G$14</f>
        <v/>
      </c>
      <c r="AD11" s="9">
        <f>'28'!$G$14</f>
        <v/>
      </c>
      <c r="AE11" s="9">
        <f>'29'!$G$14</f>
        <v/>
      </c>
      <c r="AF11" s="9">
        <f>'30'!$G$14</f>
        <v/>
      </c>
      <c r="AG11" s="9">
        <f>'31'!$G$14</f>
        <v/>
      </c>
      <c r="AH11" s="10">
        <f>SUM(C11:AG11)</f>
        <v/>
      </c>
      <c r="AI11" s="332">
        <f>IFERROR(AVERAGE(C11:AG11),"")</f>
        <v/>
      </c>
      <c r="AJ11" s="2">
        <f>AF12-AJ10</f>
        <v/>
      </c>
    </row>
    <row r="12" ht="19.5" customHeight="1" s="251" thickBot="1">
      <c r="A12" s="333" t="n"/>
      <c r="B12" s="12" t="inlineStr">
        <is>
          <t>재고</t>
        </is>
      </c>
      <c r="C12" s="17">
        <f>'1'!I14</f>
        <v/>
      </c>
      <c r="D12" s="17">
        <f>C12+D10-D11</f>
        <v/>
      </c>
      <c r="E12" s="17">
        <f>D12+E10-E11</f>
        <v/>
      </c>
      <c r="F12" s="17">
        <f>E12+F10-F11</f>
        <v/>
      </c>
      <c r="G12" s="17">
        <f>F12+G10-G11</f>
        <v/>
      </c>
      <c r="H12" s="17">
        <f>G12+H10-H11</f>
        <v/>
      </c>
      <c r="I12" s="17">
        <f>H12+I10-I11</f>
        <v/>
      </c>
      <c r="J12" s="17">
        <f>I12+J10-J11</f>
        <v/>
      </c>
      <c r="K12" s="17">
        <f>J12+K10-K11</f>
        <v/>
      </c>
      <c r="L12" s="17">
        <f>K12+L10-L11</f>
        <v/>
      </c>
      <c r="M12" s="17">
        <f>L12+M10-M11</f>
        <v/>
      </c>
      <c r="N12" s="17">
        <f>M12+N10-N11</f>
        <v/>
      </c>
      <c r="O12" s="17">
        <f>N12+O10-O11</f>
        <v/>
      </c>
      <c r="P12" s="17">
        <f>O12+P10-P11</f>
        <v/>
      </c>
      <c r="Q12" s="17">
        <f>P12+Q10-Q11</f>
        <v/>
      </c>
      <c r="R12" s="17">
        <f>Q12+R10-R11</f>
        <v/>
      </c>
      <c r="S12" s="17">
        <f>R12+S10-S11</f>
        <v/>
      </c>
      <c r="T12" s="17">
        <f>S12+T10-T11</f>
        <v/>
      </c>
      <c r="U12" s="17">
        <f>T12+U10-U11</f>
        <v/>
      </c>
      <c r="V12" s="17">
        <f>U12+V10-V11</f>
        <v/>
      </c>
      <c r="W12" s="17">
        <f>V12+W10-W11</f>
        <v/>
      </c>
      <c r="X12" s="17">
        <f>W12+X10-X11</f>
        <v/>
      </c>
      <c r="Y12" s="17">
        <f>X12+Y10-Y11</f>
        <v/>
      </c>
      <c r="Z12" s="17">
        <f>Y12+Z10-Z11</f>
        <v/>
      </c>
      <c r="AA12" s="17">
        <f>Z12+AA10-AA11</f>
        <v/>
      </c>
      <c r="AB12" s="17">
        <f>AA12+AB10-AB11</f>
        <v/>
      </c>
      <c r="AC12" s="17">
        <f>AB12+AC10-AC11</f>
        <v/>
      </c>
      <c r="AD12" s="17">
        <f>AC12+AD10-AD11</f>
        <v/>
      </c>
      <c r="AE12" s="17">
        <f>AD12+AE10-AE11</f>
        <v/>
      </c>
      <c r="AF12" s="17">
        <f>AE12+AF10-AF11</f>
        <v/>
      </c>
      <c r="AG12" s="17">
        <f>AF12+AG10-AG11</f>
        <v/>
      </c>
      <c r="AH12" s="80" t="n">
        <v>0</v>
      </c>
      <c r="AI12" s="334">
        <f>IFERROR(AVERAGE(C12:AG12),"")</f>
        <v/>
      </c>
    </row>
    <row r="13" ht="20.1" customHeight="1" s="251">
      <c r="A13" s="94" t="inlineStr">
        <is>
          <t>가성소다
(KG)</t>
        </is>
      </c>
      <c r="B13" s="15" t="inlineStr">
        <is>
          <t>반입</t>
        </is>
      </c>
      <c r="C13" s="9">
        <f>'1'!$E$15</f>
        <v/>
      </c>
      <c r="D13" s="9">
        <f>'2'!$E$15</f>
        <v/>
      </c>
      <c r="E13" s="9">
        <f>'3'!$E$15</f>
        <v/>
      </c>
      <c r="F13" s="9">
        <f>'4'!$E$15</f>
        <v/>
      </c>
      <c r="G13" s="9">
        <f>'5'!$E$15</f>
        <v/>
      </c>
      <c r="H13" s="9">
        <f>'6'!$E$15</f>
        <v/>
      </c>
      <c r="I13" s="9">
        <f>'7'!$E$15</f>
        <v/>
      </c>
      <c r="J13" s="9">
        <f>'8'!$E$15</f>
        <v/>
      </c>
      <c r="K13" s="9">
        <f>'9'!$E$15</f>
        <v/>
      </c>
      <c r="L13" s="9">
        <f>'10'!$E$15</f>
        <v/>
      </c>
      <c r="M13" s="9">
        <f>'11'!$E$15</f>
        <v/>
      </c>
      <c r="N13" s="9">
        <f>'12'!$E$15</f>
        <v/>
      </c>
      <c r="O13" s="9">
        <f>'13'!$E$15</f>
        <v/>
      </c>
      <c r="P13" s="9">
        <f>'14'!$E$15</f>
        <v/>
      </c>
      <c r="Q13" s="9">
        <f>'15'!$E$15</f>
        <v/>
      </c>
      <c r="R13" s="9">
        <f>'16'!$E$15</f>
        <v/>
      </c>
      <c r="S13" s="9">
        <f>'17'!$E$15</f>
        <v/>
      </c>
      <c r="T13" s="9">
        <f>'18'!$E$15</f>
        <v/>
      </c>
      <c r="U13" s="9">
        <f>'19'!$E$15</f>
        <v/>
      </c>
      <c r="V13" s="9">
        <f>'20'!$E$15</f>
        <v/>
      </c>
      <c r="W13" s="9">
        <f>'21'!$E$15</f>
        <v/>
      </c>
      <c r="X13" s="9">
        <f>'22'!$E$15</f>
        <v/>
      </c>
      <c r="Y13" s="9">
        <f>'23'!$E$15</f>
        <v/>
      </c>
      <c r="Z13" s="9">
        <f>'24'!$E$15</f>
        <v/>
      </c>
      <c r="AA13" s="9">
        <f>'25'!$E$15</f>
        <v/>
      </c>
      <c r="AB13" s="9">
        <f>'26'!$E$15</f>
        <v/>
      </c>
      <c r="AC13" s="9">
        <f>'27'!$E$15</f>
        <v/>
      </c>
      <c r="AD13" s="9">
        <f>'28'!$E$15</f>
        <v/>
      </c>
      <c r="AE13" s="9">
        <f>'29'!$E$15</f>
        <v/>
      </c>
      <c r="AF13" s="9">
        <f>'30'!$E$15</f>
        <v/>
      </c>
      <c r="AG13" s="9">
        <f>'31'!$E$15</f>
        <v/>
      </c>
      <c r="AH13" s="10">
        <f>SUM(C13:AF13)</f>
        <v/>
      </c>
      <c r="AI13" s="335">
        <f>IFERROR(AVERAGE(C13:AF13),"")</f>
        <v/>
      </c>
    </row>
    <row r="14" ht="20.1" customHeight="1" s="251">
      <c r="A14" s="331" t="n"/>
      <c r="B14" s="8" t="inlineStr">
        <is>
          <t>사용</t>
        </is>
      </c>
      <c r="C14" s="9">
        <f>'1'!$G$15</f>
        <v/>
      </c>
      <c r="D14" s="9">
        <f>'2'!$G$15</f>
        <v/>
      </c>
      <c r="E14" s="9">
        <f>'3'!$G$15</f>
        <v/>
      </c>
      <c r="F14" s="9">
        <f>'4'!$G$15</f>
        <v/>
      </c>
      <c r="G14" s="9">
        <f>'5'!$G$15</f>
        <v/>
      </c>
      <c r="H14" s="9">
        <f>'6'!$G$15</f>
        <v/>
      </c>
      <c r="I14" s="9">
        <f>'7'!$G$15</f>
        <v/>
      </c>
      <c r="J14" s="9">
        <f>'8'!$G$15</f>
        <v/>
      </c>
      <c r="K14" s="9">
        <f>'9'!$G$15</f>
        <v/>
      </c>
      <c r="L14" s="9">
        <f>'10'!$G$15</f>
        <v/>
      </c>
      <c r="M14" s="9">
        <f>'11'!$G$15</f>
        <v/>
      </c>
      <c r="N14" s="9">
        <f>'12'!$G$15</f>
        <v/>
      </c>
      <c r="O14" s="9">
        <f>'13'!$G$15</f>
        <v/>
      </c>
      <c r="P14" s="9">
        <f>'14'!$G$15</f>
        <v/>
      </c>
      <c r="Q14" s="9">
        <f>'15'!$G$15</f>
        <v/>
      </c>
      <c r="R14" s="9">
        <f>'16'!$G$15</f>
        <v/>
      </c>
      <c r="S14" s="9">
        <f>'17'!$G$15</f>
        <v/>
      </c>
      <c r="T14" s="9">
        <f>'18'!$G$15</f>
        <v/>
      </c>
      <c r="U14" s="9">
        <f>'19'!$G$15</f>
        <v/>
      </c>
      <c r="V14" s="9">
        <f>'20'!$G$15</f>
        <v/>
      </c>
      <c r="W14" s="9" t="n">
        <v>29</v>
      </c>
      <c r="X14" s="9" t="n">
        <v>29</v>
      </c>
      <c r="Y14" s="9">
        <f>'23'!$G$15</f>
        <v/>
      </c>
      <c r="Z14" s="9">
        <f>'24'!$G$15</f>
        <v/>
      </c>
      <c r="AA14" s="9">
        <f>'25'!$G$15</f>
        <v/>
      </c>
      <c r="AB14" s="9">
        <f>'26'!$G$15</f>
        <v/>
      </c>
      <c r="AC14" s="9">
        <f>'27'!$G$15</f>
        <v/>
      </c>
      <c r="AD14" s="9">
        <f>'28'!$G$15</f>
        <v/>
      </c>
      <c r="AE14" s="9">
        <f>'29'!$G$15</f>
        <v/>
      </c>
      <c r="AF14" s="9">
        <f>'30'!$G$15</f>
        <v/>
      </c>
      <c r="AG14" s="9">
        <f>'31'!$G$15</f>
        <v/>
      </c>
      <c r="AH14" s="10">
        <f>SUM(C14:AF14)</f>
        <v/>
      </c>
      <c r="AI14" s="332">
        <f>IFERROR(AVERAGE(C14:AF14),"")</f>
        <v/>
      </c>
    </row>
    <row r="15" ht="19.5" customHeight="1" s="251" thickBot="1">
      <c r="A15" s="333" t="n"/>
      <c r="B15" s="12" t="inlineStr">
        <is>
          <t>재고</t>
        </is>
      </c>
      <c r="C15" s="17">
        <f>'1'!I15</f>
        <v/>
      </c>
      <c r="D15" s="17">
        <f>C15+D13-D14</f>
        <v/>
      </c>
      <c r="E15" s="17">
        <f>D15+E13-E14</f>
        <v/>
      </c>
      <c r="F15" s="17">
        <f>E15+F13-F14</f>
        <v/>
      </c>
      <c r="G15" s="17">
        <f>F15+G13-G14</f>
        <v/>
      </c>
      <c r="H15" s="17">
        <f>G15+H13-H14</f>
        <v/>
      </c>
      <c r="I15" s="17">
        <f>H15+I13-I14</f>
        <v/>
      </c>
      <c r="J15" s="17">
        <f>I15+J13-J14</f>
        <v/>
      </c>
      <c r="K15" s="17">
        <f>J15+K13-K14</f>
        <v/>
      </c>
      <c r="L15" s="17">
        <f>K15+L13-L14</f>
        <v/>
      </c>
      <c r="M15" s="17">
        <f>L15+M13-M14</f>
        <v/>
      </c>
      <c r="N15" s="17">
        <f>M15+N13-N14</f>
        <v/>
      </c>
      <c r="O15" s="17">
        <f>N15+O13-O14</f>
        <v/>
      </c>
      <c r="P15" s="17">
        <f>O15+P13-P14</f>
        <v/>
      </c>
      <c r="Q15" s="17">
        <f>P15+Q13-Q14</f>
        <v/>
      </c>
      <c r="R15" s="17">
        <f>Q15+R13-R14</f>
        <v/>
      </c>
      <c r="S15" s="17">
        <f>R15+S13-S14</f>
        <v/>
      </c>
      <c r="T15" s="17">
        <f>S15+T13-T14</f>
        <v/>
      </c>
      <c r="U15" s="17">
        <f>T15+U13-U14</f>
        <v/>
      </c>
      <c r="V15" s="17">
        <f>U15+V13-V14</f>
        <v/>
      </c>
      <c r="W15" s="17">
        <f>V15+W13-W14</f>
        <v/>
      </c>
      <c r="X15" s="17">
        <f>W15+X13-X14</f>
        <v/>
      </c>
      <c r="Y15" s="17">
        <f>X15+Y13-Y14</f>
        <v/>
      </c>
      <c r="Z15" s="17">
        <f>Y15+Z13-Z14</f>
        <v/>
      </c>
      <c r="AA15" s="17">
        <f>Z15+AA13-AA14</f>
        <v/>
      </c>
      <c r="AB15" s="17">
        <f>AA15+AB13-AB14</f>
        <v/>
      </c>
      <c r="AC15" s="17">
        <f>AB15+AC13-AC14</f>
        <v/>
      </c>
      <c r="AD15" s="17">
        <f>AC15+AD13-AD14</f>
        <v/>
      </c>
      <c r="AE15" s="17">
        <f>AD15+AE13-AE14</f>
        <v/>
      </c>
      <c r="AF15" s="17">
        <f>AE15+AF13-AF14</f>
        <v/>
      </c>
      <c r="AG15" s="17">
        <f>AF15+AG13-AG14</f>
        <v/>
      </c>
      <c r="AH15" s="80" t="n">
        <v>0</v>
      </c>
      <c r="AI15" s="334">
        <f>IFERROR(AVERAGE(C15:AF15),"")</f>
        <v/>
      </c>
    </row>
    <row r="16" ht="20.1" customHeight="1" s="251">
      <c r="A16" s="94" t="inlineStr">
        <is>
          <t>소석회
(KG)</t>
        </is>
      </c>
      <c r="B16" s="15" t="inlineStr">
        <is>
          <t>반입</t>
        </is>
      </c>
      <c r="C16" s="9">
        <f>'1'!$E$16</f>
        <v/>
      </c>
      <c r="D16" s="9">
        <f>'2'!$E$16</f>
        <v/>
      </c>
      <c r="E16" s="9">
        <f>'3'!$E$16</f>
        <v/>
      </c>
      <c r="F16" s="9">
        <f>'4'!$E$16</f>
        <v/>
      </c>
      <c r="G16" s="9">
        <f>'5'!$E$16</f>
        <v/>
      </c>
      <c r="H16" s="9">
        <f>'6'!$E$16</f>
        <v/>
      </c>
      <c r="I16" s="9">
        <f>'7'!$E$16</f>
        <v/>
      </c>
      <c r="J16" s="9">
        <f>'8'!$E$16</f>
        <v/>
      </c>
      <c r="K16" s="9">
        <f>'9'!$E$16</f>
        <v/>
      </c>
      <c r="L16" s="9">
        <f>'10'!$E$16</f>
        <v/>
      </c>
      <c r="M16" s="9">
        <f>'11'!$E$16</f>
        <v/>
      </c>
      <c r="N16" s="9">
        <f>'12'!$E$16</f>
        <v/>
      </c>
      <c r="O16" s="9">
        <f>'13'!$E$16</f>
        <v/>
      </c>
      <c r="P16" s="9">
        <f>'14'!$E$16</f>
        <v/>
      </c>
      <c r="Q16" s="9">
        <f>'15'!$E$16</f>
        <v/>
      </c>
      <c r="R16" s="9">
        <f>'16'!$E$16</f>
        <v/>
      </c>
      <c r="S16" s="9">
        <f>'17'!$E$16</f>
        <v/>
      </c>
      <c r="T16" s="9">
        <f>'18'!$E$16</f>
        <v/>
      </c>
      <c r="U16" s="9">
        <f>'19'!$E$16</f>
        <v/>
      </c>
      <c r="V16" s="9">
        <f>'20'!$E$16</f>
        <v/>
      </c>
      <c r="W16" s="9">
        <f>'21'!$E$16</f>
        <v/>
      </c>
      <c r="X16" s="9">
        <f>'22'!$E$16</f>
        <v/>
      </c>
      <c r="Y16" s="9">
        <f>'23'!$E$16</f>
        <v/>
      </c>
      <c r="Z16" s="9">
        <f>'24'!$E$16</f>
        <v/>
      </c>
      <c r="AA16" s="9">
        <f>'25'!$E$16</f>
        <v/>
      </c>
      <c r="AB16" s="9">
        <f>'26'!$E$16</f>
        <v/>
      </c>
      <c r="AC16" s="9">
        <f>'27'!$E$16</f>
        <v/>
      </c>
      <c r="AD16" s="9">
        <f>'28'!$E$16</f>
        <v/>
      </c>
      <c r="AE16" s="9">
        <f>'29'!$E$16</f>
        <v/>
      </c>
      <c r="AF16" s="9">
        <f>'30'!$E$16</f>
        <v/>
      </c>
      <c r="AG16" s="9">
        <f>'31'!$E$16</f>
        <v/>
      </c>
      <c r="AH16" s="10">
        <f>SUM(C16:AF16)</f>
        <v/>
      </c>
      <c r="AI16" s="336">
        <f>IFERROR(AVERAGE(C16:AF16),"")</f>
        <v/>
      </c>
      <c r="AJ16" s="2">
        <f>('1'!C16+'요약(약품)'!AH16)-AH17</f>
        <v/>
      </c>
      <c r="AK16" s="2">
        <f>AJ16-'30'!I16</f>
        <v/>
      </c>
    </row>
    <row r="17" ht="20.1" customHeight="1" s="251">
      <c r="A17" s="331" t="n"/>
      <c r="B17" s="8" t="inlineStr">
        <is>
          <t>사용</t>
        </is>
      </c>
      <c r="C17" s="9">
        <f>'1'!$G$16</f>
        <v/>
      </c>
      <c r="D17" s="9">
        <f>'2'!$G$16</f>
        <v/>
      </c>
      <c r="E17" s="9">
        <f>'3'!$G$16</f>
        <v/>
      </c>
      <c r="F17" s="9">
        <f>'4'!$G$16</f>
        <v/>
      </c>
      <c r="G17" s="9">
        <f>'5'!$G$16</f>
        <v/>
      </c>
      <c r="H17" s="9">
        <f>'6'!$G$16</f>
        <v/>
      </c>
      <c r="I17" s="9">
        <f>'7'!$G$16</f>
        <v/>
      </c>
      <c r="J17" s="9">
        <f>'8'!$G$16</f>
        <v/>
      </c>
      <c r="K17" s="9">
        <f>'9'!$G$16</f>
        <v/>
      </c>
      <c r="L17" s="9">
        <f>'10'!$G$16</f>
        <v/>
      </c>
      <c r="M17" s="9">
        <f>'11'!$G$16</f>
        <v/>
      </c>
      <c r="N17" s="9">
        <f>'12'!$G$16</f>
        <v/>
      </c>
      <c r="O17" s="9">
        <f>'13'!$G$16</f>
        <v/>
      </c>
      <c r="P17" s="9">
        <f>'14'!$G$16</f>
        <v/>
      </c>
      <c r="Q17" s="9">
        <f>'15'!$G$16</f>
        <v/>
      </c>
      <c r="R17" s="9">
        <f>'16'!$G$16</f>
        <v/>
      </c>
      <c r="S17" s="9">
        <f>'17'!$G$16</f>
        <v/>
      </c>
      <c r="T17" s="9">
        <f>'18'!$G$16</f>
        <v/>
      </c>
      <c r="U17" s="9">
        <f>'19'!$G$16</f>
        <v/>
      </c>
      <c r="V17" s="9">
        <f>'20'!$G$16</f>
        <v/>
      </c>
      <c r="W17" s="9">
        <f>'21'!$G$16</f>
        <v/>
      </c>
      <c r="X17" s="9">
        <f>'22'!$G$16</f>
        <v/>
      </c>
      <c r="Y17" s="9">
        <f>'23'!$G$16</f>
        <v/>
      </c>
      <c r="Z17" s="9">
        <f>'24'!$G$16</f>
        <v/>
      </c>
      <c r="AA17" s="9">
        <f>'25'!$G$16</f>
        <v/>
      </c>
      <c r="AB17" s="9">
        <f>'26'!$G$16</f>
        <v/>
      </c>
      <c r="AC17" s="9">
        <f>'27'!$G$16</f>
        <v/>
      </c>
      <c r="AD17" s="9">
        <f>'28'!$G$16</f>
        <v/>
      </c>
      <c r="AE17" s="9">
        <f>'29'!$G$16</f>
        <v/>
      </c>
      <c r="AF17" s="9">
        <f>'30'!$G$16</f>
        <v/>
      </c>
      <c r="AG17" s="9">
        <f>'31'!$G$16</f>
        <v/>
      </c>
      <c r="AH17" s="10">
        <f>SUM(C17:AG17)</f>
        <v/>
      </c>
      <c r="AI17" s="332">
        <f>IFERROR(AVERAGE(C17:AG17),"")</f>
        <v/>
      </c>
      <c r="AJ17" s="2">
        <f>AF18-AJ16</f>
        <v/>
      </c>
    </row>
    <row r="18" ht="19.5" customHeight="1" s="251" thickBot="1">
      <c r="A18" s="333" t="n"/>
      <c r="B18" s="12" t="inlineStr">
        <is>
          <t>재고</t>
        </is>
      </c>
      <c r="C18" s="17">
        <f>'1'!I16</f>
        <v/>
      </c>
      <c r="D18" s="17">
        <f>C18+D16-D17</f>
        <v/>
      </c>
      <c r="E18" s="17">
        <f>D18+E16-E17</f>
        <v/>
      </c>
      <c r="F18" s="17">
        <f>E18+F16-F17</f>
        <v/>
      </c>
      <c r="G18" s="17">
        <f>F18+G16-G17</f>
        <v/>
      </c>
      <c r="H18" s="17">
        <f>G18+H16-H17</f>
        <v/>
      </c>
      <c r="I18" s="17">
        <f>H18+I16-I17</f>
        <v/>
      </c>
      <c r="J18" s="17">
        <f>I18+J16-J17</f>
        <v/>
      </c>
      <c r="K18" s="17">
        <f>J18+K16-K17</f>
        <v/>
      </c>
      <c r="L18" s="17">
        <f>K18+L16-L17</f>
        <v/>
      </c>
      <c r="M18" s="17">
        <f>L18+M16-M17</f>
        <v/>
      </c>
      <c r="N18" s="17">
        <f>M18+N16-N17</f>
        <v/>
      </c>
      <c r="O18" s="17">
        <f>N18+O16-O17</f>
        <v/>
      </c>
      <c r="P18" s="17">
        <f>O18+P16-P17</f>
        <v/>
      </c>
      <c r="Q18" s="17">
        <f>P18+Q16-Q17</f>
        <v/>
      </c>
      <c r="R18" s="17">
        <f>Q18+R16-R17</f>
        <v/>
      </c>
      <c r="S18" s="17">
        <f>R18+S16-S17</f>
        <v/>
      </c>
      <c r="T18" s="17">
        <f>S18+T16-T17</f>
        <v/>
      </c>
      <c r="U18" s="17">
        <f>T18+U16-U17</f>
        <v/>
      </c>
      <c r="V18" s="17">
        <f>U18+V16-V17</f>
        <v/>
      </c>
      <c r="W18" s="17">
        <f>V18+W16-W17</f>
        <v/>
      </c>
      <c r="X18" s="17">
        <f>W18+X16-X17</f>
        <v/>
      </c>
      <c r="Y18" s="17">
        <f>X18+Y16-Y17</f>
        <v/>
      </c>
      <c r="Z18" s="17">
        <f>Y18+Z16-Z17</f>
        <v/>
      </c>
      <c r="AA18" s="17">
        <f>Z18+AA16-AA17</f>
        <v/>
      </c>
      <c r="AB18" s="17">
        <f>AA18+AB16-AB17</f>
        <v/>
      </c>
      <c r="AC18" s="17">
        <f>AB18+AC16-AC17</f>
        <v/>
      </c>
      <c r="AD18" s="17">
        <f>AC18+AD16-AD17</f>
        <v/>
      </c>
      <c r="AE18" s="17">
        <f>AD18+AE16-AE17</f>
        <v/>
      </c>
      <c r="AF18" s="17">
        <f>AE18+AF16-AF17</f>
        <v/>
      </c>
      <c r="AG18" s="17">
        <f>AF18+AG16-AG17</f>
        <v/>
      </c>
      <c r="AH18" s="80" t="n">
        <v>0</v>
      </c>
      <c r="AI18" s="334">
        <f>IFERROR(AVERAGE(C18:AG18),"")</f>
        <v/>
      </c>
    </row>
    <row r="19" ht="20.1" customHeight="1" s="251">
      <c r="A19" s="337" t="inlineStr">
        <is>
          <t>소금(KG)</t>
        </is>
      </c>
      <c r="B19" s="15" t="inlineStr">
        <is>
          <t>반입</t>
        </is>
      </c>
      <c r="C19" s="9">
        <f>'1'!$E$17</f>
        <v/>
      </c>
      <c r="D19" s="9">
        <f>'2'!$E$17</f>
        <v/>
      </c>
      <c r="E19" s="9">
        <f>'3'!$E$17</f>
        <v/>
      </c>
      <c r="F19" s="9">
        <f>'4'!$E$17</f>
        <v/>
      </c>
      <c r="G19" s="9">
        <f>'5'!$E$17</f>
        <v/>
      </c>
      <c r="H19" s="9">
        <f>'6'!$E$17</f>
        <v/>
      </c>
      <c r="I19" s="9">
        <f>'7'!$E$17</f>
        <v/>
      </c>
      <c r="J19" s="9">
        <f>'8'!$E$17</f>
        <v/>
      </c>
      <c r="K19" s="9">
        <f>'9'!$E$17</f>
        <v/>
      </c>
      <c r="L19" s="9">
        <f>'10'!$E$17</f>
        <v/>
      </c>
      <c r="M19" s="9">
        <f>'11'!$E$17</f>
        <v/>
      </c>
      <c r="N19" s="9">
        <f>'12'!$E$17</f>
        <v/>
      </c>
      <c r="O19" s="9">
        <f>'13'!$E$17</f>
        <v/>
      </c>
      <c r="P19" s="9">
        <f>'14'!$E$17</f>
        <v/>
      </c>
      <c r="Q19" s="9">
        <f>'15'!$E$17</f>
        <v/>
      </c>
      <c r="R19" s="9">
        <f>'16'!$E$17</f>
        <v/>
      </c>
      <c r="S19" s="9">
        <f>'17'!$E$17</f>
        <v/>
      </c>
      <c r="T19" s="9">
        <f>'18'!$E$17</f>
        <v/>
      </c>
      <c r="U19" s="9">
        <f>'19'!$E$17</f>
        <v/>
      </c>
      <c r="V19" s="9">
        <f>'20'!$E$17</f>
        <v/>
      </c>
      <c r="W19" s="9">
        <f>'21'!$E$17</f>
        <v/>
      </c>
      <c r="X19" s="9">
        <f>'22'!$E$17</f>
        <v/>
      </c>
      <c r="Y19" s="9">
        <f>'23'!$E$17</f>
        <v/>
      </c>
      <c r="Z19" s="9">
        <f>'24'!$E$17</f>
        <v/>
      </c>
      <c r="AA19" s="9">
        <f>'25'!$E$17</f>
        <v/>
      </c>
      <c r="AB19" s="9">
        <f>'26'!$E$17</f>
        <v/>
      </c>
      <c r="AC19" s="9">
        <f>'27'!$E$17</f>
        <v/>
      </c>
      <c r="AD19" s="9">
        <f>'28'!$E$17</f>
        <v/>
      </c>
      <c r="AE19" s="9">
        <f>'29'!$E$17</f>
        <v/>
      </c>
      <c r="AF19" s="9">
        <f>'30'!$E$17</f>
        <v/>
      </c>
      <c r="AG19" s="9">
        <f>'31'!$E$17</f>
        <v/>
      </c>
      <c r="AH19" s="10">
        <f>SUM(C19:AG19)</f>
        <v/>
      </c>
      <c r="AI19" s="336">
        <f>IFERROR(AVERAGE(C19:AG19),"")</f>
        <v/>
      </c>
      <c r="AJ19" s="2">
        <f>('1'!C17+'요약(약품)'!AH19)-AH20</f>
        <v/>
      </c>
      <c r="AK19" s="2">
        <f>AJ19-'30'!I17</f>
        <v/>
      </c>
      <c r="AL19" s="338" t="n"/>
      <c r="AM19" s="338" t="n"/>
      <c r="AN19" s="338" t="n"/>
    </row>
    <row r="20" ht="20.1" customHeight="1" s="251">
      <c r="A20" s="331" t="n"/>
      <c r="B20" s="8" t="inlineStr">
        <is>
          <t>사용</t>
        </is>
      </c>
      <c r="C20" s="9">
        <f>'1'!$G$17</f>
        <v/>
      </c>
      <c r="D20" s="9">
        <f>'2'!$G$17</f>
        <v/>
      </c>
      <c r="E20" s="9">
        <f>'3'!$G$17</f>
        <v/>
      </c>
      <c r="F20" s="9">
        <f>'4'!$G$17</f>
        <v/>
      </c>
      <c r="G20" s="9">
        <f>'5'!$G$17</f>
        <v/>
      </c>
      <c r="H20" s="9">
        <f>'6'!$G$17</f>
        <v/>
      </c>
      <c r="I20" s="9">
        <f>'7'!$G$17</f>
        <v/>
      </c>
      <c r="J20" s="9">
        <f>'8'!$G$17</f>
        <v/>
      </c>
      <c r="K20" s="9">
        <f>'9'!$G$17</f>
        <v/>
      </c>
      <c r="L20" s="9">
        <f>'10'!$G$17</f>
        <v/>
      </c>
      <c r="M20" s="9">
        <f>'11'!$G$17</f>
        <v/>
      </c>
      <c r="N20" s="9">
        <f>'12'!$G$17</f>
        <v/>
      </c>
      <c r="O20" s="9">
        <f>'13'!$G$17</f>
        <v/>
      </c>
      <c r="P20" s="9">
        <f>'14'!$G$17</f>
        <v/>
      </c>
      <c r="Q20" s="9">
        <f>'15'!$G$17</f>
        <v/>
      </c>
      <c r="R20" s="9">
        <f>'16'!$G$17</f>
        <v/>
      </c>
      <c r="S20" s="9">
        <f>'17'!$G$17</f>
        <v/>
      </c>
      <c r="T20" s="9">
        <f>'18'!$G$17</f>
        <v/>
      </c>
      <c r="U20" s="9">
        <f>'19'!$G$17</f>
        <v/>
      </c>
      <c r="V20" s="9">
        <f>'20'!$G$17</f>
        <v/>
      </c>
      <c r="W20" s="9">
        <f>'21'!$G$17</f>
        <v/>
      </c>
      <c r="X20" s="9">
        <f>'22'!$G$17</f>
        <v/>
      </c>
      <c r="Y20" s="9">
        <f>'23'!$G$17</f>
        <v/>
      </c>
      <c r="Z20" s="9">
        <f>'24'!$G$17</f>
        <v/>
      </c>
      <c r="AA20" s="9">
        <f>'25'!$G$17</f>
        <v/>
      </c>
      <c r="AB20" s="9">
        <f>'26'!$G$17</f>
        <v/>
      </c>
      <c r="AC20" s="9">
        <f>'27'!$G$17</f>
        <v/>
      </c>
      <c r="AD20" s="9">
        <f>'28'!$G$17</f>
        <v/>
      </c>
      <c r="AE20" s="9">
        <f>'29'!$G$17</f>
        <v/>
      </c>
      <c r="AF20" s="9">
        <f>'30'!$G$17</f>
        <v/>
      </c>
      <c r="AG20" s="9">
        <f>'31'!$G$17</f>
        <v/>
      </c>
      <c r="AH20" s="10">
        <f>SUM(C20:AG20)</f>
        <v/>
      </c>
      <c r="AI20" s="332">
        <f>IFERROR(AVERAGE(C20:AG20),"")</f>
        <v/>
      </c>
      <c r="AJ20" s="2">
        <f>AF21-AJ19</f>
        <v/>
      </c>
    </row>
    <row r="21" ht="19.5" customHeight="1" s="251" thickBot="1">
      <c r="A21" s="333" t="n"/>
      <c r="B21" s="12" t="inlineStr">
        <is>
          <t>재고</t>
        </is>
      </c>
      <c r="C21" s="17">
        <f>'1'!I17</f>
        <v/>
      </c>
      <c r="D21" s="17">
        <f>C21+D19-D20</f>
        <v/>
      </c>
      <c r="E21" s="17">
        <f>D21+E19-E20</f>
        <v/>
      </c>
      <c r="F21" s="17">
        <f>E21+F19-F20</f>
        <v/>
      </c>
      <c r="G21" s="17">
        <f>F21+G19-G20</f>
        <v/>
      </c>
      <c r="H21" s="17">
        <f>G21+H19-H20</f>
        <v/>
      </c>
      <c r="I21" s="17">
        <f>H21+I19-I20</f>
        <v/>
      </c>
      <c r="J21" s="17">
        <f>I21+J19-J20</f>
        <v/>
      </c>
      <c r="K21" s="17">
        <f>J21+K19-K20</f>
        <v/>
      </c>
      <c r="L21" s="17">
        <f>K21+L19-L20</f>
        <v/>
      </c>
      <c r="M21" s="17">
        <f>L21+M19-M20</f>
        <v/>
      </c>
      <c r="N21" s="17">
        <f>M21+N19-N20</f>
        <v/>
      </c>
      <c r="O21" s="17">
        <f>N21+O19-O20</f>
        <v/>
      </c>
      <c r="P21" s="17">
        <f>O21+P19-P20</f>
        <v/>
      </c>
      <c r="Q21" s="17">
        <f>P21+Q19-Q20</f>
        <v/>
      </c>
      <c r="R21" s="17">
        <f>Q21+R19-R20</f>
        <v/>
      </c>
      <c r="S21" s="17">
        <f>R21+S19-S20</f>
        <v/>
      </c>
      <c r="T21" s="17">
        <f>S21+T19-T20</f>
        <v/>
      </c>
      <c r="U21" s="17">
        <f>T21+U19-U20</f>
        <v/>
      </c>
      <c r="V21" s="17">
        <f>U21+V19-V20</f>
        <v/>
      </c>
      <c r="W21" s="17">
        <f>V21+W19-W20</f>
        <v/>
      </c>
      <c r="X21" s="17">
        <f>W21+X19-X20</f>
        <v/>
      </c>
      <c r="Y21" s="17">
        <f>X21+Y19-Y20</f>
        <v/>
      </c>
      <c r="Z21" s="17">
        <f>Y21+Z19-Z20</f>
        <v/>
      </c>
      <c r="AA21" s="17">
        <f>Z21+AA19-AA20</f>
        <v/>
      </c>
      <c r="AB21" s="17">
        <f>AA21+AB19-AB20</f>
        <v/>
      </c>
      <c r="AC21" s="17">
        <f>AB21+AC19-AC20</f>
        <v/>
      </c>
      <c r="AD21" s="17">
        <f>AC21+AD19-AD20</f>
        <v/>
      </c>
      <c r="AE21" s="17">
        <f>AD21+AE19-AE20</f>
        <v/>
      </c>
      <c r="AF21" s="17">
        <f>AE21+AF19-AF20</f>
        <v/>
      </c>
      <c r="AG21" s="17">
        <f>AF21+AG19-AG20</f>
        <v/>
      </c>
      <c r="AH21" s="80" t="n">
        <v>0</v>
      </c>
      <c r="AI21" s="334">
        <f>IFERROR(AVERAGE(C21:AG21),"")</f>
        <v/>
      </c>
    </row>
    <row r="22" ht="20.1" customHeight="1" s="251">
      <c r="A22" s="337" t="inlineStr">
        <is>
          <t>경유(L)</t>
        </is>
      </c>
      <c r="B22" s="15" t="inlineStr">
        <is>
          <t>반입</t>
        </is>
      </c>
      <c r="C22" s="9">
        <f>'1'!$E$18</f>
        <v/>
      </c>
      <c r="D22" s="9">
        <f>'2'!$E$18</f>
        <v/>
      </c>
      <c r="E22" s="9">
        <f>'3'!$E$18</f>
        <v/>
      </c>
      <c r="F22" s="9">
        <f>'4'!$E$18</f>
        <v/>
      </c>
      <c r="G22" s="9">
        <f>'5'!$E$18</f>
        <v/>
      </c>
      <c r="H22" s="9">
        <f>'6'!$E$18</f>
        <v/>
      </c>
      <c r="I22" s="9">
        <f>'7'!$E$18</f>
        <v/>
      </c>
      <c r="J22" s="9">
        <f>'8'!$E$18</f>
        <v/>
      </c>
      <c r="K22" s="9">
        <f>'9'!$E$18</f>
        <v/>
      </c>
      <c r="L22" s="9">
        <f>'10'!$E$18</f>
        <v/>
      </c>
      <c r="M22" s="9">
        <f>'11'!$E$18</f>
        <v/>
      </c>
      <c r="N22" s="9">
        <f>'12'!$E$18</f>
        <v/>
      </c>
      <c r="O22" s="9">
        <f>'13'!$E$18</f>
        <v/>
      </c>
      <c r="P22" s="9">
        <f>'14'!$E$18</f>
        <v/>
      </c>
      <c r="Q22" s="9">
        <f>'15'!$E$18</f>
        <v/>
      </c>
      <c r="R22" s="9">
        <f>'16'!$E$18</f>
        <v/>
      </c>
      <c r="S22" s="9">
        <f>'17'!$E$18</f>
        <v/>
      </c>
      <c r="T22" s="9">
        <f>'18'!$E$18</f>
        <v/>
      </c>
      <c r="U22" s="9">
        <f>'19'!$E$18</f>
        <v/>
      </c>
      <c r="V22" s="9">
        <f>'20'!$E$18</f>
        <v/>
      </c>
      <c r="W22" s="9">
        <f>'21'!$E$18</f>
        <v/>
      </c>
      <c r="X22" s="9">
        <f>'22'!$E$18</f>
        <v/>
      </c>
      <c r="Y22" s="9">
        <f>'23'!$E$18</f>
        <v/>
      </c>
      <c r="Z22" s="9">
        <f>'24'!$E$18</f>
        <v/>
      </c>
      <c r="AA22" s="9">
        <f>'25'!$E$18</f>
        <v/>
      </c>
      <c r="AB22" s="9">
        <f>'26'!$E$18</f>
        <v/>
      </c>
      <c r="AC22" s="9">
        <f>'27'!$E$18</f>
        <v/>
      </c>
      <c r="AD22" s="9">
        <f>'28'!$E$18</f>
        <v/>
      </c>
      <c r="AE22" s="9">
        <f>'29'!$E$18</f>
        <v/>
      </c>
      <c r="AF22" s="9">
        <f>'30'!$E$18</f>
        <v/>
      </c>
      <c r="AG22" s="9">
        <f>'31'!$E$18</f>
        <v/>
      </c>
      <c r="AH22" s="10">
        <f>SUM(C22:AG22)</f>
        <v/>
      </c>
      <c r="AI22" s="336">
        <f>IFERROR(AVERAGE(C22:AG22),"")</f>
        <v/>
      </c>
      <c r="AJ22" s="2">
        <f>('1'!C18+'요약(약품)'!AH22)-AH23</f>
        <v/>
      </c>
      <c r="AK22" s="2">
        <f>AJ22-'30'!I18</f>
        <v/>
      </c>
      <c r="AL22" s="338" t="n"/>
      <c r="AM22" s="338" t="n"/>
      <c r="AN22" s="338" t="n"/>
      <c r="AO22" s="338" t="n"/>
      <c r="AP22" s="338" t="n"/>
      <c r="AQ22" s="338" t="n"/>
      <c r="AR22" s="338" t="n"/>
    </row>
    <row r="23" ht="20.1" customHeight="1" s="251">
      <c r="A23" s="331" t="n"/>
      <c r="B23" s="8" t="inlineStr">
        <is>
          <t>사용</t>
        </is>
      </c>
      <c r="C23" s="9">
        <f>'1'!$G$18</f>
        <v/>
      </c>
      <c r="D23" s="9">
        <f>'2'!$G$18</f>
        <v/>
      </c>
      <c r="E23" s="9">
        <f>'3'!$G$18</f>
        <v/>
      </c>
      <c r="F23" s="9">
        <f>'4'!$G$18</f>
        <v/>
      </c>
      <c r="G23" s="9">
        <f>'5'!$G$18</f>
        <v/>
      </c>
      <c r="H23" s="9">
        <f>'6'!$G$18</f>
        <v/>
      </c>
      <c r="I23" s="9">
        <f>'7'!$G$18</f>
        <v/>
      </c>
      <c r="J23" s="9">
        <f>'8'!$G$18</f>
        <v/>
      </c>
      <c r="K23" s="9">
        <f>'9'!$G$18</f>
        <v/>
      </c>
      <c r="L23" s="9">
        <f>'10'!$G$18</f>
        <v/>
      </c>
      <c r="M23" s="9">
        <f>'11'!$G$18</f>
        <v/>
      </c>
      <c r="N23" s="9">
        <f>'12'!$G$18</f>
        <v/>
      </c>
      <c r="O23" s="9">
        <f>'13'!$G$18</f>
        <v/>
      </c>
      <c r="P23" s="9">
        <f>'14'!$G$18</f>
        <v/>
      </c>
      <c r="Q23" s="9">
        <f>'15'!$G$18</f>
        <v/>
      </c>
      <c r="R23" s="9">
        <f>'16'!$G$18</f>
        <v/>
      </c>
      <c r="S23" s="9">
        <f>'17'!$G$18</f>
        <v/>
      </c>
      <c r="T23" s="9">
        <f>'18'!$G$18</f>
        <v/>
      </c>
      <c r="U23" s="9">
        <f>'19'!$G$18</f>
        <v/>
      </c>
      <c r="V23" s="9">
        <f>'20'!$G$18</f>
        <v/>
      </c>
      <c r="W23" s="9">
        <f>'21'!$G$18</f>
        <v/>
      </c>
      <c r="X23" s="9">
        <f>'22'!$G$18</f>
        <v/>
      </c>
      <c r="Y23" s="9">
        <f>'23'!$G$18</f>
        <v/>
      </c>
      <c r="Z23" s="9">
        <f>'24'!$G$18</f>
        <v/>
      </c>
      <c r="AA23" s="9">
        <f>'25'!$G$18</f>
        <v/>
      </c>
      <c r="AB23" s="9">
        <f>'26'!$G$18</f>
        <v/>
      </c>
      <c r="AC23" s="9">
        <f>'27'!$G$18</f>
        <v/>
      </c>
      <c r="AD23" s="9">
        <f>'28'!$G$18</f>
        <v/>
      </c>
      <c r="AE23" s="9">
        <f>'29'!$G$18</f>
        <v/>
      </c>
      <c r="AF23" s="9">
        <f>'30'!$G$18</f>
        <v/>
      </c>
      <c r="AG23" s="9">
        <f>'31'!$G$18</f>
        <v/>
      </c>
      <c r="AH23" s="10">
        <f>SUM(C23:AG23)</f>
        <v/>
      </c>
      <c r="AI23" s="332">
        <f>IFERROR(AVERAGE(C23:AG23),"")</f>
        <v/>
      </c>
      <c r="AJ23" s="2">
        <f>AF24-AJ22</f>
        <v/>
      </c>
    </row>
    <row r="24" ht="19.5" customHeight="1" s="251" thickBot="1">
      <c r="A24" s="333" t="n"/>
      <c r="B24" s="12" t="inlineStr">
        <is>
          <t>재고</t>
        </is>
      </c>
      <c r="C24" s="20">
        <f>'1'!I18</f>
        <v/>
      </c>
      <c r="D24" s="20">
        <f>C24+D22-D23</f>
        <v/>
      </c>
      <c r="E24" s="20">
        <f>D24+E22-E23</f>
        <v/>
      </c>
      <c r="F24" s="20">
        <f>E24+F22-F23</f>
        <v/>
      </c>
      <c r="G24" s="20">
        <f>F24+G22-G23</f>
        <v/>
      </c>
      <c r="H24" s="20">
        <f>G24+H22-H23</f>
        <v/>
      </c>
      <c r="I24" s="20">
        <f>H24+I22-I23</f>
        <v/>
      </c>
      <c r="J24" s="20">
        <f>I24+J22-J23</f>
        <v/>
      </c>
      <c r="K24" s="20">
        <f>J24+K22-K23</f>
        <v/>
      </c>
      <c r="L24" s="20">
        <f>K24+L22-L23</f>
        <v/>
      </c>
      <c r="M24" s="20">
        <f>L24+M22-M23</f>
        <v/>
      </c>
      <c r="N24" s="20">
        <f>M24+N22-N23</f>
        <v/>
      </c>
      <c r="O24" s="20">
        <f>N24+O22-O23</f>
        <v/>
      </c>
      <c r="P24" s="20">
        <f>O24+P22-P23</f>
        <v/>
      </c>
      <c r="Q24" s="20">
        <f>P24+Q22-Q23</f>
        <v/>
      </c>
      <c r="R24" s="20">
        <f>Q24+R22-R23</f>
        <v/>
      </c>
      <c r="S24" s="20">
        <f>R24+S22-S23</f>
        <v/>
      </c>
      <c r="T24" s="20">
        <f>S24+T22-T23</f>
        <v/>
      </c>
      <c r="U24" s="20">
        <f>T24+U22-U23</f>
        <v/>
      </c>
      <c r="V24" s="20">
        <f>U24+V22-V23</f>
        <v/>
      </c>
      <c r="W24" s="20">
        <f>V24+W22-W23</f>
        <v/>
      </c>
      <c r="X24" s="20">
        <f>W24+X22-X23</f>
        <v/>
      </c>
      <c r="Y24" s="20">
        <f>X24+Y22-Y23</f>
        <v/>
      </c>
      <c r="Z24" s="20">
        <f>Y24+Z22-Z23</f>
        <v/>
      </c>
      <c r="AA24" s="20">
        <f>Z24+AA22-AA23</f>
        <v/>
      </c>
      <c r="AB24" s="20">
        <f>AA24+AB22-AB23</f>
        <v/>
      </c>
      <c r="AC24" s="20">
        <f>AB24+AC22-AC23</f>
        <v/>
      </c>
      <c r="AD24" s="20">
        <f>AC24+AD22-AD23</f>
        <v/>
      </c>
      <c r="AE24" s="20">
        <f>AD24+AE22-AE23</f>
        <v/>
      </c>
      <c r="AF24" s="20">
        <f>AE24+AF22-AF23</f>
        <v/>
      </c>
      <c r="AG24" s="20">
        <f>AF24+AG22-AG23</f>
        <v/>
      </c>
      <c r="AH24" s="10" t="n">
        <v>0</v>
      </c>
      <c r="AI24" s="334">
        <f>IFERROR(AVERAGE(C24:AG24),"")</f>
        <v/>
      </c>
    </row>
    <row r="25" ht="20.1" customHeight="1" s="251">
      <c r="A25" s="218" t="inlineStr">
        <is>
          <t>규사(KG)</t>
        </is>
      </c>
      <c r="B25" s="15" t="inlineStr">
        <is>
          <t>반입</t>
        </is>
      </c>
      <c r="C25" s="9">
        <f>'1'!$E$20</f>
        <v/>
      </c>
      <c r="D25" s="9">
        <f>'2'!$E$20</f>
        <v/>
      </c>
      <c r="E25" s="9">
        <f>'3'!$E$20</f>
        <v/>
      </c>
      <c r="F25" s="9">
        <f>'4'!$E$20</f>
        <v/>
      </c>
      <c r="G25" s="9">
        <f>'5'!$E$20</f>
        <v/>
      </c>
      <c r="H25" s="9">
        <f>'6'!$E$20</f>
        <v/>
      </c>
      <c r="I25" s="9">
        <f>'7'!$E$20</f>
        <v/>
      </c>
      <c r="J25" s="9">
        <f>'8'!$E$20</f>
        <v/>
      </c>
      <c r="K25" s="9">
        <f>'9'!$E$20</f>
        <v/>
      </c>
      <c r="L25" s="9">
        <f>'10'!$E$20</f>
        <v/>
      </c>
      <c r="M25" s="9">
        <f>'11'!$E$20</f>
        <v/>
      </c>
      <c r="N25" s="9">
        <f>'12'!$E$20</f>
        <v/>
      </c>
      <c r="O25" s="9">
        <f>'13'!$E$20</f>
        <v/>
      </c>
      <c r="P25" s="9">
        <f>'14'!$E$20</f>
        <v/>
      </c>
      <c r="Q25" s="9">
        <f>'15'!$E$20</f>
        <v/>
      </c>
      <c r="R25" s="9">
        <f>'16'!$E$20</f>
        <v/>
      </c>
      <c r="S25" s="9">
        <f>'17'!$E$20</f>
        <v/>
      </c>
      <c r="T25" s="9">
        <f>'18'!$E$20</f>
        <v/>
      </c>
      <c r="U25" s="9">
        <f>'19'!$E$20</f>
        <v/>
      </c>
      <c r="V25" s="9">
        <f>'20'!$E$20</f>
        <v/>
      </c>
      <c r="W25" s="9">
        <f>'21'!$E$20</f>
        <v/>
      </c>
      <c r="X25" s="9">
        <f>'22'!$E$20</f>
        <v/>
      </c>
      <c r="Y25" s="9">
        <f>'23'!$E$20</f>
        <v/>
      </c>
      <c r="Z25" s="9">
        <f>'24'!$E$20</f>
        <v/>
      </c>
      <c r="AA25" s="9">
        <f>'25'!$E$20</f>
        <v/>
      </c>
      <c r="AB25" s="9">
        <f>'26'!$E$20</f>
        <v/>
      </c>
      <c r="AC25" s="9">
        <f>'27'!$E$20</f>
        <v/>
      </c>
      <c r="AD25" s="9">
        <f>'28'!$E$20</f>
        <v/>
      </c>
      <c r="AE25" s="9">
        <f>'29'!$E$20</f>
        <v/>
      </c>
      <c r="AF25" s="9">
        <f>'30'!$E$20</f>
        <v/>
      </c>
      <c r="AG25" s="9">
        <f>'31'!$E$20</f>
        <v/>
      </c>
      <c r="AH25" s="16" t="n"/>
      <c r="AI25" s="335" t="n"/>
    </row>
    <row r="26" ht="20.1" customHeight="1" s="251">
      <c r="A26" s="331" t="n"/>
      <c r="B26" s="8" t="inlineStr">
        <is>
          <t>사용</t>
        </is>
      </c>
      <c r="C26" s="339" t="inlineStr">
        <is>
          <t>사용량 측정불가</t>
        </is>
      </c>
      <c r="D26" s="274" t="n"/>
      <c r="E26" s="274" t="n"/>
      <c r="F26" s="274" t="n"/>
      <c r="G26" s="274" t="n"/>
      <c r="H26" s="274" t="n"/>
      <c r="I26" s="274" t="n"/>
      <c r="J26" s="274" t="n"/>
      <c r="K26" s="274" t="n"/>
      <c r="L26" s="274" t="n"/>
      <c r="M26" s="274" t="n"/>
      <c r="N26" s="274" t="n"/>
      <c r="O26" s="274" t="n"/>
      <c r="P26" s="274" t="n"/>
      <c r="Q26" s="274" t="n"/>
      <c r="R26" s="274" t="n"/>
      <c r="S26" s="274" t="n"/>
      <c r="T26" s="274" t="n"/>
      <c r="U26" s="274" t="n"/>
      <c r="V26" s="274" t="n"/>
      <c r="W26" s="274" t="n"/>
      <c r="X26" s="274" t="n"/>
      <c r="Y26" s="274" t="n"/>
      <c r="Z26" s="274" t="n"/>
      <c r="AA26" s="274" t="n"/>
      <c r="AB26" s="274" t="n"/>
      <c r="AC26" s="274" t="n"/>
      <c r="AD26" s="274" t="n"/>
      <c r="AE26" s="274" t="n"/>
      <c r="AF26" s="274" t="n"/>
      <c r="AG26" s="275" t="n"/>
      <c r="AH26" s="10" t="inlineStr">
        <is>
          <t>-</t>
        </is>
      </c>
      <c r="AI26" s="332" t="inlineStr">
        <is>
          <t>-</t>
        </is>
      </c>
    </row>
    <row r="27" ht="19.5" customHeight="1" s="251" thickBot="1">
      <c r="A27" s="331" t="n"/>
      <c r="B27" s="31" t="inlineStr">
        <is>
          <t>입고누계</t>
        </is>
      </c>
      <c r="C27" s="77">
        <f>'1'!$K$20</f>
        <v/>
      </c>
      <c r="D27" s="77">
        <f>'2'!$K$20</f>
        <v/>
      </c>
      <c r="E27" s="77">
        <f>'3'!$K$20</f>
        <v/>
      </c>
      <c r="F27" s="77">
        <f>'4'!$K$20</f>
        <v/>
      </c>
      <c r="G27" s="77">
        <f>'5'!$K$20</f>
        <v/>
      </c>
      <c r="H27" s="77">
        <f>'6'!$K$20</f>
        <v/>
      </c>
      <c r="I27" s="77">
        <f>'7'!$K$20</f>
        <v/>
      </c>
      <c r="J27" s="77">
        <f>'8'!$K$20</f>
        <v/>
      </c>
      <c r="K27" s="77">
        <f>'9'!$K$20</f>
        <v/>
      </c>
      <c r="L27" s="77">
        <f>'10'!$K$20</f>
        <v/>
      </c>
      <c r="M27" s="77">
        <f>'11'!$K$20</f>
        <v/>
      </c>
      <c r="N27" s="77">
        <f>'12'!$K$20</f>
        <v/>
      </c>
      <c r="O27" s="77">
        <f>'13'!$K$20</f>
        <v/>
      </c>
      <c r="P27" s="77">
        <f>'14'!$K$20</f>
        <v/>
      </c>
      <c r="Q27" s="77">
        <f>'15'!$K$20</f>
        <v/>
      </c>
      <c r="R27" s="77">
        <f>'16'!$K$20</f>
        <v/>
      </c>
      <c r="S27" s="77">
        <f>'17'!$K$20</f>
        <v/>
      </c>
      <c r="T27" s="77">
        <f>'18'!$K$20</f>
        <v/>
      </c>
      <c r="U27" s="77">
        <f>'19'!$K$20</f>
        <v/>
      </c>
      <c r="V27" s="77">
        <f>'20'!$K$20</f>
        <v/>
      </c>
      <c r="W27" s="77">
        <f>'21'!$K$20</f>
        <v/>
      </c>
      <c r="X27" s="77">
        <f>'22'!$K$20</f>
        <v/>
      </c>
      <c r="Y27" s="77">
        <f>'23'!$K$20</f>
        <v/>
      </c>
      <c r="Z27" s="77">
        <f>'24'!$K$20</f>
        <v/>
      </c>
      <c r="AA27" s="77">
        <f>'25'!$K$20</f>
        <v/>
      </c>
      <c r="AB27" s="77">
        <f>'26'!$K$20</f>
        <v/>
      </c>
      <c r="AC27" s="77">
        <f>'27'!$K$20</f>
        <v/>
      </c>
      <c r="AD27" s="77">
        <f>'28'!$K$20</f>
        <v/>
      </c>
      <c r="AE27" s="77">
        <f>'29'!$K$20</f>
        <v/>
      </c>
      <c r="AF27" s="77">
        <f>'30'!$K$20</f>
        <v/>
      </c>
      <c r="AG27" s="85">
        <f>'31'!$K$20</f>
        <v/>
      </c>
      <c r="AH27" s="80" t="n">
        <v>0</v>
      </c>
      <c r="AI27" s="340" t="n"/>
    </row>
    <row r="28" ht="20.1" customHeight="1" s="251">
      <c r="A28" s="337" t="inlineStr">
        <is>
          <t>SRF(KG)</t>
        </is>
      </c>
      <c r="B28" s="15" t="inlineStr">
        <is>
          <t>반입</t>
        </is>
      </c>
      <c r="C28" s="78">
        <f>'1'!$E$19</f>
        <v/>
      </c>
      <c r="D28" s="78">
        <f>'2'!$E$19</f>
        <v/>
      </c>
      <c r="E28" s="78">
        <f>'3'!$E$19</f>
        <v/>
      </c>
      <c r="F28" s="78">
        <f>'4'!$E$19</f>
        <v/>
      </c>
      <c r="G28" s="78">
        <f>'5'!$E$19</f>
        <v/>
      </c>
      <c r="H28" s="78">
        <f>'6'!$E$19</f>
        <v/>
      </c>
      <c r="I28" s="78">
        <f>'7'!$E$19</f>
        <v/>
      </c>
      <c r="J28" s="78">
        <f>'8'!$E$19</f>
        <v/>
      </c>
      <c r="K28" s="78">
        <f>'9'!$E$19</f>
        <v/>
      </c>
      <c r="L28" s="78">
        <f>'10'!$E$19</f>
        <v/>
      </c>
      <c r="M28" s="78">
        <f>'11'!$E$19</f>
        <v/>
      </c>
      <c r="N28" s="78">
        <f>'12'!$E$19</f>
        <v/>
      </c>
      <c r="O28" s="78">
        <f>'13'!$E$19</f>
        <v/>
      </c>
      <c r="P28" s="78">
        <f>'14'!$E$19</f>
        <v/>
      </c>
      <c r="Q28" s="78">
        <f>'15'!$E$19</f>
        <v/>
      </c>
      <c r="R28" s="78">
        <f>'16'!$E$19</f>
        <v/>
      </c>
      <c r="S28" s="86">
        <f>'17'!$E$19</f>
        <v/>
      </c>
      <c r="T28" s="86">
        <f>'18'!$E$19</f>
        <v/>
      </c>
      <c r="U28" s="78">
        <f>'19'!$E$19</f>
        <v/>
      </c>
      <c r="V28" s="78">
        <f>'20'!$E$19</f>
        <v/>
      </c>
      <c r="W28" s="78">
        <f>'21'!$E$19</f>
        <v/>
      </c>
      <c r="X28" s="78">
        <f>'22'!$E$19</f>
        <v/>
      </c>
      <c r="Y28" s="78">
        <f>'23'!$E$19</f>
        <v/>
      </c>
      <c r="Z28" s="78">
        <f>'24'!$E$19</f>
        <v/>
      </c>
      <c r="AA28" s="78">
        <f>'25'!$E$19</f>
        <v/>
      </c>
      <c r="AB28" s="78">
        <f>'26'!$E$19</f>
        <v/>
      </c>
      <c r="AC28" s="78">
        <f>'27'!$E$19</f>
        <v/>
      </c>
      <c r="AD28" s="78">
        <f>'28'!$E$19</f>
        <v/>
      </c>
      <c r="AE28" s="78">
        <f>'29'!$E$19</f>
        <v/>
      </c>
      <c r="AF28" s="78">
        <f>'30'!$E$19</f>
        <v/>
      </c>
      <c r="AG28" s="86">
        <f>'31'!$E$19</f>
        <v/>
      </c>
      <c r="AH28" s="22">
        <f>SUM(C28:AG28)</f>
        <v/>
      </c>
      <c r="AI28" s="332">
        <f>IFERROR(AVERAGE(C28:AG28),"")</f>
        <v/>
      </c>
      <c r="AJ28" s="76">
        <f>('1'!C19+'요약(약품)'!AH28)-AH29</f>
        <v/>
      </c>
      <c r="AK28" s="76">
        <f>AJ28-'30'!I19</f>
        <v/>
      </c>
    </row>
    <row r="29" ht="20.1" customFormat="1" customHeight="1" s="23">
      <c r="A29" s="331" t="n"/>
      <c r="B29" s="21" t="inlineStr">
        <is>
          <t>사용</t>
        </is>
      </c>
      <c r="C29" s="9">
        <f>'1'!$G$19</f>
        <v/>
      </c>
      <c r="D29" s="9">
        <f>'2'!$G$19</f>
        <v/>
      </c>
      <c r="E29" s="9">
        <f>'3'!$G$19</f>
        <v/>
      </c>
      <c r="F29" s="9">
        <f>'4'!$G$19</f>
        <v/>
      </c>
      <c r="G29" s="9">
        <f>'5'!$G$19</f>
        <v/>
      </c>
      <c r="H29" s="9">
        <f>'6'!$G$19</f>
        <v/>
      </c>
      <c r="I29" s="9">
        <f>'7'!$G$19</f>
        <v/>
      </c>
      <c r="J29" s="9">
        <f>'8'!$G$19</f>
        <v/>
      </c>
      <c r="K29" s="9">
        <f>'9'!$G$19</f>
        <v/>
      </c>
      <c r="L29" s="9">
        <f>'10'!$G$19</f>
        <v/>
      </c>
      <c r="M29" s="9">
        <f>'11'!$G$19</f>
        <v/>
      </c>
      <c r="N29" s="9">
        <f>'12'!$G$19</f>
        <v/>
      </c>
      <c r="O29" s="9">
        <f>'13'!$G$19</f>
        <v/>
      </c>
      <c r="P29" s="9">
        <f>'14'!$G$19</f>
        <v/>
      </c>
      <c r="Q29" s="9">
        <f>'15'!$G$19</f>
        <v/>
      </c>
      <c r="R29" s="9">
        <f>'16'!$G$19</f>
        <v/>
      </c>
      <c r="S29" s="87">
        <f>'17'!$G$19</f>
        <v/>
      </c>
      <c r="T29" s="87">
        <f>'18'!$G$19</f>
        <v/>
      </c>
      <c r="U29" s="9">
        <f>'19'!$G$19</f>
        <v/>
      </c>
      <c r="V29" s="9">
        <f>'20'!$G$19</f>
        <v/>
      </c>
      <c r="W29" s="9">
        <f>'21'!$G$19</f>
        <v/>
      </c>
      <c r="X29" s="9">
        <f>'22'!$G$19</f>
        <v/>
      </c>
      <c r="Y29" s="9">
        <f>'23'!$G$19</f>
        <v/>
      </c>
      <c r="Z29" s="9">
        <f>'24'!$G$19</f>
        <v/>
      </c>
      <c r="AA29" s="9">
        <f>'25'!$G$19</f>
        <v/>
      </c>
      <c r="AB29" s="9">
        <f>'26'!$G$19</f>
        <v/>
      </c>
      <c r="AC29" s="9">
        <f>'27'!$G$19</f>
        <v/>
      </c>
      <c r="AD29" s="9">
        <f>'28'!$G$19</f>
        <v/>
      </c>
      <c r="AE29" s="9">
        <f>'29'!$G$19</f>
        <v/>
      </c>
      <c r="AF29" s="9">
        <f>'30'!$G$19</f>
        <v/>
      </c>
      <c r="AG29" s="87">
        <f>'31'!$G$19</f>
        <v/>
      </c>
      <c r="AH29" s="22">
        <f>SUM(C29:AG29)</f>
        <v/>
      </c>
      <c r="AI29" s="332">
        <f>IFERROR(AVERAGE(C29:AG29),"")</f>
        <v/>
      </c>
      <c r="AJ29" s="76">
        <f>AF30-AJ28</f>
        <v/>
      </c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</row>
    <row r="30" ht="19.5" customHeight="1" s="251" thickBot="1">
      <c r="A30" s="333" t="n"/>
      <c r="B30" s="12" t="inlineStr">
        <is>
          <t>재고</t>
        </is>
      </c>
      <c r="C30" s="17">
        <f>'1'!I19</f>
        <v/>
      </c>
      <c r="D30" s="17">
        <f>C30+D28-D29</f>
        <v/>
      </c>
      <c r="E30" s="17">
        <f>D30+E28-E29</f>
        <v/>
      </c>
      <c r="F30" s="17">
        <f>E30+F28-F29</f>
        <v/>
      </c>
      <c r="G30" s="17">
        <f>F30+G28-G29</f>
        <v/>
      </c>
      <c r="H30" s="17">
        <f>G30+H28-H29</f>
        <v/>
      </c>
      <c r="I30" s="17">
        <f>H30+I28-I29</f>
        <v/>
      </c>
      <c r="J30" s="17">
        <f>I30+J28-J29</f>
        <v/>
      </c>
      <c r="K30" s="17">
        <f>J30+K28-K29</f>
        <v/>
      </c>
      <c r="L30" s="17">
        <f>K30+L28-L29</f>
        <v/>
      </c>
      <c r="M30" s="17">
        <f>L30+M28-M29</f>
        <v/>
      </c>
      <c r="N30" s="17">
        <f>M30+N28-N29</f>
        <v/>
      </c>
      <c r="O30" s="17">
        <f>N30+O28-O29</f>
        <v/>
      </c>
      <c r="P30" s="17">
        <f>O30+P28-P29</f>
        <v/>
      </c>
      <c r="Q30" s="17">
        <f>P30+Q28-Q29</f>
        <v/>
      </c>
      <c r="R30" s="17">
        <f>Q30+R28-R29</f>
        <v/>
      </c>
      <c r="S30" s="17">
        <f>R30+S28-S29</f>
        <v/>
      </c>
      <c r="T30" s="17">
        <f>S30+T28-T29</f>
        <v/>
      </c>
      <c r="U30" s="17">
        <f>T30+U28-U29</f>
        <v/>
      </c>
      <c r="V30" s="17">
        <f>U30+V28-V29</f>
        <v/>
      </c>
      <c r="W30" s="17">
        <f>V30+W28-W29</f>
        <v/>
      </c>
      <c r="X30" s="17">
        <f>W30+X28-X29</f>
        <v/>
      </c>
      <c r="Y30" s="17">
        <f>X30+Y28-Y29</f>
        <v/>
      </c>
      <c r="Z30" s="17">
        <f>Y30+Z28-Z29</f>
        <v/>
      </c>
      <c r="AA30" s="17">
        <f>Z30+AA28-AA29</f>
        <v/>
      </c>
      <c r="AB30" s="17">
        <f>AA30+AB28-AB29</f>
        <v/>
      </c>
      <c r="AC30" s="17">
        <f>AB30+AC28-AC29</f>
        <v/>
      </c>
      <c r="AD30" s="17">
        <f>AC30+AD28-AD29</f>
        <v/>
      </c>
      <c r="AE30" s="17">
        <f>AD30+AE28-AE29</f>
        <v/>
      </c>
      <c r="AF30" s="17">
        <f>AE30+AF28-AF29</f>
        <v/>
      </c>
      <c r="AG30" s="17">
        <f>AF30+AG28-AG29</f>
        <v/>
      </c>
      <c r="AH30" s="81" t="n">
        <v>0</v>
      </c>
      <c r="AI30" s="334">
        <f>IFERROR(AVERAGE(C30:AG30),"")</f>
        <v/>
      </c>
    </row>
    <row r="39">
      <c r="AJ39" s="2" t="inlineStr">
        <is>
          <t> </t>
        </is>
      </c>
    </row>
    <row r="65">
      <c r="AD65" s="2" t="inlineStr">
        <is>
          <t>`</t>
        </is>
      </c>
    </row>
  </sheetData>
  <mergeCells count="12">
    <mergeCell ref="A3:B3"/>
    <mergeCell ref="A7:A9"/>
    <mergeCell ref="A4:A6"/>
    <mergeCell ref="A16:A18"/>
    <mergeCell ref="A10:A12"/>
    <mergeCell ref="A28:A30"/>
    <mergeCell ref="A25:A27"/>
    <mergeCell ref="A19:A21"/>
    <mergeCell ref="A22:A24"/>
    <mergeCell ref="B1:AI1"/>
    <mergeCell ref="C26:AG26"/>
    <mergeCell ref="A13:A15"/>
  </mergeCells>
  <conditionalFormatting sqref="C5:AG5">
    <cfRule type="cellIs" priority="1" operator="greaterThan" dxfId="0">
      <formula>3288</formula>
    </cfRule>
    <cfRule type="cellIs" priority="2" operator="greaterThan" dxfId="0">
      <formula>3627</formula>
    </cfRule>
  </conditionalFormatting>
  <pageMargins left="0.7" right="0.7" top="0.75" bottom="0.75" header="0.3" footer="0.3"/>
  <pageSetup orientation="portrait" paperSize="9"/>
  <drawing xmlns:r="http://schemas.openxmlformats.org/officeDocument/2006/relationships" r:id="rId1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N30"/>
  <sheetViews>
    <sheetView topLeftCell="A16" zoomScaleNormal="100" workbookViewId="0">
      <selection activeCell="AG9" sqref="AG9"/>
    </sheetView>
  </sheetViews>
  <sheetFormatPr baseColWidth="8" defaultColWidth="9" defaultRowHeight="13.2"/>
  <cols>
    <col width="7" customWidth="1" style="2" min="1" max="1"/>
    <col width="9.3984375" customWidth="1" style="2" min="2" max="2"/>
    <col width="5.59765625" customWidth="1" style="2" min="3" max="16"/>
    <col width="5.59765625" customWidth="1" style="23" min="17" max="17"/>
    <col width="5.59765625" customWidth="1" style="2" min="18" max="33"/>
    <col width="8.5" customWidth="1" style="2" min="34" max="42"/>
    <col width="11.59765625" customWidth="1" style="2" min="43" max="53"/>
    <col width="14.19921875" customWidth="1" style="2" min="54" max="54"/>
    <col width="5.8984375" customWidth="1" style="2" min="55" max="77"/>
    <col width="6.69921875" customWidth="1" style="2" min="78" max="78"/>
    <col width="9" customWidth="1" style="2" min="79" max="16384"/>
  </cols>
  <sheetData>
    <row r="1" ht="20.1" customHeight="1" s="251">
      <c r="A1" s="221" t="inlineStr">
        <is>
          <t>유동상 소각로 운전일지 (7월)</t>
        </is>
      </c>
    </row>
    <row r="2" ht="20.25" customHeight="1" s="251" thickBot="1">
      <c r="C2" s="326" t="n"/>
      <c r="D2" s="326" t="n"/>
      <c r="E2" s="326" t="n"/>
      <c r="F2" s="326" t="n"/>
      <c r="G2" s="326" t="n"/>
      <c r="H2" s="326" t="n"/>
      <c r="I2" s="326" t="n"/>
      <c r="J2" s="326" t="n"/>
      <c r="K2" s="326" t="n"/>
      <c r="L2" s="326" t="n"/>
      <c r="M2" s="326" t="n"/>
      <c r="N2" s="326" t="n"/>
      <c r="O2" s="326" t="n"/>
      <c r="P2" s="326" t="n"/>
      <c r="Q2" s="327" t="n"/>
      <c r="R2" s="326" t="n"/>
      <c r="S2" s="326" t="n"/>
      <c r="T2" s="326" t="n"/>
      <c r="U2" s="326" t="n"/>
      <c r="V2" s="326" t="n"/>
      <c r="W2" s="326" t="n"/>
      <c r="X2" s="326" t="n"/>
      <c r="Y2" s="326" t="n"/>
      <c r="Z2" s="326" t="n"/>
      <c r="AA2" s="326" t="n"/>
      <c r="AB2" s="326" t="n"/>
      <c r="AC2" s="326" t="n"/>
      <c r="AD2" s="326" t="n"/>
      <c r="AE2" s="326" t="n"/>
      <c r="AF2" s="326" t="n"/>
      <c r="AG2" s="326" t="n"/>
    </row>
    <row r="3" ht="20.1" customHeight="1" s="251" thickBot="1">
      <c r="A3" s="222" t="inlineStr">
        <is>
          <t>구분</t>
        </is>
      </c>
      <c r="B3" s="328" t="n"/>
      <c r="C3" s="5" t="n">
        <v>1</v>
      </c>
      <c r="D3" s="5" t="n">
        <v>2</v>
      </c>
      <c r="E3" s="5" t="n">
        <v>3</v>
      </c>
      <c r="F3" s="5" t="n">
        <v>4</v>
      </c>
      <c r="G3" s="5" t="n">
        <v>5</v>
      </c>
      <c r="H3" s="5" t="n">
        <v>6</v>
      </c>
      <c r="I3" s="5" t="n">
        <v>7</v>
      </c>
      <c r="J3" s="5" t="n">
        <v>8</v>
      </c>
      <c r="K3" s="5" t="n">
        <v>9</v>
      </c>
      <c r="L3" s="5" t="n">
        <v>10</v>
      </c>
      <c r="M3" s="5" t="n">
        <v>11</v>
      </c>
      <c r="N3" s="5" t="n">
        <v>12</v>
      </c>
      <c r="O3" s="5" t="n">
        <v>13</v>
      </c>
      <c r="P3" s="5" t="n">
        <v>14</v>
      </c>
      <c r="Q3" s="6" t="n">
        <v>15</v>
      </c>
      <c r="R3" s="5" t="n">
        <v>16</v>
      </c>
      <c r="S3" s="5" t="n">
        <v>17</v>
      </c>
      <c r="T3" s="5" t="n">
        <v>18</v>
      </c>
      <c r="U3" s="5" t="n">
        <v>19</v>
      </c>
      <c r="V3" s="5" t="n">
        <v>20</v>
      </c>
      <c r="W3" s="5" t="n">
        <v>21</v>
      </c>
      <c r="X3" s="5" t="n">
        <v>22</v>
      </c>
      <c r="Y3" s="5" t="n">
        <v>23</v>
      </c>
      <c r="Z3" s="5" t="n">
        <v>24</v>
      </c>
      <c r="AA3" s="5" t="n">
        <v>25</v>
      </c>
      <c r="AB3" s="5" t="n">
        <v>26</v>
      </c>
      <c r="AC3" s="5" t="n">
        <v>27</v>
      </c>
      <c r="AD3" s="5" t="n">
        <v>28</v>
      </c>
      <c r="AE3" s="5" t="n">
        <v>29</v>
      </c>
      <c r="AF3" s="5" t="n">
        <v>30</v>
      </c>
      <c r="AG3" s="5" t="n">
        <v>31</v>
      </c>
      <c r="AH3" s="5" t="inlineStr">
        <is>
          <t>합계</t>
        </is>
      </c>
      <c r="AI3" s="7" t="inlineStr">
        <is>
          <t>평균</t>
        </is>
      </c>
    </row>
    <row r="4" ht="20.1" customHeight="1" s="251" thickTop="1">
      <c r="A4" s="341" t="inlineStr">
        <is>
          <t>가동시간</t>
        </is>
      </c>
      <c r="B4" s="342" t="n"/>
      <c r="C4" s="24">
        <f>'1'!$X$7</f>
        <v/>
      </c>
      <c r="D4" s="24">
        <f>'2'!$X$7</f>
        <v/>
      </c>
      <c r="E4" s="24">
        <f>'3'!$X$7</f>
        <v/>
      </c>
      <c r="F4" s="24">
        <f>'4'!$X$7</f>
        <v/>
      </c>
      <c r="G4" s="24">
        <f>'5'!$X$7</f>
        <v/>
      </c>
      <c r="H4" s="24">
        <f>'6'!$X$7</f>
        <v/>
      </c>
      <c r="I4" s="24">
        <f>'7'!$X$7</f>
        <v/>
      </c>
      <c r="J4" s="24">
        <f>'8'!$X$7</f>
        <v/>
      </c>
      <c r="K4" s="24">
        <f>'9'!$X$7</f>
        <v/>
      </c>
      <c r="L4" s="24">
        <f>'10'!$X$7</f>
        <v/>
      </c>
      <c r="M4" s="24">
        <f>'11'!$X$7</f>
        <v/>
      </c>
      <c r="N4" s="24">
        <f>'12'!$X$7</f>
        <v/>
      </c>
      <c r="O4" s="24">
        <f>'13'!$X$7</f>
        <v/>
      </c>
      <c r="P4" s="24">
        <f>'14'!$X$7</f>
        <v/>
      </c>
      <c r="Q4" s="24">
        <f>'15'!$X$7</f>
        <v/>
      </c>
      <c r="R4" s="24">
        <f>'16'!$X$7</f>
        <v/>
      </c>
      <c r="S4" s="24">
        <f>'16'!$X$7</f>
        <v/>
      </c>
      <c r="T4" s="24">
        <f>'18'!$X$7</f>
        <v/>
      </c>
      <c r="U4" s="24">
        <f>'19'!$X$7</f>
        <v/>
      </c>
      <c r="V4" s="24">
        <f>'20'!$X$7</f>
        <v/>
      </c>
      <c r="W4" s="24">
        <f>'21'!$X$7</f>
        <v/>
      </c>
      <c r="X4" s="24">
        <f>'22'!$X$7</f>
        <v/>
      </c>
      <c r="Y4" s="24">
        <f>'23'!$X$7</f>
        <v/>
      </c>
      <c r="Z4" s="24">
        <f>'24'!$X$7</f>
        <v/>
      </c>
      <c r="AA4" s="24">
        <f>'25'!$X$7</f>
        <v/>
      </c>
      <c r="AB4" s="24">
        <f>'26'!$X$7</f>
        <v/>
      </c>
      <c r="AC4" s="24">
        <f>'27'!$X$7</f>
        <v/>
      </c>
      <c r="AD4" s="24">
        <f>'28'!$X$7</f>
        <v/>
      </c>
      <c r="AE4" s="24">
        <f>'29'!$X$7</f>
        <v/>
      </c>
      <c r="AF4" s="24">
        <f>'30'!$X$7</f>
        <v/>
      </c>
      <c r="AG4" s="24">
        <f>'31'!$X$7</f>
        <v/>
      </c>
      <c r="AH4" s="47">
        <f>SUM(C4:AG4)</f>
        <v/>
      </c>
      <c r="AI4" s="343">
        <f>IFERROR(AVERAGE(C4:AG4),"")</f>
        <v/>
      </c>
    </row>
    <row r="5" ht="24.9" customHeight="1" s="251">
      <c r="A5" s="235" t="inlineStr">
        <is>
          <t>소각량</t>
        </is>
      </c>
      <c r="B5" s="8" t="inlineStr">
        <is>
          <t>SRF</t>
        </is>
      </c>
      <c r="C5" s="25">
        <f>'1'!$D$7</f>
        <v/>
      </c>
      <c r="D5" s="25">
        <f>'2'!$D$7</f>
        <v/>
      </c>
      <c r="E5" s="25">
        <f>'3'!$D$7</f>
        <v/>
      </c>
      <c r="F5" s="25">
        <f>'4'!$D$7</f>
        <v/>
      </c>
      <c r="G5" s="25">
        <f>'5'!$D$7</f>
        <v/>
      </c>
      <c r="H5" s="25">
        <f>'6'!$D$7</f>
        <v/>
      </c>
      <c r="I5" s="25">
        <f>'7'!$D$7</f>
        <v/>
      </c>
      <c r="J5" s="25">
        <f>'8'!$D$7</f>
        <v/>
      </c>
      <c r="K5" s="25">
        <f>'9'!$D$7</f>
        <v/>
      </c>
      <c r="L5" s="25">
        <f>'10'!$D$7</f>
        <v/>
      </c>
      <c r="M5" s="25">
        <f>'11'!$D$7</f>
        <v/>
      </c>
      <c r="N5" s="25">
        <f>'12'!$D$7</f>
        <v/>
      </c>
      <c r="O5" s="25">
        <f>'13'!$D$7</f>
        <v/>
      </c>
      <c r="P5" s="25">
        <f>'14'!$D$7</f>
        <v/>
      </c>
      <c r="Q5" s="25">
        <f>'15'!$D$7</f>
        <v/>
      </c>
      <c r="R5" s="25">
        <f>'16'!$D$7</f>
        <v/>
      </c>
      <c r="S5" s="37">
        <f>'17'!$D$7</f>
        <v/>
      </c>
      <c r="T5" s="37">
        <f>'18'!$D$7</f>
        <v/>
      </c>
      <c r="U5" s="25">
        <f>'19'!$D$7</f>
        <v/>
      </c>
      <c r="V5" s="25">
        <f>'20'!$D$7</f>
        <v/>
      </c>
      <c r="W5" s="25">
        <f>'21'!$D$7</f>
        <v/>
      </c>
      <c r="X5" s="25">
        <f>'22'!$D$7</f>
        <v/>
      </c>
      <c r="Y5" s="25">
        <f>'23'!$D$7</f>
        <v/>
      </c>
      <c r="Z5" s="25">
        <f>'24'!$D$7</f>
        <v/>
      </c>
      <c r="AA5" s="25">
        <f>'25'!$D$7</f>
        <v/>
      </c>
      <c r="AB5" s="25">
        <f>'26'!$D$7</f>
        <v/>
      </c>
      <c r="AC5" s="25">
        <f>'27'!$D$7</f>
        <v/>
      </c>
      <c r="AD5" s="25">
        <f>'28'!$D$7</f>
        <v/>
      </c>
      <c r="AE5" s="25">
        <f>'29'!$D$7</f>
        <v/>
      </c>
      <c r="AF5" s="25">
        <f>'30'!$D$7</f>
        <v/>
      </c>
      <c r="AG5" s="37">
        <f>'31'!$D$7</f>
        <v/>
      </c>
      <c r="AH5" s="45">
        <f>SUM(C5:AG5)</f>
        <v/>
      </c>
      <c r="AI5" s="344">
        <f>IFERROR(AVERAGE(C5:AG5),"")</f>
        <v/>
      </c>
    </row>
    <row r="6" ht="24.9" customHeight="1" s="251">
      <c r="A6" s="331" t="n"/>
      <c r="B6" s="30" t="inlineStr">
        <is>
          <t>미계근</t>
        </is>
      </c>
      <c r="C6" s="27" t="n">
        <v>0</v>
      </c>
      <c r="D6" s="27" t="n">
        <v>0</v>
      </c>
      <c r="E6" s="27" t="n">
        <v>0</v>
      </c>
      <c r="F6" s="27" t="n">
        <v>0</v>
      </c>
      <c r="G6" s="27" t="n">
        <v>0</v>
      </c>
      <c r="H6" s="27" t="n">
        <v>0</v>
      </c>
      <c r="I6" s="27" t="n">
        <v>0</v>
      </c>
      <c r="J6" s="27" t="n">
        <v>0</v>
      </c>
      <c r="K6" s="27" t="n">
        <v>0</v>
      </c>
      <c r="L6" s="27" t="n">
        <v>0</v>
      </c>
      <c r="M6" s="27" t="n">
        <v>0</v>
      </c>
      <c r="N6" s="27" t="n">
        <v>0</v>
      </c>
      <c r="O6" s="27" t="n">
        <v>0</v>
      </c>
      <c r="P6" s="27" t="n">
        <v>0</v>
      </c>
      <c r="Q6" s="27" t="n">
        <v>0</v>
      </c>
      <c r="R6" s="27" t="n">
        <v>0</v>
      </c>
      <c r="S6" s="27" t="n">
        <v>0</v>
      </c>
      <c r="T6" s="27" t="n">
        <v>0</v>
      </c>
      <c r="U6" s="27" t="n">
        <v>0</v>
      </c>
      <c r="V6" s="27" t="n">
        <v>0</v>
      </c>
      <c r="W6" s="27" t="n">
        <v>0</v>
      </c>
      <c r="X6" s="27" t="n">
        <v>0</v>
      </c>
      <c r="Y6" s="27" t="n">
        <v>0</v>
      </c>
      <c r="Z6" s="27" t="n">
        <v>0</v>
      </c>
      <c r="AA6" s="27" t="n">
        <v>0</v>
      </c>
      <c r="AB6" s="27" t="n">
        <v>0</v>
      </c>
      <c r="AC6" s="27" t="n">
        <v>0</v>
      </c>
      <c r="AD6" s="27" t="n">
        <v>0</v>
      </c>
      <c r="AE6" s="27" t="n">
        <v>0</v>
      </c>
      <c r="AF6" s="27" t="n">
        <v>0</v>
      </c>
      <c r="AG6" s="88" t="n">
        <v>0</v>
      </c>
      <c r="AH6" s="45">
        <f>SUM(C6:AG6)</f>
        <v/>
      </c>
      <c r="AI6" s="344">
        <f>IFERROR(AVERAGE(C6:AG6),"")</f>
        <v/>
      </c>
    </row>
    <row r="7" ht="24.9" customHeight="1" s="251">
      <c r="A7" s="331" t="n"/>
      <c r="B7" s="30" t="inlineStr">
        <is>
          <t xml:space="preserve">합계 </t>
        </is>
      </c>
      <c r="C7" s="27">
        <f>C5+C6</f>
        <v/>
      </c>
      <c r="D7" s="27">
        <f>D5+D6</f>
        <v/>
      </c>
      <c r="E7" s="27">
        <f>E5+E6</f>
        <v/>
      </c>
      <c r="F7" s="27">
        <f>F5+F6</f>
        <v/>
      </c>
      <c r="G7" s="27">
        <f>G5+G6</f>
        <v/>
      </c>
      <c r="H7" s="27">
        <f>H5+H6</f>
        <v/>
      </c>
      <c r="I7" s="27">
        <f>I5+I6</f>
        <v/>
      </c>
      <c r="J7" s="27">
        <f>J5+J6</f>
        <v/>
      </c>
      <c r="K7" s="27">
        <f>K5+K6</f>
        <v/>
      </c>
      <c r="L7" s="27">
        <f>L5+L6</f>
        <v/>
      </c>
      <c r="M7" s="27">
        <f>M5+M6</f>
        <v/>
      </c>
      <c r="N7" s="27">
        <f>N5+N6</f>
        <v/>
      </c>
      <c r="O7" s="27">
        <f>O5+O6</f>
        <v/>
      </c>
      <c r="P7" s="27">
        <f>P5+P6</f>
        <v/>
      </c>
      <c r="Q7" s="27">
        <f>Q5+Q6</f>
        <v/>
      </c>
      <c r="R7" s="27">
        <f>R5+R6</f>
        <v/>
      </c>
      <c r="S7" s="27">
        <f>S5+S6</f>
        <v/>
      </c>
      <c r="T7" s="27">
        <f>T5+T6</f>
        <v/>
      </c>
      <c r="U7" s="27">
        <f>U5+U6</f>
        <v/>
      </c>
      <c r="V7" s="27">
        <f>V5+V6</f>
        <v/>
      </c>
      <c r="W7" s="27">
        <f>W5+W6</f>
        <v/>
      </c>
      <c r="X7" s="27">
        <f>X5+X6</f>
        <v/>
      </c>
      <c r="Y7" s="27">
        <f>Y5+Y6</f>
        <v/>
      </c>
      <c r="Z7" s="27">
        <f>Z5+Z6</f>
        <v/>
      </c>
      <c r="AA7" s="27">
        <f>AA5+AA6</f>
        <v/>
      </c>
      <c r="AB7" s="27">
        <f>AB5+AB6</f>
        <v/>
      </c>
      <c r="AC7" s="27">
        <f>AC5+AC6</f>
        <v/>
      </c>
      <c r="AD7" s="27">
        <f>AD5+AD6</f>
        <v/>
      </c>
      <c r="AE7" s="27">
        <f>AE5+AE6</f>
        <v/>
      </c>
      <c r="AF7" s="27">
        <f>AF5+AF6</f>
        <v/>
      </c>
      <c r="AG7" s="27">
        <f>AG5+AG6</f>
        <v/>
      </c>
      <c r="AH7" s="45">
        <f>SUM(C7:AG7)</f>
        <v/>
      </c>
      <c r="AI7" s="344">
        <f>IFERROR(AVERAGE(C7:AG7),"")</f>
        <v/>
      </c>
    </row>
    <row r="8" ht="24.9" customHeight="1" s="251">
      <c r="A8" s="331" t="n"/>
      <c r="B8" s="55" t="inlineStr">
        <is>
          <t>Sludge</t>
        </is>
      </c>
      <c r="C8" s="27">
        <f>'1'!$G$7</f>
        <v/>
      </c>
      <c r="D8" s="27">
        <f>'2'!$G$7</f>
        <v/>
      </c>
      <c r="E8" s="27">
        <f>'3'!$G$7</f>
        <v/>
      </c>
      <c r="F8" s="27">
        <f>'4'!$G$7</f>
        <v/>
      </c>
      <c r="G8" s="27">
        <f>'5'!$G$7</f>
        <v/>
      </c>
      <c r="H8" s="27">
        <f>'6'!$G$7</f>
        <v/>
      </c>
      <c r="I8" s="27">
        <f>'7'!$G$7</f>
        <v/>
      </c>
      <c r="J8" s="27">
        <f>'8'!$G$7</f>
        <v/>
      </c>
      <c r="K8" s="27">
        <f>'9'!$G$7</f>
        <v/>
      </c>
      <c r="L8" s="27">
        <f>'10'!$G$7</f>
        <v/>
      </c>
      <c r="M8" s="27">
        <f>'11'!$G$7</f>
        <v/>
      </c>
      <c r="N8" s="27">
        <f>'12'!$G$7</f>
        <v/>
      </c>
      <c r="O8" s="27">
        <f>'13'!$G$7</f>
        <v/>
      </c>
      <c r="P8" s="27">
        <f>'14'!$G$7</f>
        <v/>
      </c>
      <c r="Q8" s="27">
        <f>'15'!$G$7</f>
        <v/>
      </c>
      <c r="R8" s="27">
        <f>'16'!$G$7</f>
        <v/>
      </c>
      <c r="S8" s="91">
        <f>'17'!$G$7</f>
        <v/>
      </c>
      <c r="T8" s="91">
        <f>'18'!$G$7</f>
        <v/>
      </c>
      <c r="U8" s="27">
        <f>'19'!$G$7</f>
        <v/>
      </c>
      <c r="V8" s="27">
        <f>'20'!$G$7</f>
        <v/>
      </c>
      <c r="W8" s="27">
        <f>'21'!$G$7</f>
        <v/>
      </c>
      <c r="X8" s="27">
        <f>'22'!$G$7</f>
        <v/>
      </c>
      <c r="Y8" s="27">
        <f>'23'!$G$7</f>
        <v/>
      </c>
      <c r="Z8" s="27">
        <f>'24'!$G$7</f>
        <v/>
      </c>
      <c r="AA8" s="27">
        <f>'25'!$G$7</f>
        <v/>
      </c>
      <c r="AB8" s="27">
        <f>'26'!$G$7</f>
        <v/>
      </c>
      <c r="AC8" s="27">
        <f>'27'!$G$7</f>
        <v/>
      </c>
      <c r="AD8" s="27">
        <f>'28'!$G$7</f>
        <v/>
      </c>
      <c r="AE8" s="27">
        <f>'29'!$G$7</f>
        <v/>
      </c>
      <c r="AF8" s="27">
        <f>'30'!$G$7</f>
        <v/>
      </c>
      <c r="AG8" s="90">
        <f>'31'!$G$7</f>
        <v/>
      </c>
      <c r="AH8" s="45">
        <f>SUM(C8:AG8)</f>
        <v/>
      </c>
      <c r="AI8" s="344">
        <f>IFERROR(AVERAGE(C8:AG8),"")</f>
        <v/>
      </c>
    </row>
    <row r="9" ht="24.9" customHeight="1" s="251">
      <c r="A9" s="331" t="n"/>
      <c r="B9" s="30" t="inlineStr">
        <is>
          <t>혼합연료</t>
        </is>
      </c>
      <c r="C9" s="25" t="n">
        <v>273.3</v>
      </c>
      <c r="D9" s="25" t="n">
        <v>283.6</v>
      </c>
      <c r="E9" s="25" t="n">
        <v>243.2</v>
      </c>
      <c r="F9" s="25" t="n">
        <v>237.5</v>
      </c>
      <c r="G9" s="25" t="n">
        <v>270.5</v>
      </c>
      <c r="H9" s="25" t="n">
        <v>279.8</v>
      </c>
      <c r="I9" s="25" t="n">
        <v>218.4</v>
      </c>
      <c r="J9" s="25" t="n">
        <v>228.9</v>
      </c>
      <c r="K9" s="25" t="n">
        <v>312.6</v>
      </c>
      <c r="L9" s="25" t="n">
        <v>274.9</v>
      </c>
      <c r="M9" s="25" t="n">
        <v>232.1</v>
      </c>
      <c r="N9" s="25" t="n">
        <v>242.4</v>
      </c>
      <c r="O9" s="25" t="n">
        <v>229.7</v>
      </c>
      <c r="P9" s="25" t="n">
        <v>250.9</v>
      </c>
      <c r="Q9" s="25" t="n">
        <v>278.6</v>
      </c>
      <c r="R9" s="25" t="n">
        <v>268.9</v>
      </c>
      <c r="S9" s="25" t="n">
        <v>306.4</v>
      </c>
      <c r="T9" s="25" t="n">
        <v>301</v>
      </c>
      <c r="U9" s="25" t="n">
        <v>308.8</v>
      </c>
      <c r="V9" s="25" t="n">
        <v>289.7</v>
      </c>
      <c r="W9" s="25" t="n">
        <v>253.6</v>
      </c>
      <c r="X9" s="25" t="n">
        <v>253.8</v>
      </c>
      <c r="Y9" s="25" t="n">
        <v>347.4</v>
      </c>
      <c r="Z9" s="25" t="n">
        <v>283.3</v>
      </c>
      <c r="AA9" s="25" t="n">
        <v>271.9</v>
      </c>
      <c r="AB9" s="25" t="n">
        <v>282.6</v>
      </c>
      <c r="AC9" s="25" t="n">
        <v>265.9</v>
      </c>
      <c r="AD9" s="25" t="n">
        <v>235.1</v>
      </c>
      <c r="AE9" s="25" t="n">
        <v>223.4</v>
      </c>
      <c r="AF9" s="25" t="n">
        <v>299.5</v>
      </c>
      <c r="AG9" s="89" t="n">
        <v>303.8</v>
      </c>
      <c r="AH9" s="45">
        <f>SUM(C9:AG9)</f>
        <v/>
      </c>
      <c r="AI9" s="344">
        <f>IFERROR(AVERAGE(C9:AG9),"")</f>
        <v/>
      </c>
    </row>
    <row r="10" ht="24.9" customHeight="1" s="251" thickBot="1">
      <c r="A10" s="333" t="n"/>
      <c r="B10" s="26" t="inlineStr">
        <is>
          <t>자동호퍼</t>
        </is>
      </c>
      <c r="C10" s="345" t="n">
        <v>10</v>
      </c>
      <c r="D10" s="345" t="n">
        <v>10</v>
      </c>
      <c r="E10" s="345" t="n">
        <v>7</v>
      </c>
      <c r="F10" s="345" t="n">
        <v>4</v>
      </c>
      <c r="G10" s="345" t="n">
        <v>8</v>
      </c>
      <c r="H10" s="345" t="n">
        <v>12</v>
      </c>
      <c r="I10" s="345" t="n">
        <v>28</v>
      </c>
      <c r="J10" s="345" t="n">
        <v>51</v>
      </c>
      <c r="K10" s="345" t="n">
        <v>15</v>
      </c>
      <c r="L10" s="345" t="n">
        <v>4</v>
      </c>
      <c r="M10" s="345" t="n">
        <v>7</v>
      </c>
      <c r="N10" s="345" t="n">
        <v>4</v>
      </c>
      <c r="O10" s="345" t="n">
        <v>0</v>
      </c>
      <c r="P10" s="345" t="n">
        <v>2</v>
      </c>
      <c r="Q10" s="345" t="n">
        <v>3</v>
      </c>
      <c r="R10" s="345" t="n">
        <v>12</v>
      </c>
      <c r="S10" s="345" t="n">
        <v>2</v>
      </c>
      <c r="T10" s="345" t="n">
        <v>9</v>
      </c>
      <c r="U10" s="345" t="n">
        <v>4</v>
      </c>
      <c r="V10" s="345" t="n">
        <v>2</v>
      </c>
      <c r="W10" s="345" t="n">
        <v>17</v>
      </c>
      <c r="X10" s="345" t="n">
        <v>36</v>
      </c>
      <c r="Y10" s="345" t="n">
        <v>13</v>
      </c>
      <c r="Z10" s="345" t="n">
        <v>7</v>
      </c>
      <c r="AA10" s="345" t="n">
        <v>24</v>
      </c>
      <c r="AB10" s="345" t="n">
        <v>28</v>
      </c>
      <c r="AC10" s="345" t="n">
        <v>44</v>
      </c>
      <c r="AD10" s="345" t="n">
        <v>57</v>
      </c>
      <c r="AE10" s="345" t="n">
        <v>53</v>
      </c>
      <c r="AF10" s="345" t="n">
        <v>14</v>
      </c>
      <c r="AG10" s="345" t="n">
        <v>4</v>
      </c>
      <c r="AH10" s="44">
        <f>SUM(C10:AG10)</f>
        <v/>
      </c>
      <c r="AI10" s="346">
        <f>IFERROR(AVERAGE(C10:AG10),"")</f>
        <v/>
      </c>
    </row>
    <row r="11" ht="24.9" customHeight="1" s="251">
      <c r="A11" s="220" t="inlineStr">
        <is>
          <t>스팀량</t>
        </is>
      </c>
      <c r="B11" s="8" t="inlineStr">
        <is>
          <t>FIT-301</t>
        </is>
      </c>
      <c r="C11" s="29">
        <f>'1'!$R$7</f>
        <v/>
      </c>
      <c r="D11" s="29">
        <f>'2'!$R$7</f>
        <v/>
      </c>
      <c r="E11" s="29">
        <f>'3'!$R$7</f>
        <v/>
      </c>
      <c r="F11" s="29">
        <f>'4'!$R$7</f>
        <v/>
      </c>
      <c r="G11" s="29">
        <f>'5'!$R$7</f>
        <v/>
      </c>
      <c r="H11" s="29">
        <f>'6'!$R$7</f>
        <v/>
      </c>
      <c r="I11" s="29">
        <f>'7'!$R$7</f>
        <v/>
      </c>
      <c r="J11" s="29">
        <f>'8'!$R$7</f>
        <v/>
      </c>
      <c r="K11" s="29">
        <f>'9'!$R$7</f>
        <v/>
      </c>
      <c r="L11" s="29">
        <f>'10'!$R$7</f>
        <v/>
      </c>
      <c r="M11" s="29">
        <f>'11'!$R$7</f>
        <v/>
      </c>
      <c r="N11" s="29">
        <f>'12'!$R$7</f>
        <v/>
      </c>
      <c r="O11" s="29">
        <f>'13'!$R$7</f>
        <v/>
      </c>
      <c r="P11" s="29">
        <f>'14'!$R$7</f>
        <v/>
      </c>
      <c r="Q11" s="29">
        <f>'15'!$R$7</f>
        <v/>
      </c>
      <c r="R11" s="29">
        <f>'16'!$R$7</f>
        <v/>
      </c>
      <c r="S11" s="29">
        <f>'17'!$R$7</f>
        <v/>
      </c>
      <c r="T11" s="29">
        <f>'18'!$R$7</f>
        <v/>
      </c>
      <c r="U11" s="29">
        <f>'19'!$R$7</f>
        <v/>
      </c>
      <c r="V11" s="29">
        <f>'20'!$R$7</f>
        <v/>
      </c>
      <c r="W11" s="29">
        <f>'21'!$R$7</f>
        <v/>
      </c>
      <c r="X11" s="29">
        <f>'22'!$R$7</f>
        <v/>
      </c>
      <c r="Y11" s="29">
        <f>'23'!$R$7</f>
        <v/>
      </c>
      <c r="Z11" s="29">
        <f>'24'!$R$7</f>
        <v/>
      </c>
      <c r="AA11" s="29">
        <f>'25'!$R$7</f>
        <v/>
      </c>
      <c r="AB11" s="29">
        <f>'26'!$R$7</f>
        <v/>
      </c>
      <c r="AC11" s="29">
        <f>'27'!$R$7</f>
        <v/>
      </c>
      <c r="AD11" s="29">
        <f>'28'!$R$7</f>
        <v/>
      </c>
      <c r="AE11" s="29">
        <f>'29'!$R$7</f>
        <v/>
      </c>
      <c r="AF11" s="29">
        <f>'30'!$R$7</f>
        <v/>
      </c>
      <c r="AG11" s="29">
        <f>'31'!$R$7</f>
        <v/>
      </c>
      <c r="AH11" s="45">
        <f>SUM(C11:AG11)</f>
        <v/>
      </c>
      <c r="AI11" s="347">
        <f>IFERROR(AVERAGE(C11:AG11),"")</f>
        <v/>
      </c>
    </row>
    <row r="12" ht="24.9" customHeight="1" s="251" thickBot="1">
      <c r="A12" s="333" t="n"/>
      <c r="B12" s="26" t="inlineStr">
        <is>
          <t>FIT-304</t>
        </is>
      </c>
      <c r="C12" s="348">
        <f>'1'!$U$7</f>
        <v/>
      </c>
      <c r="D12" s="348">
        <f>'2'!$U$7</f>
        <v/>
      </c>
      <c r="E12" s="348">
        <f>'3'!$U$7</f>
        <v/>
      </c>
      <c r="F12" s="348">
        <f>'4'!$U$7</f>
        <v/>
      </c>
      <c r="G12" s="348">
        <f>'5'!$U$7</f>
        <v/>
      </c>
      <c r="H12" s="349">
        <f>'6'!$U$7</f>
        <v/>
      </c>
      <c r="I12" s="349">
        <f>'7'!$U$7</f>
        <v/>
      </c>
      <c r="J12" s="349">
        <f>'8'!$U$7</f>
        <v/>
      </c>
      <c r="K12" s="350">
        <f>'9'!$U$7</f>
        <v/>
      </c>
      <c r="L12" s="348">
        <f>'10'!$U$7</f>
        <v/>
      </c>
      <c r="M12" s="349">
        <f>'11'!$U$7</f>
        <v/>
      </c>
      <c r="N12" s="349">
        <f>'12'!$U$7</f>
        <v/>
      </c>
      <c r="O12" s="350">
        <f>'13'!$U$7</f>
        <v/>
      </c>
      <c r="P12" s="349">
        <f>'14'!$U$7</f>
        <v/>
      </c>
      <c r="Q12" s="348">
        <f>'15'!$U$7</f>
        <v/>
      </c>
      <c r="R12" s="349">
        <f>'16'!$U$7</f>
        <v/>
      </c>
      <c r="S12" s="349">
        <f>'17'!$U$7</f>
        <v/>
      </c>
      <c r="T12" s="350">
        <f>'18'!$U$7</f>
        <v/>
      </c>
      <c r="U12" s="349">
        <f>'19'!$U$7</f>
        <v/>
      </c>
      <c r="V12" s="349">
        <f>'20'!$U$7</f>
        <v/>
      </c>
      <c r="W12" s="348">
        <f>'21'!$U$7</f>
        <v/>
      </c>
      <c r="X12" s="350">
        <f>'22'!$U$7</f>
        <v/>
      </c>
      <c r="Y12" s="349">
        <f>'23'!$U$7</f>
        <v/>
      </c>
      <c r="Z12" s="350">
        <f>'24'!$U$7</f>
        <v/>
      </c>
      <c r="AA12" s="348">
        <f>'25'!$U$7</f>
        <v/>
      </c>
      <c r="AB12" s="348">
        <f>'26'!$U$7</f>
        <v/>
      </c>
      <c r="AC12" s="349">
        <f>'27'!$U$7</f>
        <v/>
      </c>
      <c r="AD12" s="349">
        <f>'28'!$U$7</f>
        <v/>
      </c>
      <c r="AE12" s="348">
        <f>'29'!$U$7</f>
        <v/>
      </c>
      <c r="AF12" s="350">
        <f>'30'!$U$7</f>
        <v/>
      </c>
      <c r="AG12" s="350">
        <f>'31'!$U$7</f>
        <v/>
      </c>
      <c r="AH12" s="44">
        <f>SUM(C12:AG12)</f>
        <v/>
      </c>
      <c r="AI12" s="346">
        <f>IFERROR(AVERAGE(C12:AG12),"")</f>
        <v/>
      </c>
    </row>
    <row r="13" ht="24.9" customHeight="1" s="251">
      <c r="A13" s="220" t="inlineStr">
        <is>
          <t>소각재</t>
        </is>
      </c>
      <c r="B13" s="30" t="inlineStr">
        <is>
          <t>비산재(반출)</t>
        </is>
      </c>
      <c r="C13" s="48">
        <f>'1'!$S$12</f>
        <v/>
      </c>
      <c r="D13" s="48">
        <f>'2'!$S$12</f>
        <v/>
      </c>
      <c r="E13" s="48">
        <f>'3'!$S$12</f>
        <v/>
      </c>
      <c r="F13" s="48">
        <f>'4'!$S$12</f>
        <v/>
      </c>
      <c r="G13" s="48">
        <f>'5'!$S$12</f>
        <v/>
      </c>
      <c r="H13" s="48">
        <f>'6'!$S$12</f>
        <v/>
      </c>
      <c r="I13" s="48">
        <f>'7'!$S$12</f>
        <v/>
      </c>
      <c r="J13" s="48">
        <f>'8'!$S$12</f>
        <v/>
      </c>
      <c r="K13" s="48">
        <f>'9'!$S$12</f>
        <v/>
      </c>
      <c r="L13" s="48">
        <f>'10'!$S$12</f>
        <v/>
      </c>
      <c r="M13" s="48">
        <f>'11'!$S$12</f>
        <v/>
      </c>
      <c r="N13" s="48">
        <f>'12'!$S$12</f>
        <v/>
      </c>
      <c r="O13" s="48">
        <f>'13'!$S$12</f>
        <v/>
      </c>
      <c r="P13" s="48">
        <f>'14'!$S$12</f>
        <v/>
      </c>
      <c r="Q13" s="48">
        <f>'15'!$S$12</f>
        <v/>
      </c>
      <c r="R13" s="48">
        <f>'16'!$S$12</f>
        <v/>
      </c>
      <c r="S13" s="48">
        <f>'17'!$S$12</f>
        <v/>
      </c>
      <c r="T13" s="48">
        <f>'18'!$S$12</f>
        <v/>
      </c>
      <c r="U13" s="48">
        <f>'19'!$S$12</f>
        <v/>
      </c>
      <c r="V13" s="48">
        <f>'20'!$S$12</f>
        <v/>
      </c>
      <c r="W13" s="48">
        <f>'21'!$S$12</f>
        <v/>
      </c>
      <c r="X13" s="48">
        <f>'22'!$S$12</f>
        <v/>
      </c>
      <c r="Y13" s="48">
        <f>'23'!$S$12</f>
        <v/>
      </c>
      <c r="Z13" s="48">
        <f>'24'!$S$12</f>
        <v/>
      </c>
      <c r="AA13" s="48">
        <f>'25'!$S$12</f>
        <v/>
      </c>
      <c r="AB13" s="48">
        <f>'26'!$S$12</f>
        <v/>
      </c>
      <c r="AC13" s="48">
        <f>'27'!$S$12</f>
        <v/>
      </c>
      <c r="AD13" s="48" t="n">
        <v>0</v>
      </c>
      <c r="AE13" s="48">
        <f>'29'!$S$12</f>
        <v/>
      </c>
      <c r="AF13" s="48">
        <f>'30'!$S$12</f>
        <v/>
      </c>
      <c r="AG13" s="48">
        <f>'31'!$S$12</f>
        <v/>
      </c>
      <c r="AH13" s="45">
        <f>SUM(C13:AG13)</f>
        <v/>
      </c>
      <c r="AI13" s="347">
        <f>IFERROR(AVERAGE(C13:AG13),"")</f>
        <v/>
      </c>
    </row>
    <row r="14" ht="24.9" customHeight="1" s="251">
      <c r="A14" s="331" t="n"/>
      <c r="B14" s="30" t="inlineStr">
        <is>
          <t>바닥재(발생)</t>
        </is>
      </c>
      <c r="C14" s="351">
        <f>'1'!$W$18</f>
        <v/>
      </c>
      <c r="D14" s="351">
        <f>'2'!$W$18</f>
        <v/>
      </c>
      <c r="E14" s="351">
        <f>'3'!$W$18</f>
        <v/>
      </c>
      <c r="F14" s="351">
        <f>'4'!$W$18</f>
        <v/>
      </c>
      <c r="G14" s="351">
        <f>'5'!$W$18</f>
        <v/>
      </c>
      <c r="H14" s="351">
        <f>'6'!$W$18</f>
        <v/>
      </c>
      <c r="I14" s="351">
        <f>'7'!$W$18</f>
        <v/>
      </c>
      <c r="J14" s="351">
        <f>'8'!$W$18</f>
        <v/>
      </c>
      <c r="K14" s="351">
        <f>'9'!$W$18</f>
        <v/>
      </c>
      <c r="L14" s="351">
        <f>'10'!$W$18</f>
        <v/>
      </c>
      <c r="M14" s="351">
        <f>'11'!$W$18</f>
        <v/>
      </c>
      <c r="N14" s="351">
        <f>'12'!$W$18</f>
        <v/>
      </c>
      <c r="O14" s="351">
        <f>'13'!$W$18</f>
        <v/>
      </c>
      <c r="P14" s="351">
        <f>'14'!$W$18</f>
        <v/>
      </c>
      <c r="Q14" s="351">
        <f>'15'!$W$18</f>
        <v/>
      </c>
      <c r="R14" s="351">
        <f>'16'!$W$18</f>
        <v/>
      </c>
      <c r="S14" s="351">
        <f>'17'!$W$18</f>
        <v/>
      </c>
      <c r="T14" s="351">
        <f>'18'!$W$18</f>
        <v/>
      </c>
      <c r="U14" s="351">
        <f>'19'!$W$18</f>
        <v/>
      </c>
      <c r="V14" s="351">
        <f>'20'!$W$18</f>
        <v/>
      </c>
      <c r="W14" s="351">
        <f>'21'!$W$18</f>
        <v/>
      </c>
      <c r="X14" s="351">
        <f>'22'!$W$18</f>
        <v/>
      </c>
      <c r="Y14" s="351">
        <f>'23'!$W$18</f>
        <v/>
      </c>
      <c r="Z14" s="351">
        <f>'24'!$W$18</f>
        <v/>
      </c>
      <c r="AA14" s="351">
        <f>'25'!$W$18</f>
        <v/>
      </c>
      <c r="AB14" s="351">
        <f>'26'!$W$18</f>
        <v/>
      </c>
      <c r="AC14" s="351">
        <f>'27'!$W$18</f>
        <v/>
      </c>
      <c r="AD14" s="351">
        <f>'28'!$W$18</f>
        <v/>
      </c>
      <c r="AE14" s="351">
        <f>'29'!$W$18</f>
        <v/>
      </c>
      <c r="AF14" s="351">
        <f>'30'!$W$18</f>
        <v/>
      </c>
      <c r="AG14" s="351">
        <f>'31'!$W$18</f>
        <v/>
      </c>
      <c r="AH14" s="45">
        <f>SUM(C14:AG14)</f>
        <v/>
      </c>
      <c r="AI14" s="344">
        <f>IFERROR(AVERAGE(C14:AG14),"")</f>
        <v/>
      </c>
    </row>
    <row r="15" ht="24.9" customHeight="1" s="251" thickBot="1">
      <c r="A15" s="333" t="n"/>
      <c r="B15" s="12" t="inlineStr">
        <is>
          <t>바닥재(반출)</t>
        </is>
      </c>
      <c r="C15" s="50">
        <f>'1'!$S$14</f>
        <v/>
      </c>
      <c r="D15" s="50">
        <f>'2'!$S$14</f>
        <v/>
      </c>
      <c r="E15" s="50">
        <f>'3'!$S$14</f>
        <v/>
      </c>
      <c r="F15" s="50">
        <f>'4'!$S$14</f>
        <v/>
      </c>
      <c r="G15" s="50">
        <f>'5'!$S$14</f>
        <v/>
      </c>
      <c r="H15" s="50">
        <f>'6'!$S$14</f>
        <v/>
      </c>
      <c r="I15" s="50">
        <f>'7'!$S$14</f>
        <v/>
      </c>
      <c r="J15" s="50">
        <f>'8'!$S$14</f>
        <v/>
      </c>
      <c r="K15" s="50">
        <f>'9'!$S$14</f>
        <v/>
      </c>
      <c r="L15" s="50">
        <f>'10'!$S$14</f>
        <v/>
      </c>
      <c r="M15" s="50">
        <f>'11'!$S$14</f>
        <v/>
      </c>
      <c r="N15" s="50">
        <f>'12'!$S$14</f>
        <v/>
      </c>
      <c r="O15" s="50">
        <f>'13'!$S$14</f>
        <v/>
      </c>
      <c r="P15" s="50">
        <f>'14'!$S$14</f>
        <v/>
      </c>
      <c r="Q15" s="50">
        <f>'15'!$S$14</f>
        <v/>
      </c>
      <c r="R15" s="50">
        <f>'16'!$S$14</f>
        <v/>
      </c>
      <c r="S15" s="50">
        <f>'17'!$S$14</f>
        <v/>
      </c>
      <c r="T15" s="50">
        <f>'18'!$S$14</f>
        <v/>
      </c>
      <c r="U15" s="50">
        <f>'19'!$S$14</f>
        <v/>
      </c>
      <c r="V15" s="50">
        <f>'20'!$S$14</f>
        <v/>
      </c>
      <c r="W15" s="50">
        <f>'21'!$S$14</f>
        <v/>
      </c>
      <c r="X15" s="50">
        <f>'22'!$S$14</f>
        <v/>
      </c>
      <c r="Y15" s="50">
        <f>'23'!$S$14</f>
        <v/>
      </c>
      <c r="Z15" s="50">
        <f>'24'!$S$14</f>
        <v/>
      </c>
      <c r="AA15" s="50">
        <f>'25'!$S$14</f>
        <v/>
      </c>
      <c r="AB15" s="50">
        <f>'26'!$S$14</f>
        <v/>
      </c>
      <c r="AC15" s="50">
        <f>'27'!$S$14</f>
        <v/>
      </c>
      <c r="AD15" s="50">
        <f>'28'!$S$14</f>
        <v/>
      </c>
      <c r="AE15" s="50">
        <f>'29'!$S$14</f>
        <v/>
      </c>
      <c r="AF15" s="50">
        <f>'30'!$S$14</f>
        <v/>
      </c>
      <c r="AG15" s="50">
        <f>'31'!$S$14</f>
        <v/>
      </c>
      <c r="AH15" s="44">
        <f>SUM(C15:AG15)</f>
        <v/>
      </c>
      <c r="AI15" s="346">
        <f>IFERROR(AVERAGE(C15:AG15),"")</f>
        <v/>
      </c>
    </row>
    <row r="16" ht="24.9" customHeight="1" s="251">
      <c r="A16" s="231" t="inlineStr">
        <is>
          <t>유틸리티</t>
        </is>
      </c>
      <c r="B16" s="31" t="inlineStr">
        <is>
          <t>재이용수</t>
        </is>
      </c>
      <c r="C16" s="24">
        <f>'1'!$V$24</f>
        <v/>
      </c>
      <c r="D16" s="24">
        <f>'2'!$V$24</f>
        <v/>
      </c>
      <c r="E16" s="24">
        <f>'3'!$V$24</f>
        <v/>
      </c>
      <c r="F16" s="24">
        <f>'4'!$V$24</f>
        <v/>
      </c>
      <c r="G16" s="24">
        <f>'5'!$V$24</f>
        <v/>
      </c>
      <c r="H16" s="24">
        <f>'6'!$V$24</f>
        <v/>
      </c>
      <c r="I16" s="24">
        <f>'7'!$V$24</f>
        <v/>
      </c>
      <c r="J16" s="24">
        <f>'8'!$V$24</f>
        <v/>
      </c>
      <c r="K16" s="24">
        <f>'9'!$V$24</f>
        <v/>
      </c>
      <c r="L16" s="24">
        <f>'10'!$V$24</f>
        <v/>
      </c>
      <c r="M16" s="24">
        <f>'11'!$V$24</f>
        <v/>
      </c>
      <c r="N16" s="24">
        <f>'12'!$V$24</f>
        <v/>
      </c>
      <c r="O16" s="24">
        <f>'13'!$V$24</f>
        <v/>
      </c>
      <c r="P16" s="24">
        <f>'14'!$V$24</f>
        <v/>
      </c>
      <c r="Q16" s="24">
        <f>'15'!$V$24</f>
        <v/>
      </c>
      <c r="R16" s="24">
        <f>'16'!$V$24</f>
        <v/>
      </c>
      <c r="S16" s="24">
        <f>'17'!$V$24</f>
        <v/>
      </c>
      <c r="T16" s="24">
        <f>'18'!$V$24</f>
        <v/>
      </c>
      <c r="U16" s="24">
        <f>'19'!$V$24</f>
        <v/>
      </c>
      <c r="V16" s="24">
        <f>'20'!$V$24</f>
        <v/>
      </c>
      <c r="W16" s="24">
        <f>'21'!$V$24</f>
        <v/>
      </c>
      <c r="X16" s="24">
        <f>'22'!$V$24</f>
        <v/>
      </c>
      <c r="Y16" s="24">
        <f>'23'!$V$24</f>
        <v/>
      </c>
      <c r="Z16" s="24">
        <f>'24'!$V$24</f>
        <v/>
      </c>
      <c r="AA16" s="24">
        <f>'25'!$V$24</f>
        <v/>
      </c>
      <c r="AB16" s="24">
        <f>'26'!$V$24</f>
        <v/>
      </c>
      <c r="AC16" s="24">
        <f>'27'!$V$24</f>
        <v/>
      </c>
      <c r="AD16" s="24">
        <f>'28'!$V$24</f>
        <v/>
      </c>
      <c r="AE16" s="24">
        <f>'29'!$V$24</f>
        <v/>
      </c>
      <c r="AF16" s="24">
        <f>'30'!$V$24</f>
        <v/>
      </c>
      <c r="AG16" s="24">
        <f>'31'!$V$24</f>
        <v/>
      </c>
      <c r="AH16" s="45">
        <f>SUM(C16:AG16)</f>
        <v/>
      </c>
      <c r="AI16" s="347">
        <f>IFERROR(AVERAGE(C16:AG16),"")</f>
        <v/>
      </c>
      <c r="AK16" s="352" t="n"/>
      <c r="AL16" s="338" t="n"/>
      <c r="AM16" s="338" t="n"/>
      <c r="AN16" s="338" t="n"/>
    </row>
    <row r="17" ht="24.9" customHeight="1" s="251">
      <c r="A17" s="331" t="n"/>
      <c r="B17" s="30" t="inlineStr">
        <is>
          <t>복류수</t>
        </is>
      </c>
      <c r="C17" s="25">
        <f>'1'!$V$25</f>
        <v/>
      </c>
      <c r="D17" s="25">
        <f>'2'!$V$25</f>
        <v/>
      </c>
      <c r="E17" s="25">
        <f>'3'!$V$25</f>
        <v/>
      </c>
      <c r="F17" s="25">
        <f>'4'!$V$25</f>
        <v/>
      </c>
      <c r="G17" s="25">
        <f>'5'!$V$25</f>
        <v/>
      </c>
      <c r="H17" s="25">
        <f>'6'!$V$25</f>
        <v/>
      </c>
      <c r="I17" s="25">
        <f>'7'!$V$25</f>
        <v/>
      </c>
      <c r="J17" s="25">
        <f>'8'!$V$25</f>
        <v/>
      </c>
      <c r="K17" s="25">
        <f>'9'!$V$25</f>
        <v/>
      </c>
      <c r="L17" s="25">
        <f>'10'!$V$25</f>
        <v/>
      </c>
      <c r="M17" s="25">
        <f>'11'!$V$25</f>
        <v/>
      </c>
      <c r="N17" s="25">
        <f>'12'!$V$25</f>
        <v/>
      </c>
      <c r="O17" s="25">
        <f>'13'!$V$25</f>
        <v/>
      </c>
      <c r="P17" s="25">
        <f>'14'!$V$25</f>
        <v/>
      </c>
      <c r="Q17" s="25">
        <f>'15'!$V$25</f>
        <v/>
      </c>
      <c r="R17" s="25">
        <f>'16'!$V$25</f>
        <v/>
      </c>
      <c r="S17" s="25">
        <f>'17'!$V$25</f>
        <v/>
      </c>
      <c r="T17" s="25">
        <f>'18'!$V$25</f>
        <v/>
      </c>
      <c r="U17" s="25">
        <f>'19'!$V$25</f>
        <v/>
      </c>
      <c r="V17" s="25">
        <f>'20'!$V$25</f>
        <v/>
      </c>
      <c r="W17" s="25">
        <f>'21'!$V$25</f>
        <v/>
      </c>
      <c r="X17" s="25">
        <f>'22'!$V$25</f>
        <v/>
      </c>
      <c r="Y17" s="25">
        <f>'23'!$V$25</f>
        <v/>
      </c>
      <c r="Z17" s="25">
        <f>'24'!$V$25</f>
        <v/>
      </c>
      <c r="AA17" s="25">
        <f>'25'!$V$25</f>
        <v/>
      </c>
      <c r="AB17" s="25">
        <f>'26'!$V$25</f>
        <v/>
      </c>
      <c r="AC17" s="25">
        <f>'27'!$V$25</f>
        <v/>
      </c>
      <c r="AD17" s="25">
        <f>'28'!$V$25</f>
        <v/>
      </c>
      <c r="AE17" s="25">
        <f>'29'!$V$25</f>
        <v/>
      </c>
      <c r="AF17" s="25">
        <f>'30'!$V$25</f>
        <v/>
      </c>
      <c r="AG17" s="25">
        <f>'31'!$V$25</f>
        <v/>
      </c>
      <c r="AH17" s="45">
        <f>SUM(C17:AG17)</f>
        <v/>
      </c>
      <c r="AI17" s="344">
        <f>IFERROR(AVERAGE(C17:AG17),"")</f>
        <v/>
      </c>
      <c r="AK17" s="353" t="n"/>
    </row>
    <row r="18" ht="24.9" customHeight="1" s="251">
      <c r="A18" s="331" t="n"/>
      <c r="B18" s="30" t="inlineStr">
        <is>
          <t>응축수</t>
        </is>
      </c>
      <c r="C18" s="25">
        <f>'1'!$V$26</f>
        <v/>
      </c>
      <c r="D18" s="25">
        <f>'2'!$V$26</f>
        <v/>
      </c>
      <c r="E18" s="25">
        <f>'3'!$V$26</f>
        <v/>
      </c>
      <c r="F18" s="25">
        <f>'4'!$V$26</f>
        <v/>
      </c>
      <c r="G18" s="25">
        <f>'5'!$V$26</f>
        <v/>
      </c>
      <c r="H18" s="25">
        <f>'6'!$V$26</f>
        <v/>
      </c>
      <c r="I18" s="25">
        <f>'7'!$V$26</f>
        <v/>
      </c>
      <c r="J18" s="25">
        <f>'8'!$V$26</f>
        <v/>
      </c>
      <c r="K18" s="25">
        <f>'9'!$V$26</f>
        <v/>
      </c>
      <c r="L18" s="25">
        <f>'10'!$V$26</f>
        <v/>
      </c>
      <c r="M18" s="25">
        <f>'11'!$V$26</f>
        <v/>
      </c>
      <c r="N18" s="25">
        <f>'12'!$V$26</f>
        <v/>
      </c>
      <c r="O18" s="25">
        <f>'13'!$V$26</f>
        <v/>
      </c>
      <c r="P18" s="25">
        <f>'14'!$V$26</f>
        <v/>
      </c>
      <c r="Q18" s="25">
        <f>'15'!$V$26</f>
        <v/>
      </c>
      <c r="R18" s="25">
        <f>'16'!$V$26</f>
        <v/>
      </c>
      <c r="S18" s="25">
        <f>'17'!$V$26</f>
        <v/>
      </c>
      <c r="T18" s="25">
        <f>'18'!$V$26</f>
        <v/>
      </c>
      <c r="U18" s="25">
        <f>'19'!$V$26</f>
        <v/>
      </c>
      <c r="V18" s="25">
        <f>'20'!$V$26</f>
        <v/>
      </c>
      <c r="W18" s="25">
        <f>'21'!$V$26</f>
        <v/>
      </c>
      <c r="X18" s="25">
        <f>'22'!$V$26</f>
        <v/>
      </c>
      <c r="Y18" s="25">
        <f>'23'!$V$26</f>
        <v/>
      </c>
      <c r="Z18" s="25">
        <f>'24'!$V$26</f>
        <v/>
      </c>
      <c r="AA18" s="25">
        <f>'25'!$V$26</f>
        <v/>
      </c>
      <c r="AB18" s="25">
        <f>'26'!$V$26</f>
        <v/>
      </c>
      <c r="AC18" s="25">
        <f>'27'!$V$26</f>
        <v/>
      </c>
      <c r="AD18" s="25">
        <f>'28'!$V$26</f>
        <v/>
      </c>
      <c r="AE18" s="25">
        <f>'29'!$V$26</f>
        <v/>
      </c>
      <c r="AF18" s="25">
        <f>'30'!$V$26</f>
        <v/>
      </c>
      <c r="AG18" s="25">
        <f>'31'!$V$26</f>
        <v/>
      </c>
      <c r="AH18" s="45">
        <f>SUM(C18:AG18)</f>
        <v/>
      </c>
      <c r="AI18" s="344">
        <f>IFERROR(AVERAGE(C18:AG18),"")</f>
        <v/>
      </c>
    </row>
    <row r="19" ht="24.9" customHeight="1" s="251">
      <c r="A19" s="331" t="n"/>
      <c r="B19" s="30" t="inlineStr">
        <is>
          <t>보일러급수</t>
        </is>
      </c>
      <c r="C19" s="25">
        <f>'1'!$V$27</f>
        <v/>
      </c>
      <c r="D19" s="25">
        <f>'2'!$V$27</f>
        <v/>
      </c>
      <c r="E19" s="25">
        <f>'3'!$V$27</f>
        <v/>
      </c>
      <c r="F19" s="25">
        <f>'4'!$V$27</f>
        <v/>
      </c>
      <c r="G19" s="25">
        <f>'5'!$V$27</f>
        <v/>
      </c>
      <c r="H19" s="25">
        <f>'6'!$V$27</f>
        <v/>
      </c>
      <c r="I19" s="25">
        <f>'7'!$V$27</f>
        <v/>
      </c>
      <c r="J19" s="25">
        <f>'8'!$V$27</f>
        <v/>
      </c>
      <c r="K19" s="25">
        <f>'9'!$V$27</f>
        <v/>
      </c>
      <c r="L19" s="25">
        <f>'10'!$V$27</f>
        <v/>
      </c>
      <c r="M19" s="25">
        <f>'11'!$V$27</f>
        <v/>
      </c>
      <c r="N19" s="25">
        <f>'12'!$V$27</f>
        <v/>
      </c>
      <c r="O19" s="25">
        <f>'13'!$V$27</f>
        <v/>
      </c>
      <c r="P19" s="25">
        <f>'14'!$V$27</f>
        <v/>
      </c>
      <c r="Q19" s="25">
        <f>'15'!$V$27</f>
        <v/>
      </c>
      <c r="R19" s="25">
        <f>'16'!$V$27</f>
        <v/>
      </c>
      <c r="S19" s="25">
        <f>'17'!$V$27</f>
        <v/>
      </c>
      <c r="T19" s="25">
        <f>'18'!$V$27</f>
        <v/>
      </c>
      <c r="U19" s="25">
        <f>'19'!$V$27</f>
        <v/>
      </c>
      <c r="V19" s="25">
        <f>'20'!$V$27</f>
        <v/>
      </c>
      <c r="W19" s="25">
        <f>'21'!$V$27</f>
        <v/>
      </c>
      <c r="X19" s="25">
        <f>'22'!$V$27</f>
        <v/>
      </c>
      <c r="Y19" s="25">
        <f>'23'!$V$27</f>
        <v/>
      </c>
      <c r="Z19" s="25">
        <f>'24'!$V$27</f>
        <v/>
      </c>
      <c r="AA19" s="25">
        <f>'25'!$V$27</f>
        <v/>
      </c>
      <c r="AB19" s="25">
        <f>'26'!$V$27</f>
        <v/>
      </c>
      <c r="AC19" s="25">
        <f>'27'!$V$27</f>
        <v/>
      </c>
      <c r="AD19" s="25">
        <f>'28'!$V$27</f>
        <v/>
      </c>
      <c r="AE19" s="25">
        <f>'29'!$V$27</f>
        <v/>
      </c>
      <c r="AF19" s="25">
        <f>'30'!$V$27</f>
        <v/>
      </c>
      <c r="AG19" s="25">
        <f>'31'!$V$27</f>
        <v/>
      </c>
      <c r="AH19" s="45">
        <f>SUM(C19:AG19)</f>
        <v/>
      </c>
      <c r="AI19" s="344">
        <f>IFERROR(AVERAGE(C19:AG19),"")</f>
        <v/>
      </c>
    </row>
    <row r="20" ht="24.9" customHeight="1" s="251">
      <c r="A20" s="331" t="n"/>
      <c r="B20" s="30" t="inlineStr">
        <is>
          <t>연수</t>
        </is>
      </c>
      <c r="C20" s="25">
        <f>'1'!$V$29</f>
        <v/>
      </c>
      <c r="D20" s="25">
        <f>'2'!$V$29</f>
        <v/>
      </c>
      <c r="E20" s="25">
        <f>'3'!$V$29</f>
        <v/>
      </c>
      <c r="F20" s="25">
        <f>'4'!$V$29</f>
        <v/>
      </c>
      <c r="G20" s="25">
        <f>'5'!$V$29</f>
        <v/>
      </c>
      <c r="H20" s="25">
        <f>'6'!$V$29</f>
        <v/>
      </c>
      <c r="I20" s="25">
        <f>'7'!$V$29</f>
        <v/>
      </c>
      <c r="J20" s="25">
        <f>'8'!$V$29</f>
        <v/>
      </c>
      <c r="K20" s="25">
        <f>'9'!$V$29</f>
        <v/>
      </c>
      <c r="L20" s="25">
        <f>'10'!$V$29</f>
        <v/>
      </c>
      <c r="M20" s="25">
        <f>'11'!$V$29</f>
        <v/>
      </c>
      <c r="N20" s="25">
        <f>'12'!$V$29</f>
        <v/>
      </c>
      <c r="O20" s="25">
        <f>'13'!$V$29</f>
        <v/>
      </c>
      <c r="P20" s="25">
        <f>'14'!$V$29</f>
        <v/>
      </c>
      <c r="Q20" s="25">
        <f>'15'!$V$29</f>
        <v/>
      </c>
      <c r="R20" s="25">
        <f>'16'!$V$29</f>
        <v/>
      </c>
      <c r="S20" s="25">
        <f>'17'!$V$29</f>
        <v/>
      </c>
      <c r="T20" s="25">
        <f>'18'!$V$29</f>
        <v/>
      </c>
      <c r="U20" s="25">
        <f>'19'!$V$29</f>
        <v/>
      </c>
      <c r="V20" s="25">
        <f>'20'!$V$29</f>
        <v/>
      </c>
      <c r="W20" s="25">
        <f>'21'!$V$29</f>
        <v/>
      </c>
      <c r="X20" s="25">
        <f>'22'!$V$29</f>
        <v/>
      </c>
      <c r="Y20" s="25">
        <f>'23'!$V$29</f>
        <v/>
      </c>
      <c r="Z20" s="25">
        <f>'24'!$V$29</f>
        <v/>
      </c>
      <c r="AA20" s="25">
        <f>'25'!$V$29</f>
        <v/>
      </c>
      <c r="AB20" s="25">
        <f>'26'!$V$29</f>
        <v/>
      </c>
      <c r="AC20" s="25">
        <f>'27'!$V$29</f>
        <v/>
      </c>
      <c r="AD20" s="25">
        <f>'28'!$V$29</f>
        <v/>
      </c>
      <c r="AE20" s="25">
        <f>'29'!$V$29</f>
        <v/>
      </c>
      <c r="AF20" s="25">
        <f>'30'!$V$29</f>
        <v/>
      </c>
      <c r="AG20" s="25">
        <f>'31'!$V$29</f>
        <v/>
      </c>
      <c r="AH20" s="45">
        <f>SUM(C20:AG20)</f>
        <v/>
      </c>
      <c r="AI20" s="344">
        <f>IFERROR(AVERAGE(C20:AG20),"")</f>
        <v/>
      </c>
    </row>
    <row r="21" ht="24.9" customHeight="1" s="251" thickBot="1">
      <c r="A21" s="354" t="n"/>
      <c r="B21" s="31" t="inlineStr">
        <is>
          <t>폐수</t>
        </is>
      </c>
      <c r="C21" s="24">
        <f>'1'!$V$28</f>
        <v/>
      </c>
      <c r="D21" s="24">
        <f>'2'!$V$28</f>
        <v/>
      </c>
      <c r="E21" s="24">
        <f>'3'!$V$28</f>
        <v/>
      </c>
      <c r="F21" s="24">
        <f>'4'!$V$28</f>
        <v/>
      </c>
      <c r="G21" s="24">
        <f>'5'!$V$28</f>
        <v/>
      </c>
      <c r="H21" s="24">
        <f>'6'!$V$28</f>
        <v/>
      </c>
      <c r="I21" s="24">
        <f>'7'!$V$28</f>
        <v/>
      </c>
      <c r="J21" s="24">
        <f>'8'!$V$28</f>
        <v/>
      </c>
      <c r="K21" s="24">
        <f>'9'!$V$28</f>
        <v/>
      </c>
      <c r="L21" s="24">
        <f>'10'!$V$28</f>
        <v/>
      </c>
      <c r="M21" s="24">
        <f>'11'!$V$28</f>
        <v/>
      </c>
      <c r="N21" s="24">
        <f>'12'!$V$28</f>
        <v/>
      </c>
      <c r="O21" s="24">
        <f>'13'!$V$28</f>
        <v/>
      </c>
      <c r="P21" s="24">
        <f>'14'!$V$28</f>
        <v/>
      </c>
      <c r="Q21" s="24">
        <f>'15'!$V$28</f>
        <v/>
      </c>
      <c r="R21" s="24">
        <f>'16'!$V$28</f>
        <v/>
      </c>
      <c r="S21" s="24">
        <f>'17'!$V$28</f>
        <v/>
      </c>
      <c r="T21" s="24">
        <f>'18'!$V$28</f>
        <v/>
      </c>
      <c r="U21" s="24">
        <f>'19'!$V$28</f>
        <v/>
      </c>
      <c r="V21" s="24">
        <f>'20'!$V$28</f>
        <v/>
      </c>
      <c r="W21" s="24">
        <f>'21'!$V$28</f>
        <v/>
      </c>
      <c r="X21" s="24">
        <f>'22'!$V$28</f>
        <v/>
      </c>
      <c r="Y21" s="24">
        <f>'23'!$V$28</f>
        <v/>
      </c>
      <c r="Z21" s="24">
        <f>'24'!$V$28</f>
        <v/>
      </c>
      <c r="AA21" s="24">
        <f>'25'!$V$28</f>
        <v/>
      </c>
      <c r="AB21" s="24">
        <f>'26'!$V$28</f>
        <v/>
      </c>
      <c r="AC21" s="24">
        <f>'27'!$V$28</f>
        <v/>
      </c>
      <c r="AD21" s="24">
        <f>'28'!$V$28</f>
        <v/>
      </c>
      <c r="AE21" s="24">
        <f>'29'!$V$28</f>
        <v/>
      </c>
      <c r="AF21" s="24">
        <f>'30'!$V$28</f>
        <v/>
      </c>
      <c r="AG21" s="24">
        <f>'31'!$V$28</f>
        <v/>
      </c>
      <c r="AH21" s="44">
        <f>SUM(C21:AG21)</f>
        <v/>
      </c>
      <c r="AI21" s="346">
        <f>IFERROR(AVERAGE(C21:AG21),"")</f>
        <v/>
      </c>
    </row>
    <row r="22" ht="24.9" customHeight="1" s="251">
      <c r="A22" s="234" t="inlineStr">
        <is>
          <t>전력량</t>
        </is>
      </c>
      <c r="B22" s="34" t="inlineStr">
        <is>
          <t>Main</t>
        </is>
      </c>
      <c r="C22" s="35">
        <f>'1'!$J$24</f>
        <v/>
      </c>
      <c r="D22" s="35">
        <f>'2'!$J$24</f>
        <v/>
      </c>
      <c r="E22" s="35">
        <f>'3'!$J$24</f>
        <v/>
      </c>
      <c r="F22" s="35">
        <f>'4'!$J$24</f>
        <v/>
      </c>
      <c r="G22" s="35">
        <f>'5'!$J$24</f>
        <v/>
      </c>
      <c r="H22" s="35">
        <f>'6'!$J$24</f>
        <v/>
      </c>
      <c r="I22" s="35">
        <f>'7'!$J$24</f>
        <v/>
      </c>
      <c r="J22" s="35">
        <f>'8'!$J$24</f>
        <v/>
      </c>
      <c r="K22" s="35">
        <f>'9'!$J$24</f>
        <v/>
      </c>
      <c r="L22" s="35">
        <f>'10'!$J$24</f>
        <v/>
      </c>
      <c r="M22" s="35">
        <f>'11'!$J$24</f>
        <v/>
      </c>
      <c r="N22" s="35">
        <f>'12'!$J$24</f>
        <v/>
      </c>
      <c r="O22" s="35">
        <f>'13'!$J$24</f>
        <v/>
      </c>
      <c r="P22" s="35">
        <f>'14'!$J$24</f>
        <v/>
      </c>
      <c r="Q22" s="35">
        <f>'15'!$J$24</f>
        <v/>
      </c>
      <c r="R22" s="35">
        <f>'16'!$J$24</f>
        <v/>
      </c>
      <c r="S22" s="35">
        <f>'17'!$J$24</f>
        <v/>
      </c>
      <c r="T22" s="35">
        <f>'18'!$J$24</f>
        <v/>
      </c>
      <c r="U22" s="35">
        <f>'19'!$J$24</f>
        <v/>
      </c>
      <c r="V22" s="35">
        <f>'20'!$J$24</f>
        <v/>
      </c>
      <c r="W22" s="35">
        <f>'21'!$J$24</f>
        <v/>
      </c>
      <c r="X22" s="35">
        <f>'22'!$J$24</f>
        <v/>
      </c>
      <c r="Y22" s="35">
        <f>'23'!$J$24</f>
        <v/>
      </c>
      <c r="Z22" s="35">
        <f>'24'!$J$24</f>
        <v/>
      </c>
      <c r="AA22" s="35">
        <f>'25'!$J$24</f>
        <v/>
      </c>
      <c r="AB22" s="35">
        <f>'26'!$J$24</f>
        <v/>
      </c>
      <c r="AC22" s="35">
        <f>'27'!$J$24</f>
        <v/>
      </c>
      <c r="AD22" s="35">
        <f>'28'!$J$24</f>
        <v/>
      </c>
      <c r="AE22" s="35">
        <f>'29'!$J$24</f>
        <v/>
      </c>
      <c r="AF22" s="35">
        <f>'30'!$J$24</f>
        <v/>
      </c>
      <c r="AG22" s="35">
        <f>'31'!$J$24</f>
        <v/>
      </c>
      <c r="AH22" s="45">
        <f>SUM(C22:AG22)</f>
        <v/>
      </c>
      <c r="AI22" s="347">
        <f>IFERROR(AVERAGE(C22:AG22),"")</f>
        <v/>
      </c>
    </row>
    <row r="23" ht="24.9" customHeight="1" s="251">
      <c r="A23" s="331" t="n"/>
      <c r="B23" s="36" t="inlineStr">
        <is>
          <t>Ash
밴트필터</t>
        </is>
      </c>
      <c r="C23" s="25">
        <f>'1'!$J$25</f>
        <v/>
      </c>
      <c r="D23" s="25">
        <f>'2'!$J$25</f>
        <v/>
      </c>
      <c r="E23" s="25">
        <f>'3'!$J$25</f>
        <v/>
      </c>
      <c r="F23" s="25">
        <f>'4'!$J$25</f>
        <v/>
      </c>
      <c r="G23" s="25">
        <f>'5'!$J$25</f>
        <v/>
      </c>
      <c r="H23" s="25">
        <f>'6'!$J$25</f>
        <v/>
      </c>
      <c r="I23" s="25">
        <f>'7'!$J$25</f>
        <v/>
      </c>
      <c r="J23" s="25">
        <f>'8'!$J$25</f>
        <v/>
      </c>
      <c r="K23" s="25">
        <f>'9'!$J$25</f>
        <v/>
      </c>
      <c r="L23" s="25">
        <f>'10'!$J$25</f>
        <v/>
      </c>
      <c r="M23" s="25">
        <f>'11'!$J$25</f>
        <v/>
      </c>
      <c r="N23" s="25">
        <f>'12'!$J$25</f>
        <v/>
      </c>
      <c r="O23" s="25">
        <f>'13'!$J$25</f>
        <v/>
      </c>
      <c r="P23" s="25">
        <f>'14'!$J$25</f>
        <v/>
      </c>
      <c r="Q23" s="25">
        <f>'15'!$J$25</f>
        <v/>
      </c>
      <c r="R23" s="25">
        <f>'16'!$J$25</f>
        <v/>
      </c>
      <c r="S23" s="25">
        <f>'17'!$J$25</f>
        <v/>
      </c>
      <c r="T23" s="25">
        <f>'18'!$J$25</f>
        <v/>
      </c>
      <c r="U23" s="25">
        <f>'19'!$J$25</f>
        <v/>
      </c>
      <c r="V23" s="25">
        <f>'20'!$J$25</f>
        <v/>
      </c>
      <c r="W23" s="25">
        <f>'21'!$J$25</f>
        <v/>
      </c>
      <c r="X23" s="25">
        <f>'22'!$J$25</f>
        <v/>
      </c>
      <c r="Y23" s="25">
        <f>'23'!$J$25</f>
        <v/>
      </c>
      <c r="Z23" s="25">
        <f>'24'!$J$25</f>
        <v/>
      </c>
      <c r="AA23" s="25">
        <f>'25'!$J$25</f>
        <v/>
      </c>
      <c r="AB23" s="25">
        <f>'26'!$J$25</f>
        <v/>
      </c>
      <c r="AC23" s="25">
        <f>'27'!$J$25</f>
        <v/>
      </c>
      <c r="AD23" s="25">
        <f>'28'!$J$25</f>
        <v/>
      </c>
      <c r="AE23" s="25">
        <f>'29'!$J$25</f>
        <v/>
      </c>
      <c r="AF23" s="25">
        <f>'30'!$J$25</f>
        <v/>
      </c>
      <c r="AG23" s="25">
        <f>'31'!$J$25</f>
        <v/>
      </c>
      <c r="AH23" s="45">
        <f>SUM(C23:AG23)</f>
        <v/>
      </c>
      <c r="AI23" s="344">
        <f>IFERROR(AVERAGE(C23:AG23),"")</f>
        <v/>
      </c>
    </row>
    <row r="24" ht="24.9" customHeight="1" s="251">
      <c r="A24" s="331" t="n"/>
      <c r="B24" s="30" t="inlineStr">
        <is>
          <t>백필터</t>
        </is>
      </c>
      <c r="C24" s="25">
        <f>'1'!$J$26</f>
        <v/>
      </c>
      <c r="D24" s="25">
        <f>'2'!$J$26</f>
        <v/>
      </c>
      <c r="E24" s="25">
        <f>'3'!$J$26</f>
        <v/>
      </c>
      <c r="F24" s="25">
        <f>'4'!$J$26</f>
        <v/>
      </c>
      <c r="G24" s="25">
        <f>'5'!$J$26</f>
        <v/>
      </c>
      <c r="H24" s="25">
        <f>'6'!$J$26</f>
        <v/>
      </c>
      <c r="I24" s="25">
        <f>'7'!$J$26</f>
        <v/>
      </c>
      <c r="J24" s="25">
        <f>'8'!$J$26</f>
        <v/>
      </c>
      <c r="K24" s="25">
        <f>'9'!$J$26</f>
        <v/>
      </c>
      <c r="L24" s="25">
        <f>'10'!$J$26</f>
        <v/>
      </c>
      <c r="M24" s="25">
        <f>'11'!$J$26</f>
        <v/>
      </c>
      <c r="N24" s="25">
        <f>'12'!$J$26</f>
        <v/>
      </c>
      <c r="O24" s="25">
        <f>'13'!$J$26</f>
        <v/>
      </c>
      <c r="P24" s="25">
        <f>'14'!$J$26</f>
        <v/>
      </c>
      <c r="Q24" s="25">
        <f>'15'!$J$26</f>
        <v/>
      </c>
      <c r="R24" s="25">
        <f>'16'!$J$26</f>
        <v/>
      </c>
      <c r="S24" s="25">
        <f>'17'!$J$26</f>
        <v/>
      </c>
      <c r="T24" s="25">
        <f>'18'!$J$26</f>
        <v/>
      </c>
      <c r="U24" s="25">
        <f>'19'!$J$26</f>
        <v/>
      </c>
      <c r="V24" s="25">
        <f>'20'!$J$26</f>
        <v/>
      </c>
      <c r="W24" s="25">
        <f>'21'!$J$26</f>
        <v/>
      </c>
      <c r="X24" s="25">
        <f>'22'!$J$26</f>
        <v/>
      </c>
      <c r="Y24" s="25">
        <f>'23'!$J$26</f>
        <v/>
      </c>
      <c r="Z24" s="25">
        <f>'24'!$J$26</f>
        <v/>
      </c>
      <c r="AA24" s="25">
        <f>'25'!$J$26</f>
        <v/>
      </c>
      <c r="AB24" s="25">
        <f>'26'!$J$26</f>
        <v/>
      </c>
      <c r="AC24" s="25">
        <f>'27'!$J$26</f>
        <v/>
      </c>
      <c r="AD24" s="25">
        <f>'28'!$J$26</f>
        <v/>
      </c>
      <c r="AE24" s="25">
        <f>'29'!$J$26</f>
        <v/>
      </c>
      <c r="AF24" s="25">
        <f>'30'!$J$26</f>
        <v/>
      </c>
      <c r="AG24" s="25">
        <f>'31'!$J$26</f>
        <v/>
      </c>
      <c r="AH24" s="45">
        <f>SUM(C24:AG24)</f>
        <v/>
      </c>
      <c r="AI24" s="344">
        <f>IFERROR(AVERAGE(C24:AG24),"")</f>
        <v/>
      </c>
    </row>
    <row r="25" ht="24.9" customHeight="1" s="251">
      <c r="A25" s="331" t="n"/>
      <c r="B25" s="30" t="inlineStr">
        <is>
          <t>스크러버</t>
        </is>
      </c>
      <c r="C25" s="25">
        <f>'1'!$J$27</f>
        <v/>
      </c>
      <c r="D25" s="25">
        <f>'2'!$J$27</f>
        <v/>
      </c>
      <c r="E25" s="25">
        <f>'3'!$J$27</f>
        <v/>
      </c>
      <c r="F25" s="25">
        <f>'4'!$J$27</f>
        <v/>
      </c>
      <c r="G25" s="25">
        <f>'5'!$J$27</f>
        <v/>
      </c>
      <c r="H25" s="25">
        <f>'6'!$J$27</f>
        <v/>
      </c>
      <c r="I25" s="25">
        <f>'7'!$J$27</f>
        <v/>
      </c>
      <c r="J25" s="25">
        <f>'8'!$J$27</f>
        <v/>
      </c>
      <c r="K25" s="25">
        <f>'9'!$J$27</f>
        <v/>
      </c>
      <c r="L25" s="25">
        <f>'10'!$J$27</f>
        <v/>
      </c>
      <c r="M25" s="25">
        <f>'11'!$J$27</f>
        <v/>
      </c>
      <c r="N25" s="25">
        <f>'12'!$J$27</f>
        <v/>
      </c>
      <c r="O25" s="25">
        <f>'13'!$J$27</f>
        <v/>
      </c>
      <c r="P25" s="25">
        <f>'14'!$J$27</f>
        <v/>
      </c>
      <c r="Q25" s="25">
        <f>'15'!$J$27</f>
        <v/>
      </c>
      <c r="R25" s="25">
        <f>'16'!$J$27</f>
        <v/>
      </c>
      <c r="S25" s="25">
        <f>'17'!$J$27</f>
        <v/>
      </c>
      <c r="T25" s="25">
        <f>'18'!$J$27</f>
        <v/>
      </c>
      <c r="U25" s="25">
        <f>'19'!$J$27</f>
        <v/>
      </c>
      <c r="V25" s="25">
        <f>'20'!$J$27</f>
        <v/>
      </c>
      <c r="W25" s="25">
        <f>'21'!$J$27</f>
        <v/>
      </c>
      <c r="X25" s="25">
        <f>'22'!$J$27</f>
        <v/>
      </c>
      <c r="Y25" s="25">
        <f>'23'!$J$27</f>
        <v/>
      </c>
      <c r="Z25" s="25">
        <f>'24'!$J$27</f>
        <v/>
      </c>
      <c r="AA25" s="25">
        <f>'25'!$J$27</f>
        <v/>
      </c>
      <c r="AB25" s="25">
        <f>'26'!$J$27</f>
        <v/>
      </c>
      <c r="AC25" s="25">
        <f>'27'!$J$27</f>
        <v/>
      </c>
      <c r="AD25" s="25">
        <f>'28'!$J$27</f>
        <v/>
      </c>
      <c r="AE25" s="25">
        <f>'29'!$J$27</f>
        <v/>
      </c>
      <c r="AF25" s="25">
        <f>'30'!$J$27</f>
        <v/>
      </c>
      <c r="AG25" s="25">
        <f>'31'!$J$27</f>
        <v/>
      </c>
      <c r="AH25" s="45">
        <f>SUM(C25:AG25)</f>
        <v/>
      </c>
      <c r="AI25" s="344">
        <f>IFERROR(AVERAGE(C25:AG25),"")</f>
        <v/>
      </c>
    </row>
    <row r="26" ht="24.9" customHeight="1" s="251">
      <c r="A26" s="331" t="n"/>
      <c r="B26" s="30" t="inlineStr">
        <is>
          <t>활성탄공급</t>
        </is>
      </c>
      <c r="C26" s="25">
        <f>'1'!$J$28</f>
        <v/>
      </c>
      <c r="D26" s="25">
        <f>'2'!$J$28</f>
        <v/>
      </c>
      <c r="E26" s="25">
        <f>'3'!$J$28</f>
        <v/>
      </c>
      <c r="F26" s="25">
        <f>'4'!$J$28</f>
        <v/>
      </c>
      <c r="G26" s="25">
        <f>'5'!$J$28</f>
        <v/>
      </c>
      <c r="H26" s="25">
        <f>'6'!$J$28</f>
        <v/>
      </c>
      <c r="I26" s="25">
        <f>'7'!$J$28</f>
        <v/>
      </c>
      <c r="J26" s="25">
        <f>'8'!$J$28</f>
        <v/>
      </c>
      <c r="K26" s="25">
        <f>'9'!$J$28</f>
        <v/>
      </c>
      <c r="L26" s="25">
        <f>'10'!$J$28</f>
        <v/>
      </c>
      <c r="M26" s="25">
        <f>'11'!$J$28</f>
        <v/>
      </c>
      <c r="N26" s="25">
        <f>'12'!$J$28</f>
        <v/>
      </c>
      <c r="O26" s="25">
        <f>'13'!$J$28</f>
        <v/>
      </c>
      <c r="P26" s="25">
        <f>'14'!$J$28</f>
        <v/>
      </c>
      <c r="Q26" s="25">
        <f>'15'!$J$28</f>
        <v/>
      </c>
      <c r="R26" s="25">
        <f>'16'!$J$28</f>
        <v/>
      </c>
      <c r="S26" s="25">
        <f>'17'!$J$28</f>
        <v/>
      </c>
      <c r="T26" s="25">
        <f>'18'!$J$28</f>
        <v/>
      </c>
      <c r="U26" s="25">
        <f>'19'!$J$28</f>
        <v/>
      </c>
      <c r="V26" s="25">
        <f>'20'!$J$28</f>
        <v/>
      </c>
      <c r="W26" s="25">
        <f>'21'!$J$28</f>
        <v/>
      </c>
      <c r="X26" s="25">
        <f>'22'!$J$28</f>
        <v/>
      </c>
      <c r="Y26" s="25">
        <f>'23'!$J$28</f>
        <v/>
      </c>
      <c r="Z26" s="25">
        <f>'24'!$J$28</f>
        <v/>
      </c>
      <c r="AA26" s="25">
        <f>'25'!$J$28</f>
        <v/>
      </c>
      <c r="AB26" s="25">
        <f>'26'!$J$28</f>
        <v/>
      </c>
      <c r="AC26" s="25">
        <f>'27'!$J$28</f>
        <v/>
      </c>
      <c r="AD26" s="25">
        <f>'28'!$J$28</f>
        <v/>
      </c>
      <c r="AE26" s="25">
        <f>'29'!$J$28</f>
        <v/>
      </c>
      <c r="AF26" s="25">
        <f>'30'!$J$28</f>
        <v/>
      </c>
      <c r="AG26" s="25">
        <f>'31'!$J$28</f>
        <v/>
      </c>
      <c r="AH26" s="45">
        <f>SUM(C26:AG26)</f>
        <v/>
      </c>
      <c r="AI26" s="344">
        <f>IFERROR(AVERAGE(C26:AG26),"")</f>
        <v/>
      </c>
    </row>
    <row r="27" ht="24.9" customHeight="1" s="251">
      <c r="A27" s="331" t="n"/>
      <c r="B27" s="30" t="inlineStr">
        <is>
          <t>소석회공급</t>
        </is>
      </c>
      <c r="C27" s="25">
        <f>'1'!$J$29</f>
        <v/>
      </c>
      <c r="D27" s="25">
        <f>'2'!$J$29</f>
        <v/>
      </c>
      <c r="E27" s="37">
        <f>'3'!$J$29</f>
        <v/>
      </c>
      <c r="F27" s="25">
        <f>'4'!$J$29</f>
        <v/>
      </c>
      <c r="G27" s="25">
        <f>'5'!$J$29</f>
        <v/>
      </c>
      <c r="H27" s="25">
        <f>'6'!$J$29</f>
        <v/>
      </c>
      <c r="I27" s="25">
        <f>'7'!$J$29</f>
        <v/>
      </c>
      <c r="J27" s="25">
        <f>'8'!$J$29</f>
        <v/>
      </c>
      <c r="K27" s="25">
        <f>'9'!$J$29</f>
        <v/>
      </c>
      <c r="L27" s="25">
        <f>'10'!$J$29</f>
        <v/>
      </c>
      <c r="M27" s="25">
        <f>'11'!$J$29</f>
        <v/>
      </c>
      <c r="N27" s="25">
        <f>'12'!$J$29</f>
        <v/>
      </c>
      <c r="O27" s="25">
        <f>'13'!$J$29</f>
        <v/>
      </c>
      <c r="P27" s="25">
        <f>'14'!$J$29</f>
        <v/>
      </c>
      <c r="Q27" s="25">
        <f>'15'!$J$29</f>
        <v/>
      </c>
      <c r="R27" s="25">
        <f>'16'!$J$29</f>
        <v/>
      </c>
      <c r="S27" s="25">
        <f>'17'!$J$29</f>
        <v/>
      </c>
      <c r="T27" s="25">
        <f>'18'!$J$29</f>
        <v/>
      </c>
      <c r="U27" s="25">
        <f>'19'!$J$29</f>
        <v/>
      </c>
      <c r="V27" s="25">
        <f>'20'!$J$29</f>
        <v/>
      </c>
      <c r="W27" s="25">
        <f>'21'!$J$29</f>
        <v/>
      </c>
      <c r="X27" s="25">
        <f>'22'!$J$29</f>
        <v/>
      </c>
      <c r="Y27" s="25">
        <f>'23'!$J$29</f>
        <v/>
      </c>
      <c r="Z27" s="25">
        <f>'24'!$J$29</f>
        <v/>
      </c>
      <c r="AA27" s="25">
        <f>'25'!$J$29</f>
        <v/>
      </c>
      <c r="AB27" s="25">
        <f>'26'!$J$29</f>
        <v/>
      </c>
      <c r="AC27" s="25">
        <f>'27'!$J$29</f>
        <v/>
      </c>
      <c r="AD27" s="25">
        <f>'28'!$J$29</f>
        <v/>
      </c>
      <c r="AE27" s="25">
        <f>'29'!$J$29</f>
        <v/>
      </c>
      <c r="AF27" s="25">
        <f>'30'!$J$30</f>
        <v/>
      </c>
      <c r="AG27" s="25">
        <f>'31'!$J$30</f>
        <v/>
      </c>
      <c r="AH27" s="45">
        <f>SUM(C27:AG27)</f>
        <v/>
      </c>
      <c r="AI27" s="344">
        <f>IFERROR(AVERAGE(C27:AG27),"")</f>
        <v/>
      </c>
    </row>
    <row r="28" ht="24.9" customHeight="1" s="251" thickBot="1">
      <c r="A28" s="354" t="n"/>
      <c r="B28" s="26" t="inlineStr">
        <is>
          <t>요소수</t>
        </is>
      </c>
      <c r="C28" s="28">
        <f>'1'!$J$30</f>
        <v/>
      </c>
      <c r="D28" s="28">
        <f>'2'!$J$30</f>
        <v/>
      </c>
      <c r="E28" s="38">
        <f>'3'!$J$30</f>
        <v/>
      </c>
      <c r="F28" s="28">
        <f>'4'!$J$30</f>
        <v/>
      </c>
      <c r="G28" s="28">
        <f>'5'!$J$30</f>
        <v/>
      </c>
      <c r="H28" s="28">
        <f>'6'!$J$30</f>
        <v/>
      </c>
      <c r="I28" s="28">
        <f>'7'!$J$30</f>
        <v/>
      </c>
      <c r="J28" s="28">
        <f>'8'!$J$30</f>
        <v/>
      </c>
      <c r="K28" s="28">
        <f>'9'!$J$30</f>
        <v/>
      </c>
      <c r="L28" s="28">
        <f>'10'!$J$30</f>
        <v/>
      </c>
      <c r="M28" s="28">
        <f>'11'!$J$30</f>
        <v/>
      </c>
      <c r="N28" s="28">
        <f>'12'!$J$30</f>
        <v/>
      </c>
      <c r="O28" s="28">
        <f>'13'!$J$30</f>
        <v/>
      </c>
      <c r="P28" s="28">
        <f>'14'!$J$30</f>
        <v/>
      </c>
      <c r="Q28" s="28">
        <f>'15'!$J$30</f>
        <v/>
      </c>
      <c r="R28" s="28">
        <f>'16'!$J$30</f>
        <v/>
      </c>
      <c r="S28" s="28">
        <f>'17'!$J$30</f>
        <v/>
      </c>
      <c r="T28" s="28">
        <f>'18'!$J$30</f>
        <v/>
      </c>
      <c r="U28" s="28">
        <f>'19'!$J$30</f>
        <v/>
      </c>
      <c r="V28" s="28">
        <f>'20'!$J$30</f>
        <v/>
      </c>
      <c r="W28" s="28">
        <f>'21'!$J$30</f>
        <v/>
      </c>
      <c r="X28" s="28">
        <f>'22'!$J$30</f>
        <v/>
      </c>
      <c r="Y28" s="28">
        <f>'23'!$J$30</f>
        <v/>
      </c>
      <c r="Z28" s="28">
        <f>'24'!$J$30</f>
        <v/>
      </c>
      <c r="AA28" s="28">
        <f>'25'!$J$30</f>
        <v/>
      </c>
      <c r="AB28" s="28">
        <f>'26'!$J$30</f>
        <v/>
      </c>
      <c r="AC28" s="28">
        <f>'27'!$J$30</f>
        <v/>
      </c>
      <c r="AD28" s="28">
        <f>'28'!$J$30</f>
        <v/>
      </c>
      <c r="AE28" s="28">
        <f>'29'!$J$30</f>
        <v/>
      </c>
      <c r="AF28" s="28">
        <f>'30'!$J$30</f>
        <v/>
      </c>
      <c r="AG28" s="28">
        <f>'31'!$J$30</f>
        <v/>
      </c>
      <c r="AH28" s="44">
        <f>SUM(C28:AG28)</f>
        <v/>
      </c>
      <c r="AI28" s="346">
        <f>IFERROR(AVERAGE(C28:AG28),"")</f>
        <v/>
      </c>
    </row>
    <row r="29" ht="25.5" customHeight="1" s="251" thickBot="1">
      <c r="A29" s="94" t="inlineStr">
        <is>
          <t>TMS OVER</t>
        </is>
      </c>
      <c r="B29" s="95" t="inlineStr">
        <is>
          <t>NOX OVER</t>
        </is>
      </c>
      <c r="C29" s="92" t="n"/>
      <c r="D29" s="92" t="n"/>
      <c r="E29" s="92" t="n">
        <v>54.49</v>
      </c>
      <c r="F29" s="92" t="n"/>
      <c r="G29" s="98" t="inlineStr">
        <is>
          <t>50.03
51.24</t>
        </is>
      </c>
      <c r="H29" s="92" t="n"/>
      <c r="I29" s="92" t="n"/>
      <c r="J29" s="92" t="n"/>
      <c r="K29" s="92" t="n"/>
      <c r="L29" s="92" t="n"/>
      <c r="M29" s="92" t="n"/>
      <c r="N29" s="92" t="n"/>
      <c r="O29" s="92" t="n"/>
      <c r="P29" s="92" t="n"/>
      <c r="Q29" s="93" t="n"/>
      <c r="R29" s="92" t="n">
        <v>47.79</v>
      </c>
      <c r="S29" s="92" t="n"/>
      <c r="T29" s="92" t="n">
        <v>48.44</v>
      </c>
      <c r="U29" s="92" t="n">
        <v>47.85</v>
      </c>
      <c r="V29" s="92" t="n"/>
      <c r="W29" s="92" t="n"/>
      <c r="X29" s="92" t="n"/>
      <c r="Y29" s="92" t="n"/>
      <c r="Z29" s="92" t="n"/>
      <c r="AA29" s="92" t="n">
        <v>48.45</v>
      </c>
      <c r="AB29" s="92" t="n"/>
      <c r="AC29" s="92" t="n"/>
      <c r="AD29" s="92" t="n"/>
      <c r="AE29" s="92" t="n">
        <v>47.46</v>
      </c>
      <c r="AF29" s="92" t="n"/>
      <c r="AG29" s="97" t="n"/>
      <c r="AH29" s="96" t="n"/>
      <c r="AI29" s="96" t="n"/>
    </row>
    <row r="30" ht="17.25" customHeight="1" s="251">
      <c r="Q30" s="2" t="n"/>
    </row>
  </sheetData>
  <mergeCells count="8">
    <mergeCell ref="A4:B4"/>
    <mergeCell ref="A22:A28"/>
    <mergeCell ref="A1:AI1"/>
    <mergeCell ref="A16:A21"/>
    <mergeCell ref="A3:B3"/>
    <mergeCell ref="A5:A10"/>
    <mergeCell ref="A11:A12"/>
    <mergeCell ref="A13:A15"/>
  </mergeCells>
  <conditionalFormatting sqref="C7:AG7">
    <cfRule type="cellIs" priority="1" operator="greaterThan" dxfId="0">
      <formula>91000</formula>
    </cfRule>
    <cfRule type="cellIs" priority="3" operator="greaterThan" dxfId="0">
      <formula>89853</formula>
    </cfRule>
  </conditionalFormatting>
  <pageMargins left="0.7" right="0.7" top="0.75" bottom="0.75" header="0.3" footer="0.3"/>
  <pageSetup orientation="portrait" paperSize="9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Y95"/>
  <sheetViews>
    <sheetView workbookViewId="0">
      <pane xSplit="2" ySplit="2" topLeftCell="C75" activePane="bottomRight" state="frozen"/>
      <selection activeCell="AN11" sqref="AN11"/>
      <selection pane="topRight" activeCell="AN11" sqref="AN11"/>
      <selection pane="bottomLeft" activeCell="AN11" sqref="AN11"/>
      <selection pane="bottomRight" activeCell="Q88" sqref="Q88"/>
    </sheetView>
  </sheetViews>
  <sheetFormatPr baseColWidth="8" defaultRowHeight="17.4"/>
  <cols>
    <col width="2" customWidth="1" style="251" min="1" max="1"/>
    <col width="11.09765625" bestFit="1" customWidth="1" style="251" min="2" max="2"/>
    <col width="10.59765625" bestFit="1" customWidth="1" style="251" min="3" max="3"/>
    <col width="9.69921875" customWidth="1" style="251" min="4" max="13"/>
    <col width="9.59765625" bestFit="1" customWidth="1" style="251" min="14" max="14"/>
    <col width="15.3984375" customWidth="1" style="251" min="18" max="18"/>
  </cols>
  <sheetData>
    <row r="1">
      <c r="A1" s="238" t="n"/>
      <c r="B1" s="355" t="inlineStr">
        <is>
          <t>날짜</t>
        </is>
      </c>
      <c r="C1" s="356" t="inlineStr">
        <is>
          <t>근무</t>
        </is>
      </c>
      <c r="D1" s="357" t="inlineStr">
        <is>
          <t>1번 탈수기</t>
        </is>
      </c>
      <c r="E1" s="358" t="n"/>
      <c r="F1" s="357" t="inlineStr">
        <is>
          <t>2번 탈수기</t>
        </is>
      </c>
      <c r="G1" s="358" t="n"/>
      <c r="H1" s="357" t="inlineStr">
        <is>
          <t>3번 탈수기</t>
        </is>
      </c>
      <c r="I1" s="358" t="n"/>
      <c r="J1" s="357" t="inlineStr">
        <is>
          <t>4번 탈수기</t>
        </is>
      </c>
      <c r="K1" s="358" t="n"/>
      <c r="L1" s="357" t="inlineStr">
        <is>
          <t>5번 탈수기</t>
        </is>
      </c>
      <c r="M1" s="358" t="n"/>
      <c r="N1" s="356" t="inlineStr">
        <is>
          <t>근무 평균</t>
        </is>
      </c>
      <c r="O1" s="359" t="inlineStr">
        <is>
          <t>일 평균</t>
        </is>
      </c>
      <c r="Q1" s="39" t="n"/>
      <c r="S1" s="59" t="n"/>
      <c r="T1" s="60" t="n"/>
      <c r="U1" s="61" t="n"/>
      <c r="V1" s="60" t="n"/>
      <c r="W1" s="60" t="n"/>
      <c r="X1" s="60" t="n"/>
      <c r="Y1" s="62" t="n"/>
    </row>
    <row r="2">
      <c r="B2" s="354" t="n"/>
      <c r="C2" s="360" t="n"/>
      <c r="D2" s="242" t="inlineStr">
        <is>
          <t>취득시간</t>
        </is>
      </c>
      <c r="E2" s="242" t="inlineStr">
        <is>
          <t>함수율</t>
        </is>
      </c>
      <c r="F2" s="242" t="inlineStr">
        <is>
          <t>취득시간</t>
        </is>
      </c>
      <c r="G2" s="242" t="inlineStr">
        <is>
          <t>함수율</t>
        </is>
      </c>
      <c r="H2" s="242" t="inlineStr">
        <is>
          <t>취득시간</t>
        </is>
      </c>
      <c r="I2" s="242" t="inlineStr">
        <is>
          <t>함수율</t>
        </is>
      </c>
      <c r="J2" s="242" t="inlineStr">
        <is>
          <t>취득시간</t>
        </is>
      </c>
      <c r="K2" s="242" t="inlineStr">
        <is>
          <t>함수율</t>
        </is>
      </c>
      <c r="L2" s="242" t="inlineStr">
        <is>
          <t>취득시간</t>
        </is>
      </c>
      <c r="M2" s="242" t="inlineStr">
        <is>
          <t>함수율</t>
        </is>
      </c>
      <c r="N2" s="360" t="n"/>
      <c r="O2" s="361" t="n"/>
      <c r="Q2" s="39" t="n"/>
      <c r="S2" s="59" t="n"/>
      <c r="T2" s="60" t="n"/>
      <c r="U2" s="61" t="n"/>
      <c r="V2" s="60" t="n"/>
      <c r="W2" s="60" t="n"/>
      <c r="X2" s="60" t="n"/>
      <c r="Y2" s="62" t="n"/>
    </row>
    <row r="3">
      <c r="B3" s="239" t="n">
        <v>46204</v>
      </c>
      <c r="C3" s="63" t="inlineStr">
        <is>
          <t>오전</t>
        </is>
      </c>
      <c r="D3" s="362" t="n">
        <v>0.3125</v>
      </c>
      <c r="E3" s="64" t="n">
        <v>0.6161</v>
      </c>
      <c r="F3" s="362" t="n">
        <v>0.3541666666666667</v>
      </c>
      <c r="G3" s="65" t="n">
        <v>0.6049</v>
      </c>
      <c r="H3" s="362" t="n"/>
      <c r="I3" s="66" t="n"/>
      <c r="J3" s="362" t="n">
        <v>0.3958333333333333</v>
      </c>
      <c r="K3" s="65" t="n">
        <v>0.5764</v>
      </c>
      <c r="L3" s="362" t="n">
        <v>0.4375</v>
      </c>
      <c r="M3" s="65" t="n">
        <v>0.6462</v>
      </c>
      <c r="N3" s="65">
        <f>AVERAGE(E3,G3,I3,K3,M3)</f>
        <v/>
      </c>
      <c r="O3" s="240">
        <f>AVERAGE(N3:N5)</f>
        <v/>
      </c>
      <c r="Q3" s="39" t="n"/>
      <c r="S3" s="60" t="n"/>
      <c r="T3" s="60" t="n"/>
      <c r="U3" s="61" t="n"/>
      <c r="V3" s="61" t="n"/>
      <c r="W3" s="61" t="n"/>
      <c r="X3" s="60" t="n"/>
      <c r="Y3" s="62" t="n"/>
    </row>
    <row r="4">
      <c r="B4" s="331" t="n"/>
      <c r="C4" s="63" t="inlineStr">
        <is>
          <t>오후</t>
        </is>
      </c>
      <c r="D4" s="362" t="n">
        <v>0.625</v>
      </c>
      <c r="E4" s="65" t="n">
        <v>0.5933</v>
      </c>
      <c r="F4" s="362" t="n">
        <v>0.6527777777777778</v>
      </c>
      <c r="G4" s="65" t="n">
        <v>0.6155</v>
      </c>
      <c r="H4" s="362" t="n"/>
      <c r="I4" s="66" t="n"/>
      <c r="J4" s="362" t="n">
        <v>0.6805555555555556</v>
      </c>
      <c r="K4" s="66" t="n">
        <v>0.5331</v>
      </c>
      <c r="L4" s="362" t="n">
        <v>0.7291666666666666</v>
      </c>
      <c r="M4" s="66" t="n">
        <v>0.6495</v>
      </c>
      <c r="N4" s="65">
        <f>AVERAGE(E4,G4,I4,K4,M4)</f>
        <v/>
      </c>
      <c r="O4" s="363" t="n"/>
      <c r="Q4" s="39" t="n"/>
      <c r="S4" s="60" t="n"/>
      <c r="T4" s="61" t="n"/>
      <c r="U4" s="61" t="n"/>
      <c r="V4" s="61" t="n"/>
      <c r="W4" s="61" t="n"/>
      <c r="X4" s="60" t="n"/>
      <c r="Y4" s="62" t="n"/>
    </row>
    <row r="5">
      <c r="A5" s="238" t="n"/>
      <c r="B5" s="354" t="n"/>
      <c r="C5" s="63" t="inlineStr">
        <is>
          <t>야간</t>
        </is>
      </c>
      <c r="D5" s="362" t="n">
        <v>0.9791666666666666</v>
      </c>
      <c r="E5" s="65" t="n">
        <v>0.5152</v>
      </c>
      <c r="F5" s="362" t="n">
        <v>0.01388888888888889</v>
      </c>
      <c r="G5" s="66" t="n">
        <v>0.6244</v>
      </c>
      <c r="H5" s="362" t="n"/>
      <c r="I5" s="66" t="n"/>
      <c r="J5" s="362" t="n">
        <v>0.0625</v>
      </c>
      <c r="K5" s="66" t="n">
        <v>0.5488</v>
      </c>
      <c r="L5" s="362" t="n">
        <v>0.09722222222222222</v>
      </c>
      <c r="M5" s="66" t="n">
        <v>0.6478</v>
      </c>
      <c r="N5" s="65">
        <f>AVERAGE(E5,G5,I5,K5,M5)</f>
        <v/>
      </c>
      <c r="O5" s="361" t="n"/>
      <c r="Q5" s="39" t="n"/>
      <c r="S5" s="59" t="n"/>
      <c r="T5" s="60" t="n"/>
      <c r="U5" s="61" t="n"/>
      <c r="V5" s="60" t="n"/>
      <c r="W5" s="60" t="n"/>
      <c r="X5" s="60" t="n"/>
      <c r="Y5" s="62" t="n"/>
    </row>
    <row r="6">
      <c r="B6" s="239" t="n">
        <v>46205</v>
      </c>
      <c r="C6" s="63" t="inlineStr">
        <is>
          <t>오전</t>
        </is>
      </c>
      <c r="D6" s="362" t="n">
        <v>0.3125</v>
      </c>
      <c r="E6" s="64" t="n">
        <v>0.5792</v>
      </c>
      <c r="F6" s="362" t="n">
        <v>0.3541666666666667</v>
      </c>
      <c r="G6" s="65" t="n">
        <v>0.6055</v>
      </c>
      <c r="H6" s="362" t="n"/>
      <c r="I6" s="66" t="n"/>
      <c r="J6" s="362" t="n">
        <v>0.3958333333333333</v>
      </c>
      <c r="K6" s="66" t="n">
        <v>0.525</v>
      </c>
      <c r="L6" s="362" t="n">
        <v>0.4375</v>
      </c>
      <c r="M6" s="66" t="n">
        <v>0.6309</v>
      </c>
      <c r="N6" s="65">
        <f>AVERAGE(E6,G6,I6,K6,M6)</f>
        <v/>
      </c>
      <c r="O6" s="240">
        <f>AVERAGE(N6:N8)</f>
        <v/>
      </c>
      <c r="Q6" s="39" t="n"/>
      <c r="S6" s="60" t="n"/>
      <c r="T6" s="60" t="n"/>
      <c r="U6" s="61" t="n"/>
      <c r="V6" s="61" t="n"/>
      <c r="W6" s="61" t="n"/>
      <c r="X6" s="60" t="n"/>
      <c r="Y6" s="62" t="n"/>
    </row>
    <row r="7">
      <c r="B7" s="331" t="n"/>
      <c r="C7" s="63" t="inlineStr">
        <is>
          <t>오후</t>
        </is>
      </c>
      <c r="D7" s="362" t="n">
        <v>0.6388888888888888</v>
      </c>
      <c r="E7" s="65" t="n">
        <v>0.5281</v>
      </c>
      <c r="F7" s="362" t="n">
        <v>0.6736111111111112</v>
      </c>
      <c r="G7" s="65" t="n">
        <v>0.5783</v>
      </c>
      <c r="H7" s="362" t="n"/>
      <c r="I7" s="66" t="n"/>
      <c r="J7" s="362" t="n">
        <v>0.7222222222222222</v>
      </c>
      <c r="K7" s="66" t="n">
        <v>0.5402</v>
      </c>
      <c r="L7" s="362" t="n">
        <v>0.75</v>
      </c>
      <c r="M7" s="66" t="n">
        <v>0.7275</v>
      </c>
      <c r="N7" s="65">
        <f>AVERAGE(E7,G7,I7,K7,M7)</f>
        <v/>
      </c>
      <c r="O7" s="363" t="n"/>
      <c r="Q7" s="39" t="n"/>
      <c r="S7" s="60" t="n"/>
      <c r="T7" s="61" t="n"/>
      <c r="U7" s="61" t="n"/>
      <c r="V7" s="61" t="n"/>
      <c r="W7" s="61" t="n"/>
      <c r="X7" s="60" t="n"/>
      <c r="Y7" s="62" t="n"/>
    </row>
    <row r="8">
      <c r="A8" s="238" t="n"/>
      <c r="B8" s="354" t="n"/>
      <c r="C8" s="63" t="inlineStr">
        <is>
          <t>야간</t>
        </is>
      </c>
      <c r="D8" s="362" t="n">
        <v>0.9791666666666666</v>
      </c>
      <c r="E8" s="65" t="n">
        <v>0.6752</v>
      </c>
      <c r="F8" s="362" t="n">
        <v>0.01388888888888889</v>
      </c>
      <c r="G8" s="66" t="n">
        <v>0.6248</v>
      </c>
      <c r="H8" s="362" t="n"/>
      <c r="I8" s="66" t="n"/>
      <c r="J8" s="362" t="n">
        <v>0.05555555555555555</v>
      </c>
      <c r="K8" s="66" t="n">
        <v>0.6158</v>
      </c>
      <c r="L8" s="362" t="n">
        <v>0.1111111111111111</v>
      </c>
      <c r="M8" s="66" t="n">
        <v>0.6688</v>
      </c>
      <c r="N8" s="65">
        <f>AVERAGE(E8,G8,I8,K8,M8)</f>
        <v/>
      </c>
      <c r="O8" s="361" t="n"/>
      <c r="Q8" s="39" t="n"/>
      <c r="S8" s="59" t="n"/>
      <c r="T8" s="60" t="n"/>
      <c r="U8" s="61" t="n"/>
      <c r="V8" s="60" t="n"/>
      <c r="W8" s="60" t="n"/>
      <c r="X8" s="60" t="n"/>
      <c r="Y8" s="62" t="n"/>
    </row>
    <row r="9">
      <c r="B9" s="239" t="n">
        <v>46206</v>
      </c>
      <c r="C9" s="63" t="inlineStr">
        <is>
          <t>오전</t>
        </is>
      </c>
      <c r="D9" s="362" t="n">
        <v>0.3125</v>
      </c>
      <c r="E9" s="64" t="n">
        <v>0.6559</v>
      </c>
      <c r="F9" s="362" t="n">
        <v>0.3541666666666667</v>
      </c>
      <c r="G9" s="65" t="n">
        <v>0.6052999999999999</v>
      </c>
      <c r="H9" s="362" t="n"/>
      <c r="I9" s="66" t="n"/>
      <c r="J9" s="362" t="n">
        <v>0.3958333333333333</v>
      </c>
      <c r="K9" s="66" t="n">
        <v>0.5343</v>
      </c>
      <c r="L9" s="362" t="n">
        <v>0.4375</v>
      </c>
      <c r="M9" s="66" t="n">
        <v>0.6748</v>
      </c>
      <c r="N9" s="65">
        <f>AVERAGE(E9,G9,I9,K9,M9)</f>
        <v/>
      </c>
      <c r="O9" s="240">
        <f>AVERAGE(N9:N11)</f>
        <v/>
      </c>
      <c r="Q9" s="39" t="n"/>
      <c r="S9" s="60" t="n"/>
      <c r="T9" s="60" t="n"/>
      <c r="U9" s="61" t="n"/>
      <c r="V9" s="61" t="n"/>
      <c r="W9" s="61" t="n"/>
      <c r="X9" s="60" t="n"/>
      <c r="Y9" s="62" t="n"/>
    </row>
    <row r="10">
      <c r="B10" s="331" t="n"/>
      <c r="C10" s="63" t="inlineStr">
        <is>
          <t>오후</t>
        </is>
      </c>
      <c r="D10" s="362" t="n">
        <v>0.6458333333333334</v>
      </c>
      <c r="E10" s="65" t="n">
        <v>0.5514</v>
      </c>
      <c r="F10" s="362" t="n">
        <v>0.6875</v>
      </c>
      <c r="G10" s="65" t="n">
        <v>0.5647</v>
      </c>
      <c r="H10" s="362" t="n">
        <v>0.7430555555555556</v>
      </c>
      <c r="I10" s="66" t="n">
        <v>0.6866</v>
      </c>
      <c r="J10" s="362" t="n">
        <v>0.7847222222222222</v>
      </c>
      <c r="K10" s="66" t="n">
        <v>0.5271</v>
      </c>
      <c r="L10" s="362" t="n">
        <v>0.8333333333333334</v>
      </c>
      <c r="M10" s="66" t="n">
        <v>0.6238</v>
      </c>
      <c r="N10" s="65">
        <f>AVERAGE(E10,G10,I10,K10,M10)</f>
        <v/>
      </c>
      <c r="O10" s="363" t="n"/>
      <c r="Q10" s="39" t="n"/>
      <c r="S10" s="60" t="n"/>
      <c r="T10" s="61" t="n"/>
      <c r="U10" s="61" t="n"/>
      <c r="V10" s="61" t="n"/>
      <c r="W10" s="61" t="n"/>
      <c r="X10" s="60" t="n"/>
      <c r="Y10" s="62" t="n"/>
    </row>
    <row r="11">
      <c r="A11" s="238" t="n"/>
      <c r="B11" s="354" t="n"/>
      <c r="C11" s="63" t="inlineStr">
        <is>
          <t>야간</t>
        </is>
      </c>
      <c r="D11" s="362" t="n">
        <v>0.9791666666666666</v>
      </c>
      <c r="E11" s="65" t="n">
        <v>0.5785</v>
      </c>
      <c r="F11" s="362" t="n">
        <v>0.01388888888888889</v>
      </c>
      <c r="G11" s="66" t="n">
        <v>0.6084000000000001</v>
      </c>
      <c r="H11" s="362" t="n">
        <v>0.06944444444444445</v>
      </c>
      <c r="I11" s="66" t="n">
        <v>0.6752</v>
      </c>
      <c r="J11" s="362" t="n">
        <v>0.1041666666666667</v>
      </c>
      <c r="K11" s="66" t="n">
        <v>0.5184</v>
      </c>
      <c r="L11" s="362" t="n">
        <v>0.1458333333333333</v>
      </c>
      <c r="M11" s="66" t="n">
        <v>0.6348</v>
      </c>
      <c r="N11" s="65">
        <f>AVERAGE(E11,G11,I11,K11,M11)</f>
        <v/>
      </c>
      <c r="O11" s="361" t="n"/>
      <c r="Q11" s="39" t="n"/>
      <c r="S11" s="59" t="n"/>
      <c r="T11" s="60" t="n"/>
      <c r="U11" s="61" t="n"/>
      <c r="V11" s="60" t="n"/>
      <c r="W11" s="60" t="n"/>
      <c r="X11" s="60" t="n"/>
      <c r="Y11" s="62" t="n"/>
    </row>
    <row r="12">
      <c r="B12" s="239" t="n">
        <v>46207</v>
      </c>
      <c r="C12" s="63" t="inlineStr">
        <is>
          <t>오전</t>
        </is>
      </c>
      <c r="D12" s="362" t="n">
        <v>0.3125</v>
      </c>
      <c r="E12" s="64" t="n">
        <v>0.6163</v>
      </c>
      <c r="F12" s="362" t="n">
        <v>0.3541666666666667</v>
      </c>
      <c r="G12" s="65" t="n">
        <v>0.5571</v>
      </c>
      <c r="H12" s="362" t="n">
        <v>0.3958333333333333</v>
      </c>
      <c r="I12" s="66" t="n">
        <v>0.6722</v>
      </c>
      <c r="J12" s="362" t="n">
        <v>0.4375</v>
      </c>
      <c r="K12" s="66" t="n">
        <v>0.5241</v>
      </c>
      <c r="L12" s="362" t="n">
        <v>0.4791666666666667</v>
      </c>
      <c r="M12" s="66" t="n">
        <v>0.6276</v>
      </c>
      <c r="N12" s="65">
        <f>AVERAGE(E12,G12,I12,K12,M12)</f>
        <v/>
      </c>
      <c r="O12" s="240">
        <f>AVERAGE(N12:N14)</f>
        <v/>
      </c>
      <c r="Q12" s="39" t="n"/>
      <c r="S12" s="60" t="n"/>
      <c r="T12" s="60" t="n"/>
      <c r="U12" s="61" t="n"/>
      <c r="V12" s="61" t="n"/>
      <c r="W12" s="61" t="n"/>
      <c r="X12" s="60" t="n"/>
      <c r="Y12" s="62" t="n"/>
    </row>
    <row r="13">
      <c r="B13" s="331" t="n"/>
      <c r="C13" s="63" t="inlineStr">
        <is>
          <t>오후</t>
        </is>
      </c>
      <c r="D13" s="362" t="n">
        <v>0.6388888888888888</v>
      </c>
      <c r="E13" s="65" t="n">
        <v>0.5677</v>
      </c>
      <c r="F13" s="362" t="n">
        <v>0.6805555555555556</v>
      </c>
      <c r="G13" s="65" t="n">
        <v>0.5407999999999999</v>
      </c>
      <c r="H13" s="362" t="n">
        <v>0.7291666666666666</v>
      </c>
      <c r="I13" s="66" t="n">
        <v>0.6472</v>
      </c>
      <c r="J13" s="362" t="n">
        <v>0.7708333333333334</v>
      </c>
      <c r="K13" s="66" t="n">
        <v>0.5211</v>
      </c>
      <c r="L13" s="362" t="n">
        <v>0.8263888888888888</v>
      </c>
      <c r="M13" s="66" t="n">
        <v>0.6268</v>
      </c>
      <c r="N13" s="65">
        <f>AVERAGE(E13,G13,I13,K13,M13)</f>
        <v/>
      </c>
      <c r="O13" s="363" t="n"/>
      <c r="Q13" s="39" t="n"/>
      <c r="S13" s="60" t="n"/>
      <c r="T13" s="61" t="n"/>
      <c r="U13" s="61" t="n"/>
      <c r="V13" s="61" t="n"/>
      <c r="W13" s="61" t="n"/>
      <c r="X13" s="60" t="n"/>
      <c r="Y13" s="62" t="n"/>
    </row>
    <row r="14">
      <c r="A14" s="238" t="n"/>
      <c r="B14" s="354" t="n"/>
      <c r="C14" s="63" t="inlineStr">
        <is>
          <t>야간</t>
        </is>
      </c>
      <c r="D14" s="362" t="inlineStr">
        <is>
          <t>23.:20</t>
        </is>
      </c>
      <c r="E14" s="65" t="n">
        <v>0.5987</v>
      </c>
      <c r="F14" s="362" t="n">
        <v>0.02083333333333333</v>
      </c>
      <c r="G14" s="66" t="n">
        <v>0.5999</v>
      </c>
      <c r="H14" s="362" t="n">
        <v>0.05555555555555555</v>
      </c>
      <c r="I14" s="66" t="n">
        <v>0.6452</v>
      </c>
      <c r="J14" s="362" t="n">
        <v>0.1111111111111111</v>
      </c>
      <c r="K14" s="66" t="n">
        <v>0.5158</v>
      </c>
      <c r="L14" s="362" t="n">
        <v>0.1388888888888889</v>
      </c>
      <c r="M14" s="66" t="n">
        <v>0.6438</v>
      </c>
      <c r="N14" s="65">
        <f>AVERAGE(E14,G14,I14,K14,M14)</f>
        <v/>
      </c>
      <c r="O14" s="361" t="n"/>
      <c r="Q14" s="39" t="n"/>
      <c r="S14" s="59" t="n"/>
      <c r="T14" s="60" t="n"/>
      <c r="U14" s="61" t="n"/>
      <c r="V14" s="60" t="n"/>
      <c r="W14" s="60" t="n"/>
      <c r="X14" s="60" t="n"/>
      <c r="Y14" s="62" t="n"/>
    </row>
    <row r="15">
      <c r="B15" s="239" t="n">
        <v>46208</v>
      </c>
      <c r="C15" s="63" t="inlineStr">
        <is>
          <t>오전</t>
        </is>
      </c>
      <c r="D15" s="362" t="n">
        <v>0.3194444444444444</v>
      </c>
      <c r="E15" s="64" t="n">
        <v>0.6312</v>
      </c>
      <c r="F15" s="362" t="n">
        <v>0.3402777777777778</v>
      </c>
      <c r="G15" s="65" t="n">
        <v>0.6187</v>
      </c>
      <c r="H15" s="362" t="n">
        <v>0.375</v>
      </c>
      <c r="I15" s="66" t="n">
        <v>0.6687</v>
      </c>
      <c r="J15" s="362" t="n">
        <v>0.4027777777777778</v>
      </c>
      <c r="K15" s="66" t="n">
        <v>0.576</v>
      </c>
      <c r="L15" s="362" t="n">
        <v>0.4236111111111111</v>
      </c>
      <c r="M15" s="66" t="n">
        <v>0.6702</v>
      </c>
      <c r="N15" s="65">
        <f>AVERAGE(E15,G15,I15,K15,M15)</f>
        <v/>
      </c>
      <c r="O15" s="240">
        <f>AVERAGE(N15:N17)</f>
        <v/>
      </c>
      <c r="Q15" s="39" t="n"/>
      <c r="S15" s="60" t="n"/>
      <c r="T15" s="60" t="n"/>
      <c r="U15" s="61" t="n"/>
      <c r="V15" s="61" t="n"/>
      <c r="W15" s="61" t="n"/>
      <c r="X15" s="60" t="n"/>
      <c r="Y15" s="62" t="n"/>
    </row>
    <row r="16">
      <c r="B16" s="331" t="n"/>
      <c r="C16" s="63" t="inlineStr">
        <is>
          <t>오후</t>
        </is>
      </c>
      <c r="D16" s="362" t="n">
        <v>0.6458333333333334</v>
      </c>
      <c r="E16" s="65" t="n">
        <v>0.6192</v>
      </c>
      <c r="F16" s="362" t="n">
        <v>0.6875</v>
      </c>
      <c r="G16" s="65" t="n">
        <v>0.5702</v>
      </c>
      <c r="H16" s="362" t="n">
        <v>0.7291666666666666</v>
      </c>
      <c r="I16" s="66" t="n">
        <v>0.6772</v>
      </c>
      <c r="J16" s="362" t="n">
        <v>0.7847222222222222</v>
      </c>
      <c r="K16" s="66" t="n">
        <v>0.5244</v>
      </c>
      <c r="L16" s="362" t="n">
        <v>0.8194444444444444</v>
      </c>
      <c r="M16" s="66" t="n">
        <v>0.6454</v>
      </c>
      <c r="N16" s="65">
        <f>AVERAGE(E16,G16,I16,K16,M16)</f>
        <v/>
      </c>
      <c r="O16" s="363" t="n"/>
      <c r="Q16" s="39" t="n"/>
      <c r="S16" s="60" t="n"/>
      <c r="T16" s="61" t="n"/>
      <c r="U16" s="61" t="n"/>
      <c r="V16" s="61" t="n"/>
      <c r="W16" s="61" t="n"/>
      <c r="X16" s="60" t="n"/>
      <c r="Y16" s="62" t="n"/>
    </row>
    <row r="17">
      <c r="A17" s="238" t="n"/>
      <c r="B17" s="354" t="n"/>
      <c r="C17" s="63" t="inlineStr">
        <is>
          <t>야간</t>
        </is>
      </c>
      <c r="D17" s="362" t="n">
        <v>0.9791666666666666</v>
      </c>
      <c r="E17" s="65" t="n">
        <v>0.6785</v>
      </c>
      <c r="F17" s="362" t="n">
        <v>0.01388888888888889</v>
      </c>
      <c r="G17" s="66" t="n">
        <v>0.6206</v>
      </c>
      <c r="H17" s="362" t="n">
        <v>0.0625</v>
      </c>
      <c r="I17" s="66" t="n">
        <v>0.6679</v>
      </c>
      <c r="J17" s="362" t="n">
        <v>0.09722222222222222</v>
      </c>
      <c r="K17" s="66" t="n">
        <v>0.5799</v>
      </c>
      <c r="L17" s="362" t="n">
        <v>0.1527777777777778</v>
      </c>
      <c r="M17" s="66" t="n">
        <v>0.6442</v>
      </c>
      <c r="N17" s="65">
        <f>AVERAGE(E17,G17,I17,K17,M17)</f>
        <v/>
      </c>
      <c r="O17" s="361" t="n"/>
      <c r="Q17" s="39" t="n"/>
      <c r="S17" s="59" t="n"/>
      <c r="T17" s="60" t="n"/>
      <c r="U17" s="61" t="n"/>
      <c r="V17" s="60" t="n"/>
      <c r="W17" s="60" t="n"/>
      <c r="X17" s="60" t="n"/>
      <c r="Y17" s="62" t="n"/>
    </row>
    <row r="18">
      <c r="B18" s="239" t="n">
        <v>46209</v>
      </c>
      <c r="C18" s="63" t="inlineStr">
        <is>
          <t>오전</t>
        </is>
      </c>
      <c r="D18" s="362" t="n">
        <v>0.3055555555555556</v>
      </c>
      <c r="E18" s="65" t="n">
        <v>0.6408</v>
      </c>
      <c r="F18" s="362" t="n">
        <v>0.3333333333333333</v>
      </c>
      <c r="G18" s="65" t="n">
        <v>0.5855</v>
      </c>
      <c r="H18" s="362" t="n">
        <v>0.3541666666666667</v>
      </c>
      <c r="I18" s="66" t="n">
        <v>0.6613</v>
      </c>
      <c r="J18" s="362" t="n">
        <v>0.3888888888888889</v>
      </c>
      <c r="K18" s="66" t="n">
        <v>0.535</v>
      </c>
      <c r="L18" s="362" t="n">
        <v>0.4166666666666667</v>
      </c>
      <c r="M18" s="66" t="n">
        <v>0.6274999999999999</v>
      </c>
      <c r="N18" s="65">
        <f>AVERAGE(E18,G18,I18,K18,M18)</f>
        <v/>
      </c>
      <c r="O18" s="240">
        <f>AVERAGE(N18:N20)</f>
        <v/>
      </c>
      <c r="Q18" s="39" t="n"/>
      <c r="S18" s="60" t="n"/>
      <c r="T18" s="60" t="n"/>
      <c r="U18" s="61" t="n"/>
      <c r="V18" s="61" t="n"/>
      <c r="W18" s="61" t="n"/>
      <c r="X18" s="60" t="n"/>
      <c r="Y18" s="62" t="n"/>
    </row>
    <row r="19">
      <c r="B19" s="331" t="n"/>
      <c r="C19" s="63" t="inlineStr">
        <is>
          <t>오후</t>
        </is>
      </c>
      <c r="D19" s="362" t="n">
        <v>0.625</v>
      </c>
      <c r="E19" s="65" t="n">
        <v>0.6496</v>
      </c>
      <c r="F19" s="362" t="n">
        <v>0.6597222222222222</v>
      </c>
      <c r="G19" s="65" t="n">
        <v>0.6665</v>
      </c>
      <c r="H19" s="362" t="n">
        <v>0.6805555555555556</v>
      </c>
      <c r="I19" s="66" t="n">
        <v>0.5955</v>
      </c>
      <c r="J19" s="362" t="n">
        <v>0.7152777777777778</v>
      </c>
      <c r="K19" s="66" t="n">
        <v>0.5547</v>
      </c>
      <c r="L19" s="362" t="n">
        <v>0.75</v>
      </c>
      <c r="M19" s="66" t="n">
        <v>0.6384</v>
      </c>
      <c r="N19" s="65">
        <f>AVERAGE(E19,G19,I19,K19,M19)</f>
        <v/>
      </c>
      <c r="O19" s="363" t="n"/>
      <c r="Q19" s="39" t="n"/>
      <c r="S19" s="60" t="n"/>
      <c r="T19" s="61" t="n"/>
      <c r="U19" s="61" t="n"/>
      <c r="V19" s="61" t="n"/>
      <c r="W19" s="61" t="n"/>
      <c r="X19" s="60" t="n"/>
      <c r="Y19" s="62" t="n"/>
    </row>
    <row r="20">
      <c r="B20" s="354" t="n"/>
      <c r="C20" s="63" t="inlineStr">
        <is>
          <t>야간</t>
        </is>
      </c>
      <c r="D20" s="362" t="n">
        <v>0.9583333333333334</v>
      </c>
      <c r="E20" s="65" t="n">
        <v>0.6288</v>
      </c>
      <c r="F20" s="362" t="n">
        <v>0</v>
      </c>
      <c r="G20" s="66" t="n">
        <v>0.6117</v>
      </c>
      <c r="H20" s="362" t="n">
        <v>0.04166666666666666</v>
      </c>
      <c r="I20" s="66" t="n">
        <v>0.6145</v>
      </c>
      <c r="J20" s="362" t="n">
        <v>0.08333333333333333</v>
      </c>
      <c r="K20" s="66" t="n">
        <v>0.6371</v>
      </c>
      <c r="L20" s="362" t="n">
        <v>0.125</v>
      </c>
      <c r="M20" s="66" t="n">
        <v>0.6455</v>
      </c>
      <c r="N20" s="65">
        <f>AVERAGE(E20,G20,I20,K20,M20)</f>
        <v/>
      </c>
      <c r="O20" s="361" t="n"/>
    </row>
    <row r="21">
      <c r="B21" s="239" t="n">
        <v>46210</v>
      </c>
      <c r="C21" s="63" t="inlineStr">
        <is>
          <t>오전</t>
        </is>
      </c>
      <c r="D21" s="362" t="n">
        <v>0.3194444444444444</v>
      </c>
      <c r="E21" s="64" t="n">
        <v>0.5879</v>
      </c>
      <c r="F21" s="362" t="n">
        <v>0.3472222222222222</v>
      </c>
      <c r="G21" s="65" t="n">
        <v>0.5695</v>
      </c>
      <c r="H21" s="362" t="n">
        <v>0.375</v>
      </c>
      <c r="I21" s="66" t="n">
        <v>0.6405999999999999</v>
      </c>
      <c r="J21" s="362" t="n">
        <v>0.3958333333333333</v>
      </c>
      <c r="K21" s="65" t="n">
        <v>0.5375</v>
      </c>
      <c r="L21" s="362" t="n">
        <v>0.4305555555555556</v>
      </c>
      <c r="M21" s="65" t="n">
        <v>0.6304</v>
      </c>
      <c r="N21" s="65">
        <f>AVERAGE(E21,G21,I21,K21,M21)</f>
        <v/>
      </c>
      <c r="O21" s="240">
        <f>AVERAGE(N21:N23)</f>
        <v/>
      </c>
    </row>
    <row r="22">
      <c r="B22" s="331" t="n"/>
      <c r="C22" s="63" t="inlineStr">
        <is>
          <t>오후</t>
        </is>
      </c>
      <c r="D22" s="362" t="n">
        <v>0.6319444444444444</v>
      </c>
      <c r="E22" s="65" t="n">
        <v>0.6946</v>
      </c>
      <c r="F22" s="362" t="n">
        <v>0.6736111111111112</v>
      </c>
      <c r="G22" s="65" t="n">
        <v>0.6895</v>
      </c>
      <c r="H22" s="362" t="n">
        <v>0.7291666666666666</v>
      </c>
      <c r="I22" s="66" t="n">
        <v>0.6857</v>
      </c>
      <c r="J22" s="362" t="n">
        <v>0.7708333333333334</v>
      </c>
      <c r="K22" s="66" t="n">
        <v>0.6079</v>
      </c>
      <c r="L22" s="362" t="n">
        <v>0.7222222222222222</v>
      </c>
      <c r="M22" s="66" t="n">
        <v>0.6742</v>
      </c>
      <c r="N22" s="65">
        <f>AVERAGE(E22,G22,I22,K22,M22)</f>
        <v/>
      </c>
      <c r="O22" s="363" t="n"/>
    </row>
    <row r="23">
      <c r="B23" s="354" t="n"/>
      <c r="C23" s="63" t="inlineStr">
        <is>
          <t>야간</t>
        </is>
      </c>
      <c r="D23" s="362" t="n"/>
      <c r="E23" s="65" t="n"/>
      <c r="F23" s="362" t="n"/>
      <c r="G23" s="66" t="n"/>
      <c r="H23" s="362" t="n">
        <v>0.9583333333333334</v>
      </c>
      <c r="I23" s="66" t="n">
        <v>0.6811</v>
      </c>
      <c r="J23" s="362" t="n"/>
      <c r="K23" s="66" t="n"/>
      <c r="L23" s="362" t="n">
        <v>0</v>
      </c>
      <c r="M23" s="66" t="n">
        <v>0.6909</v>
      </c>
      <c r="N23" s="65">
        <f>AVERAGE(E23,G23,I23,K23,M23)</f>
        <v/>
      </c>
      <c r="O23" s="361" t="n"/>
    </row>
    <row r="24">
      <c r="B24" s="239" t="n">
        <v>46211</v>
      </c>
      <c r="C24" s="63" t="inlineStr">
        <is>
          <t>오전</t>
        </is>
      </c>
      <c r="D24" s="362" t="n"/>
      <c r="E24" s="64" t="n"/>
      <c r="F24" s="362" t="n"/>
      <c r="G24" s="65" t="n"/>
      <c r="H24" s="362" t="n">
        <v>0.3055555555555556</v>
      </c>
      <c r="I24" s="66" t="n">
        <v>0.6962</v>
      </c>
      <c r="J24" s="362" t="n"/>
      <c r="K24" s="65" t="n"/>
      <c r="L24" s="362" t="n">
        <v>0.3402777777777778</v>
      </c>
      <c r="M24" s="65" t="n">
        <v>0.7023</v>
      </c>
      <c r="N24" s="65">
        <f>AVERAGE(E24,G24,I24,K24,M24)</f>
        <v/>
      </c>
      <c r="O24" s="240">
        <f>AVERAGE(N24:N26)</f>
        <v/>
      </c>
    </row>
    <row r="25">
      <c r="B25" s="331" t="n"/>
      <c r="C25" s="63" t="inlineStr">
        <is>
          <t>오후</t>
        </is>
      </c>
      <c r="D25" s="362" t="n"/>
      <c r="E25" s="65" t="n"/>
      <c r="F25" s="362" t="n"/>
      <c r="G25" s="65" t="n"/>
      <c r="H25" s="362" t="n">
        <v>0.6458333333333334</v>
      </c>
      <c r="I25" s="66" t="n">
        <v>0.6889999999999999</v>
      </c>
      <c r="J25" s="362" t="n"/>
      <c r="K25" s="66" t="n"/>
      <c r="L25" s="362" t="n">
        <v>0.7222222222222222</v>
      </c>
      <c r="M25" s="66" t="n">
        <v>0.6798</v>
      </c>
      <c r="N25" s="65">
        <f>AVERAGE(E25,G25,I25,K25,M25)</f>
        <v/>
      </c>
      <c r="O25" s="363" t="n"/>
    </row>
    <row r="26">
      <c r="B26" s="354" t="n"/>
      <c r="C26" s="63" t="inlineStr">
        <is>
          <t>야간</t>
        </is>
      </c>
      <c r="D26" s="362" t="n"/>
      <c r="E26" s="65" t="n"/>
      <c r="F26" s="362" t="n"/>
      <c r="G26" s="66" t="n"/>
      <c r="H26" s="362" t="n">
        <v>0.9583333333333334</v>
      </c>
      <c r="I26" s="66" t="n">
        <v>0.7128</v>
      </c>
      <c r="J26" s="362" t="n"/>
      <c r="K26" s="66" t="n"/>
      <c r="L26" s="362" t="n">
        <v>0</v>
      </c>
      <c r="M26" s="66" t="n">
        <v>0.7127</v>
      </c>
      <c r="N26" s="65">
        <f>AVERAGE(E26,G26,I26,K26,M26)</f>
        <v/>
      </c>
      <c r="O26" s="361" t="n"/>
    </row>
    <row r="27">
      <c r="B27" s="239" t="n">
        <v>46212</v>
      </c>
      <c r="C27" s="63" t="inlineStr">
        <is>
          <t>오전</t>
        </is>
      </c>
      <c r="D27" s="362" t="n"/>
      <c r="E27" s="64" t="n"/>
      <c r="F27" s="362" t="n"/>
      <c r="G27" s="65" t="n"/>
      <c r="H27" s="362" t="n">
        <v>0.3541666666666667</v>
      </c>
      <c r="I27" s="66" t="n">
        <v>0.68</v>
      </c>
      <c r="J27" s="362" t="n"/>
      <c r="K27" s="65" t="n"/>
      <c r="L27" s="362" t="n">
        <v>0.3819444444444444</v>
      </c>
      <c r="M27" s="65" t="n">
        <v>0.6792</v>
      </c>
      <c r="N27" s="65">
        <f>AVERAGE(E27,G27,I27,K27,M27)</f>
        <v/>
      </c>
      <c r="O27" s="240">
        <f>AVERAGE(N27:N29)</f>
        <v/>
      </c>
    </row>
    <row r="28">
      <c r="B28" s="331" t="n"/>
      <c r="C28" s="63" t="inlineStr">
        <is>
          <t>오후</t>
        </is>
      </c>
      <c r="D28" s="362" t="n">
        <v>0.6319444444444444</v>
      </c>
      <c r="E28" s="65" t="n">
        <v>0.6891</v>
      </c>
      <c r="F28" s="362" t="n">
        <v>0.6736111111111112</v>
      </c>
      <c r="G28" s="65" t="n">
        <v>0.5881</v>
      </c>
      <c r="H28" s="362" t="n">
        <v>0.7291666666666666</v>
      </c>
      <c r="I28" s="66" t="n">
        <v>0.6778</v>
      </c>
      <c r="J28" s="362" t="n">
        <v>0.7708333333333334</v>
      </c>
      <c r="K28" s="66" t="n">
        <v>0.5614</v>
      </c>
      <c r="L28" s="362" t="n">
        <v>0.8125</v>
      </c>
      <c r="M28" s="66" t="n">
        <v>0.6909999999999999</v>
      </c>
      <c r="N28" s="65">
        <f>AVERAGE(E28,G28,I28,K28,M28)</f>
        <v/>
      </c>
      <c r="O28" s="363" t="n"/>
    </row>
    <row r="29">
      <c r="B29" s="354" t="n"/>
      <c r="C29" s="63" t="inlineStr">
        <is>
          <t>야간</t>
        </is>
      </c>
      <c r="D29" s="362" t="n">
        <v>0.9583333333333334</v>
      </c>
      <c r="E29" s="65" t="n">
        <v>0.6036</v>
      </c>
      <c r="F29" s="362" t="n">
        <v>0</v>
      </c>
      <c r="G29" s="66" t="n">
        <v>0.5129</v>
      </c>
      <c r="H29" s="362" t="n">
        <v>0.04166666666666666</v>
      </c>
      <c r="I29" s="66" t="n">
        <v>0.6234</v>
      </c>
      <c r="J29" s="362" t="n">
        <v>0.08333333333333333</v>
      </c>
      <c r="K29" s="66" t="n">
        <v>0.5462</v>
      </c>
      <c r="L29" s="362" t="n">
        <v>0.125</v>
      </c>
      <c r="M29" s="66" t="n">
        <v>0.6881</v>
      </c>
      <c r="N29" s="65">
        <f>AVERAGE(E29,G29,I29,K29,M29)</f>
        <v/>
      </c>
      <c r="O29" s="361" t="n"/>
    </row>
    <row r="30">
      <c r="B30" s="239" t="n">
        <v>46213</v>
      </c>
      <c r="C30" s="63" t="inlineStr">
        <is>
          <t>오전</t>
        </is>
      </c>
      <c r="D30" s="362" t="n">
        <v>0.2986111111111111</v>
      </c>
      <c r="E30" s="64" t="n">
        <v>0.5482</v>
      </c>
      <c r="F30" s="362" t="n">
        <v>0.3333333333333333</v>
      </c>
      <c r="G30" s="65" t="n">
        <v>0.5493</v>
      </c>
      <c r="H30" s="362" t="n">
        <v>0.375</v>
      </c>
      <c r="I30" s="66" t="n">
        <v>0.6188</v>
      </c>
      <c r="J30" s="362" t="n">
        <v>0.4375</v>
      </c>
      <c r="K30" s="65" t="n">
        <v>0.5027</v>
      </c>
      <c r="L30" s="362" t="n">
        <v>0.4791666666666667</v>
      </c>
      <c r="M30" s="65" t="n">
        <v>0.6422</v>
      </c>
      <c r="N30" s="65">
        <f>AVERAGE(E30,G30,I30,K30,M30)</f>
        <v/>
      </c>
      <c r="O30" s="240">
        <f>AVERAGE(N30:N32)</f>
        <v/>
      </c>
    </row>
    <row r="31">
      <c r="B31" s="331" t="n"/>
      <c r="C31" s="63" t="inlineStr">
        <is>
          <t>오후</t>
        </is>
      </c>
      <c r="D31" s="362" t="n"/>
      <c r="E31" s="65" t="n"/>
      <c r="F31" s="362" t="n"/>
      <c r="G31" s="65" t="n"/>
      <c r="H31" s="362" t="n"/>
      <c r="I31" s="66" t="n"/>
      <c r="J31" s="362" t="n"/>
      <c r="K31" s="66" t="n"/>
      <c r="L31" s="362" t="n"/>
      <c r="M31" s="66" t="n"/>
      <c r="N31" s="65">
        <f>AVERAGE(E31,G31,I31,K31,M31)</f>
        <v/>
      </c>
      <c r="O31" s="363" t="n"/>
    </row>
    <row r="32">
      <c r="B32" s="354" t="n"/>
      <c r="C32" s="63" t="inlineStr">
        <is>
          <t>야간</t>
        </is>
      </c>
      <c r="D32" s="362" t="n">
        <v>0.9722222222222222</v>
      </c>
      <c r="E32" s="65" t="n">
        <v>0.5692</v>
      </c>
      <c r="F32" s="362" t="n">
        <v>0.9861111111111112</v>
      </c>
      <c r="G32" s="66" t="n">
        <v>0.5588</v>
      </c>
      <c r="H32" s="362" t="n">
        <v>0</v>
      </c>
      <c r="I32" s="66" t="n">
        <v>0.6232</v>
      </c>
      <c r="J32" s="362" t="n">
        <v>0.01388888888888889</v>
      </c>
      <c r="K32" s="66" t="n">
        <v>0.5322</v>
      </c>
      <c r="L32" s="362" t="n">
        <v>0.02777777777777778</v>
      </c>
      <c r="M32" s="66" t="n">
        <v>0.6506999999999999</v>
      </c>
      <c r="N32" s="65">
        <f>AVERAGE(E32,G32,I32,K32,M32)</f>
        <v/>
      </c>
      <c r="O32" s="361" t="n"/>
    </row>
    <row r="33">
      <c r="B33" s="239" t="n">
        <v>46214</v>
      </c>
      <c r="C33" s="63" t="inlineStr">
        <is>
          <t>오전</t>
        </is>
      </c>
      <c r="D33" s="362" t="n">
        <v>0.3055555555555556</v>
      </c>
      <c r="E33" s="64" t="n">
        <v>0.5517</v>
      </c>
      <c r="F33" s="362" t="n">
        <v>0.3541666666666667</v>
      </c>
      <c r="G33" s="65" t="n">
        <v>0.5472</v>
      </c>
      <c r="H33" s="362" t="n">
        <v>0.3819444444444444</v>
      </c>
      <c r="I33" s="66" t="n">
        <v>0.6278</v>
      </c>
      <c r="J33" s="362" t="n">
        <v>0.4166666666666667</v>
      </c>
      <c r="K33" s="65" t="n">
        <v>0.5256</v>
      </c>
      <c r="L33" s="362" t="n">
        <v>0.4791666666666667</v>
      </c>
      <c r="M33" s="65" t="n">
        <v>0.6297</v>
      </c>
      <c r="N33" s="65">
        <f>AVERAGE(E33,G33,I33,K33,M33)</f>
        <v/>
      </c>
      <c r="O33" s="240">
        <f>AVERAGE(N33:N35)</f>
        <v/>
      </c>
    </row>
    <row r="34">
      <c r="B34" s="331" t="n"/>
      <c r="C34" s="63" t="inlineStr">
        <is>
          <t>오후</t>
        </is>
      </c>
      <c r="D34" s="362" t="n"/>
      <c r="E34" s="65" t="n"/>
      <c r="F34" s="362" t="n"/>
      <c r="G34" s="65" t="n"/>
      <c r="H34" s="362" t="n"/>
      <c r="I34" s="66" t="n"/>
      <c r="J34" s="362" t="n"/>
      <c r="K34" s="65" t="n"/>
      <c r="L34" s="362" t="n"/>
      <c r="M34" s="66" t="n"/>
      <c r="N34" s="65">
        <f>AVERAGE(E34,G34,I34,K34,M34)</f>
        <v/>
      </c>
      <c r="O34" s="363" t="n"/>
    </row>
    <row r="35">
      <c r="B35" s="354" t="n"/>
      <c r="C35" s="63" t="inlineStr">
        <is>
          <t>야간</t>
        </is>
      </c>
      <c r="D35" s="362" t="n">
        <v>0.9652777777777778</v>
      </c>
      <c r="E35" s="65" t="n">
        <v>0.6261</v>
      </c>
      <c r="F35" s="362" t="n">
        <v>0.04166666666666666</v>
      </c>
      <c r="G35" s="66" t="n">
        <v>0.6193</v>
      </c>
      <c r="H35" s="362" t="n">
        <v>0.09722222222222222</v>
      </c>
      <c r="I35" s="66" t="n">
        <v>0.6422</v>
      </c>
      <c r="J35" s="362" t="n">
        <v>0.1666666666666667</v>
      </c>
      <c r="K35" s="66" t="n">
        <v>0.5894</v>
      </c>
      <c r="L35" s="362" t="n">
        <v>0.2291666666666667</v>
      </c>
      <c r="M35" s="66" t="n">
        <v>0.7059</v>
      </c>
      <c r="N35" s="65">
        <f>AVERAGE(E35,G35,I35,K35,M35)</f>
        <v/>
      </c>
      <c r="O35" s="361" t="n"/>
    </row>
    <row r="36">
      <c r="B36" s="239" t="n">
        <v>46215</v>
      </c>
      <c r="C36" s="63" t="inlineStr">
        <is>
          <t>오전</t>
        </is>
      </c>
      <c r="D36" s="362" t="n">
        <v>0.3055555555555556</v>
      </c>
      <c r="E36" s="64" t="n">
        <v>0.628</v>
      </c>
      <c r="F36" s="362" t="n">
        <v>0.3541666666666667</v>
      </c>
      <c r="G36" s="65" t="n">
        <v>0.5992</v>
      </c>
      <c r="H36" s="362" t="n">
        <v>0.3819444444444444</v>
      </c>
      <c r="I36" s="66" t="n">
        <v>0.6558</v>
      </c>
      <c r="J36" s="362" t="n">
        <v>0.4166666666666667</v>
      </c>
      <c r="K36" s="65" t="n">
        <v>0.592</v>
      </c>
      <c r="L36" s="362" t="n">
        <v>0.4791666666666667</v>
      </c>
      <c r="M36" s="65" t="n">
        <v>0.6651</v>
      </c>
      <c r="N36" s="65">
        <f>AVERAGE(E36,G36,I36,K36,M36)</f>
        <v/>
      </c>
      <c r="O36" s="240">
        <f>AVERAGE(N36:N38)</f>
        <v/>
      </c>
    </row>
    <row r="37">
      <c r="B37" s="331" t="n"/>
      <c r="C37" s="63" t="inlineStr">
        <is>
          <t>오후</t>
        </is>
      </c>
      <c r="D37" s="362" t="n"/>
      <c r="E37" s="65" t="n"/>
      <c r="F37" s="362" t="n"/>
      <c r="G37" s="65" t="n"/>
      <c r="H37" s="362" t="n"/>
      <c r="I37" s="66" t="n"/>
      <c r="J37" s="362" t="n"/>
      <c r="K37" s="66" t="n"/>
      <c r="L37" s="362" t="n"/>
      <c r="M37" s="66" t="n"/>
      <c r="N37" s="65">
        <f>AVERAGE(E37,G37,I37,K37,M37)</f>
        <v/>
      </c>
      <c r="O37" s="363" t="n"/>
    </row>
    <row r="38">
      <c r="B38" s="354" t="n"/>
      <c r="C38" s="63" t="inlineStr">
        <is>
          <t>야간</t>
        </is>
      </c>
      <c r="D38" s="362" t="n">
        <v>0.9652777777777778</v>
      </c>
      <c r="E38" s="65" t="n">
        <v>0.6183</v>
      </c>
      <c r="F38" s="362" t="n">
        <v>0.04166666666666666</v>
      </c>
      <c r="G38" s="66" t="n">
        <v>0.5465</v>
      </c>
      <c r="H38" s="362" t="n">
        <v>0.06944444444444445</v>
      </c>
      <c r="I38" s="66" t="n">
        <v>0.6699000000000001</v>
      </c>
      <c r="J38" s="362" t="n">
        <v>0.09722222222222222</v>
      </c>
      <c r="K38" s="66" t="n">
        <v>0.5426</v>
      </c>
      <c r="L38" s="362" t="n">
        <v>0.1319444444444444</v>
      </c>
      <c r="M38" s="66" t="n">
        <v>0.6344</v>
      </c>
      <c r="N38" s="65">
        <f>AVERAGE(E38,G38,I38,K38,M38)</f>
        <v/>
      </c>
      <c r="O38" s="361" t="n"/>
    </row>
    <row r="39">
      <c r="B39" s="239" t="n">
        <v>46216</v>
      </c>
      <c r="C39" s="63" t="inlineStr">
        <is>
          <t>오전</t>
        </is>
      </c>
      <c r="D39" s="362" t="n">
        <v>0.3055555555555556</v>
      </c>
      <c r="E39" s="64" t="n">
        <v>0.5337</v>
      </c>
      <c r="F39" s="362" t="n">
        <v>0.3472222222222222</v>
      </c>
      <c r="G39" s="65" t="n">
        <v>0.5721000000000001</v>
      </c>
      <c r="H39" s="362" t="n">
        <v>0.3888888888888889</v>
      </c>
      <c r="I39" s="66" t="n">
        <v>0.65</v>
      </c>
      <c r="J39" s="362" t="n">
        <v>0.4305555555555556</v>
      </c>
      <c r="K39" s="65" t="n">
        <v>0.528</v>
      </c>
      <c r="L39" s="362" t="n">
        <v>0.4722222222222222</v>
      </c>
      <c r="M39" s="65" t="n">
        <v>0.724</v>
      </c>
      <c r="N39" s="65">
        <f>AVERAGE(E39,G39,I39,K39,M39)</f>
        <v/>
      </c>
      <c r="O39" s="240">
        <f>AVERAGE(N39:N41)</f>
        <v/>
      </c>
    </row>
    <row r="40">
      <c r="B40" s="331" t="n"/>
      <c r="C40" s="63" t="inlineStr">
        <is>
          <t>오후</t>
        </is>
      </c>
      <c r="D40" s="362" t="n">
        <v>0.625</v>
      </c>
      <c r="E40" s="65" t="n">
        <v>0.5416</v>
      </c>
      <c r="F40" s="362" t="n">
        <v>0.6666666666666666</v>
      </c>
      <c r="G40" s="65" t="n">
        <v>0.5823</v>
      </c>
      <c r="H40" s="362" t="n">
        <v>0.7083333333333334</v>
      </c>
      <c r="I40" s="66" t="n">
        <v>0.6576</v>
      </c>
      <c r="J40" s="362" t="n">
        <v>0.75</v>
      </c>
      <c r="K40" s="66" t="n">
        <v>0.5323</v>
      </c>
      <c r="L40" s="362" t="n">
        <v>0.7916666666666666</v>
      </c>
      <c r="M40" s="66" t="n">
        <v>0.7144</v>
      </c>
      <c r="N40" s="65">
        <f>AVERAGE(E40,G40,I40,K40,M40)</f>
        <v/>
      </c>
      <c r="O40" s="363" t="n"/>
    </row>
    <row r="41">
      <c r="B41" s="354" t="n"/>
      <c r="C41" s="63" t="inlineStr">
        <is>
          <t>야간</t>
        </is>
      </c>
      <c r="D41" s="362" t="n">
        <v>0.9583333333333334</v>
      </c>
      <c r="E41" s="65" t="n">
        <v>0.5742</v>
      </c>
      <c r="F41" s="362" t="n">
        <v>0.01388888888888889</v>
      </c>
      <c r="G41" s="66" t="n">
        <v>0.5684</v>
      </c>
      <c r="H41" s="362" t="n">
        <v>0.04861111111111111</v>
      </c>
      <c r="I41" s="66" t="n">
        <v>0.6812</v>
      </c>
      <c r="J41" s="362" t="n">
        <v>0.1111111111111111</v>
      </c>
      <c r="K41" s="66" t="n">
        <v>0.5404</v>
      </c>
      <c r="L41" s="362" t="n">
        <v>0.1666666666666667</v>
      </c>
      <c r="M41" s="66" t="n">
        <v>0.6689000000000001</v>
      </c>
      <c r="N41" s="65">
        <f>AVERAGE(E41,G41,I41,K41,M41)</f>
        <v/>
      </c>
      <c r="O41" s="361" t="n"/>
    </row>
    <row r="42">
      <c r="B42" s="239" t="n">
        <v>46217</v>
      </c>
      <c r="C42" s="63" t="inlineStr">
        <is>
          <t>오전</t>
        </is>
      </c>
      <c r="D42" s="362" t="n">
        <v>0.3055555555555556</v>
      </c>
      <c r="E42" s="64" t="n">
        <v>0.5392</v>
      </c>
      <c r="F42" s="362" t="n">
        <v>0.3472222222222222</v>
      </c>
      <c r="G42" s="65" t="n">
        <v>0.5423</v>
      </c>
      <c r="H42" s="362" t="n">
        <v>0.3888888888888889</v>
      </c>
      <c r="I42" s="66" t="n">
        <v>0.65</v>
      </c>
      <c r="J42" s="362" t="n">
        <v>0.4305555555555556</v>
      </c>
      <c r="K42" s="65" t="n">
        <v>0.4793</v>
      </c>
      <c r="L42" s="362" t="n">
        <v>0.4722222222222222</v>
      </c>
      <c r="M42" s="65" t="n">
        <v>0.608</v>
      </c>
      <c r="N42" s="65">
        <f>AVERAGE(E42,G42,I42,K42,M42)</f>
        <v/>
      </c>
      <c r="O42" s="240">
        <f>AVERAGE(N42:N44)</f>
        <v/>
      </c>
    </row>
    <row r="43">
      <c r="B43" s="331" t="n"/>
      <c r="C43" s="63" t="inlineStr">
        <is>
          <t>오후</t>
        </is>
      </c>
      <c r="D43" s="362" t="n">
        <v>0.625</v>
      </c>
      <c r="E43" s="65" t="n">
        <v>0.5412</v>
      </c>
      <c r="F43" s="362" t="n">
        <v>0.6666666666666666</v>
      </c>
      <c r="G43" s="65" t="n">
        <v>0.5546</v>
      </c>
      <c r="H43" s="362" t="n">
        <v>0.7083333333333334</v>
      </c>
      <c r="I43" s="66" t="n">
        <v>0.6516</v>
      </c>
      <c r="J43" s="362" t="n">
        <v>0.75</v>
      </c>
      <c r="K43" s="66" t="n">
        <v>0.5148</v>
      </c>
      <c r="L43" s="362" t="n">
        <v>0.7916666666666666</v>
      </c>
      <c r="M43" s="66" t="n">
        <v>0.6115</v>
      </c>
      <c r="N43" s="65">
        <f>AVERAGE(E43,G43,I43,K43,M43)</f>
        <v/>
      </c>
      <c r="O43" s="363" t="n"/>
    </row>
    <row r="44">
      <c r="B44" s="354" t="n"/>
      <c r="C44" s="63" t="inlineStr">
        <is>
          <t>야간</t>
        </is>
      </c>
      <c r="D44" s="362" t="n">
        <v>0.9652777777777778</v>
      </c>
      <c r="E44" s="65" t="n">
        <v>0.5527</v>
      </c>
      <c r="F44" s="362" t="n">
        <v>1.013888888888889</v>
      </c>
      <c r="G44" s="66" t="n">
        <v>0.5296999999999999</v>
      </c>
      <c r="H44" s="362" t="n"/>
      <c r="I44" s="66" t="n"/>
      <c r="J44" s="362" t="n">
        <v>0.03472222222222222</v>
      </c>
      <c r="K44" s="66" t="n">
        <v>0.4612</v>
      </c>
      <c r="L44" s="362" t="n">
        <v>0.0625</v>
      </c>
      <c r="M44" s="66" t="n">
        <v>0.6111</v>
      </c>
      <c r="N44" s="65">
        <f>AVERAGE(E44,G44,I44,K44,M44)</f>
        <v/>
      </c>
      <c r="O44" s="361" t="n"/>
    </row>
    <row r="45">
      <c r="B45" s="239" t="n">
        <v>46218</v>
      </c>
      <c r="C45" s="63" t="inlineStr">
        <is>
          <t>오전</t>
        </is>
      </c>
      <c r="D45" s="362" t="n">
        <v>0.3125</v>
      </c>
      <c r="E45" s="64" t="n">
        <v>0.4918</v>
      </c>
      <c r="F45" s="362" t="n">
        <v>0.3611111111111111</v>
      </c>
      <c r="G45" s="65" t="n">
        <v>0.5580000000000001</v>
      </c>
      <c r="H45" s="362" t="n"/>
      <c r="I45" s="66" t="n"/>
      <c r="J45" s="362" t="n">
        <v>0.3888888888888889</v>
      </c>
      <c r="K45" s="65" t="n">
        <v>0.4928</v>
      </c>
      <c r="L45" s="362" t="n">
        <v>0.4375</v>
      </c>
      <c r="M45" s="65" t="n">
        <v>0.6993</v>
      </c>
      <c r="N45" s="65">
        <f>AVERAGE(E45,G45,I45,K45,M45)</f>
        <v/>
      </c>
      <c r="O45" s="240">
        <f>AVERAGE(N45:N47)</f>
        <v/>
      </c>
    </row>
    <row r="46">
      <c r="B46" s="331" t="n"/>
      <c r="C46" s="63" t="inlineStr">
        <is>
          <t>오후</t>
        </is>
      </c>
      <c r="D46" s="362" t="n">
        <v>0.625</v>
      </c>
      <c r="E46" s="65" t="n">
        <v>0.608</v>
      </c>
      <c r="F46" s="362" t="n">
        <v>0.6666666666666666</v>
      </c>
      <c r="G46" s="65" t="n">
        <v>0.5362</v>
      </c>
      <c r="H46" s="362" t="n"/>
      <c r="I46" s="66" t="n"/>
      <c r="J46" s="362" t="n">
        <v>0.7083333333333334</v>
      </c>
      <c r="K46" s="66" t="n">
        <v>0.4753</v>
      </c>
      <c r="L46" s="362" t="n">
        <v>0.75</v>
      </c>
      <c r="M46" s="66" t="n">
        <v>0.6469</v>
      </c>
      <c r="N46" s="65">
        <f>AVERAGE(E46,G46,I46,K46,M46)</f>
        <v/>
      </c>
      <c r="O46" s="363" t="n"/>
    </row>
    <row r="47">
      <c r="B47" s="354" t="n"/>
      <c r="C47" s="63" t="inlineStr">
        <is>
          <t>야간</t>
        </is>
      </c>
      <c r="D47" s="362" t="n">
        <v>0.9652777777777778</v>
      </c>
      <c r="E47" s="66" t="n">
        <v>0.5232</v>
      </c>
      <c r="F47" s="362" t="n">
        <v>0.05555555555555555</v>
      </c>
      <c r="G47" s="66" t="n">
        <v>0.5685</v>
      </c>
      <c r="H47" s="362" t="n"/>
      <c r="I47" s="66" t="n"/>
      <c r="J47" s="362" t="n">
        <v>0.125</v>
      </c>
      <c r="K47" s="66" t="n">
        <v>0.4876</v>
      </c>
      <c r="L47" s="362" t="n">
        <v>0.1875</v>
      </c>
      <c r="M47" s="66" t="n">
        <v>0.6627</v>
      </c>
      <c r="N47" s="65">
        <f>AVERAGE(E47,G47,I47,K47,M47)</f>
        <v/>
      </c>
      <c r="O47" s="361" t="n"/>
    </row>
    <row r="48">
      <c r="B48" s="239" t="n">
        <v>46219</v>
      </c>
      <c r="C48" s="63" t="inlineStr">
        <is>
          <t>오전</t>
        </is>
      </c>
      <c r="D48" s="362" t="n">
        <v>0.3125</v>
      </c>
      <c r="E48" s="64" t="n">
        <v>0.5548</v>
      </c>
      <c r="F48" s="362" t="n">
        <v>0.3611111111111111</v>
      </c>
      <c r="G48" s="65" t="n">
        <v>0.5485</v>
      </c>
      <c r="H48" s="362" t="n"/>
      <c r="I48" s="66" t="n"/>
      <c r="J48" s="362" t="n">
        <v>0.3888888888888889</v>
      </c>
      <c r="K48" s="66" t="n">
        <v>0.5284</v>
      </c>
      <c r="L48" s="362" t="n">
        <v>0.4375</v>
      </c>
      <c r="M48" s="66" t="n">
        <v>0.6284999999999999</v>
      </c>
      <c r="N48" s="65">
        <f>AVERAGE(E48,G48,I48,K48,M48)</f>
        <v/>
      </c>
      <c r="O48" s="240">
        <f>AVERAGE(N48:N50)</f>
        <v/>
      </c>
    </row>
    <row r="49">
      <c r="B49" s="331" t="n"/>
      <c r="C49" s="63" t="inlineStr">
        <is>
          <t>오후</t>
        </is>
      </c>
      <c r="D49" s="362" t="n"/>
      <c r="E49" s="65" t="n"/>
      <c r="F49" s="362" t="n"/>
      <c r="G49" s="65" t="n"/>
      <c r="H49" s="362" t="n"/>
      <c r="I49" s="66" t="n"/>
      <c r="J49" s="362" t="n"/>
      <c r="K49" s="66" t="n"/>
      <c r="L49" s="362" t="n"/>
      <c r="M49" s="66" t="n"/>
      <c r="N49" s="65">
        <f>AVERAGE(E49,G49,I49,K49,M49)</f>
        <v/>
      </c>
      <c r="O49" s="363" t="n"/>
    </row>
    <row r="50">
      <c r="B50" s="354" t="n"/>
      <c r="C50" s="63" t="inlineStr">
        <is>
          <t>야간</t>
        </is>
      </c>
      <c r="D50" s="362" t="n">
        <v>0.9652777777777778</v>
      </c>
      <c r="E50" s="65" t="n">
        <v>0.5465</v>
      </c>
      <c r="F50" s="362" t="n">
        <v>0.02083333333333333</v>
      </c>
      <c r="G50" s="66" t="n">
        <v>0.5433</v>
      </c>
      <c r="H50" s="362" t="n"/>
      <c r="I50" s="66" t="n"/>
      <c r="J50" s="362" t="n">
        <v>0.0625</v>
      </c>
      <c r="K50" s="66" t="n">
        <v>0.5256999999999999</v>
      </c>
      <c r="L50" s="362" t="n">
        <v>0.125</v>
      </c>
      <c r="M50" s="66" t="n">
        <v>0.6244</v>
      </c>
      <c r="N50" s="65">
        <f>AVERAGE(E50,G50,I50,K50,M50)</f>
        <v/>
      </c>
      <c r="O50" s="361" t="n"/>
    </row>
    <row r="51">
      <c r="B51" s="239" t="n">
        <v>46220</v>
      </c>
      <c r="C51" s="63" t="inlineStr">
        <is>
          <t>오전</t>
        </is>
      </c>
      <c r="D51" s="362" t="n">
        <v>0.3194444444444444</v>
      </c>
      <c r="E51" s="64" t="n">
        <v>0.614</v>
      </c>
      <c r="F51" s="362" t="n">
        <v>0.3541666666666667</v>
      </c>
      <c r="G51" s="65" t="n">
        <v>0.5577</v>
      </c>
      <c r="H51" s="362" t="n"/>
      <c r="I51" s="66" t="n"/>
      <c r="J51" s="362" t="n">
        <v>0.4027777777777778</v>
      </c>
      <c r="K51" s="66" t="n">
        <v>0.5501</v>
      </c>
      <c r="L51" s="362" t="n">
        <v>0.4305555555555556</v>
      </c>
      <c r="M51" s="66" t="n">
        <v>0.6377</v>
      </c>
      <c r="N51" s="65">
        <f>AVERAGE(E51,G51,I51,K51,M51)</f>
        <v/>
      </c>
      <c r="O51" s="240">
        <f>AVERAGE(N51:N53)</f>
        <v/>
      </c>
    </row>
    <row r="52">
      <c r="B52" s="331" t="n"/>
      <c r="C52" s="63" t="inlineStr">
        <is>
          <t>오후</t>
        </is>
      </c>
      <c r="D52" s="362" t="n">
        <v>0.6527777777777778</v>
      </c>
      <c r="E52" s="65" t="n">
        <v>0.606</v>
      </c>
      <c r="F52" s="362" t="n">
        <v>0.6944444444444444</v>
      </c>
      <c r="G52" s="65" t="n">
        <v>0.5523</v>
      </c>
      <c r="H52" s="362" t="n"/>
      <c r="I52" s="66" t="n"/>
      <c r="J52" s="362" t="n">
        <v>0.7013888888888888</v>
      </c>
      <c r="K52" s="66" t="n">
        <v>0.5555</v>
      </c>
      <c r="L52" s="362" t="n">
        <v>0.75</v>
      </c>
      <c r="M52" s="66" t="n">
        <v>0.6292</v>
      </c>
      <c r="N52" s="65">
        <f>AVERAGE(E52,G52,I52,K52,M52)</f>
        <v/>
      </c>
      <c r="O52" s="363" t="n"/>
    </row>
    <row r="53">
      <c r="B53" s="354" t="n"/>
      <c r="C53" s="63" t="inlineStr">
        <is>
          <t>야간</t>
        </is>
      </c>
      <c r="D53" s="362" t="n">
        <v>0.9652777777777778</v>
      </c>
      <c r="E53" s="65" t="n">
        <v>0.6235000000000001</v>
      </c>
      <c r="F53" s="362" t="n">
        <v>0.006944444444444444</v>
      </c>
      <c r="G53" s="66" t="n">
        <v>0.6022999999999999</v>
      </c>
      <c r="H53" s="362" t="n"/>
      <c r="I53" s="66" t="n"/>
      <c r="J53" s="362" t="n">
        <v>0.04861111111111111</v>
      </c>
      <c r="K53" s="66" t="n">
        <v>0.547</v>
      </c>
      <c r="L53" s="362" t="n">
        <v>0.09027777777777778</v>
      </c>
      <c r="M53" s="66" t="n">
        <v>0.627</v>
      </c>
      <c r="N53" s="65">
        <f>AVERAGE(E53,G53,I53,K53,M53)</f>
        <v/>
      </c>
      <c r="O53" s="361" t="n"/>
    </row>
    <row r="54">
      <c r="B54" s="239" t="n">
        <v>46221</v>
      </c>
      <c r="C54" s="63" t="inlineStr">
        <is>
          <t>오전</t>
        </is>
      </c>
      <c r="D54" s="362" t="n">
        <v>0.3194444444444444</v>
      </c>
      <c r="E54" s="64" t="n">
        <v>0.6081</v>
      </c>
      <c r="F54" s="362" t="n">
        <v>0.3541666666666667</v>
      </c>
      <c r="G54" s="65" t="n">
        <v>0.5984</v>
      </c>
      <c r="H54" s="362" t="n"/>
      <c r="I54" s="66" t="n"/>
      <c r="J54" s="362" t="n">
        <v>0.3888888888888889</v>
      </c>
      <c r="K54" s="66" t="n">
        <v>0.5175</v>
      </c>
      <c r="L54" s="362" t="n">
        <v>0.4444444444444444</v>
      </c>
      <c r="M54" s="66" t="n">
        <v>0.6468</v>
      </c>
      <c r="N54" s="65">
        <f>AVERAGE(E54,G54,I54,K54,M54)</f>
        <v/>
      </c>
      <c r="O54" s="240">
        <f>AVERAGE(N54:N56)</f>
        <v/>
      </c>
    </row>
    <row r="55">
      <c r="B55" s="331" t="n"/>
      <c r="C55" s="63" t="inlineStr">
        <is>
          <t>오후</t>
        </is>
      </c>
      <c r="D55" s="362" t="n">
        <v>0.6458333333333334</v>
      </c>
      <c r="E55" s="65" t="n">
        <v>0.6485</v>
      </c>
      <c r="F55" s="362" t="n">
        <v>0.6805555555555556</v>
      </c>
      <c r="G55" s="65" t="n">
        <v>0.6385</v>
      </c>
      <c r="H55" s="362" t="n"/>
      <c r="I55" s="66" t="n"/>
      <c r="J55" s="362" t="n">
        <v>0.7361111111111112</v>
      </c>
      <c r="K55" s="66" t="n">
        <v>0.5548</v>
      </c>
      <c r="L55" s="362" t="n">
        <v>0.7638888888888888</v>
      </c>
      <c r="M55" s="66" t="n">
        <v>0.6385</v>
      </c>
      <c r="N55" s="65">
        <f>AVERAGE(E55,G55,I55,K55,M55)</f>
        <v/>
      </c>
      <c r="O55" s="363" t="n"/>
    </row>
    <row r="56">
      <c r="B56" s="354" t="n"/>
      <c r="C56" s="63" t="inlineStr">
        <is>
          <t>야간</t>
        </is>
      </c>
      <c r="D56" s="362" t="n">
        <v>0.9652777777777778</v>
      </c>
      <c r="E56" s="65" t="n">
        <v>0.6296</v>
      </c>
      <c r="F56" s="362" t="n">
        <v>0.1666666666666667</v>
      </c>
      <c r="G56" s="66" t="n">
        <v>0.6219</v>
      </c>
      <c r="H56" s="362" t="n">
        <v>0.2013888888888889</v>
      </c>
      <c r="I56" s="66" t="n">
        <v>0.6458</v>
      </c>
      <c r="J56" s="362" t="n">
        <v>0.02083333333333333</v>
      </c>
      <c r="K56" s="66" t="n">
        <v>0.5918</v>
      </c>
      <c r="L56" s="362" t="n"/>
      <c r="M56" s="66" t="n"/>
      <c r="N56" s="65">
        <f>AVERAGE(E56,G56,I56,K56,M56)</f>
        <v/>
      </c>
      <c r="O56" s="361" t="n"/>
    </row>
    <row r="57">
      <c r="B57" s="239" t="n">
        <v>46222</v>
      </c>
      <c r="C57" s="63" t="inlineStr">
        <is>
          <t>오전</t>
        </is>
      </c>
      <c r="D57" s="362" t="n">
        <v>0.3194444444444444</v>
      </c>
      <c r="E57" s="64" t="n">
        <v>0.648</v>
      </c>
      <c r="F57" s="362" t="n">
        <v>0.3472222222222222</v>
      </c>
      <c r="G57" s="65" t="n">
        <v>0.5908</v>
      </c>
      <c r="H57" s="362" t="n">
        <v>0.3888888888888889</v>
      </c>
      <c r="I57" s="66" t="n">
        <v>0.6485</v>
      </c>
      <c r="J57" s="362" t="n">
        <v>0.4375</v>
      </c>
      <c r="K57" s="66" t="n">
        <v>0.5551</v>
      </c>
      <c r="L57" s="362" t="n"/>
      <c r="M57" s="66" t="n"/>
      <c r="N57" s="65">
        <f>AVERAGE(E57,G57,I57,K57,M57)</f>
        <v/>
      </c>
      <c r="O57" s="240">
        <f>AVERAGE(N57:N59)</f>
        <v/>
      </c>
    </row>
    <row r="58">
      <c r="B58" s="331" t="n"/>
      <c r="C58" s="63" t="inlineStr">
        <is>
          <t>오후</t>
        </is>
      </c>
      <c r="D58" s="362" t="n">
        <v>0.6458333333333334</v>
      </c>
      <c r="E58" s="65" t="n">
        <v>0.6582</v>
      </c>
      <c r="F58" s="362" t="n">
        <v>0.6805555555555556</v>
      </c>
      <c r="G58" s="65" t="n">
        <v>0.6647999999999999</v>
      </c>
      <c r="H58" s="362" t="n">
        <v>0.7291666666666666</v>
      </c>
      <c r="I58" s="66" t="n">
        <v>0.6284999999999999</v>
      </c>
      <c r="J58" s="362" t="n">
        <v>0.7638888888888888</v>
      </c>
      <c r="K58" s="66" t="n">
        <v>0.6185</v>
      </c>
      <c r="L58" s="362" t="n"/>
      <c r="M58" s="66" t="n"/>
      <c r="N58" s="65">
        <f>AVERAGE(E58,G58,I58,K58,M58)</f>
        <v/>
      </c>
      <c r="O58" s="363" t="n"/>
    </row>
    <row r="59">
      <c r="B59" s="354" t="n"/>
      <c r="C59" s="63" t="inlineStr">
        <is>
          <t>야간</t>
        </is>
      </c>
      <c r="D59" s="362" t="n">
        <v>0.9652777777777778</v>
      </c>
      <c r="E59" s="65" t="n">
        <v>0.625</v>
      </c>
      <c r="F59" s="362" t="n">
        <v>0.006944444444444444</v>
      </c>
      <c r="G59" s="66" t="n">
        <v>0.5642</v>
      </c>
      <c r="H59" s="362" t="n">
        <v>0.03472222222222222</v>
      </c>
      <c r="I59" s="66" t="n">
        <v>0.6566</v>
      </c>
      <c r="J59" s="362" t="n">
        <v>0.0625</v>
      </c>
      <c r="K59" s="66" t="n">
        <v>0.57</v>
      </c>
      <c r="L59" s="362" t="n"/>
      <c r="M59" s="66" t="n"/>
      <c r="N59" s="65">
        <f>AVERAGE(E59,G59,I59,K59,M59)</f>
        <v/>
      </c>
      <c r="O59" s="361" t="n"/>
    </row>
    <row r="60">
      <c r="B60" s="239" t="n">
        <v>46223</v>
      </c>
      <c r="C60" s="63" t="inlineStr">
        <is>
          <t>오전</t>
        </is>
      </c>
      <c r="D60" s="362" t="n">
        <v>0.3125</v>
      </c>
      <c r="E60" s="65" t="n">
        <v>0.6805</v>
      </c>
      <c r="F60" s="362" t="n">
        <v>0.3541666666666667</v>
      </c>
      <c r="G60" s="65" t="n">
        <v>0.595</v>
      </c>
      <c r="H60" s="362" t="n">
        <v>0.3958333333333333</v>
      </c>
      <c r="I60" s="66" t="n">
        <v>0.6689000000000001</v>
      </c>
      <c r="J60" s="362" t="n">
        <v>0.4375</v>
      </c>
      <c r="K60" s="66" t="n">
        <v>0.5639</v>
      </c>
      <c r="L60" s="362" t="n"/>
      <c r="M60" s="66" t="n"/>
      <c r="N60" s="65">
        <f>AVERAGE(E60,G60,I60,K60,M60)</f>
        <v/>
      </c>
      <c r="O60" s="240">
        <f>AVERAGE(N60:N62)</f>
        <v/>
      </c>
    </row>
    <row r="61">
      <c r="B61" s="331" t="n"/>
      <c r="C61" s="63" t="inlineStr">
        <is>
          <t>오후</t>
        </is>
      </c>
      <c r="D61" s="362" t="n">
        <v>0.6319444444444444</v>
      </c>
      <c r="E61" s="65" t="n">
        <v>0.6788</v>
      </c>
      <c r="F61" s="362" t="n">
        <v>0.7013888888888888</v>
      </c>
      <c r="G61" s="65" t="n">
        <v>0.5891999999999999</v>
      </c>
      <c r="H61" s="362" t="n"/>
      <c r="I61" s="66" t="n"/>
      <c r="J61" s="362" t="n">
        <v>0.7638888888888888</v>
      </c>
      <c r="K61" s="66" t="n">
        <v>0.5537</v>
      </c>
      <c r="L61" s="362" t="n">
        <v>0.8194444444444444</v>
      </c>
      <c r="M61" s="66" t="n">
        <v>0.6614</v>
      </c>
      <c r="N61" s="65">
        <f>AVERAGE(E61,G61,I61,K61,M61)</f>
        <v/>
      </c>
      <c r="O61" s="363" t="n"/>
    </row>
    <row r="62">
      <c r="B62" s="354" t="n"/>
      <c r="C62" s="63" t="inlineStr">
        <is>
          <t>야간</t>
        </is>
      </c>
      <c r="D62" s="362" t="n">
        <v>0.9652777777777778</v>
      </c>
      <c r="E62" s="65" t="n">
        <v>0.6408</v>
      </c>
      <c r="F62" s="362" t="n">
        <v>0.01388888888888889</v>
      </c>
      <c r="G62" s="66" t="n">
        <v>0.587</v>
      </c>
      <c r="H62" s="362" t="n"/>
      <c r="I62" s="66" t="n"/>
      <c r="J62" s="362" t="n">
        <v>0.05555555555555555</v>
      </c>
      <c r="K62" s="66" t="n">
        <v>0.5523</v>
      </c>
      <c r="L62" s="362" t="n">
        <v>0.1041666666666667</v>
      </c>
      <c r="M62" s="66" t="n">
        <v>0.6368</v>
      </c>
      <c r="N62" s="65">
        <f>AVERAGE(E62,G62,I62,K62,M62)</f>
        <v/>
      </c>
      <c r="O62" s="361" t="n"/>
    </row>
    <row r="63">
      <c r="B63" s="239" t="n">
        <v>46224</v>
      </c>
      <c r="C63" s="63" t="inlineStr">
        <is>
          <t>오전</t>
        </is>
      </c>
      <c r="D63" s="362" t="n">
        <v>0.3125</v>
      </c>
      <c r="E63" s="64" t="n">
        <v>0.6028</v>
      </c>
      <c r="F63" s="362" t="n">
        <v>0.3541666666666667</v>
      </c>
      <c r="G63" s="65" t="n">
        <v>0.6095</v>
      </c>
      <c r="H63" s="362" t="n"/>
      <c r="I63" s="66" t="n"/>
      <c r="J63" s="362" t="n">
        <v>0.3958333333333333</v>
      </c>
      <c r="K63" s="65" t="n">
        <v>0.555</v>
      </c>
      <c r="L63" s="362" t="n">
        <v>0.4375</v>
      </c>
      <c r="M63" s="65" t="n">
        <v>0.6526</v>
      </c>
      <c r="N63" s="65">
        <f>AVERAGE(E63,G63,I63,K63,M63)</f>
        <v/>
      </c>
      <c r="O63" s="240">
        <f>AVERAGE(N63:N65)</f>
        <v/>
      </c>
    </row>
    <row r="64">
      <c r="B64" s="331" t="n"/>
      <c r="C64" s="63" t="inlineStr">
        <is>
          <t>오후</t>
        </is>
      </c>
      <c r="D64" s="362" t="n">
        <v>0.6319444444444444</v>
      </c>
      <c r="E64" s="65" t="n">
        <v>0.6247</v>
      </c>
      <c r="F64" s="362" t="n">
        <v>0.7013888888888888</v>
      </c>
      <c r="G64" s="65" t="n">
        <v>0.5938</v>
      </c>
      <c r="H64" s="362" t="n"/>
      <c r="I64" s="66" t="n"/>
      <c r="J64" s="362" t="n">
        <v>0.7777777777777778</v>
      </c>
      <c r="K64" s="66" t="n">
        <v>0.5785</v>
      </c>
      <c r="L64" s="362" t="n">
        <v>0.8333333333333334</v>
      </c>
      <c r="M64" s="66" t="n">
        <v>0.6488</v>
      </c>
      <c r="N64" s="65">
        <f>AVERAGE(E64,G64,I64,K64,M64)</f>
        <v/>
      </c>
      <c r="O64" s="363" t="n"/>
    </row>
    <row r="65">
      <c r="B65" s="354" t="n"/>
      <c r="C65" s="63" t="inlineStr">
        <is>
          <t>야간</t>
        </is>
      </c>
      <c r="D65" s="362" t="n">
        <v>0.9652777777777778</v>
      </c>
      <c r="E65" s="65" t="n">
        <v>0.6312</v>
      </c>
      <c r="F65" s="362" t="n"/>
      <c r="G65" s="66" t="n"/>
      <c r="H65" s="362" t="n"/>
      <c r="I65" s="66" t="n"/>
      <c r="J65" s="362" t="n"/>
      <c r="K65" s="66" t="n"/>
      <c r="L65" s="362" t="n">
        <v>0.05555555555555555</v>
      </c>
      <c r="M65" s="66" t="n">
        <v>0.6841</v>
      </c>
      <c r="N65" s="65">
        <f>AVERAGE(E65,G65,I65,K65,M65)</f>
        <v/>
      </c>
      <c r="O65" s="361" t="n"/>
    </row>
    <row r="66">
      <c r="B66" s="239" t="n">
        <v>46225</v>
      </c>
      <c r="C66" s="63" t="inlineStr">
        <is>
          <t>오전</t>
        </is>
      </c>
      <c r="D66" s="362" t="n"/>
      <c r="E66" s="64" t="n"/>
      <c r="F66" s="362" t="n"/>
      <c r="G66" s="65" t="n"/>
      <c r="H66" s="362" t="n">
        <v>0.3125</v>
      </c>
      <c r="I66" s="66" t="n">
        <v>0.7008</v>
      </c>
      <c r="J66" s="362" t="n"/>
      <c r="K66" s="65" t="n"/>
      <c r="L66" s="362" t="n">
        <v>0.3541666666666667</v>
      </c>
      <c r="M66" s="65" t="n">
        <v>0.6982</v>
      </c>
      <c r="N66" s="65">
        <f>AVERAGE(E66,G66,I66,K66,M66)</f>
        <v/>
      </c>
      <c r="O66" s="240">
        <f>AVERAGE(N66:N68)</f>
        <v/>
      </c>
    </row>
    <row r="67">
      <c r="B67" s="331" t="n"/>
      <c r="C67" s="63" t="inlineStr">
        <is>
          <t>오후</t>
        </is>
      </c>
      <c r="D67" s="362" t="n"/>
      <c r="E67" s="65" t="n"/>
      <c r="F67" s="362" t="n"/>
      <c r="G67" s="65" t="n"/>
      <c r="H67" s="362" t="n">
        <v>0.6458333333333334</v>
      </c>
      <c r="I67" s="66" t="n">
        <v>0.7128</v>
      </c>
      <c r="J67" s="362" t="n"/>
      <c r="K67" s="66" t="n"/>
      <c r="L67" s="362" t="n">
        <v>0.6875</v>
      </c>
      <c r="M67" s="66" t="n">
        <v>0.7039</v>
      </c>
      <c r="N67" s="65">
        <f>AVERAGE(E67,G67,I67,K67,M67)</f>
        <v/>
      </c>
      <c r="O67" s="363" t="n"/>
    </row>
    <row r="68">
      <c r="B68" s="354" t="n"/>
      <c r="C68" s="63" t="inlineStr">
        <is>
          <t>야간</t>
        </is>
      </c>
      <c r="D68" s="362" t="n"/>
      <c r="E68" s="65" t="n"/>
      <c r="F68" s="362" t="n"/>
      <c r="G68" s="66" t="n"/>
      <c r="H68" s="362" t="n">
        <v>0.9652777777777778</v>
      </c>
      <c r="I68" s="66" t="n">
        <v>0.7054</v>
      </c>
      <c r="J68" s="362" t="n"/>
      <c r="K68" s="66" t="n"/>
      <c r="L68" s="362" t="n">
        <v>0.04861111111111111</v>
      </c>
      <c r="M68" s="66" t="n">
        <v>0.7014</v>
      </c>
      <c r="N68" s="65">
        <f>AVERAGE(E68,G68,I68,K68,M68)</f>
        <v/>
      </c>
      <c r="O68" s="361" t="n"/>
    </row>
    <row r="69">
      <c r="B69" s="239" t="n">
        <v>46226</v>
      </c>
      <c r="C69" s="63" t="inlineStr">
        <is>
          <t>오전</t>
        </is>
      </c>
      <c r="D69" s="362" t="n"/>
      <c r="E69" s="64" t="n"/>
      <c r="F69" s="362" t="n"/>
      <c r="G69" s="65" t="n"/>
      <c r="H69" s="362" t="n"/>
      <c r="I69" s="66" t="n"/>
      <c r="J69" s="362" t="n"/>
      <c r="K69" s="65" t="n"/>
      <c r="L69" s="362" t="n"/>
      <c r="M69" s="65" t="n"/>
      <c r="N69" s="65">
        <f>AVERAGE(E69,G69,I69,K69,M69)</f>
        <v/>
      </c>
      <c r="O69" s="240">
        <f>AVERAGE(N69:N71)</f>
        <v/>
      </c>
    </row>
    <row r="70">
      <c r="B70" s="331" t="n"/>
      <c r="C70" s="63" t="inlineStr">
        <is>
          <t>오후</t>
        </is>
      </c>
      <c r="D70" s="362" t="n"/>
      <c r="E70" s="65" t="n"/>
      <c r="F70" s="362" t="n"/>
      <c r="G70" s="65" t="n"/>
      <c r="H70" s="362" t="n"/>
      <c r="I70" s="66" t="n"/>
      <c r="J70" s="362" t="n"/>
      <c r="K70" s="66" t="n"/>
      <c r="L70" s="362" t="n"/>
      <c r="M70" s="66" t="n"/>
      <c r="N70" s="65">
        <f>AVERAGE(E70,G70,I70,K70,M70)</f>
        <v/>
      </c>
      <c r="O70" s="363" t="n"/>
    </row>
    <row r="71">
      <c r="B71" s="354" t="n"/>
      <c r="C71" s="63" t="inlineStr">
        <is>
          <t>야간</t>
        </is>
      </c>
      <c r="D71" s="362" t="n">
        <v>0.9652777777777778</v>
      </c>
      <c r="E71" s="65" t="n">
        <v>0.5619</v>
      </c>
      <c r="F71" s="362" t="n">
        <v>0.01388888888888889</v>
      </c>
      <c r="G71" s="66" t="n">
        <v>0.5828</v>
      </c>
      <c r="H71" s="362" t="n"/>
      <c r="I71" s="66" t="n"/>
      <c r="J71" s="362" t="n">
        <v>0.05555555555555555</v>
      </c>
      <c r="K71" s="66" t="n">
        <v>0.5714</v>
      </c>
      <c r="L71" s="362" t="n"/>
      <c r="M71" s="66" t="n"/>
      <c r="N71" s="65">
        <f>AVERAGE(E71,G71,I71,K71,M71)</f>
        <v/>
      </c>
      <c r="O71" s="361" t="n"/>
    </row>
    <row r="72">
      <c r="B72" s="239" t="n">
        <v>46227</v>
      </c>
      <c r="C72" s="63" t="inlineStr">
        <is>
          <t>오전</t>
        </is>
      </c>
      <c r="D72" s="362" t="n">
        <v>0.3125</v>
      </c>
      <c r="E72" s="64" t="n">
        <v>0.5456</v>
      </c>
      <c r="F72" s="362" t="n">
        <v>0.3541666666666667</v>
      </c>
      <c r="G72" s="65" t="n">
        <v>0.5406</v>
      </c>
      <c r="H72" s="362" t="n"/>
      <c r="I72" s="66" t="n"/>
      <c r="J72" s="362" t="n">
        <v>0.3958333333333333</v>
      </c>
      <c r="K72" s="65" t="n">
        <v>0.5384</v>
      </c>
      <c r="L72" s="362" t="n"/>
      <c r="M72" s="65" t="n"/>
      <c r="N72" s="65">
        <f>AVERAGE(E72,G72,I72,K72,M72)</f>
        <v/>
      </c>
      <c r="O72" s="240">
        <f>AVERAGE(N72:N74)</f>
        <v/>
      </c>
    </row>
    <row r="73">
      <c r="B73" s="331" t="n"/>
      <c r="C73" s="63" t="inlineStr">
        <is>
          <t>오후</t>
        </is>
      </c>
      <c r="D73" s="362" t="n">
        <v>0.6319444444444444</v>
      </c>
      <c r="E73" s="65" t="n">
        <v>0.5687</v>
      </c>
      <c r="F73" s="362" t="n">
        <v>0.6736111111111112</v>
      </c>
      <c r="G73" s="65" t="n">
        <v>0.5543</v>
      </c>
      <c r="H73" s="362" t="n"/>
      <c r="I73" s="66" t="n"/>
      <c r="J73" s="362" t="n">
        <v>0.7430555555555556</v>
      </c>
      <c r="K73" s="66" t="n">
        <v>0.5455</v>
      </c>
      <c r="L73" s="362" t="n"/>
      <c r="M73" s="66" t="n"/>
      <c r="N73" s="65">
        <f>AVERAGE(E73,G73,I73,K73,M73)</f>
        <v/>
      </c>
      <c r="O73" s="363" t="n"/>
    </row>
    <row r="74">
      <c r="B74" s="354" t="n"/>
      <c r="C74" s="63" t="inlineStr">
        <is>
          <t>야간</t>
        </is>
      </c>
      <c r="D74" s="362" t="n">
        <v>0.9583333333333334</v>
      </c>
      <c r="E74" s="65" t="n">
        <v>0.572</v>
      </c>
      <c r="F74" s="362" t="n">
        <v>0.02083333333333333</v>
      </c>
      <c r="G74" s="66" t="n">
        <v>0.5684</v>
      </c>
      <c r="H74" s="362" t="n"/>
      <c r="I74" s="66" t="n"/>
      <c r="J74" s="362" t="n">
        <v>0.09027777777777778</v>
      </c>
      <c r="K74" s="66" t="n">
        <v>0.5729</v>
      </c>
      <c r="L74" s="362" t="n"/>
      <c r="M74" s="66" t="n"/>
      <c r="N74" s="65">
        <f>AVERAGE(E74,G74,I74,K74,M74)</f>
        <v/>
      </c>
      <c r="O74" s="361" t="n"/>
    </row>
    <row r="75">
      <c r="B75" s="239" t="n">
        <v>46228</v>
      </c>
      <c r="C75" s="63" t="inlineStr">
        <is>
          <t>오전</t>
        </is>
      </c>
      <c r="D75" s="362" t="n">
        <v>0.3055555555555556</v>
      </c>
      <c r="E75" s="64" t="n">
        <v>0.5618</v>
      </c>
      <c r="F75" s="362" t="n">
        <v>0.375</v>
      </c>
      <c r="G75" s="65" t="n">
        <v>0.5627</v>
      </c>
      <c r="H75" s="362" t="n"/>
      <c r="I75" s="66" t="n"/>
      <c r="J75" s="362" t="n">
        <v>0.4722222222222222</v>
      </c>
      <c r="K75" s="65" t="n">
        <v>0.5988</v>
      </c>
      <c r="L75" s="362" t="n"/>
      <c r="M75" s="65" t="n"/>
      <c r="N75" s="65">
        <f>AVERAGE(E75,G75,I75,K75,M75)</f>
        <v/>
      </c>
      <c r="O75" s="240">
        <f>AVERAGE(N75:N77)</f>
        <v/>
      </c>
    </row>
    <row r="76">
      <c r="B76" s="331" t="n"/>
      <c r="C76" s="63" t="inlineStr">
        <is>
          <t>오후</t>
        </is>
      </c>
      <c r="D76" s="362" t="n">
        <v>0.6458333333333334</v>
      </c>
      <c r="E76" s="65" t="n">
        <v>0.5933</v>
      </c>
      <c r="F76" s="362" t="n">
        <v>0.6875</v>
      </c>
      <c r="G76" s="65" t="n">
        <v>0.5707</v>
      </c>
      <c r="H76" s="362" t="n"/>
      <c r="I76" s="66" t="n"/>
      <c r="J76" s="362" t="n">
        <v>0.7430555555555556</v>
      </c>
      <c r="K76" s="66" t="n">
        <v>0.4938</v>
      </c>
      <c r="L76" s="362" t="n">
        <v>0.7916666666666666</v>
      </c>
      <c r="M76" s="66" t="n">
        <v>0.637</v>
      </c>
      <c r="N76" s="65">
        <f>AVERAGE(E76,G76,I76,K76,M76)</f>
        <v/>
      </c>
      <c r="O76" s="363" t="n"/>
    </row>
    <row r="77">
      <c r="B77" s="354" t="n"/>
      <c r="C77" s="63" t="inlineStr">
        <is>
          <t>야간</t>
        </is>
      </c>
      <c r="D77" s="362" t="n">
        <v>0.9583333333333334</v>
      </c>
      <c r="E77" s="65" t="n">
        <v>0.5881</v>
      </c>
      <c r="F77" s="362" t="n">
        <v>0.02083333333333333</v>
      </c>
      <c r="G77" s="66" t="n">
        <v>0.5619</v>
      </c>
      <c r="H77" s="362" t="n"/>
      <c r="I77" s="66" t="n"/>
      <c r="J77" s="362" t="n">
        <v>0.0625</v>
      </c>
      <c r="K77" s="66" t="n">
        <v>0.5431</v>
      </c>
      <c r="L77" s="362" t="n">
        <v>0.09027777777777778</v>
      </c>
      <c r="M77" s="66" t="n">
        <v>0.6298</v>
      </c>
      <c r="N77" s="65">
        <f>AVERAGE(E77,G77,I77,K77,M77)</f>
        <v/>
      </c>
      <c r="O77" s="361" t="n"/>
    </row>
    <row r="78">
      <c r="B78" s="239" t="n">
        <v>46229</v>
      </c>
      <c r="C78" s="63" t="inlineStr">
        <is>
          <t>오전</t>
        </is>
      </c>
      <c r="D78" s="362" t="n">
        <v>0.3125</v>
      </c>
      <c r="E78" s="64" t="n">
        <v>0.5444</v>
      </c>
      <c r="F78" s="362" t="n">
        <v>0.3402777777777778</v>
      </c>
      <c r="G78" s="65" t="n">
        <v>0.5479000000000001</v>
      </c>
      <c r="H78" s="362" t="n"/>
      <c r="I78" s="66" t="n"/>
      <c r="J78" s="362" t="n">
        <v>0.375</v>
      </c>
      <c r="K78" s="65" t="n">
        <v>0.5245</v>
      </c>
      <c r="L78" s="362" t="n">
        <v>0.4027777777777778</v>
      </c>
      <c r="M78" s="65" t="n">
        <v>0.6211</v>
      </c>
      <c r="N78" s="65">
        <f>AVERAGE(E78,G78,I78,K78,M78)</f>
        <v/>
      </c>
      <c r="O78" s="240">
        <f>AVERAGE(N78:N80)</f>
        <v/>
      </c>
    </row>
    <row r="79">
      <c r="B79" s="331" t="n"/>
      <c r="C79" s="63" t="inlineStr">
        <is>
          <t>오후</t>
        </is>
      </c>
      <c r="D79" s="362" t="n">
        <v>0.6319444444444444</v>
      </c>
      <c r="E79" s="65" t="n">
        <v>0.5937</v>
      </c>
      <c r="F79" s="362" t="n">
        <v>0.6666666666666666</v>
      </c>
      <c r="G79" s="65" t="n">
        <v>0.6175</v>
      </c>
      <c r="H79" s="362" t="n">
        <v>0.8333333333333334</v>
      </c>
      <c r="I79" s="66" t="n">
        <v>0.6577</v>
      </c>
      <c r="J79" s="362" t="n">
        <v>0.7222222222222222</v>
      </c>
      <c r="K79" s="66" t="n">
        <v>0.5427999999999999</v>
      </c>
      <c r="L79" s="362" t="n">
        <v>0.7569444444444444</v>
      </c>
      <c r="M79" s="66" t="n">
        <v>0.6296</v>
      </c>
      <c r="N79" s="65">
        <f>AVERAGE(E79,G79,I79,K79,M79)</f>
        <v/>
      </c>
      <c r="O79" s="363" t="n"/>
    </row>
    <row r="80">
      <c r="B80" s="354" t="n"/>
      <c r="C80" s="63" t="inlineStr">
        <is>
          <t>야간</t>
        </is>
      </c>
      <c r="D80" s="362" t="n">
        <v>0.9583333333333334</v>
      </c>
      <c r="E80" s="65" t="n">
        <v>0.6022</v>
      </c>
      <c r="F80" s="362" t="n">
        <v>0</v>
      </c>
      <c r="G80" s="66" t="n">
        <v>0.6173</v>
      </c>
      <c r="H80" s="362" t="n">
        <v>0.04166666666666666</v>
      </c>
      <c r="I80" s="66" t="n">
        <v>0.6074000000000001</v>
      </c>
      <c r="J80" s="362" t="n">
        <v>0.08333333333333333</v>
      </c>
      <c r="K80" s="66" t="n">
        <v>0.6026</v>
      </c>
      <c r="L80" s="362" t="n">
        <v>0.125</v>
      </c>
      <c r="M80" s="66" t="n">
        <v>0.6894</v>
      </c>
      <c r="N80" s="65">
        <f>AVERAGE(E80,G80,I80,K80,M80)</f>
        <v/>
      </c>
      <c r="O80" s="361" t="n"/>
    </row>
    <row r="81">
      <c r="B81" s="239" t="n">
        <v>46230</v>
      </c>
      <c r="C81" s="63" t="inlineStr">
        <is>
          <t>오전</t>
        </is>
      </c>
      <c r="D81" s="362" t="n">
        <v>0.2986111111111111</v>
      </c>
      <c r="E81" s="64" t="n">
        <v>0.6257</v>
      </c>
      <c r="F81" s="362" t="n">
        <v>0.3611111111111111</v>
      </c>
      <c r="G81" s="65" t="n">
        <v>0.6347</v>
      </c>
      <c r="H81" s="362" t="n">
        <v>0.3888888888888889</v>
      </c>
      <c r="I81" s="66" t="n">
        <v>0.665</v>
      </c>
      <c r="J81" s="362" t="n">
        <v>0.4583333333333333</v>
      </c>
      <c r="K81" s="65" t="n">
        <v>0.6148</v>
      </c>
      <c r="L81" s="362" t="n">
        <v>0.5486111111111112</v>
      </c>
      <c r="M81" s="65" t="n">
        <v>0.6522</v>
      </c>
      <c r="N81" s="65">
        <f>AVERAGE(E81,G81,I81,K81,M81)</f>
        <v/>
      </c>
      <c r="O81" s="240">
        <f>AVERAGE(N81:N83)</f>
        <v/>
      </c>
    </row>
    <row r="82">
      <c r="B82" s="331" t="n"/>
      <c r="C82" s="63" t="inlineStr">
        <is>
          <t>오후</t>
        </is>
      </c>
      <c r="D82" s="362" t="n">
        <v>0.6319444444444444</v>
      </c>
      <c r="E82" s="65" t="n">
        <v>0.644</v>
      </c>
      <c r="F82" s="362" t="n">
        <v>0.6666666666666666</v>
      </c>
      <c r="G82" s="65" t="n">
        <v>0.6206</v>
      </c>
      <c r="H82" s="362" t="n">
        <v>0.7361111111111112</v>
      </c>
      <c r="I82" s="66" t="n">
        <v>0.6647</v>
      </c>
      <c r="J82" s="362" t="n">
        <v>0.7083333333333334</v>
      </c>
      <c r="K82" s="66" t="n">
        <v>0.4969</v>
      </c>
      <c r="L82" s="362" t="n">
        <v>0.7708333333333334</v>
      </c>
      <c r="M82" s="66" t="n">
        <v>0.6423</v>
      </c>
      <c r="N82" s="65">
        <f>AVERAGE(E82,G82,I82,K82,M82)</f>
        <v/>
      </c>
      <c r="O82" s="363" t="n"/>
    </row>
    <row r="83">
      <c r="B83" s="354" t="n"/>
      <c r="C83" s="63" t="inlineStr">
        <is>
          <t>야간</t>
        </is>
      </c>
      <c r="D83" s="362" t="n">
        <v>0.9583333333333334</v>
      </c>
      <c r="E83" s="65" t="n">
        <v>0.6455</v>
      </c>
      <c r="F83" s="362" t="n">
        <v>0</v>
      </c>
      <c r="G83" s="66" t="n">
        <v>0.6323</v>
      </c>
      <c r="H83" s="362" t="n">
        <v>0.04166666666666666</v>
      </c>
      <c r="I83" s="66" t="n">
        <v>0.6677</v>
      </c>
      <c r="J83" s="362" t="n">
        <v>0.08333333333333333</v>
      </c>
      <c r="K83" s="66" t="n">
        <v>0.5011</v>
      </c>
      <c r="L83" s="362" t="n">
        <v>0.125</v>
      </c>
      <c r="M83" s="66" t="n">
        <v>0.6459</v>
      </c>
      <c r="N83" s="65">
        <f>AVERAGE(E83,G83,I83,K83,M83)</f>
        <v/>
      </c>
      <c r="O83" s="361" t="n"/>
    </row>
    <row r="84">
      <c r="B84" s="239" t="n">
        <v>46231</v>
      </c>
      <c r="C84" s="63" t="inlineStr">
        <is>
          <t>오전</t>
        </is>
      </c>
      <c r="D84" s="362" t="n">
        <v>0.3125</v>
      </c>
      <c r="E84" s="64" t="n">
        <v>0.6868</v>
      </c>
      <c r="F84" s="362" t="n">
        <v>0.3680555555555556</v>
      </c>
      <c r="G84" s="65" t="n">
        <v>0.5927</v>
      </c>
      <c r="H84" s="362" t="n">
        <v>0.4236111111111111</v>
      </c>
      <c r="I84" s="66" t="n">
        <v>0.6276</v>
      </c>
      <c r="J84" s="362" t="n">
        <v>0.4930555555555556</v>
      </c>
      <c r="K84" s="65" t="n">
        <v>0.6659</v>
      </c>
      <c r="L84" s="362" t="n">
        <v>0.5555555555555556</v>
      </c>
      <c r="M84" s="65" t="n">
        <v>0.6388</v>
      </c>
      <c r="N84" s="65">
        <f>AVERAGE(E84,G84,I84,K84,M84)</f>
        <v/>
      </c>
      <c r="O84" s="240">
        <f>AVERAGE(N84:N86)</f>
        <v/>
      </c>
    </row>
    <row r="85">
      <c r="B85" s="331" t="n"/>
      <c r="C85" s="63" t="inlineStr">
        <is>
          <t>오후</t>
        </is>
      </c>
      <c r="D85" s="362" t="n">
        <v>0.6458333333333334</v>
      </c>
      <c r="E85" s="65" t="n">
        <v>0.7285</v>
      </c>
      <c r="F85" s="362" t="n"/>
      <c r="G85" s="65" t="n"/>
      <c r="H85" s="362" t="n">
        <v>0.6805555555555556</v>
      </c>
      <c r="I85" s="66" t="n">
        <v>0.6848</v>
      </c>
      <c r="J85" s="362" t="n"/>
      <c r="K85" s="66" t="n"/>
      <c r="L85" s="362" t="n">
        <v>0.7291666666666666</v>
      </c>
      <c r="M85" s="66" t="n">
        <v>0.6458</v>
      </c>
      <c r="N85" s="65">
        <f>AVERAGE(E85,G85,I85,K85,M85)</f>
        <v/>
      </c>
      <c r="O85" s="363" t="n"/>
    </row>
    <row r="86">
      <c r="B86" s="354" t="n"/>
      <c r="C86" s="63" t="inlineStr">
        <is>
          <t>야간</t>
        </is>
      </c>
      <c r="D86" s="362" t="n"/>
      <c r="E86" s="65" t="n"/>
      <c r="F86" s="362" t="n"/>
      <c r="G86" s="66" t="n"/>
      <c r="H86" s="362" t="n">
        <v>0.9583333333333334</v>
      </c>
      <c r="I86" s="66" t="n">
        <v>0.6901</v>
      </c>
      <c r="J86" s="362" t="n"/>
      <c r="K86" s="66" t="n"/>
      <c r="L86" s="362" t="n">
        <v>0</v>
      </c>
      <c r="M86" s="66" t="n">
        <v>0.7046</v>
      </c>
      <c r="N86" s="65">
        <f>AVERAGE(E86,G86,I86,K86,M86)</f>
        <v/>
      </c>
      <c r="O86" s="361" t="n"/>
    </row>
    <row r="87">
      <c r="B87" s="239" t="n">
        <v>46232</v>
      </c>
      <c r="C87" s="63" t="inlineStr">
        <is>
          <t>오전</t>
        </is>
      </c>
      <c r="D87" s="362" t="n"/>
      <c r="E87" s="64" t="n"/>
      <c r="F87" s="362" t="n"/>
      <c r="G87" s="65" t="n"/>
      <c r="H87" s="362" t="n">
        <v>0.4236111111111111</v>
      </c>
      <c r="I87" s="66" t="n">
        <v>0.6991000000000001</v>
      </c>
      <c r="J87" s="362" t="n"/>
      <c r="K87" s="65" t="n"/>
      <c r="L87" s="362" t="n">
        <v>0.5555555555555556</v>
      </c>
      <c r="M87" s="65" t="n">
        <v>0.6874</v>
      </c>
      <c r="N87" s="65">
        <f>AVERAGE(E87,G87,I87,K87,M87)</f>
        <v/>
      </c>
      <c r="O87" s="240">
        <f>AVERAGE(N87:N89)</f>
        <v/>
      </c>
    </row>
    <row r="88">
      <c r="B88" s="331" t="n"/>
      <c r="C88" s="63" t="inlineStr">
        <is>
          <t>오후</t>
        </is>
      </c>
      <c r="D88" s="362" t="n"/>
      <c r="E88" s="65" t="n"/>
      <c r="F88" s="362" t="n"/>
      <c r="G88" s="65" t="n"/>
      <c r="H88" s="362" t="n"/>
      <c r="I88" s="66" t="n"/>
      <c r="J88" s="362" t="n"/>
      <c r="K88" s="66" t="n"/>
      <c r="L88" s="362" t="n"/>
      <c r="M88" s="66" t="n"/>
      <c r="N88" s="65">
        <f>AVERAGE(E88,G88,I88,K88,M88)</f>
        <v/>
      </c>
      <c r="O88" s="363" t="n"/>
    </row>
    <row r="89">
      <c r="B89" s="354" t="n"/>
      <c r="C89" s="63" t="inlineStr">
        <is>
          <t>야간</t>
        </is>
      </c>
      <c r="D89" s="362" t="n"/>
      <c r="E89" s="65" t="n"/>
      <c r="F89" s="362" t="n"/>
      <c r="G89" s="66" t="n"/>
      <c r="H89" s="362" t="n"/>
      <c r="I89" s="66" t="n"/>
      <c r="J89" s="362" t="n"/>
      <c r="K89" s="66" t="n"/>
      <c r="L89" s="362" t="n"/>
      <c r="M89" s="66" t="n"/>
      <c r="N89" s="65">
        <f>AVERAGE(E89,G89,I89,K89,M89)</f>
        <v/>
      </c>
      <c r="O89" s="361" t="n"/>
    </row>
    <row r="90">
      <c r="B90" s="239" t="n">
        <v>46233</v>
      </c>
      <c r="C90" s="63" t="inlineStr">
        <is>
          <t>오전</t>
        </is>
      </c>
      <c r="D90" s="362" t="n">
        <v>0.3958333333333333</v>
      </c>
      <c r="E90" s="64" t="n">
        <v>0.5328000000000001</v>
      </c>
      <c r="F90" s="362" t="n">
        <v>0.4444444444444444</v>
      </c>
      <c r="G90" s="65" t="n">
        <v>0.5585</v>
      </c>
      <c r="H90" s="362" t="n"/>
      <c r="I90" s="66" t="n"/>
      <c r="J90" s="362" t="n">
        <v>0.4861111111111111</v>
      </c>
      <c r="K90" s="65" t="n">
        <v>0.5341</v>
      </c>
      <c r="L90" s="362" t="n"/>
      <c r="M90" s="65" t="n"/>
      <c r="N90" s="65">
        <f>AVERAGE(E90,G90,I90,K90,M90)</f>
        <v/>
      </c>
      <c r="O90" s="240">
        <f>AVERAGE(N90:N92)</f>
        <v/>
      </c>
    </row>
    <row r="91">
      <c r="B91" s="331" t="n"/>
      <c r="C91" s="63" t="inlineStr">
        <is>
          <t>오후</t>
        </is>
      </c>
      <c r="D91" s="362" t="n">
        <v>0.625</v>
      </c>
      <c r="E91" s="65" t="n">
        <v>0.6166</v>
      </c>
      <c r="F91" s="362" t="n">
        <v>0.6666666666666666</v>
      </c>
      <c r="G91" s="65" t="n">
        <v>0.5600000000000001</v>
      </c>
      <c r="H91" s="362" t="n"/>
      <c r="I91" s="66" t="n"/>
      <c r="J91" s="362" t="n">
        <v>0.7083333333333334</v>
      </c>
      <c r="K91" s="66" t="n">
        <v>0.5323</v>
      </c>
      <c r="L91" s="362" t="n"/>
      <c r="M91" s="66" t="n"/>
      <c r="N91" s="65">
        <f>AVERAGE(E91,G91,I91,K91,M91)</f>
        <v/>
      </c>
      <c r="O91" s="363" t="n"/>
    </row>
    <row r="92">
      <c r="B92" s="354" t="n"/>
      <c r="C92" s="63" t="inlineStr">
        <is>
          <t>야간</t>
        </is>
      </c>
      <c r="D92" s="362" t="n">
        <v>0.9583333333333334</v>
      </c>
      <c r="E92" s="65" t="n">
        <v>0.6026</v>
      </c>
      <c r="F92" s="362" t="n">
        <v>0</v>
      </c>
      <c r="G92" s="66" t="n">
        <v>0.5562</v>
      </c>
      <c r="H92" s="362" t="n"/>
      <c r="I92" s="66" t="n"/>
      <c r="J92" s="362" t="n">
        <v>0.04166666666666666</v>
      </c>
      <c r="K92" s="66" t="n">
        <v>0.5448</v>
      </c>
      <c r="L92" s="362" t="n"/>
      <c r="M92" s="66" t="n"/>
      <c r="N92" s="65">
        <f>AVERAGE(E92,G92,I92,K92,M92)</f>
        <v/>
      </c>
      <c r="O92" s="361" t="n"/>
    </row>
    <row r="93">
      <c r="B93" s="239" t="n">
        <v>46234</v>
      </c>
      <c r="C93" s="67" t="inlineStr">
        <is>
          <t>오전</t>
        </is>
      </c>
      <c r="D93" s="364" t="n">
        <v>0.3333333333333333</v>
      </c>
      <c r="E93" s="65" t="n">
        <v>0.5034</v>
      </c>
      <c r="F93" s="362" t="n">
        <v>0.3611111111111111</v>
      </c>
      <c r="G93" s="65" t="n">
        <v>0.5402</v>
      </c>
      <c r="H93" s="362" t="n"/>
      <c r="I93" s="68" t="n"/>
      <c r="J93" s="362" t="n">
        <v>0.4166666666666667</v>
      </c>
      <c r="K93" s="65" t="n">
        <v>0.5518999999999999</v>
      </c>
      <c r="L93" s="362" t="n"/>
      <c r="M93" s="65" t="n"/>
      <c r="N93" s="65">
        <f>AVERAGE(E93,G93,I93,K93,M93)</f>
        <v/>
      </c>
      <c r="O93" s="240">
        <f>AVERAGE(N93:N95)</f>
        <v/>
      </c>
    </row>
    <row r="94">
      <c r="B94" s="331" t="n"/>
      <c r="C94" s="67" t="inlineStr">
        <is>
          <t>오후</t>
        </is>
      </c>
      <c r="D94" s="364" t="n">
        <v>0.6458333333333334</v>
      </c>
      <c r="E94" s="65" t="n">
        <v>0.4885</v>
      </c>
      <c r="F94" s="362" t="n">
        <v>0.6805555555555556</v>
      </c>
      <c r="G94" s="65" t="n">
        <v>0.4985</v>
      </c>
      <c r="H94" s="362" t="n"/>
      <c r="I94" s="68" t="n"/>
      <c r="J94" s="362" t="n">
        <v>0.7291666666666666</v>
      </c>
      <c r="K94" s="68" t="n">
        <v>0.4824</v>
      </c>
      <c r="L94" s="362" t="n"/>
      <c r="M94" s="68" t="n"/>
      <c r="N94" s="65">
        <f>AVERAGE(E94,G94,I94,K94,M94)</f>
        <v/>
      </c>
      <c r="O94" s="363" t="n"/>
    </row>
    <row r="95" ht="18" customHeight="1" s="251" thickBot="1">
      <c r="B95" s="354" t="n"/>
      <c r="C95" s="69" t="inlineStr">
        <is>
          <t>야간</t>
        </is>
      </c>
      <c r="D95" s="365" t="n">
        <v>0.9236111111111112</v>
      </c>
      <c r="E95" s="70" t="n">
        <v>0.4692</v>
      </c>
      <c r="F95" s="366" t="n">
        <v>0.02083333333333333</v>
      </c>
      <c r="G95" s="71" t="n">
        <v>0.5248</v>
      </c>
      <c r="H95" s="366" t="n"/>
      <c r="I95" s="71" t="n"/>
      <c r="J95" s="366" t="n">
        <v>0.08333333333333333</v>
      </c>
      <c r="K95" s="71" t="n">
        <v>0.4655</v>
      </c>
      <c r="L95" s="366" t="n"/>
      <c r="M95" s="71" t="n"/>
      <c r="N95" s="65">
        <f>AVERAGE(E95,G95,I95,K95,M95)</f>
        <v/>
      </c>
      <c r="O95" s="361" t="n"/>
    </row>
  </sheetData>
  <mergeCells count="77">
    <mergeCell ref="O12:O14"/>
    <mergeCell ref="O21:O23"/>
    <mergeCell ref="O51:O53"/>
    <mergeCell ref="C1:C2"/>
    <mergeCell ref="O60:O62"/>
    <mergeCell ref="A1:A4"/>
    <mergeCell ref="B84:B86"/>
    <mergeCell ref="O1:O2"/>
    <mergeCell ref="B36:B38"/>
    <mergeCell ref="B45:B47"/>
    <mergeCell ref="O90:O92"/>
    <mergeCell ref="B12:B14"/>
    <mergeCell ref="B72:B74"/>
    <mergeCell ref="B21:B23"/>
    <mergeCell ref="O33:O35"/>
    <mergeCell ref="O69:O71"/>
    <mergeCell ref="B57:B59"/>
    <mergeCell ref="O75:O77"/>
    <mergeCell ref="H1:I1"/>
    <mergeCell ref="J1:K1"/>
    <mergeCell ref="B33:B35"/>
    <mergeCell ref="A5:A7"/>
    <mergeCell ref="A14:A16"/>
    <mergeCell ref="O48:O50"/>
    <mergeCell ref="O81:O83"/>
    <mergeCell ref="B3:B5"/>
    <mergeCell ref="O78:O80"/>
    <mergeCell ref="B75:B77"/>
    <mergeCell ref="O87:O89"/>
    <mergeCell ref="O15:O17"/>
    <mergeCell ref="O24:O26"/>
    <mergeCell ref="B39:B41"/>
    <mergeCell ref="B48:B50"/>
    <mergeCell ref="O84:O86"/>
    <mergeCell ref="O63:O65"/>
    <mergeCell ref="O93:O95"/>
    <mergeCell ref="B78:B80"/>
    <mergeCell ref="A8:A10"/>
    <mergeCell ref="B87:B89"/>
    <mergeCell ref="D1:E1"/>
    <mergeCell ref="A17:A19"/>
    <mergeCell ref="B15:B17"/>
    <mergeCell ref="O27:O29"/>
    <mergeCell ref="B24:B26"/>
    <mergeCell ref="O42:O44"/>
    <mergeCell ref="O72:O74"/>
    <mergeCell ref="B51:B53"/>
    <mergeCell ref="B66:B68"/>
    <mergeCell ref="B63:B65"/>
    <mergeCell ref="O6:O8"/>
    <mergeCell ref="O9:O11"/>
    <mergeCell ref="O30:O32"/>
    <mergeCell ref="B93:B95"/>
    <mergeCell ref="B42:B44"/>
    <mergeCell ref="O54:O56"/>
    <mergeCell ref="F1:G1"/>
    <mergeCell ref="B6:B8"/>
    <mergeCell ref="B30:B32"/>
    <mergeCell ref="B54:B56"/>
    <mergeCell ref="B1:B2"/>
    <mergeCell ref="O57:O59"/>
    <mergeCell ref="O66:O68"/>
    <mergeCell ref="N1:N2"/>
    <mergeCell ref="O18:O20"/>
    <mergeCell ref="O3:O5"/>
    <mergeCell ref="B81:B83"/>
    <mergeCell ref="B90:B92"/>
    <mergeCell ref="O39:O41"/>
    <mergeCell ref="L1:M1"/>
    <mergeCell ref="A11:A13"/>
    <mergeCell ref="O36:O38"/>
    <mergeCell ref="B27:B29"/>
    <mergeCell ref="B18:B20"/>
    <mergeCell ref="O45:O47"/>
    <mergeCell ref="B60:B62"/>
    <mergeCell ref="B9:B11"/>
    <mergeCell ref="B69:B7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봉이도진서진</dc:creator>
  <dcterms:created xsi:type="dcterms:W3CDTF">2019-07-06T23:33:34Z</dcterms:created>
  <dcterms:modified xsi:type="dcterms:W3CDTF">2026-08-19T07:02:51Z</dcterms:modified>
  <cp:lastModifiedBy>User</cp:lastModifiedBy>
  <cp:lastPrinted>2020-10-03T21:07:42Z</cp:lastPrinted>
</cp:coreProperties>
</file>