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60" yWindow="15" windowWidth="9465" windowHeight="11460" firstSheet="10" activeTab="11"/>
  </bookViews>
  <sheets>
    <sheet name="스팀생산실적(1월)" sheetId="41" r:id="rId1"/>
    <sheet name="스팀생산실적(2월)" sheetId="40" r:id="rId2"/>
    <sheet name="스팀생산실적(3월)" sheetId="39" r:id="rId3"/>
    <sheet name="스팀생산실적(4월)" sheetId="42" r:id="rId4"/>
    <sheet name="스팀생산실적(5월)" sheetId="43" r:id="rId5"/>
    <sheet name="스팀생산실적(6월) " sheetId="44" r:id="rId6"/>
    <sheet name="스팀생산실적(7월)" sheetId="33" r:id="rId7"/>
    <sheet name="스팀생산실적(8월) " sheetId="47" r:id="rId8"/>
    <sheet name="스팀생산실적(9월)" sheetId="48" r:id="rId9"/>
    <sheet name="스팀생산실적(10월)" sheetId="49" r:id="rId10"/>
    <sheet name="스팀생산실적(11월)" sheetId="51" r:id="rId11"/>
    <sheet name="스팀생산실적(12월)" sheetId="53" r:id="rId12"/>
    <sheet name="스팀생산실적(양식)" sheetId="46" r:id="rId13"/>
    <sheet name="Sheet3 (2)" sheetId="27" r:id="rId14"/>
  </sheets>
  <calcPr calcId="162913"/>
</workbook>
</file>

<file path=xl/calcChain.xml><?xml version="1.0" encoding="utf-8"?>
<calcChain xmlns="http://schemas.openxmlformats.org/spreadsheetml/2006/main">
  <c r="U53" i="53" l="1"/>
  <c r="U54" i="53" s="1"/>
  <c r="AP19" i="53" l="1"/>
  <c r="M83" i="53" l="1"/>
  <c r="N83" i="53" s="1"/>
  <c r="O83" i="53" s="1"/>
  <c r="M82" i="53"/>
  <c r="N82" i="53" s="1"/>
  <c r="O82" i="53" s="1"/>
  <c r="M81" i="53"/>
  <c r="N81" i="53" s="1"/>
  <c r="O81" i="53" s="1"/>
  <c r="O80" i="53"/>
  <c r="N80" i="53"/>
  <c r="M80" i="53"/>
  <c r="M79" i="53"/>
  <c r="N79" i="53" s="1"/>
  <c r="O79" i="53" s="1"/>
  <c r="M78" i="53"/>
  <c r="N78" i="53" s="1"/>
  <c r="O78" i="53" s="1"/>
  <c r="M77" i="53"/>
  <c r="N77" i="53" s="1"/>
  <c r="O77" i="53" s="1"/>
  <c r="O76" i="53"/>
  <c r="N76" i="53"/>
  <c r="M76" i="53"/>
  <c r="AC75" i="53"/>
  <c r="AB75" i="53"/>
  <c r="AA75" i="53"/>
  <c r="Z75" i="53"/>
  <c r="Y75" i="53"/>
  <c r="X75" i="53"/>
  <c r="W75" i="53"/>
  <c r="V75" i="53"/>
  <c r="U75" i="53"/>
  <c r="T75" i="53"/>
  <c r="S75" i="53"/>
  <c r="M75" i="53"/>
  <c r="N75" i="53" s="1"/>
  <c r="O75" i="53" s="1"/>
  <c r="AD74" i="53"/>
  <c r="N74" i="53"/>
  <c r="O74" i="53" s="1"/>
  <c r="M74" i="53"/>
  <c r="M73" i="53"/>
  <c r="N73" i="53" s="1"/>
  <c r="O73" i="53" s="1"/>
  <c r="M72" i="53"/>
  <c r="N72" i="53" s="1"/>
  <c r="O72" i="53" s="1"/>
  <c r="M71" i="53"/>
  <c r="N71" i="53" s="1"/>
  <c r="O71" i="53" s="1"/>
  <c r="M70" i="53"/>
  <c r="N70" i="53" s="1"/>
  <c r="O70" i="53" s="1"/>
  <c r="AD69" i="53"/>
  <c r="AC69" i="53"/>
  <c r="AB69" i="53"/>
  <c r="AA69" i="53"/>
  <c r="Z69" i="53"/>
  <c r="Y69" i="53"/>
  <c r="X69" i="53"/>
  <c r="W69" i="53"/>
  <c r="V69" i="53"/>
  <c r="U69" i="53"/>
  <c r="T69" i="53"/>
  <c r="S69" i="53"/>
  <c r="R69" i="53"/>
  <c r="N69" i="53"/>
  <c r="O69" i="53" s="1"/>
  <c r="M69" i="53"/>
  <c r="AE68" i="53"/>
  <c r="AE69" i="53" s="1"/>
  <c r="M68" i="53"/>
  <c r="N68" i="53" s="1"/>
  <c r="O68" i="53" s="1"/>
  <c r="M67" i="53"/>
  <c r="N67" i="53" s="1"/>
  <c r="O67" i="53" s="1"/>
  <c r="M66" i="53"/>
  <c r="N66" i="53" s="1"/>
  <c r="O66" i="53" s="1"/>
  <c r="M65" i="53"/>
  <c r="N65" i="53" s="1"/>
  <c r="O65" i="53" s="1"/>
  <c r="M64" i="53"/>
  <c r="N64" i="53" s="1"/>
  <c r="O64" i="53" s="1"/>
  <c r="M63" i="53"/>
  <c r="N63" i="53" s="1"/>
  <c r="O63" i="53" s="1"/>
  <c r="M62" i="53"/>
  <c r="N62" i="53" s="1"/>
  <c r="O62" i="53" s="1"/>
  <c r="AH61" i="53"/>
  <c r="AH62" i="53" s="1"/>
  <c r="M61" i="53"/>
  <c r="N61" i="53" s="1"/>
  <c r="O61" i="53" s="1"/>
  <c r="AH60" i="53"/>
  <c r="AG60" i="53"/>
  <c r="AF60" i="53"/>
  <c r="AE60" i="53"/>
  <c r="AD60" i="53"/>
  <c r="AC60" i="53"/>
  <c r="AB60" i="53"/>
  <c r="AA60" i="53"/>
  <c r="Z60" i="53"/>
  <c r="Y60" i="53"/>
  <c r="X60" i="53"/>
  <c r="W60" i="53"/>
  <c r="V60" i="53"/>
  <c r="U60" i="53"/>
  <c r="T60" i="53"/>
  <c r="S60" i="53"/>
  <c r="M60" i="53"/>
  <c r="N60" i="53" s="1"/>
  <c r="O60" i="53" s="1"/>
  <c r="AH59" i="53"/>
  <c r="M59" i="53"/>
  <c r="N59" i="53" s="1"/>
  <c r="O59" i="53" s="1"/>
  <c r="AH58" i="53"/>
  <c r="M58" i="53"/>
  <c r="N58" i="53" s="1"/>
  <c r="O58" i="53" s="1"/>
  <c r="AI52" i="53"/>
  <c r="AH52" i="53"/>
  <c r="AG52" i="53"/>
  <c r="AF52" i="53"/>
  <c r="AE52" i="53"/>
  <c r="AD52" i="53"/>
  <c r="AC52" i="53"/>
  <c r="AB52" i="53"/>
  <c r="AA52" i="53"/>
  <c r="Z52" i="53"/>
  <c r="Y52" i="53"/>
  <c r="X52" i="53"/>
  <c r="W52" i="53"/>
  <c r="V52" i="53"/>
  <c r="U52" i="53"/>
  <c r="T52" i="53"/>
  <c r="S52" i="53"/>
  <c r="R52" i="53"/>
  <c r="Q52" i="53"/>
  <c r="P52" i="53"/>
  <c r="O52" i="53"/>
  <c r="N52" i="53"/>
  <c r="M52" i="53"/>
  <c r="L52" i="53"/>
  <c r="K52" i="53"/>
  <c r="J52" i="53"/>
  <c r="I52" i="53"/>
  <c r="H52" i="53"/>
  <c r="G52" i="53"/>
  <c r="F52" i="53"/>
  <c r="E52" i="53"/>
  <c r="E51" i="53" a="1"/>
  <c r="Y51" i="53" s="1"/>
  <c r="Y53" i="53" s="1"/>
  <c r="Y54" i="53" s="1"/>
  <c r="AJ50" i="53"/>
  <c r="AJ39" i="53"/>
  <c r="Y39" i="53"/>
  <c r="X39" i="53"/>
  <c r="W39" i="53"/>
  <c r="T39" i="53"/>
  <c r="S39" i="53"/>
  <c r="D43" i="53" s="1"/>
  <c r="R39" i="53"/>
  <c r="Q39" i="53"/>
  <c r="O39" i="53"/>
  <c r="P39" i="53" s="1"/>
  <c r="M39" i="53"/>
  <c r="N39" i="53" s="1"/>
  <c r="L39" i="53"/>
  <c r="K39" i="53"/>
  <c r="I39" i="53"/>
  <c r="J39" i="53" s="1"/>
  <c r="D46" i="53" s="1"/>
  <c r="H39" i="53"/>
  <c r="G39" i="53"/>
  <c r="F39" i="53"/>
  <c r="E39" i="53"/>
  <c r="D39" i="53"/>
  <c r="B39" i="53"/>
  <c r="C39" i="53" s="1"/>
  <c r="D44" i="53" s="1"/>
  <c r="AM38" i="53"/>
  <c r="AK38" i="53"/>
  <c r="AJ38" i="53"/>
  <c r="AK39" i="53" s="1"/>
  <c r="AI38" i="53"/>
  <c r="Y38" i="53"/>
  <c r="X38" i="53"/>
  <c r="W38" i="53"/>
  <c r="T38" i="53"/>
  <c r="S38" i="53"/>
  <c r="R38" i="53"/>
  <c r="Q38" i="53"/>
  <c r="O38" i="53"/>
  <c r="M38" i="53"/>
  <c r="L38" i="53"/>
  <c r="K38" i="53"/>
  <c r="I38" i="53"/>
  <c r="H38" i="53"/>
  <c r="G38" i="53"/>
  <c r="F38" i="53"/>
  <c r="E38" i="53"/>
  <c r="D38" i="53"/>
  <c r="B38" i="53"/>
  <c r="AP37" i="53"/>
  <c r="AL37" i="53"/>
  <c r="U37" i="53"/>
  <c r="V37" i="53" s="1"/>
  <c r="P37" i="53"/>
  <c r="N37" i="53"/>
  <c r="J37" i="53"/>
  <c r="C37" i="53"/>
  <c r="AP36" i="53"/>
  <c r="AL36" i="53"/>
  <c r="U36" i="53"/>
  <c r="V36" i="53" s="1"/>
  <c r="P36" i="53"/>
  <c r="N36" i="53"/>
  <c r="J36" i="53"/>
  <c r="C36" i="53"/>
  <c r="AP35" i="53"/>
  <c r="AL35" i="53"/>
  <c r="U35" i="53"/>
  <c r="V35" i="53" s="1"/>
  <c r="P35" i="53"/>
  <c r="N35" i="53"/>
  <c r="J35" i="53"/>
  <c r="C35" i="53"/>
  <c r="AP34" i="53"/>
  <c r="AL34" i="53"/>
  <c r="U34" i="53"/>
  <c r="V34" i="53" s="1"/>
  <c r="P34" i="53"/>
  <c r="N34" i="53"/>
  <c r="J34" i="53"/>
  <c r="C34" i="53"/>
  <c r="AP33" i="53"/>
  <c r="AL33" i="53"/>
  <c r="U33" i="53"/>
  <c r="V33" i="53" s="1"/>
  <c r="P33" i="53"/>
  <c r="N33" i="53"/>
  <c r="J33" i="53"/>
  <c r="C33" i="53"/>
  <c r="AP32" i="53"/>
  <c r="AL32" i="53"/>
  <c r="U32" i="53"/>
  <c r="V32" i="53" s="1"/>
  <c r="P32" i="53"/>
  <c r="N32" i="53"/>
  <c r="J32" i="53"/>
  <c r="C32" i="53"/>
  <c r="AP31" i="53"/>
  <c r="AL31" i="53"/>
  <c r="U31" i="53"/>
  <c r="V31" i="53" s="1"/>
  <c r="P31" i="53"/>
  <c r="N31" i="53"/>
  <c r="J31" i="53"/>
  <c r="C31" i="53"/>
  <c r="AP30" i="53"/>
  <c r="AL30" i="53"/>
  <c r="U30" i="53"/>
  <c r="V30" i="53" s="1"/>
  <c r="P30" i="53"/>
  <c r="N30" i="53"/>
  <c r="J30" i="53"/>
  <c r="C30" i="53"/>
  <c r="AP29" i="53"/>
  <c r="AL29" i="53"/>
  <c r="U29" i="53"/>
  <c r="V29" i="53" s="1"/>
  <c r="P29" i="53"/>
  <c r="N29" i="53"/>
  <c r="J29" i="53"/>
  <c r="C29" i="53"/>
  <c r="AP28" i="53"/>
  <c r="AL28" i="53"/>
  <c r="U28" i="53"/>
  <c r="V28" i="53" s="1"/>
  <c r="P28" i="53"/>
  <c r="N28" i="53"/>
  <c r="J28" i="53"/>
  <c r="C28" i="53"/>
  <c r="AP27" i="53"/>
  <c r="AL27" i="53"/>
  <c r="U27" i="53"/>
  <c r="V27" i="53" s="1"/>
  <c r="P27" i="53"/>
  <c r="N27" i="53"/>
  <c r="J27" i="53"/>
  <c r="C27" i="53"/>
  <c r="AP26" i="53"/>
  <c r="AL26" i="53"/>
  <c r="U26" i="53"/>
  <c r="V26" i="53" s="1"/>
  <c r="P26" i="53"/>
  <c r="N26" i="53"/>
  <c r="J26" i="53"/>
  <c r="C26" i="53"/>
  <c r="AP25" i="53"/>
  <c r="AL25" i="53"/>
  <c r="U25" i="53"/>
  <c r="V25" i="53" s="1"/>
  <c r="P25" i="53"/>
  <c r="N25" i="53"/>
  <c r="J25" i="53"/>
  <c r="C25" i="53"/>
  <c r="AP24" i="53"/>
  <c r="AL24" i="53"/>
  <c r="U24" i="53"/>
  <c r="V24" i="53" s="1"/>
  <c r="P24" i="53"/>
  <c r="N24" i="53"/>
  <c r="J24" i="53"/>
  <c r="C24" i="53"/>
  <c r="AP23" i="53"/>
  <c r="AL23" i="53"/>
  <c r="U23" i="53"/>
  <c r="V23" i="53" s="1"/>
  <c r="P23" i="53"/>
  <c r="N23" i="53"/>
  <c r="J23" i="53"/>
  <c r="C23" i="53"/>
  <c r="AP22" i="53"/>
  <c r="AL22" i="53"/>
  <c r="U22" i="53"/>
  <c r="V22" i="53" s="1"/>
  <c r="P22" i="53"/>
  <c r="N22" i="53"/>
  <c r="J22" i="53"/>
  <c r="C22" i="53"/>
  <c r="AP21" i="53"/>
  <c r="AL21" i="53"/>
  <c r="U21" i="53"/>
  <c r="V21" i="53" s="1"/>
  <c r="P21" i="53"/>
  <c r="N21" i="53"/>
  <c r="J21" i="53"/>
  <c r="C21" i="53"/>
  <c r="AP20" i="53"/>
  <c r="AL20" i="53"/>
  <c r="U20" i="53"/>
  <c r="V20" i="53" s="1"/>
  <c r="P20" i="53"/>
  <c r="N20" i="53"/>
  <c r="J20" i="53"/>
  <c r="C20" i="53"/>
  <c r="AL19" i="53"/>
  <c r="U19" i="53"/>
  <c r="V19" i="53" s="1"/>
  <c r="P19" i="53"/>
  <c r="N19" i="53"/>
  <c r="J19" i="53"/>
  <c r="C19" i="53"/>
  <c r="AP18" i="53"/>
  <c r="AL18" i="53"/>
  <c r="U18" i="53"/>
  <c r="V18" i="53" s="1"/>
  <c r="P18" i="53"/>
  <c r="N18" i="53"/>
  <c r="J18" i="53"/>
  <c r="C18" i="53"/>
  <c r="AP17" i="53"/>
  <c r="AL17" i="53"/>
  <c r="U17" i="53"/>
  <c r="V17" i="53" s="1"/>
  <c r="P17" i="53"/>
  <c r="N17" i="53"/>
  <c r="J17" i="53"/>
  <c r="C17" i="53"/>
  <c r="AP16" i="53"/>
  <c r="AL16" i="53"/>
  <c r="U16" i="53"/>
  <c r="V16" i="53" s="1"/>
  <c r="P16" i="53"/>
  <c r="N16" i="53"/>
  <c r="J16" i="53"/>
  <c r="C16" i="53"/>
  <c r="AP15" i="53"/>
  <c r="AL15" i="53"/>
  <c r="U15" i="53"/>
  <c r="V15" i="53" s="1"/>
  <c r="P15" i="53"/>
  <c r="N15" i="53"/>
  <c r="J15" i="53"/>
  <c r="C15" i="53"/>
  <c r="AP14" i="53"/>
  <c r="AL14" i="53"/>
  <c r="U14" i="53"/>
  <c r="V14" i="53" s="1"/>
  <c r="P14" i="53"/>
  <c r="N14" i="53"/>
  <c r="J14" i="53"/>
  <c r="C14" i="53"/>
  <c r="AP13" i="53"/>
  <c r="AL13" i="53"/>
  <c r="U13" i="53"/>
  <c r="V13" i="53" s="1"/>
  <c r="P13" i="53"/>
  <c r="N13" i="53"/>
  <c r="J13" i="53"/>
  <c r="C13" i="53"/>
  <c r="AP12" i="53"/>
  <c r="AL12" i="53"/>
  <c r="U12" i="53"/>
  <c r="V12" i="53" s="1"/>
  <c r="P12" i="53"/>
  <c r="N12" i="53"/>
  <c r="J12" i="53"/>
  <c r="C12" i="53"/>
  <c r="AP11" i="53"/>
  <c r="AL11" i="53"/>
  <c r="U11" i="53"/>
  <c r="V11" i="53" s="1"/>
  <c r="P11" i="53"/>
  <c r="N11" i="53"/>
  <c r="J11" i="53"/>
  <c r="C11" i="53"/>
  <c r="AP10" i="53"/>
  <c r="AL10" i="53"/>
  <c r="U10" i="53"/>
  <c r="V10" i="53" s="1"/>
  <c r="P10" i="53"/>
  <c r="N10" i="53"/>
  <c r="J10" i="53"/>
  <c r="C10" i="53"/>
  <c r="AP9" i="53"/>
  <c r="AL9" i="53"/>
  <c r="U9" i="53"/>
  <c r="V9" i="53" s="1"/>
  <c r="P9" i="53"/>
  <c r="N9" i="53"/>
  <c r="J9" i="53"/>
  <c r="C9" i="53"/>
  <c r="AP8" i="53"/>
  <c r="AL8" i="53"/>
  <c r="U8" i="53"/>
  <c r="V8" i="53" s="1"/>
  <c r="P8" i="53"/>
  <c r="N8" i="53"/>
  <c r="J8" i="53"/>
  <c r="C8" i="53"/>
  <c r="AP7" i="53"/>
  <c r="AL7" i="53"/>
  <c r="U7" i="53"/>
  <c r="V7" i="53" s="1"/>
  <c r="P7" i="53"/>
  <c r="N7" i="53"/>
  <c r="J7" i="53"/>
  <c r="C7" i="53"/>
  <c r="AH39" i="53" l="1"/>
  <c r="R40" i="53"/>
  <c r="AL38" i="53"/>
  <c r="C38" i="53"/>
  <c r="M40" i="53"/>
  <c r="R73" i="53"/>
  <c r="AD73" i="53" s="1"/>
  <c r="D45" i="53"/>
  <c r="AJ52" i="53"/>
  <c r="O51" i="53"/>
  <c r="O53" i="53" s="1"/>
  <c r="O54" i="53" s="1"/>
  <c r="AA51" i="53"/>
  <c r="AA53" i="53" s="1"/>
  <c r="AA54" i="53" s="1"/>
  <c r="D42" i="53"/>
  <c r="D47" i="53" s="1"/>
  <c r="O84" i="53"/>
  <c r="N51" i="53"/>
  <c r="N53" i="53" s="1"/>
  <c r="N54" i="53" s="1"/>
  <c r="Z51" i="53"/>
  <c r="Z53" i="53" s="1"/>
  <c r="Z54" i="53" s="1"/>
  <c r="P51" i="53"/>
  <c r="P53" i="53" s="1"/>
  <c r="P54" i="53" s="1"/>
  <c r="AB51" i="53"/>
  <c r="AB53" i="53" s="1"/>
  <c r="AB54" i="53" s="1"/>
  <c r="E51" i="53"/>
  <c r="Q51" i="53"/>
  <c r="Q53" i="53" s="1"/>
  <c r="Q54" i="53" s="1"/>
  <c r="AC51" i="53"/>
  <c r="AC53" i="53" s="1"/>
  <c r="AC54" i="53" s="1"/>
  <c r="F51" i="53"/>
  <c r="F53" i="53" s="1"/>
  <c r="F54" i="53" s="1"/>
  <c r="R51" i="53"/>
  <c r="R53" i="53" s="1"/>
  <c r="R54" i="53" s="1"/>
  <c r="AD51" i="53"/>
  <c r="AD53" i="53" s="1"/>
  <c r="AD54" i="53" s="1"/>
  <c r="U38" i="53"/>
  <c r="G51" i="53"/>
  <c r="G53" i="53" s="1"/>
  <c r="G54" i="53" s="1"/>
  <c r="S51" i="53"/>
  <c r="S53" i="53" s="1"/>
  <c r="S54" i="53" s="1"/>
  <c r="AE51" i="53"/>
  <c r="AE53" i="53" s="1"/>
  <c r="AE54" i="53" s="1"/>
  <c r="P40" i="53"/>
  <c r="H51" i="53"/>
  <c r="H53" i="53" s="1"/>
  <c r="H54" i="53" s="1"/>
  <c r="T51" i="53"/>
  <c r="T53" i="53" s="1"/>
  <c r="T54" i="53" s="1"/>
  <c r="AF51" i="53"/>
  <c r="AF53" i="53" s="1"/>
  <c r="AF54" i="53" s="1"/>
  <c r="I51" i="53"/>
  <c r="I53" i="53" s="1"/>
  <c r="I54" i="53" s="1"/>
  <c r="U51" i="53"/>
  <c r="AG51" i="53"/>
  <c r="AG53" i="53" s="1"/>
  <c r="AG54" i="53" s="1"/>
  <c r="J51" i="53"/>
  <c r="J53" i="53" s="1"/>
  <c r="J54" i="53" s="1"/>
  <c r="V51" i="53"/>
  <c r="V53" i="53" s="1"/>
  <c r="V54" i="53" s="1"/>
  <c r="AH51" i="53"/>
  <c r="AH53" i="53" s="1"/>
  <c r="AH54" i="53" s="1"/>
  <c r="U39" i="53"/>
  <c r="V39" i="53" s="1"/>
  <c r="K51" i="53"/>
  <c r="K53" i="53" s="1"/>
  <c r="K54" i="53" s="1"/>
  <c r="W51" i="53"/>
  <c r="W53" i="53" s="1"/>
  <c r="W54" i="53" s="1"/>
  <c r="AI51" i="53"/>
  <c r="AI53" i="53" s="1"/>
  <c r="AI54" i="53" s="1"/>
  <c r="L51" i="53"/>
  <c r="L53" i="53" s="1"/>
  <c r="L54" i="53" s="1"/>
  <c r="X51" i="53"/>
  <c r="X53" i="53" s="1"/>
  <c r="X54" i="53" s="1"/>
  <c r="M51" i="53"/>
  <c r="M53" i="53" s="1"/>
  <c r="M54" i="53" s="1"/>
  <c r="O39" i="51"/>
  <c r="R75" i="53" l="1"/>
  <c r="AD75" i="53" s="1"/>
  <c r="AE75" i="53" s="1"/>
  <c r="AJ51" i="53"/>
  <c r="E53" i="53"/>
  <c r="M83" i="51"/>
  <c r="N83" i="51" s="1"/>
  <c r="O83" i="51" s="1"/>
  <c r="M82" i="51"/>
  <c r="N82" i="51" s="1"/>
  <c r="O82" i="51" s="1"/>
  <c r="M81" i="51"/>
  <c r="N81" i="51" s="1"/>
  <c r="O81" i="51" s="1"/>
  <c r="M80" i="51"/>
  <c r="N80" i="51" s="1"/>
  <c r="O80" i="51" s="1"/>
  <c r="M79" i="51"/>
  <c r="N79" i="51" s="1"/>
  <c r="O79" i="51" s="1"/>
  <c r="M78" i="51"/>
  <c r="N78" i="51" s="1"/>
  <c r="O78" i="51" s="1"/>
  <c r="M77" i="51"/>
  <c r="N77" i="51" s="1"/>
  <c r="O77" i="51" s="1"/>
  <c r="M76" i="51"/>
  <c r="N76" i="51" s="1"/>
  <c r="O76" i="51" s="1"/>
  <c r="AC75" i="51"/>
  <c r="AB75" i="51"/>
  <c r="AA75" i="51"/>
  <c r="Z75" i="51"/>
  <c r="Y75" i="51"/>
  <c r="X75" i="51"/>
  <c r="W75" i="51"/>
  <c r="V75" i="51"/>
  <c r="U75" i="51"/>
  <c r="T75" i="51"/>
  <c r="S75" i="51"/>
  <c r="M75" i="51"/>
  <c r="N75" i="51" s="1"/>
  <c r="O75" i="51" s="1"/>
  <c r="AD74" i="51"/>
  <c r="M74" i="51"/>
  <c r="N74" i="51" s="1"/>
  <c r="O74" i="51" s="1"/>
  <c r="M73" i="51"/>
  <c r="N73" i="51" s="1"/>
  <c r="O73" i="51" s="1"/>
  <c r="M72" i="51"/>
  <c r="N72" i="51" s="1"/>
  <c r="O72" i="51" s="1"/>
  <c r="M71" i="51"/>
  <c r="N71" i="51" s="1"/>
  <c r="O71" i="51" s="1"/>
  <c r="N70" i="51"/>
  <c r="O70" i="51" s="1"/>
  <c r="M70" i="51"/>
  <c r="AD69" i="51"/>
  <c r="AC69" i="51"/>
  <c r="AB69" i="51"/>
  <c r="AA69" i="51"/>
  <c r="Z69" i="51"/>
  <c r="Y69" i="51"/>
  <c r="X69" i="51"/>
  <c r="W69" i="51"/>
  <c r="V69" i="51"/>
  <c r="U69" i="51"/>
  <c r="T69" i="51"/>
  <c r="S69" i="51"/>
  <c r="R69" i="51"/>
  <c r="M69" i="51"/>
  <c r="N69" i="51" s="1"/>
  <c r="O69" i="51" s="1"/>
  <c r="AE68" i="51"/>
  <c r="AE69" i="51" s="1"/>
  <c r="M68" i="51"/>
  <c r="N68" i="51" s="1"/>
  <c r="O68" i="51" s="1"/>
  <c r="N67" i="51"/>
  <c r="O67" i="51" s="1"/>
  <c r="M67" i="51"/>
  <c r="M66" i="51"/>
  <c r="N66" i="51" s="1"/>
  <c r="O66" i="51" s="1"/>
  <c r="M65" i="51"/>
  <c r="N65" i="51" s="1"/>
  <c r="O65" i="51" s="1"/>
  <c r="M64" i="51"/>
  <c r="N64" i="51" s="1"/>
  <c r="O64" i="51" s="1"/>
  <c r="N63" i="51"/>
  <c r="O63" i="51" s="1"/>
  <c r="M63" i="51"/>
  <c r="M62" i="51"/>
  <c r="N62" i="51" s="1"/>
  <c r="O62" i="51" s="1"/>
  <c r="AH61" i="51"/>
  <c r="M61" i="51"/>
  <c r="N61" i="51" s="1"/>
  <c r="O61" i="51" s="1"/>
  <c r="AG60" i="51"/>
  <c r="AF60" i="51"/>
  <c r="AE60" i="51"/>
  <c r="AD60" i="51"/>
  <c r="AC60" i="51"/>
  <c r="AB60" i="51"/>
  <c r="AA60" i="51"/>
  <c r="Z60" i="51"/>
  <c r="Y60" i="51"/>
  <c r="X60" i="51"/>
  <c r="W60" i="51"/>
  <c r="V60" i="51"/>
  <c r="U60" i="51"/>
  <c r="T60" i="51"/>
  <c r="S60" i="51"/>
  <c r="M60" i="51"/>
  <c r="N60" i="51" s="1"/>
  <c r="O60" i="51" s="1"/>
  <c r="AH59" i="51"/>
  <c r="M59" i="51"/>
  <c r="N59" i="51" s="1"/>
  <c r="O59" i="51" s="1"/>
  <c r="AH58" i="51"/>
  <c r="M58" i="51"/>
  <c r="N58" i="51" s="1"/>
  <c r="O58" i="51" s="1"/>
  <c r="AI52" i="51"/>
  <c r="AH52" i="51"/>
  <c r="AG52" i="51"/>
  <c r="AF52" i="51"/>
  <c r="AE52" i="51"/>
  <c r="AD52" i="51"/>
  <c r="AC52" i="51"/>
  <c r="AB52" i="51"/>
  <c r="AA52" i="51"/>
  <c r="Z52" i="51"/>
  <c r="Y52" i="51"/>
  <c r="X52" i="51"/>
  <c r="W52" i="51"/>
  <c r="V52" i="51"/>
  <c r="U52" i="51"/>
  <c r="T52" i="51"/>
  <c r="S52" i="51"/>
  <c r="R52" i="51"/>
  <c r="Q52" i="51"/>
  <c r="P52" i="51"/>
  <c r="O52" i="51"/>
  <c r="N52" i="51"/>
  <c r="M52" i="51"/>
  <c r="L52" i="51"/>
  <c r="K52" i="51"/>
  <c r="J52" i="51"/>
  <c r="I52" i="51"/>
  <c r="H52" i="51"/>
  <c r="G52" i="51"/>
  <c r="F52" i="51"/>
  <c r="E52" i="51"/>
  <c r="E51" i="51" a="1"/>
  <c r="X51" i="51" s="1"/>
  <c r="X53" i="51" s="1"/>
  <c r="X54" i="51" s="1"/>
  <c r="AJ50" i="51"/>
  <c r="AJ39" i="51"/>
  <c r="Y39" i="51"/>
  <c r="X39" i="51"/>
  <c r="W39" i="51"/>
  <c r="T39" i="51"/>
  <c r="S39" i="51"/>
  <c r="D43" i="51" s="1"/>
  <c r="R39" i="51"/>
  <c r="Q39" i="51"/>
  <c r="M39" i="51"/>
  <c r="N39" i="51" s="1"/>
  <c r="L39" i="51"/>
  <c r="K39" i="51"/>
  <c r="I39" i="51"/>
  <c r="J39" i="51" s="1"/>
  <c r="D46" i="51" s="1"/>
  <c r="H39" i="51"/>
  <c r="G39" i="51"/>
  <c r="F39" i="51"/>
  <c r="E39" i="51"/>
  <c r="D39" i="51"/>
  <c r="B39" i="51"/>
  <c r="C39" i="51" s="1"/>
  <c r="D44" i="51" s="1"/>
  <c r="AM38" i="51"/>
  <c r="AK38" i="51"/>
  <c r="AJ38" i="51"/>
  <c r="AK39" i="51" s="1"/>
  <c r="AI38" i="51"/>
  <c r="Y38" i="51"/>
  <c r="X38" i="51"/>
  <c r="W38" i="51"/>
  <c r="T38" i="51"/>
  <c r="S38" i="51"/>
  <c r="R38" i="51"/>
  <c r="Q38" i="51"/>
  <c r="O38" i="51"/>
  <c r="M38" i="51"/>
  <c r="L38" i="51"/>
  <c r="K38" i="51"/>
  <c r="I38" i="51"/>
  <c r="H38" i="51"/>
  <c r="G38" i="51"/>
  <c r="F38" i="51"/>
  <c r="E38" i="51"/>
  <c r="D38" i="51"/>
  <c r="B38" i="51"/>
  <c r="AP37" i="51"/>
  <c r="AL37" i="51"/>
  <c r="U37" i="51"/>
  <c r="V37" i="51" s="1"/>
  <c r="P37" i="51"/>
  <c r="N37" i="51"/>
  <c r="J37" i="51"/>
  <c r="C37" i="51"/>
  <c r="AP36" i="51"/>
  <c r="AL36" i="51"/>
  <c r="U36" i="51"/>
  <c r="V36" i="51" s="1"/>
  <c r="P36" i="51"/>
  <c r="N36" i="51"/>
  <c r="J36" i="51"/>
  <c r="C36" i="51"/>
  <c r="AP35" i="51"/>
  <c r="AL35" i="51"/>
  <c r="U35" i="51"/>
  <c r="V35" i="51" s="1"/>
  <c r="P35" i="51"/>
  <c r="N35" i="51"/>
  <c r="J35" i="51"/>
  <c r="C35" i="51"/>
  <c r="AP34" i="51"/>
  <c r="AL34" i="51"/>
  <c r="U34" i="51"/>
  <c r="V34" i="51" s="1"/>
  <c r="P34" i="51"/>
  <c r="N34" i="51"/>
  <c r="J34" i="51"/>
  <c r="C34" i="51"/>
  <c r="AP33" i="51"/>
  <c r="AL33" i="51"/>
  <c r="U33" i="51"/>
  <c r="V33" i="51" s="1"/>
  <c r="P33" i="51"/>
  <c r="N33" i="51"/>
  <c r="J33" i="51"/>
  <c r="C33" i="51"/>
  <c r="AP32" i="51"/>
  <c r="AL32" i="51"/>
  <c r="U32" i="51"/>
  <c r="V32" i="51" s="1"/>
  <c r="P32" i="51"/>
  <c r="N32" i="51"/>
  <c r="J32" i="51"/>
  <c r="C32" i="51"/>
  <c r="AP31" i="51"/>
  <c r="AL31" i="51"/>
  <c r="U31" i="51"/>
  <c r="V31" i="51" s="1"/>
  <c r="P31" i="51"/>
  <c r="N31" i="51"/>
  <c r="J31" i="51"/>
  <c r="C31" i="51"/>
  <c r="AP30" i="51"/>
  <c r="AL30" i="51"/>
  <c r="U30" i="51"/>
  <c r="V30" i="51" s="1"/>
  <c r="P30" i="51"/>
  <c r="N30" i="51"/>
  <c r="J30" i="51"/>
  <c r="C30" i="51"/>
  <c r="AP29" i="51"/>
  <c r="AL29" i="51"/>
  <c r="U29" i="51"/>
  <c r="V29" i="51" s="1"/>
  <c r="P29" i="51"/>
  <c r="N29" i="51"/>
  <c r="J29" i="51"/>
  <c r="C29" i="51"/>
  <c r="AP28" i="51"/>
  <c r="AL28" i="51"/>
  <c r="U28" i="51"/>
  <c r="V28" i="51" s="1"/>
  <c r="P28" i="51"/>
  <c r="N28" i="51"/>
  <c r="J28" i="51"/>
  <c r="C28" i="51"/>
  <c r="AP27" i="51"/>
  <c r="AL27" i="51"/>
  <c r="U27" i="51"/>
  <c r="V27" i="51" s="1"/>
  <c r="P27" i="51"/>
  <c r="N27" i="51"/>
  <c r="J27" i="51"/>
  <c r="C27" i="51"/>
  <c r="AP26" i="51"/>
  <c r="AL26" i="51"/>
  <c r="U26" i="51"/>
  <c r="V26" i="51" s="1"/>
  <c r="P26" i="51"/>
  <c r="N26" i="51"/>
  <c r="J26" i="51"/>
  <c r="C26" i="51"/>
  <c r="AP25" i="51"/>
  <c r="AL25" i="51"/>
  <c r="U25" i="51"/>
  <c r="V25" i="51" s="1"/>
  <c r="P25" i="51"/>
  <c r="N25" i="51"/>
  <c r="J25" i="51"/>
  <c r="C25" i="51"/>
  <c r="AP24" i="51"/>
  <c r="AL24" i="51"/>
  <c r="U24" i="51"/>
  <c r="V24" i="51" s="1"/>
  <c r="P24" i="51"/>
  <c r="N24" i="51"/>
  <c r="J24" i="51"/>
  <c r="C24" i="51"/>
  <c r="AP23" i="51"/>
  <c r="AL23" i="51"/>
  <c r="U23" i="51"/>
  <c r="V23" i="51" s="1"/>
  <c r="P23" i="51"/>
  <c r="N23" i="51"/>
  <c r="J23" i="51"/>
  <c r="C23" i="51"/>
  <c r="AP22" i="51"/>
  <c r="AL22" i="51"/>
  <c r="U22" i="51"/>
  <c r="V22" i="51" s="1"/>
  <c r="P22" i="51"/>
  <c r="N22" i="51"/>
  <c r="J22" i="51"/>
  <c r="C22" i="51"/>
  <c r="AP21" i="51"/>
  <c r="AL21" i="51"/>
  <c r="U21" i="51"/>
  <c r="V21" i="51" s="1"/>
  <c r="P21" i="51"/>
  <c r="N21" i="51"/>
  <c r="J21" i="51"/>
  <c r="C21" i="51"/>
  <c r="AP20" i="51"/>
  <c r="AL20" i="51"/>
  <c r="U20" i="51"/>
  <c r="V20" i="51" s="1"/>
  <c r="P20" i="51"/>
  <c r="N20" i="51"/>
  <c r="J20" i="51"/>
  <c r="C20" i="51"/>
  <c r="AP19" i="51"/>
  <c r="AL19" i="51"/>
  <c r="U19" i="51"/>
  <c r="V19" i="51" s="1"/>
  <c r="P19" i="51"/>
  <c r="N19" i="51"/>
  <c r="J19" i="51"/>
  <c r="C19" i="51"/>
  <c r="AP18" i="51"/>
  <c r="AL18" i="51"/>
  <c r="U18" i="51"/>
  <c r="V18" i="51" s="1"/>
  <c r="P18" i="51"/>
  <c r="N18" i="51"/>
  <c r="J18" i="51"/>
  <c r="C18" i="51"/>
  <c r="AP17" i="51"/>
  <c r="AL17" i="51"/>
  <c r="U17" i="51"/>
  <c r="V17" i="51" s="1"/>
  <c r="P17" i="51"/>
  <c r="N17" i="51"/>
  <c r="J17" i="51"/>
  <c r="C17" i="51"/>
  <c r="AP16" i="51"/>
  <c r="AL16" i="51"/>
  <c r="U16" i="51"/>
  <c r="V16" i="51" s="1"/>
  <c r="P16" i="51"/>
  <c r="N16" i="51"/>
  <c r="J16" i="51"/>
  <c r="C16" i="51"/>
  <c r="AP15" i="51"/>
  <c r="AL15" i="51"/>
  <c r="U15" i="51"/>
  <c r="V15" i="51" s="1"/>
  <c r="P15" i="51"/>
  <c r="N15" i="51"/>
  <c r="J15" i="51"/>
  <c r="C15" i="51"/>
  <c r="AP14" i="51"/>
  <c r="AL14" i="51"/>
  <c r="U14" i="51"/>
  <c r="V14" i="51" s="1"/>
  <c r="P14" i="51"/>
  <c r="N14" i="51"/>
  <c r="J14" i="51"/>
  <c r="C14" i="51"/>
  <c r="AP13" i="51"/>
  <c r="AL13" i="51"/>
  <c r="U13" i="51"/>
  <c r="V13" i="51" s="1"/>
  <c r="P13" i="51"/>
  <c r="N13" i="51"/>
  <c r="J13" i="51"/>
  <c r="C13" i="51"/>
  <c r="AP12" i="51"/>
  <c r="AL12" i="51"/>
  <c r="U12" i="51"/>
  <c r="V12" i="51" s="1"/>
  <c r="P12" i="51"/>
  <c r="N12" i="51"/>
  <c r="J12" i="51"/>
  <c r="C12" i="51"/>
  <c r="AP11" i="51"/>
  <c r="AL11" i="51"/>
  <c r="U11" i="51"/>
  <c r="V11" i="51" s="1"/>
  <c r="P11" i="51"/>
  <c r="N11" i="51"/>
  <c r="J11" i="51"/>
  <c r="C11" i="51"/>
  <c r="AP10" i="51"/>
  <c r="AL10" i="51"/>
  <c r="U10" i="51"/>
  <c r="V10" i="51" s="1"/>
  <c r="P10" i="51"/>
  <c r="N10" i="51"/>
  <c r="J10" i="51"/>
  <c r="C10" i="51"/>
  <c r="AP9" i="51"/>
  <c r="AL9" i="51"/>
  <c r="U9" i="51"/>
  <c r="V9" i="51" s="1"/>
  <c r="P9" i="51"/>
  <c r="N9" i="51"/>
  <c r="J9" i="51"/>
  <c r="C9" i="51"/>
  <c r="AP8" i="51"/>
  <c r="AL8" i="51"/>
  <c r="U8" i="51"/>
  <c r="P8" i="51"/>
  <c r="N8" i="51"/>
  <c r="J8" i="51"/>
  <c r="C8" i="51"/>
  <c r="AP7" i="51"/>
  <c r="AL7" i="51"/>
  <c r="U7" i="51"/>
  <c r="V7" i="51" s="1"/>
  <c r="P7" i="51"/>
  <c r="N7" i="51"/>
  <c r="J7" i="51"/>
  <c r="C7" i="51"/>
  <c r="AF75" i="53" l="1"/>
  <c r="AG75" i="53"/>
  <c r="E54" i="53"/>
  <c r="AJ54" i="53" s="1"/>
  <c r="AJ53" i="53"/>
  <c r="AH60" i="51"/>
  <c r="AJ52" i="51"/>
  <c r="R40" i="51"/>
  <c r="AH39" i="51"/>
  <c r="M40" i="51"/>
  <c r="AL38" i="51"/>
  <c r="R73" i="51"/>
  <c r="AD73" i="51" s="1"/>
  <c r="U38" i="51"/>
  <c r="C38" i="51"/>
  <c r="D42" i="51"/>
  <c r="AH62" i="51"/>
  <c r="O84" i="51"/>
  <c r="O51" i="51"/>
  <c r="O53" i="51" s="1"/>
  <c r="O54" i="51" s="1"/>
  <c r="AA51" i="51"/>
  <c r="AA53" i="51" s="1"/>
  <c r="AA54" i="51" s="1"/>
  <c r="P51" i="51"/>
  <c r="P53" i="51" s="1"/>
  <c r="P54" i="51" s="1"/>
  <c r="AB51" i="51"/>
  <c r="AB53" i="51" s="1"/>
  <c r="AB54" i="51" s="1"/>
  <c r="N51" i="51"/>
  <c r="N53" i="51" s="1"/>
  <c r="N54" i="51" s="1"/>
  <c r="E51" i="51"/>
  <c r="Q51" i="51"/>
  <c r="Q53" i="51" s="1"/>
  <c r="Q54" i="51" s="1"/>
  <c r="AC51" i="51"/>
  <c r="AC53" i="51" s="1"/>
  <c r="AC54" i="51" s="1"/>
  <c r="M51" i="51"/>
  <c r="M53" i="51" s="1"/>
  <c r="M54" i="51" s="1"/>
  <c r="F51" i="51"/>
  <c r="F53" i="51" s="1"/>
  <c r="F54" i="51" s="1"/>
  <c r="R51" i="51"/>
  <c r="R53" i="51" s="1"/>
  <c r="R54" i="51" s="1"/>
  <c r="AD51" i="51"/>
  <c r="AD53" i="51" s="1"/>
  <c r="AD54" i="51" s="1"/>
  <c r="H51" i="51"/>
  <c r="H53" i="51" s="1"/>
  <c r="H54" i="51" s="1"/>
  <c r="T51" i="51"/>
  <c r="T53" i="51" s="1"/>
  <c r="T54" i="51" s="1"/>
  <c r="AF51" i="51"/>
  <c r="AF53" i="51" s="1"/>
  <c r="AF54" i="51" s="1"/>
  <c r="Y51" i="51"/>
  <c r="Y53" i="51" s="1"/>
  <c r="Y54" i="51" s="1"/>
  <c r="S51" i="51"/>
  <c r="S53" i="51" s="1"/>
  <c r="S54" i="51" s="1"/>
  <c r="V8" i="51"/>
  <c r="I51" i="51"/>
  <c r="I53" i="51" s="1"/>
  <c r="I54" i="51" s="1"/>
  <c r="U51" i="51"/>
  <c r="U53" i="51" s="1"/>
  <c r="U54" i="51" s="1"/>
  <c r="AG51" i="51"/>
  <c r="AG53" i="51" s="1"/>
  <c r="AG54" i="51" s="1"/>
  <c r="G51" i="51"/>
  <c r="G53" i="51" s="1"/>
  <c r="G54" i="51" s="1"/>
  <c r="J51" i="51"/>
  <c r="J53" i="51" s="1"/>
  <c r="J54" i="51" s="1"/>
  <c r="V51" i="51"/>
  <c r="V53" i="51" s="1"/>
  <c r="V54" i="51" s="1"/>
  <c r="AH51" i="51"/>
  <c r="AH53" i="51" s="1"/>
  <c r="AH54" i="51" s="1"/>
  <c r="AE51" i="51"/>
  <c r="AE53" i="51" s="1"/>
  <c r="AE54" i="51" s="1"/>
  <c r="U39" i="51"/>
  <c r="V39" i="51" s="1"/>
  <c r="K51" i="51"/>
  <c r="K53" i="51" s="1"/>
  <c r="K54" i="51" s="1"/>
  <c r="W51" i="51"/>
  <c r="W53" i="51" s="1"/>
  <c r="W54" i="51" s="1"/>
  <c r="AI51" i="51"/>
  <c r="AI53" i="51" s="1"/>
  <c r="AI54" i="51" s="1"/>
  <c r="Z51" i="51"/>
  <c r="Z53" i="51" s="1"/>
  <c r="Z54" i="51" s="1"/>
  <c r="L51" i="51"/>
  <c r="L53" i="51" s="1"/>
  <c r="L54" i="51" s="1"/>
  <c r="M83" i="49"/>
  <c r="N83" i="49" s="1"/>
  <c r="O83" i="49" s="1"/>
  <c r="M82" i="49"/>
  <c r="N82" i="49" s="1"/>
  <c r="O82" i="49" s="1"/>
  <c r="M81" i="49"/>
  <c r="N81" i="49" s="1"/>
  <c r="O81" i="49" s="1"/>
  <c r="M80" i="49"/>
  <c r="N80" i="49" s="1"/>
  <c r="O80" i="49" s="1"/>
  <c r="M79" i="49"/>
  <c r="N79" i="49" s="1"/>
  <c r="O79" i="49" s="1"/>
  <c r="M78" i="49"/>
  <c r="N78" i="49" s="1"/>
  <c r="O78" i="49" s="1"/>
  <c r="M77" i="49"/>
  <c r="N77" i="49" s="1"/>
  <c r="O77" i="49" s="1"/>
  <c r="M76" i="49"/>
  <c r="N76" i="49" s="1"/>
  <c r="O76" i="49" s="1"/>
  <c r="AC75" i="49"/>
  <c r="AB75" i="49"/>
  <c r="AA75" i="49"/>
  <c r="Z75" i="49"/>
  <c r="Y75" i="49"/>
  <c r="X75" i="49"/>
  <c r="W75" i="49"/>
  <c r="V75" i="49"/>
  <c r="U75" i="49"/>
  <c r="T75" i="49"/>
  <c r="S75" i="49"/>
  <c r="O75" i="49"/>
  <c r="N75" i="49"/>
  <c r="M75" i="49"/>
  <c r="AD74" i="49"/>
  <c r="M74" i="49"/>
  <c r="N74" i="49" s="1"/>
  <c r="O74" i="49" s="1"/>
  <c r="N73" i="49"/>
  <c r="O73" i="49" s="1"/>
  <c r="M73" i="49"/>
  <c r="O72" i="49"/>
  <c r="N72" i="49"/>
  <c r="M72" i="49"/>
  <c r="M71" i="49"/>
  <c r="N71" i="49" s="1"/>
  <c r="O71" i="49" s="1"/>
  <c r="N70" i="49"/>
  <c r="O70" i="49" s="1"/>
  <c r="M70" i="49"/>
  <c r="AE69" i="49"/>
  <c r="AD69" i="49"/>
  <c r="AC69" i="49"/>
  <c r="AB69" i="49"/>
  <c r="AA69" i="49"/>
  <c r="Z69" i="49"/>
  <c r="Y69" i="49"/>
  <c r="X69" i="49"/>
  <c r="W69" i="49"/>
  <c r="V69" i="49"/>
  <c r="U69" i="49"/>
  <c r="T69" i="49"/>
  <c r="S69" i="49"/>
  <c r="R69" i="49"/>
  <c r="N69" i="49"/>
  <c r="O69" i="49" s="1"/>
  <c r="M69" i="49"/>
  <c r="AE68" i="49"/>
  <c r="M68" i="49"/>
  <c r="N68" i="49" s="1"/>
  <c r="O68" i="49" s="1"/>
  <c r="N67" i="49"/>
  <c r="O67" i="49" s="1"/>
  <c r="M67" i="49"/>
  <c r="N66" i="49"/>
  <c r="O66" i="49" s="1"/>
  <c r="M66" i="49"/>
  <c r="O65" i="49"/>
  <c r="N65" i="49"/>
  <c r="M65" i="49"/>
  <c r="M64" i="49"/>
  <c r="N64" i="49" s="1"/>
  <c r="O64" i="49" s="1"/>
  <c r="N63" i="49"/>
  <c r="O63" i="49" s="1"/>
  <c r="M63" i="49"/>
  <c r="M62" i="49"/>
  <c r="N62" i="49" s="1"/>
  <c r="O62" i="49" s="1"/>
  <c r="AH61" i="49"/>
  <c r="M61" i="49"/>
  <c r="N61" i="49" s="1"/>
  <c r="O61" i="49" s="1"/>
  <c r="AG60" i="49"/>
  <c r="AF60" i="49"/>
  <c r="AE60" i="49"/>
  <c r="AD60" i="49"/>
  <c r="AC60" i="49"/>
  <c r="AB60" i="49"/>
  <c r="AA60" i="49"/>
  <c r="Z60" i="49"/>
  <c r="Y60" i="49"/>
  <c r="X60" i="49"/>
  <c r="W60" i="49"/>
  <c r="V60" i="49"/>
  <c r="U60" i="49"/>
  <c r="T60" i="49"/>
  <c r="S60" i="49"/>
  <c r="AH60" i="49" s="1"/>
  <c r="AH62" i="49" s="1"/>
  <c r="N60" i="49"/>
  <c r="O60" i="49" s="1"/>
  <c r="M60" i="49"/>
  <c r="AH59" i="49"/>
  <c r="M59" i="49"/>
  <c r="N59" i="49" s="1"/>
  <c r="O59" i="49" s="1"/>
  <c r="AH58" i="49"/>
  <c r="M58" i="49"/>
  <c r="N58" i="49" s="1"/>
  <c r="O58" i="49" s="1"/>
  <c r="AI52" i="49"/>
  <c r="AH52" i="49"/>
  <c r="AG52" i="49"/>
  <c r="AF52" i="49"/>
  <c r="AE52" i="49"/>
  <c r="AD52" i="49"/>
  <c r="AC52" i="49"/>
  <c r="AB52" i="49"/>
  <c r="AA52" i="49"/>
  <c r="Z52" i="49"/>
  <c r="Y52" i="49"/>
  <c r="X52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E51" i="49" a="1"/>
  <c r="X51" i="49" s="1"/>
  <c r="AJ50" i="49"/>
  <c r="D46" i="49"/>
  <c r="AJ39" i="49"/>
  <c r="Y39" i="49"/>
  <c r="X39" i="49"/>
  <c r="W39" i="49"/>
  <c r="T39" i="49"/>
  <c r="S39" i="49"/>
  <c r="D43" i="49" s="1"/>
  <c r="R39" i="49"/>
  <c r="Q39" i="49"/>
  <c r="O39" i="49"/>
  <c r="P39" i="49" s="1"/>
  <c r="M39" i="49"/>
  <c r="N39" i="49" s="1"/>
  <c r="L39" i="49"/>
  <c r="K39" i="49"/>
  <c r="J39" i="49"/>
  <c r="I39" i="49"/>
  <c r="H39" i="49"/>
  <c r="G39" i="49"/>
  <c r="F39" i="49"/>
  <c r="E39" i="49"/>
  <c r="D39" i="49"/>
  <c r="B39" i="49"/>
  <c r="C39" i="49" s="1"/>
  <c r="D44" i="49" s="1"/>
  <c r="AM38" i="49"/>
  <c r="AK38" i="49"/>
  <c r="AJ38" i="49"/>
  <c r="AK39" i="49" s="1"/>
  <c r="AI38" i="49"/>
  <c r="Y38" i="49"/>
  <c r="X38" i="49"/>
  <c r="W38" i="49"/>
  <c r="T38" i="49"/>
  <c r="S38" i="49"/>
  <c r="R38" i="49"/>
  <c r="Q38" i="49"/>
  <c r="O38" i="49"/>
  <c r="M38" i="49"/>
  <c r="L38" i="49"/>
  <c r="K38" i="49"/>
  <c r="I38" i="49"/>
  <c r="H38" i="49"/>
  <c r="G38" i="49"/>
  <c r="F38" i="49"/>
  <c r="E38" i="49"/>
  <c r="D38" i="49"/>
  <c r="B38" i="49"/>
  <c r="AP37" i="49"/>
  <c r="AL37" i="49"/>
  <c r="U37" i="49"/>
  <c r="V37" i="49" s="1"/>
  <c r="P37" i="49"/>
  <c r="N37" i="49"/>
  <c r="J37" i="49"/>
  <c r="C37" i="49"/>
  <c r="AP36" i="49"/>
  <c r="AL36" i="49"/>
  <c r="U36" i="49"/>
  <c r="V36" i="49" s="1"/>
  <c r="P36" i="49"/>
  <c r="N36" i="49"/>
  <c r="J36" i="49"/>
  <c r="C36" i="49"/>
  <c r="AP35" i="49"/>
  <c r="AL35" i="49"/>
  <c r="U35" i="49"/>
  <c r="V35" i="49" s="1"/>
  <c r="P35" i="49"/>
  <c r="N35" i="49"/>
  <c r="J35" i="49"/>
  <c r="C35" i="49"/>
  <c r="AP34" i="49"/>
  <c r="AL34" i="49"/>
  <c r="U34" i="49"/>
  <c r="V34" i="49" s="1"/>
  <c r="P34" i="49"/>
  <c r="N34" i="49"/>
  <c r="J34" i="49"/>
  <c r="C34" i="49"/>
  <c r="AP33" i="49"/>
  <c r="AL33" i="49"/>
  <c r="U33" i="49"/>
  <c r="V33" i="49" s="1"/>
  <c r="P33" i="49"/>
  <c r="N33" i="49"/>
  <c r="J33" i="49"/>
  <c r="C33" i="49"/>
  <c r="AP32" i="49"/>
  <c r="AL32" i="49"/>
  <c r="U32" i="49"/>
  <c r="V32" i="49" s="1"/>
  <c r="P32" i="49"/>
  <c r="N32" i="49"/>
  <c r="J32" i="49"/>
  <c r="C32" i="49"/>
  <c r="AP31" i="49"/>
  <c r="AL31" i="49"/>
  <c r="U31" i="49"/>
  <c r="V31" i="49" s="1"/>
  <c r="P31" i="49"/>
  <c r="N31" i="49"/>
  <c r="J31" i="49"/>
  <c r="C31" i="49"/>
  <c r="AP30" i="49"/>
  <c r="AL30" i="49"/>
  <c r="U30" i="49"/>
  <c r="V30" i="49" s="1"/>
  <c r="P30" i="49"/>
  <c r="N30" i="49"/>
  <c r="J30" i="49"/>
  <c r="C30" i="49"/>
  <c r="AP29" i="49"/>
  <c r="AL29" i="49"/>
  <c r="U29" i="49"/>
  <c r="V29" i="49" s="1"/>
  <c r="P29" i="49"/>
  <c r="N29" i="49"/>
  <c r="J29" i="49"/>
  <c r="C29" i="49"/>
  <c r="AP28" i="49"/>
  <c r="AL28" i="49"/>
  <c r="U28" i="49"/>
  <c r="V28" i="49" s="1"/>
  <c r="P28" i="49"/>
  <c r="N28" i="49"/>
  <c r="J28" i="49"/>
  <c r="C28" i="49"/>
  <c r="AP27" i="49"/>
  <c r="AL27" i="49"/>
  <c r="U27" i="49"/>
  <c r="V27" i="49" s="1"/>
  <c r="P27" i="49"/>
  <c r="N27" i="49"/>
  <c r="J27" i="49"/>
  <c r="C27" i="49"/>
  <c r="AP26" i="49"/>
  <c r="AL26" i="49"/>
  <c r="U26" i="49"/>
  <c r="V26" i="49" s="1"/>
  <c r="P26" i="49"/>
  <c r="N26" i="49"/>
  <c r="J26" i="49"/>
  <c r="C26" i="49"/>
  <c r="AP25" i="49"/>
  <c r="AL25" i="49"/>
  <c r="U25" i="49"/>
  <c r="V25" i="49" s="1"/>
  <c r="P25" i="49"/>
  <c r="N25" i="49"/>
  <c r="J25" i="49"/>
  <c r="C25" i="49"/>
  <c r="AP24" i="49"/>
  <c r="AL24" i="49"/>
  <c r="U24" i="49"/>
  <c r="V24" i="49" s="1"/>
  <c r="P24" i="49"/>
  <c r="N24" i="49"/>
  <c r="J24" i="49"/>
  <c r="C24" i="49"/>
  <c r="AP23" i="49"/>
  <c r="AL23" i="49"/>
  <c r="U23" i="49"/>
  <c r="V23" i="49" s="1"/>
  <c r="P23" i="49"/>
  <c r="N23" i="49"/>
  <c r="J23" i="49"/>
  <c r="C23" i="49"/>
  <c r="AP22" i="49"/>
  <c r="AL22" i="49"/>
  <c r="U22" i="49"/>
  <c r="V22" i="49" s="1"/>
  <c r="P22" i="49"/>
  <c r="N22" i="49"/>
  <c r="J22" i="49"/>
  <c r="C22" i="49"/>
  <c r="AP21" i="49"/>
  <c r="AL21" i="49"/>
  <c r="U21" i="49"/>
  <c r="V21" i="49" s="1"/>
  <c r="P21" i="49"/>
  <c r="N21" i="49"/>
  <c r="J21" i="49"/>
  <c r="C21" i="49"/>
  <c r="AP20" i="49"/>
  <c r="AL20" i="49"/>
  <c r="U20" i="49"/>
  <c r="V20" i="49" s="1"/>
  <c r="P20" i="49"/>
  <c r="N20" i="49"/>
  <c r="J20" i="49"/>
  <c r="C20" i="49"/>
  <c r="AP19" i="49"/>
  <c r="AL19" i="49"/>
  <c r="U19" i="49"/>
  <c r="V19" i="49" s="1"/>
  <c r="P19" i="49"/>
  <c r="N19" i="49"/>
  <c r="J19" i="49"/>
  <c r="C19" i="49"/>
  <c r="AP18" i="49"/>
  <c r="AL18" i="49"/>
  <c r="U18" i="49"/>
  <c r="V18" i="49" s="1"/>
  <c r="P18" i="49"/>
  <c r="N18" i="49"/>
  <c r="J18" i="49"/>
  <c r="C18" i="49"/>
  <c r="AP17" i="49"/>
  <c r="AL17" i="49"/>
  <c r="U17" i="49"/>
  <c r="V17" i="49" s="1"/>
  <c r="P17" i="49"/>
  <c r="N17" i="49"/>
  <c r="J17" i="49"/>
  <c r="C17" i="49"/>
  <c r="AP16" i="49"/>
  <c r="AL16" i="49"/>
  <c r="U16" i="49"/>
  <c r="V16" i="49" s="1"/>
  <c r="P16" i="49"/>
  <c r="N16" i="49"/>
  <c r="J16" i="49"/>
  <c r="C16" i="49"/>
  <c r="AP15" i="49"/>
  <c r="AL15" i="49"/>
  <c r="U15" i="49"/>
  <c r="V15" i="49" s="1"/>
  <c r="P15" i="49"/>
  <c r="N15" i="49"/>
  <c r="J15" i="49"/>
  <c r="C15" i="49"/>
  <c r="AP14" i="49"/>
  <c r="AL14" i="49"/>
  <c r="U14" i="49"/>
  <c r="V14" i="49" s="1"/>
  <c r="P14" i="49"/>
  <c r="N14" i="49"/>
  <c r="J14" i="49"/>
  <c r="C14" i="49"/>
  <c r="AP13" i="49"/>
  <c r="AL13" i="49"/>
  <c r="U13" i="49"/>
  <c r="V13" i="49" s="1"/>
  <c r="P13" i="49"/>
  <c r="N13" i="49"/>
  <c r="J13" i="49"/>
  <c r="C13" i="49"/>
  <c r="AP12" i="49"/>
  <c r="AL12" i="49"/>
  <c r="U12" i="49"/>
  <c r="V12" i="49" s="1"/>
  <c r="P12" i="49"/>
  <c r="N12" i="49"/>
  <c r="J12" i="49"/>
  <c r="C12" i="49"/>
  <c r="AP11" i="49"/>
  <c r="AL11" i="49"/>
  <c r="U11" i="49"/>
  <c r="V11" i="49" s="1"/>
  <c r="P11" i="49"/>
  <c r="N11" i="49"/>
  <c r="J11" i="49"/>
  <c r="C11" i="49"/>
  <c r="AP10" i="49"/>
  <c r="AL10" i="49"/>
  <c r="U10" i="49"/>
  <c r="V10" i="49" s="1"/>
  <c r="P10" i="49"/>
  <c r="N10" i="49"/>
  <c r="J10" i="49"/>
  <c r="C10" i="49"/>
  <c r="AP9" i="49"/>
  <c r="AL9" i="49"/>
  <c r="U9" i="49"/>
  <c r="V9" i="49" s="1"/>
  <c r="P9" i="49"/>
  <c r="N9" i="49"/>
  <c r="J9" i="49"/>
  <c r="C9" i="49"/>
  <c r="AP8" i="49"/>
  <c r="AL8" i="49"/>
  <c r="U8" i="49"/>
  <c r="V8" i="49" s="1"/>
  <c r="P8" i="49"/>
  <c r="N8" i="49"/>
  <c r="J8" i="49"/>
  <c r="C8" i="49"/>
  <c r="AP7" i="49"/>
  <c r="AL7" i="49"/>
  <c r="U7" i="49"/>
  <c r="V7" i="49" s="1"/>
  <c r="P7" i="49"/>
  <c r="N7" i="49"/>
  <c r="J7" i="49"/>
  <c r="C7" i="49"/>
  <c r="R75" i="51" l="1"/>
  <c r="AD75" i="51" s="1"/>
  <c r="AG75" i="51" s="1"/>
  <c r="AJ51" i="51"/>
  <c r="E53" i="51"/>
  <c r="X53" i="49"/>
  <c r="X54" i="49" s="1"/>
  <c r="AH39" i="49"/>
  <c r="D42" i="49"/>
  <c r="M40" i="49"/>
  <c r="AL38" i="49"/>
  <c r="M51" i="49"/>
  <c r="M53" i="49" s="1"/>
  <c r="M54" i="49" s="1"/>
  <c r="R40" i="49"/>
  <c r="AJ52" i="49"/>
  <c r="R73" i="49"/>
  <c r="D45" i="49"/>
  <c r="C38" i="49"/>
  <c r="U39" i="49"/>
  <c r="V39" i="49" s="1"/>
  <c r="O84" i="49"/>
  <c r="N51" i="49"/>
  <c r="N53" i="49" s="1"/>
  <c r="N54" i="49" s="1"/>
  <c r="Z51" i="49"/>
  <c r="Z53" i="49" s="1"/>
  <c r="Z54" i="49" s="1"/>
  <c r="AB51" i="49"/>
  <c r="AB53" i="49" s="1"/>
  <c r="AB54" i="49" s="1"/>
  <c r="E51" i="49"/>
  <c r="Q51" i="49"/>
  <c r="Q53" i="49" s="1"/>
  <c r="Q54" i="49" s="1"/>
  <c r="AC51" i="49"/>
  <c r="AC53" i="49" s="1"/>
  <c r="AC54" i="49" s="1"/>
  <c r="F51" i="49"/>
  <c r="F53" i="49" s="1"/>
  <c r="F54" i="49" s="1"/>
  <c r="R51" i="49"/>
  <c r="R53" i="49" s="1"/>
  <c r="R54" i="49" s="1"/>
  <c r="AD51" i="49"/>
  <c r="AD53" i="49" s="1"/>
  <c r="AD54" i="49" s="1"/>
  <c r="U38" i="49"/>
  <c r="G51" i="49"/>
  <c r="G53" i="49" s="1"/>
  <c r="G54" i="49" s="1"/>
  <c r="S51" i="49"/>
  <c r="S53" i="49" s="1"/>
  <c r="S54" i="49" s="1"/>
  <c r="AE51" i="49"/>
  <c r="AE53" i="49" s="1"/>
  <c r="AE54" i="49" s="1"/>
  <c r="Y51" i="49"/>
  <c r="Y53" i="49" s="1"/>
  <c r="Y54" i="49" s="1"/>
  <c r="AA51" i="49"/>
  <c r="AA53" i="49" s="1"/>
  <c r="AA54" i="49" s="1"/>
  <c r="H51" i="49"/>
  <c r="H53" i="49" s="1"/>
  <c r="H54" i="49" s="1"/>
  <c r="T51" i="49"/>
  <c r="T53" i="49" s="1"/>
  <c r="T54" i="49" s="1"/>
  <c r="AF51" i="49"/>
  <c r="AF53" i="49" s="1"/>
  <c r="AF54" i="49" s="1"/>
  <c r="O51" i="49"/>
  <c r="O53" i="49" s="1"/>
  <c r="O54" i="49" s="1"/>
  <c r="P51" i="49"/>
  <c r="P53" i="49" s="1"/>
  <c r="P54" i="49" s="1"/>
  <c r="I51" i="49"/>
  <c r="I53" i="49" s="1"/>
  <c r="I54" i="49" s="1"/>
  <c r="U51" i="49"/>
  <c r="U53" i="49" s="1"/>
  <c r="U54" i="49" s="1"/>
  <c r="AG51" i="49"/>
  <c r="AG53" i="49" s="1"/>
  <c r="AG54" i="49" s="1"/>
  <c r="J51" i="49"/>
  <c r="J53" i="49" s="1"/>
  <c r="J54" i="49" s="1"/>
  <c r="V51" i="49"/>
  <c r="V53" i="49" s="1"/>
  <c r="V54" i="49" s="1"/>
  <c r="AH51" i="49"/>
  <c r="AH53" i="49" s="1"/>
  <c r="AH54" i="49" s="1"/>
  <c r="K51" i="49"/>
  <c r="K53" i="49" s="1"/>
  <c r="K54" i="49" s="1"/>
  <c r="W51" i="49"/>
  <c r="W53" i="49" s="1"/>
  <c r="W54" i="49" s="1"/>
  <c r="AI51" i="49"/>
  <c r="AI53" i="49" s="1"/>
  <c r="AI54" i="49" s="1"/>
  <c r="L51" i="49"/>
  <c r="L53" i="49" s="1"/>
  <c r="L54" i="49" s="1"/>
  <c r="N83" i="48"/>
  <c r="O83" i="48" s="1"/>
  <c r="M83" i="48"/>
  <c r="N82" i="48"/>
  <c r="O82" i="48" s="1"/>
  <c r="M82" i="48"/>
  <c r="N81" i="48"/>
  <c r="O81" i="48" s="1"/>
  <c r="M81" i="48"/>
  <c r="O80" i="48"/>
  <c r="N80" i="48"/>
  <c r="M80" i="48"/>
  <c r="N79" i="48"/>
  <c r="O79" i="48" s="1"/>
  <c r="M79" i="48"/>
  <c r="N78" i="48"/>
  <c r="O78" i="48" s="1"/>
  <c r="M78" i="48"/>
  <c r="N77" i="48"/>
  <c r="O77" i="48" s="1"/>
  <c r="M77" i="48"/>
  <c r="O76" i="48"/>
  <c r="N76" i="48"/>
  <c r="M76" i="48"/>
  <c r="AC75" i="48"/>
  <c r="AB75" i="48"/>
  <c r="AA75" i="48"/>
  <c r="Z75" i="48"/>
  <c r="Y75" i="48"/>
  <c r="X75" i="48"/>
  <c r="W75" i="48"/>
  <c r="V75" i="48"/>
  <c r="U75" i="48"/>
  <c r="T75" i="48"/>
  <c r="S75" i="48"/>
  <c r="N75" i="48"/>
  <c r="O75" i="48" s="1"/>
  <c r="M75" i="48"/>
  <c r="AD74" i="48"/>
  <c r="N74" i="48"/>
  <c r="O74" i="48" s="1"/>
  <c r="M74" i="48"/>
  <c r="O73" i="48"/>
  <c r="N73" i="48"/>
  <c r="M73" i="48"/>
  <c r="N72" i="48"/>
  <c r="O72" i="48" s="1"/>
  <c r="M72" i="48"/>
  <c r="O71" i="48"/>
  <c r="N71" i="48"/>
  <c r="M71" i="48"/>
  <c r="O70" i="48"/>
  <c r="N70" i="48"/>
  <c r="M70" i="48"/>
  <c r="AE69" i="48"/>
  <c r="AD69" i="48"/>
  <c r="AC69" i="48"/>
  <c r="AB69" i="48"/>
  <c r="AA69" i="48"/>
  <c r="Z69" i="48"/>
  <c r="Y69" i="48"/>
  <c r="X69" i="48"/>
  <c r="W69" i="48"/>
  <c r="V69" i="48"/>
  <c r="U69" i="48"/>
  <c r="T69" i="48"/>
  <c r="S69" i="48"/>
  <c r="R69" i="48"/>
  <c r="O69" i="48"/>
  <c r="N69" i="48"/>
  <c r="M69" i="48"/>
  <c r="AE68" i="48"/>
  <c r="O68" i="48"/>
  <c r="N68" i="48"/>
  <c r="M68" i="48"/>
  <c r="O67" i="48"/>
  <c r="N67" i="48"/>
  <c r="M67" i="48"/>
  <c r="O66" i="48"/>
  <c r="N66" i="48"/>
  <c r="M66" i="48"/>
  <c r="N65" i="48"/>
  <c r="O65" i="48" s="1"/>
  <c r="M65" i="48"/>
  <c r="O64" i="48"/>
  <c r="N64" i="48"/>
  <c r="M64" i="48"/>
  <c r="O63" i="48"/>
  <c r="N63" i="48"/>
  <c r="M63" i="48"/>
  <c r="O62" i="48"/>
  <c r="N62" i="48"/>
  <c r="M62" i="48"/>
  <c r="AH61" i="48"/>
  <c r="M61" i="48"/>
  <c r="N61" i="48" s="1"/>
  <c r="O61" i="48" s="1"/>
  <c r="AH60" i="48"/>
  <c r="AH62" i="48" s="1"/>
  <c r="AG60" i="48"/>
  <c r="AF60" i="48"/>
  <c r="AE60" i="48"/>
  <c r="AD60" i="48"/>
  <c r="AC60" i="48"/>
  <c r="AB60" i="48"/>
  <c r="AA60" i="48"/>
  <c r="Z60" i="48"/>
  <c r="Y60" i="48"/>
  <c r="X60" i="48"/>
  <c r="W60" i="48"/>
  <c r="V60" i="48"/>
  <c r="U60" i="48"/>
  <c r="T60" i="48"/>
  <c r="S60" i="48"/>
  <c r="M60" i="48"/>
  <c r="N60" i="48" s="1"/>
  <c r="O60" i="48" s="1"/>
  <c r="AH59" i="48"/>
  <c r="M59" i="48"/>
  <c r="N59" i="48" s="1"/>
  <c r="O59" i="48" s="1"/>
  <c r="AH58" i="48"/>
  <c r="M58" i="48"/>
  <c r="N58" i="48" s="1"/>
  <c r="O58" i="48" s="1"/>
  <c r="AI52" i="48"/>
  <c r="AH52" i="48"/>
  <c r="AG52" i="48"/>
  <c r="AF52" i="48"/>
  <c r="AE52" i="48"/>
  <c r="AD52" i="48"/>
  <c r="AC52" i="48"/>
  <c r="AB52" i="48"/>
  <c r="AA52" i="48"/>
  <c r="Z52" i="48"/>
  <c r="Y52" i="48"/>
  <c r="X52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E51" i="48" a="1"/>
  <c r="AC51" i="48" s="1"/>
  <c r="AC53" i="48" s="1"/>
  <c r="AC54" i="48" s="1"/>
  <c r="AJ50" i="48"/>
  <c r="AJ39" i="48"/>
  <c r="Y39" i="48"/>
  <c r="X39" i="48"/>
  <c r="W39" i="48"/>
  <c r="T39" i="48"/>
  <c r="S39" i="48"/>
  <c r="D43" i="48" s="1"/>
  <c r="R39" i="48"/>
  <c r="Q39" i="48"/>
  <c r="O39" i="48"/>
  <c r="P39" i="48" s="1"/>
  <c r="M39" i="48"/>
  <c r="N39" i="48" s="1"/>
  <c r="L39" i="48"/>
  <c r="K39" i="48"/>
  <c r="I39" i="48"/>
  <c r="J39" i="48" s="1"/>
  <c r="D46" i="48" s="1"/>
  <c r="H39" i="48"/>
  <c r="G39" i="48"/>
  <c r="F39" i="48"/>
  <c r="E39" i="48"/>
  <c r="D39" i="48"/>
  <c r="B39" i="48"/>
  <c r="C39" i="48" s="1"/>
  <c r="D44" i="48" s="1"/>
  <c r="AM38" i="48"/>
  <c r="AK38" i="48"/>
  <c r="AJ38" i="48"/>
  <c r="AK39" i="48" s="1"/>
  <c r="AI38" i="48"/>
  <c r="Y38" i="48"/>
  <c r="X38" i="48"/>
  <c r="W38" i="48"/>
  <c r="T38" i="48"/>
  <c r="S38" i="48"/>
  <c r="R38" i="48"/>
  <c r="Q38" i="48"/>
  <c r="O38" i="48"/>
  <c r="M38" i="48"/>
  <c r="L38" i="48"/>
  <c r="K38" i="48"/>
  <c r="I38" i="48"/>
  <c r="H38" i="48"/>
  <c r="G38" i="48"/>
  <c r="F38" i="48"/>
  <c r="E38" i="48"/>
  <c r="D38" i="48"/>
  <c r="B38" i="48"/>
  <c r="AP37" i="48"/>
  <c r="AL37" i="48"/>
  <c r="U37" i="48"/>
  <c r="V37" i="48" s="1"/>
  <c r="P37" i="48"/>
  <c r="N37" i="48"/>
  <c r="J37" i="48"/>
  <c r="C37" i="48"/>
  <c r="AP36" i="48"/>
  <c r="AL36" i="48"/>
  <c r="U36" i="48"/>
  <c r="V36" i="48" s="1"/>
  <c r="P36" i="48"/>
  <c r="N36" i="48"/>
  <c r="J36" i="48"/>
  <c r="C36" i="48"/>
  <c r="AP35" i="48"/>
  <c r="AL35" i="48"/>
  <c r="U35" i="48"/>
  <c r="V35" i="48" s="1"/>
  <c r="P35" i="48"/>
  <c r="N35" i="48"/>
  <c r="J35" i="48"/>
  <c r="C35" i="48"/>
  <c r="AP34" i="48"/>
  <c r="AL34" i="48"/>
  <c r="U34" i="48"/>
  <c r="V34" i="48" s="1"/>
  <c r="P34" i="48"/>
  <c r="N34" i="48"/>
  <c r="J34" i="48"/>
  <c r="C34" i="48"/>
  <c r="AP33" i="48"/>
  <c r="AL33" i="48"/>
  <c r="U33" i="48"/>
  <c r="V33" i="48" s="1"/>
  <c r="P33" i="48"/>
  <c r="N33" i="48"/>
  <c r="J33" i="48"/>
  <c r="C33" i="48"/>
  <c r="AP32" i="48"/>
  <c r="AL32" i="48"/>
  <c r="U32" i="48"/>
  <c r="V32" i="48" s="1"/>
  <c r="P32" i="48"/>
  <c r="N32" i="48"/>
  <c r="J32" i="48"/>
  <c r="C32" i="48"/>
  <c r="AP31" i="48"/>
  <c r="AL31" i="48"/>
  <c r="U31" i="48"/>
  <c r="V31" i="48" s="1"/>
  <c r="P31" i="48"/>
  <c r="N31" i="48"/>
  <c r="J31" i="48"/>
  <c r="C31" i="48"/>
  <c r="AP30" i="48"/>
  <c r="AL30" i="48"/>
  <c r="U30" i="48"/>
  <c r="V30" i="48" s="1"/>
  <c r="P30" i="48"/>
  <c r="N30" i="48"/>
  <c r="J30" i="48"/>
  <c r="C30" i="48"/>
  <c r="AP29" i="48"/>
  <c r="AL29" i="48"/>
  <c r="U29" i="48"/>
  <c r="V29" i="48" s="1"/>
  <c r="P29" i="48"/>
  <c r="N29" i="48"/>
  <c r="J29" i="48"/>
  <c r="C29" i="48"/>
  <c r="AP28" i="48"/>
  <c r="AL28" i="48"/>
  <c r="U28" i="48"/>
  <c r="V28" i="48" s="1"/>
  <c r="P28" i="48"/>
  <c r="N28" i="48"/>
  <c r="J28" i="48"/>
  <c r="C28" i="48"/>
  <c r="AP27" i="48"/>
  <c r="AL27" i="48"/>
  <c r="U27" i="48"/>
  <c r="V27" i="48" s="1"/>
  <c r="P27" i="48"/>
  <c r="N27" i="48"/>
  <c r="J27" i="48"/>
  <c r="C27" i="48"/>
  <c r="AP26" i="48"/>
  <c r="AL26" i="48"/>
  <c r="U26" i="48"/>
  <c r="V26" i="48" s="1"/>
  <c r="P26" i="48"/>
  <c r="N26" i="48"/>
  <c r="J26" i="48"/>
  <c r="C26" i="48"/>
  <c r="AP25" i="48"/>
  <c r="AL25" i="48"/>
  <c r="U25" i="48"/>
  <c r="V25" i="48" s="1"/>
  <c r="P25" i="48"/>
  <c r="N25" i="48"/>
  <c r="J25" i="48"/>
  <c r="C25" i="48"/>
  <c r="AP24" i="48"/>
  <c r="AL24" i="48"/>
  <c r="U24" i="48"/>
  <c r="V24" i="48" s="1"/>
  <c r="P24" i="48"/>
  <c r="N24" i="48"/>
  <c r="J24" i="48"/>
  <c r="C24" i="48"/>
  <c r="AP23" i="48"/>
  <c r="AL23" i="48"/>
  <c r="U23" i="48"/>
  <c r="V23" i="48" s="1"/>
  <c r="P23" i="48"/>
  <c r="N23" i="48"/>
  <c r="J23" i="48"/>
  <c r="C23" i="48"/>
  <c r="AP22" i="48"/>
  <c r="AL22" i="48"/>
  <c r="U22" i="48"/>
  <c r="V22" i="48" s="1"/>
  <c r="P22" i="48"/>
  <c r="N22" i="48"/>
  <c r="J22" i="48"/>
  <c r="C22" i="48"/>
  <c r="AP21" i="48"/>
  <c r="AL21" i="48"/>
  <c r="U21" i="48"/>
  <c r="V21" i="48" s="1"/>
  <c r="P21" i="48"/>
  <c r="N21" i="48"/>
  <c r="J21" i="48"/>
  <c r="C21" i="48"/>
  <c r="AP20" i="48"/>
  <c r="AL20" i="48"/>
  <c r="U20" i="48"/>
  <c r="V20" i="48" s="1"/>
  <c r="P20" i="48"/>
  <c r="N20" i="48"/>
  <c r="J20" i="48"/>
  <c r="C20" i="48"/>
  <c r="AP19" i="48"/>
  <c r="AL19" i="48"/>
  <c r="U19" i="48"/>
  <c r="V19" i="48" s="1"/>
  <c r="P19" i="48"/>
  <c r="N19" i="48"/>
  <c r="J19" i="48"/>
  <c r="C19" i="48"/>
  <c r="AP18" i="48"/>
  <c r="AL18" i="48"/>
  <c r="U18" i="48"/>
  <c r="V18" i="48" s="1"/>
  <c r="P18" i="48"/>
  <c r="N18" i="48"/>
  <c r="J18" i="48"/>
  <c r="C18" i="48"/>
  <c r="AP17" i="48"/>
  <c r="AL17" i="48"/>
  <c r="U17" i="48"/>
  <c r="V17" i="48" s="1"/>
  <c r="P17" i="48"/>
  <c r="N17" i="48"/>
  <c r="J17" i="48"/>
  <c r="C17" i="48"/>
  <c r="AP16" i="48"/>
  <c r="AL16" i="48"/>
  <c r="U16" i="48"/>
  <c r="V16" i="48" s="1"/>
  <c r="P16" i="48"/>
  <c r="N16" i="48"/>
  <c r="J16" i="48"/>
  <c r="C16" i="48"/>
  <c r="AP15" i="48"/>
  <c r="AL15" i="48"/>
  <c r="U15" i="48"/>
  <c r="V15" i="48" s="1"/>
  <c r="P15" i="48"/>
  <c r="N15" i="48"/>
  <c r="J15" i="48"/>
  <c r="C15" i="48"/>
  <c r="AP14" i="48"/>
  <c r="AL14" i="48"/>
  <c r="U14" i="48"/>
  <c r="V14" i="48" s="1"/>
  <c r="P14" i="48"/>
  <c r="N14" i="48"/>
  <c r="J14" i="48"/>
  <c r="C14" i="48"/>
  <c r="AP13" i="48"/>
  <c r="AL13" i="48"/>
  <c r="U13" i="48"/>
  <c r="V13" i="48" s="1"/>
  <c r="P13" i="48"/>
  <c r="N13" i="48"/>
  <c r="J13" i="48"/>
  <c r="C13" i="48"/>
  <c r="AP12" i="48"/>
  <c r="AL12" i="48"/>
  <c r="U12" i="48"/>
  <c r="V12" i="48" s="1"/>
  <c r="P12" i="48"/>
  <c r="N12" i="48"/>
  <c r="J12" i="48"/>
  <c r="C12" i="48"/>
  <c r="AP11" i="48"/>
  <c r="AL11" i="48"/>
  <c r="U11" i="48"/>
  <c r="V11" i="48" s="1"/>
  <c r="P11" i="48"/>
  <c r="N11" i="48"/>
  <c r="J11" i="48"/>
  <c r="C11" i="48"/>
  <c r="AP10" i="48"/>
  <c r="AL10" i="48"/>
  <c r="U10" i="48"/>
  <c r="V10" i="48" s="1"/>
  <c r="P10" i="48"/>
  <c r="N10" i="48"/>
  <c r="J10" i="48"/>
  <c r="C10" i="48"/>
  <c r="AP9" i="48"/>
  <c r="AL9" i="48"/>
  <c r="U9" i="48"/>
  <c r="V9" i="48" s="1"/>
  <c r="P9" i="48"/>
  <c r="N9" i="48"/>
  <c r="J9" i="48"/>
  <c r="C9" i="48"/>
  <c r="AP8" i="48"/>
  <c r="AL8" i="48"/>
  <c r="U8" i="48"/>
  <c r="V8" i="48" s="1"/>
  <c r="P8" i="48"/>
  <c r="N8" i="48"/>
  <c r="J8" i="48"/>
  <c r="C8" i="48"/>
  <c r="AP7" i="48"/>
  <c r="AL7" i="48"/>
  <c r="U7" i="48"/>
  <c r="V7" i="48" s="1"/>
  <c r="P7" i="48"/>
  <c r="N7" i="48"/>
  <c r="J7" i="48"/>
  <c r="C7" i="48"/>
  <c r="AE75" i="51" l="1"/>
  <c r="AF75" i="51"/>
  <c r="E54" i="51"/>
  <c r="AJ54" i="51" s="1"/>
  <c r="AJ53" i="51"/>
  <c r="D47" i="49"/>
  <c r="R75" i="49"/>
  <c r="AD75" i="49" s="1"/>
  <c r="AD73" i="49"/>
  <c r="AJ51" i="49"/>
  <c r="E53" i="49"/>
  <c r="AJ52" i="48"/>
  <c r="C38" i="48"/>
  <c r="R40" i="48"/>
  <c r="AL38" i="48"/>
  <c r="D42" i="48"/>
  <c r="R73" i="48"/>
  <c r="AD73" i="48" s="1"/>
  <c r="M40" i="48"/>
  <c r="D45" i="48"/>
  <c r="AH39" i="48"/>
  <c r="AD51" i="48"/>
  <c r="AD53" i="48" s="1"/>
  <c r="AD54" i="48" s="1"/>
  <c r="H51" i="48"/>
  <c r="H53" i="48" s="1"/>
  <c r="H54" i="48" s="1"/>
  <c r="I51" i="48"/>
  <c r="I53" i="48" s="1"/>
  <c r="I54" i="48" s="1"/>
  <c r="U51" i="48"/>
  <c r="U53" i="48" s="1"/>
  <c r="U54" i="48" s="1"/>
  <c r="AG51" i="48"/>
  <c r="AG53" i="48" s="1"/>
  <c r="AG54" i="48" s="1"/>
  <c r="J51" i="48"/>
  <c r="J53" i="48" s="1"/>
  <c r="J54" i="48" s="1"/>
  <c r="V51" i="48"/>
  <c r="V53" i="48" s="1"/>
  <c r="V54" i="48" s="1"/>
  <c r="AH51" i="48"/>
  <c r="AH53" i="48" s="1"/>
  <c r="AH54" i="48" s="1"/>
  <c r="G51" i="48"/>
  <c r="G53" i="48" s="1"/>
  <c r="G54" i="48" s="1"/>
  <c r="T51" i="48"/>
  <c r="T53" i="48" s="1"/>
  <c r="T54" i="48" s="1"/>
  <c r="K51" i="48"/>
  <c r="K53" i="48" s="1"/>
  <c r="K54" i="48" s="1"/>
  <c r="W51" i="48"/>
  <c r="W53" i="48" s="1"/>
  <c r="W54" i="48" s="1"/>
  <c r="AI51" i="48"/>
  <c r="AI53" i="48" s="1"/>
  <c r="AI54" i="48" s="1"/>
  <c r="R51" i="48"/>
  <c r="R53" i="48" s="1"/>
  <c r="R54" i="48" s="1"/>
  <c r="S51" i="48"/>
  <c r="S53" i="48" s="1"/>
  <c r="S54" i="48" s="1"/>
  <c r="L51" i="48"/>
  <c r="X51" i="48"/>
  <c r="X53" i="48" s="1"/>
  <c r="X54" i="48" s="1"/>
  <c r="F51" i="48"/>
  <c r="F53" i="48" s="1"/>
  <c r="F54" i="48" s="1"/>
  <c r="AF51" i="48"/>
  <c r="AF53" i="48" s="1"/>
  <c r="AF54" i="48" s="1"/>
  <c r="M51" i="48"/>
  <c r="M53" i="48" s="1"/>
  <c r="M54" i="48" s="1"/>
  <c r="N51" i="48"/>
  <c r="N53" i="48" s="1"/>
  <c r="N54" i="48" s="1"/>
  <c r="Z51" i="48"/>
  <c r="Z53" i="48" s="1"/>
  <c r="Z54" i="48" s="1"/>
  <c r="AE51" i="48"/>
  <c r="AE53" i="48" s="1"/>
  <c r="AE54" i="48" s="1"/>
  <c r="Y51" i="48"/>
  <c r="Y53" i="48" s="1"/>
  <c r="Y54" i="48" s="1"/>
  <c r="O51" i="48"/>
  <c r="O53" i="48" s="1"/>
  <c r="O54" i="48" s="1"/>
  <c r="AA51" i="48"/>
  <c r="AA53" i="48" s="1"/>
  <c r="AA54" i="48" s="1"/>
  <c r="P51" i="48"/>
  <c r="P53" i="48" s="1"/>
  <c r="P54" i="48" s="1"/>
  <c r="AB51" i="48"/>
  <c r="AB53" i="48" s="1"/>
  <c r="AB54" i="48" s="1"/>
  <c r="E51" i="48"/>
  <c r="Q51" i="48"/>
  <c r="Q53" i="48" s="1"/>
  <c r="Q54" i="48" s="1"/>
  <c r="U38" i="48"/>
  <c r="U39" i="48"/>
  <c r="V39" i="48" s="1"/>
  <c r="O84" i="48"/>
  <c r="N11" i="47"/>
  <c r="AG75" i="49" l="1"/>
  <c r="AF75" i="49"/>
  <c r="AE75" i="49"/>
  <c r="E54" i="49"/>
  <c r="AJ54" i="49" s="1"/>
  <c r="AJ53" i="49"/>
  <c r="L53" i="48"/>
  <c r="L54" i="48" s="1"/>
  <c r="R75" i="48"/>
  <c r="AD75" i="48" s="1"/>
  <c r="AG75" i="48" s="1"/>
  <c r="D47" i="48"/>
  <c r="AJ51" i="48"/>
  <c r="E53" i="48"/>
  <c r="O83" i="47"/>
  <c r="N83" i="47"/>
  <c r="M83" i="47"/>
  <c r="M82" i="47"/>
  <c r="N82" i="47" s="1"/>
  <c r="O82" i="47" s="1"/>
  <c r="O81" i="47"/>
  <c r="N81" i="47"/>
  <c r="M81" i="47"/>
  <c r="O80" i="47"/>
  <c r="N80" i="47"/>
  <c r="M80" i="47"/>
  <c r="O79" i="47"/>
  <c r="N79" i="47"/>
  <c r="M79" i="47"/>
  <c r="M78" i="47"/>
  <c r="N78" i="47" s="1"/>
  <c r="O78" i="47" s="1"/>
  <c r="O77" i="47"/>
  <c r="N77" i="47"/>
  <c r="M77" i="47"/>
  <c r="O76" i="47"/>
  <c r="N76" i="47"/>
  <c r="M76" i="47"/>
  <c r="AC75" i="47"/>
  <c r="AB75" i="47"/>
  <c r="AA75" i="47"/>
  <c r="Z75" i="47"/>
  <c r="Y75" i="47"/>
  <c r="X75" i="47"/>
  <c r="W75" i="47"/>
  <c r="V75" i="47"/>
  <c r="U75" i="47"/>
  <c r="T75" i="47"/>
  <c r="S75" i="47"/>
  <c r="M75" i="47"/>
  <c r="N75" i="47" s="1"/>
  <c r="O75" i="47" s="1"/>
  <c r="AD74" i="47"/>
  <c r="O74" i="47"/>
  <c r="N74" i="47"/>
  <c r="M74" i="47"/>
  <c r="M73" i="47"/>
  <c r="N73" i="47" s="1"/>
  <c r="O73" i="47" s="1"/>
  <c r="M72" i="47"/>
  <c r="N72" i="47" s="1"/>
  <c r="O72" i="47" s="1"/>
  <c r="O71" i="47"/>
  <c r="N71" i="47"/>
  <c r="M71" i="47"/>
  <c r="O70" i="47"/>
  <c r="N70" i="47"/>
  <c r="M70" i="47"/>
  <c r="AD69" i="47"/>
  <c r="AC69" i="47"/>
  <c r="AB69" i="47"/>
  <c r="AA69" i="47"/>
  <c r="Z69" i="47"/>
  <c r="Y69" i="47"/>
  <c r="X69" i="47"/>
  <c r="W69" i="47"/>
  <c r="V69" i="47"/>
  <c r="U69" i="47"/>
  <c r="T69" i="47"/>
  <c r="S69" i="47"/>
  <c r="R69" i="47"/>
  <c r="M69" i="47"/>
  <c r="N69" i="47" s="1"/>
  <c r="O69" i="47" s="1"/>
  <c r="AE68" i="47"/>
  <c r="AE69" i="47" s="1"/>
  <c r="O68" i="47"/>
  <c r="N68" i="47"/>
  <c r="M68" i="47"/>
  <c r="O67" i="47"/>
  <c r="N67" i="47"/>
  <c r="M67" i="47"/>
  <c r="M66" i="47"/>
  <c r="N66" i="47" s="1"/>
  <c r="O66" i="47" s="1"/>
  <c r="M65" i="47"/>
  <c r="N65" i="47" s="1"/>
  <c r="O65" i="47" s="1"/>
  <c r="M64" i="47"/>
  <c r="N64" i="47" s="1"/>
  <c r="O64" i="47" s="1"/>
  <c r="M63" i="47"/>
  <c r="N63" i="47" s="1"/>
  <c r="O63" i="47" s="1"/>
  <c r="M62" i="47"/>
  <c r="N62" i="47" s="1"/>
  <c r="O62" i="47" s="1"/>
  <c r="AH61" i="47"/>
  <c r="M61" i="47"/>
  <c r="N61" i="47" s="1"/>
  <c r="O61" i="47" s="1"/>
  <c r="AG60" i="47"/>
  <c r="AF60" i="47"/>
  <c r="AE60" i="47"/>
  <c r="AD60" i="47"/>
  <c r="AC60" i="47"/>
  <c r="AB60" i="47"/>
  <c r="AA60" i="47"/>
  <c r="Z60" i="47"/>
  <c r="Y60" i="47"/>
  <c r="X60" i="47"/>
  <c r="W60" i="47"/>
  <c r="V60" i="47"/>
  <c r="AH60" i="47" s="1"/>
  <c r="U60" i="47"/>
  <c r="T60" i="47"/>
  <c r="S60" i="47"/>
  <c r="M60" i="47"/>
  <c r="N60" i="47" s="1"/>
  <c r="O60" i="47" s="1"/>
  <c r="AH59" i="47"/>
  <c r="M59" i="47"/>
  <c r="N59" i="47" s="1"/>
  <c r="O59" i="47" s="1"/>
  <c r="AH58" i="47"/>
  <c r="M58" i="47"/>
  <c r="N58" i="47" s="1"/>
  <c r="O58" i="47" s="1"/>
  <c r="AI52" i="47"/>
  <c r="AH52" i="47"/>
  <c r="AG52" i="47"/>
  <c r="AF52" i="47"/>
  <c r="AE52" i="47"/>
  <c r="AD52" i="47"/>
  <c r="AC52" i="47"/>
  <c r="AB52" i="47"/>
  <c r="AA52" i="47"/>
  <c r="Z52" i="47"/>
  <c r="Y52" i="47"/>
  <c r="X52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E51" i="47" a="1"/>
  <c r="Y51" i="47" s="1"/>
  <c r="AJ50" i="47"/>
  <c r="AJ39" i="47"/>
  <c r="Y39" i="47"/>
  <c r="X39" i="47"/>
  <c r="W39" i="47"/>
  <c r="T39" i="47"/>
  <c r="S39" i="47"/>
  <c r="D43" i="47" s="1"/>
  <c r="R39" i="47"/>
  <c r="Q39" i="47"/>
  <c r="O39" i="47"/>
  <c r="P39" i="47" s="1"/>
  <c r="M39" i="47"/>
  <c r="N39" i="47" s="1"/>
  <c r="L39" i="47"/>
  <c r="K39" i="47"/>
  <c r="I39" i="47"/>
  <c r="J39" i="47" s="1"/>
  <c r="D46" i="47" s="1"/>
  <c r="H39" i="47"/>
  <c r="G39" i="47"/>
  <c r="F39" i="47"/>
  <c r="E39" i="47"/>
  <c r="D39" i="47"/>
  <c r="B39" i="47"/>
  <c r="C39" i="47" s="1"/>
  <c r="D44" i="47" s="1"/>
  <c r="AM38" i="47"/>
  <c r="AK38" i="47"/>
  <c r="AJ38" i="47"/>
  <c r="AK39" i="47" s="1"/>
  <c r="AI38" i="47"/>
  <c r="Y38" i="47"/>
  <c r="X38" i="47"/>
  <c r="W38" i="47"/>
  <c r="T38" i="47"/>
  <c r="S38" i="47"/>
  <c r="R38" i="47"/>
  <c r="Q38" i="47"/>
  <c r="O38" i="47"/>
  <c r="M38" i="47"/>
  <c r="L38" i="47"/>
  <c r="K38" i="47"/>
  <c r="I38" i="47"/>
  <c r="H38" i="47"/>
  <c r="G38" i="47"/>
  <c r="F38" i="47"/>
  <c r="E38" i="47"/>
  <c r="D38" i="47"/>
  <c r="B38" i="47"/>
  <c r="AP37" i="47"/>
  <c r="AL37" i="47"/>
  <c r="U37" i="47"/>
  <c r="V37" i="47" s="1"/>
  <c r="P37" i="47"/>
  <c r="N37" i="47"/>
  <c r="J37" i="47"/>
  <c r="C37" i="47"/>
  <c r="AP36" i="47"/>
  <c r="AL36" i="47"/>
  <c r="U36" i="47"/>
  <c r="V36" i="47" s="1"/>
  <c r="P36" i="47"/>
  <c r="N36" i="47"/>
  <c r="J36" i="47"/>
  <c r="C36" i="47"/>
  <c r="AP35" i="47"/>
  <c r="AL35" i="47"/>
  <c r="U35" i="47"/>
  <c r="V35" i="47" s="1"/>
  <c r="P35" i="47"/>
  <c r="N35" i="47"/>
  <c r="J35" i="47"/>
  <c r="C35" i="47"/>
  <c r="AP34" i="47"/>
  <c r="AL34" i="47"/>
  <c r="U34" i="47"/>
  <c r="V34" i="47" s="1"/>
  <c r="P34" i="47"/>
  <c r="N34" i="47"/>
  <c r="J34" i="47"/>
  <c r="C34" i="47"/>
  <c r="AP33" i="47"/>
  <c r="AL33" i="47"/>
  <c r="U33" i="47"/>
  <c r="V33" i="47" s="1"/>
  <c r="P33" i="47"/>
  <c r="N33" i="47"/>
  <c r="J33" i="47"/>
  <c r="C33" i="47"/>
  <c r="AP32" i="47"/>
  <c r="AL32" i="47"/>
  <c r="U32" i="47"/>
  <c r="V32" i="47" s="1"/>
  <c r="P32" i="47"/>
  <c r="N32" i="47"/>
  <c r="J32" i="47"/>
  <c r="C32" i="47"/>
  <c r="AP31" i="47"/>
  <c r="AL31" i="47"/>
  <c r="U31" i="47"/>
  <c r="V31" i="47" s="1"/>
  <c r="P31" i="47"/>
  <c r="N31" i="47"/>
  <c r="J31" i="47"/>
  <c r="C31" i="47"/>
  <c r="AP30" i="47"/>
  <c r="AL30" i="47"/>
  <c r="U30" i="47"/>
  <c r="V30" i="47" s="1"/>
  <c r="P30" i="47"/>
  <c r="N30" i="47"/>
  <c r="J30" i="47"/>
  <c r="C30" i="47"/>
  <c r="AP29" i="47"/>
  <c r="AL29" i="47"/>
  <c r="U29" i="47"/>
  <c r="V29" i="47" s="1"/>
  <c r="P29" i="47"/>
  <c r="N29" i="47"/>
  <c r="J29" i="47"/>
  <c r="C29" i="47"/>
  <c r="AP28" i="47"/>
  <c r="AL28" i="47"/>
  <c r="U28" i="47"/>
  <c r="V28" i="47" s="1"/>
  <c r="P28" i="47"/>
  <c r="N28" i="47"/>
  <c r="J28" i="47"/>
  <c r="C28" i="47"/>
  <c r="AP27" i="47"/>
  <c r="AL27" i="47"/>
  <c r="U27" i="47"/>
  <c r="V27" i="47" s="1"/>
  <c r="P27" i="47"/>
  <c r="N27" i="47"/>
  <c r="J27" i="47"/>
  <c r="C27" i="47"/>
  <c r="AP26" i="47"/>
  <c r="AL26" i="47"/>
  <c r="U26" i="47"/>
  <c r="V26" i="47" s="1"/>
  <c r="P26" i="47"/>
  <c r="N26" i="47"/>
  <c r="J26" i="47"/>
  <c r="C26" i="47"/>
  <c r="AP25" i="47"/>
  <c r="AL25" i="47"/>
  <c r="U25" i="47"/>
  <c r="V25" i="47" s="1"/>
  <c r="P25" i="47"/>
  <c r="N25" i="47"/>
  <c r="J25" i="47"/>
  <c r="C25" i="47"/>
  <c r="AP24" i="47"/>
  <c r="AL24" i="47"/>
  <c r="U24" i="47"/>
  <c r="V24" i="47" s="1"/>
  <c r="P24" i="47"/>
  <c r="N24" i="47"/>
  <c r="J24" i="47"/>
  <c r="C24" i="47"/>
  <c r="AP23" i="47"/>
  <c r="AL23" i="47"/>
  <c r="U23" i="47"/>
  <c r="V23" i="47" s="1"/>
  <c r="P23" i="47"/>
  <c r="N23" i="47"/>
  <c r="J23" i="47"/>
  <c r="C23" i="47"/>
  <c r="AP22" i="47"/>
  <c r="AL22" i="47"/>
  <c r="U22" i="47"/>
  <c r="V22" i="47" s="1"/>
  <c r="P22" i="47"/>
  <c r="N22" i="47"/>
  <c r="J22" i="47"/>
  <c r="C22" i="47"/>
  <c r="AP21" i="47"/>
  <c r="AL21" i="47"/>
  <c r="U21" i="47"/>
  <c r="V21" i="47" s="1"/>
  <c r="P21" i="47"/>
  <c r="N21" i="47"/>
  <c r="J21" i="47"/>
  <c r="C21" i="47"/>
  <c r="AP20" i="47"/>
  <c r="AL20" i="47"/>
  <c r="U20" i="47"/>
  <c r="V20" i="47" s="1"/>
  <c r="P20" i="47"/>
  <c r="N20" i="47"/>
  <c r="J20" i="47"/>
  <c r="C20" i="47"/>
  <c r="AP19" i="47"/>
  <c r="AL19" i="47"/>
  <c r="U19" i="47"/>
  <c r="V19" i="47" s="1"/>
  <c r="P19" i="47"/>
  <c r="N19" i="47"/>
  <c r="J19" i="47"/>
  <c r="C19" i="47"/>
  <c r="AP18" i="47"/>
  <c r="AL18" i="47"/>
  <c r="U18" i="47"/>
  <c r="V18" i="47" s="1"/>
  <c r="P18" i="47"/>
  <c r="N18" i="47"/>
  <c r="J18" i="47"/>
  <c r="C18" i="47"/>
  <c r="AP17" i="47"/>
  <c r="AL17" i="47"/>
  <c r="U17" i="47"/>
  <c r="V17" i="47" s="1"/>
  <c r="P17" i="47"/>
  <c r="N17" i="47"/>
  <c r="J17" i="47"/>
  <c r="C17" i="47"/>
  <c r="AP16" i="47"/>
  <c r="AL16" i="47"/>
  <c r="U16" i="47"/>
  <c r="V16" i="47" s="1"/>
  <c r="P16" i="47"/>
  <c r="N16" i="47"/>
  <c r="J16" i="47"/>
  <c r="C16" i="47"/>
  <c r="AP15" i="47"/>
  <c r="AL15" i="47"/>
  <c r="U15" i="47"/>
  <c r="V15" i="47" s="1"/>
  <c r="P15" i="47"/>
  <c r="N15" i="47"/>
  <c r="J15" i="47"/>
  <c r="C15" i="47"/>
  <c r="AP14" i="47"/>
  <c r="AL14" i="47"/>
  <c r="U14" i="47"/>
  <c r="V14" i="47" s="1"/>
  <c r="P14" i="47"/>
  <c r="N14" i="47"/>
  <c r="J14" i="47"/>
  <c r="C14" i="47"/>
  <c r="AP13" i="47"/>
  <c r="AL13" i="47"/>
  <c r="U13" i="47"/>
  <c r="V13" i="47" s="1"/>
  <c r="P13" i="47"/>
  <c r="N13" i="47"/>
  <c r="J13" i="47"/>
  <c r="C13" i="47"/>
  <c r="AP12" i="47"/>
  <c r="AL12" i="47"/>
  <c r="U12" i="47"/>
  <c r="V12" i="47" s="1"/>
  <c r="P12" i="47"/>
  <c r="N12" i="47"/>
  <c r="J12" i="47"/>
  <c r="C12" i="47"/>
  <c r="AP11" i="47"/>
  <c r="AL11" i="47"/>
  <c r="U11" i="47"/>
  <c r="V11" i="47" s="1"/>
  <c r="P11" i="47"/>
  <c r="J11" i="47"/>
  <c r="C11" i="47"/>
  <c r="AP10" i="47"/>
  <c r="AL10" i="47"/>
  <c r="U10" i="47"/>
  <c r="V10" i="47" s="1"/>
  <c r="P10" i="47"/>
  <c r="N10" i="47"/>
  <c r="J10" i="47"/>
  <c r="C10" i="47"/>
  <c r="AP9" i="47"/>
  <c r="AL9" i="47"/>
  <c r="U9" i="47"/>
  <c r="V9" i="47" s="1"/>
  <c r="P9" i="47"/>
  <c r="N9" i="47"/>
  <c r="J9" i="47"/>
  <c r="C9" i="47"/>
  <c r="AP8" i="47"/>
  <c r="AL8" i="47"/>
  <c r="U8" i="47"/>
  <c r="V8" i="47" s="1"/>
  <c r="P8" i="47"/>
  <c r="N8" i="47"/>
  <c r="J8" i="47"/>
  <c r="C8" i="47"/>
  <c r="AP7" i="47"/>
  <c r="AL7" i="47"/>
  <c r="U7" i="47"/>
  <c r="V7" i="47" s="1"/>
  <c r="P7" i="47"/>
  <c r="N7" i="47"/>
  <c r="J7" i="47"/>
  <c r="C7" i="47"/>
  <c r="AE75" i="48" l="1"/>
  <c r="AF75" i="48"/>
  <c r="E54" i="48"/>
  <c r="AJ54" i="48" s="1"/>
  <c r="AJ53" i="48"/>
  <c r="AH39" i="47"/>
  <c r="D45" i="47"/>
  <c r="R73" i="47"/>
  <c r="AD73" i="47" s="1"/>
  <c r="D42" i="47"/>
  <c r="AL38" i="47"/>
  <c r="AJ52" i="47"/>
  <c r="P40" i="47"/>
  <c r="R40" i="47"/>
  <c r="Y53" i="47"/>
  <c r="Y54" i="47" s="1"/>
  <c r="M40" i="47"/>
  <c r="C38" i="47"/>
  <c r="O84" i="47"/>
  <c r="AH62" i="47"/>
  <c r="AD51" i="47"/>
  <c r="AD53" i="47" s="1"/>
  <c r="AD54" i="47" s="1"/>
  <c r="N51" i="47"/>
  <c r="N53" i="47" s="1"/>
  <c r="N54" i="47" s="1"/>
  <c r="Z51" i="47"/>
  <c r="Z53" i="47" s="1"/>
  <c r="Z54" i="47" s="1"/>
  <c r="F51" i="47"/>
  <c r="F53" i="47" s="1"/>
  <c r="F54" i="47" s="1"/>
  <c r="O51" i="47"/>
  <c r="O53" i="47" s="1"/>
  <c r="O54" i="47" s="1"/>
  <c r="AA51" i="47"/>
  <c r="AA53" i="47" s="1"/>
  <c r="AA54" i="47" s="1"/>
  <c r="P51" i="47"/>
  <c r="P53" i="47" s="1"/>
  <c r="P54" i="47" s="1"/>
  <c r="AB51" i="47"/>
  <c r="AB53" i="47" s="1"/>
  <c r="AB54" i="47" s="1"/>
  <c r="E51" i="47"/>
  <c r="Q51" i="47"/>
  <c r="Q53" i="47" s="1"/>
  <c r="Q54" i="47" s="1"/>
  <c r="AC51" i="47"/>
  <c r="AC53" i="47" s="1"/>
  <c r="AC54" i="47" s="1"/>
  <c r="U38" i="47"/>
  <c r="S51" i="47"/>
  <c r="S53" i="47" s="1"/>
  <c r="S54" i="47" s="1"/>
  <c r="U39" i="47"/>
  <c r="V39" i="47" s="1"/>
  <c r="J51" i="47"/>
  <c r="J53" i="47" s="1"/>
  <c r="J54" i="47" s="1"/>
  <c r="V51" i="47"/>
  <c r="V53" i="47" s="1"/>
  <c r="V54" i="47" s="1"/>
  <c r="AH51" i="47"/>
  <c r="AH53" i="47" s="1"/>
  <c r="AH54" i="47" s="1"/>
  <c r="H51" i="47"/>
  <c r="H53" i="47" s="1"/>
  <c r="H54" i="47" s="1"/>
  <c r="AF51" i="47"/>
  <c r="AF53" i="47" s="1"/>
  <c r="AF54" i="47" s="1"/>
  <c r="I51" i="47"/>
  <c r="I53" i="47" s="1"/>
  <c r="I54" i="47" s="1"/>
  <c r="AG51" i="47"/>
  <c r="AG53" i="47" s="1"/>
  <c r="AG54" i="47" s="1"/>
  <c r="K51" i="47"/>
  <c r="K53" i="47" s="1"/>
  <c r="K54" i="47" s="1"/>
  <c r="W51" i="47"/>
  <c r="W53" i="47" s="1"/>
  <c r="W54" i="47" s="1"/>
  <c r="AI51" i="47"/>
  <c r="AI53" i="47" s="1"/>
  <c r="AI54" i="47" s="1"/>
  <c r="R51" i="47"/>
  <c r="R53" i="47" s="1"/>
  <c r="R54" i="47" s="1"/>
  <c r="G51" i="47"/>
  <c r="G53" i="47" s="1"/>
  <c r="G54" i="47" s="1"/>
  <c r="T51" i="47"/>
  <c r="T53" i="47" s="1"/>
  <c r="T54" i="47" s="1"/>
  <c r="U51" i="47"/>
  <c r="U53" i="47" s="1"/>
  <c r="U54" i="47" s="1"/>
  <c r="L51" i="47"/>
  <c r="L53" i="47" s="1"/>
  <c r="L54" i="47" s="1"/>
  <c r="X51" i="47"/>
  <c r="X53" i="47" s="1"/>
  <c r="X54" i="47" s="1"/>
  <c r="AE51" i="47"/>
  <c r="AE53" i="47" s="1"/>
  <c r="AE54" i="47" s="1"/>
  <c r="M51" i="47"/>
  <c r="M53" i="47" s="1"/>
  <c r="M54" i="47" s="1"/>
  <c r="Y39" i="33"/>
  <c r="D47" i="47" l="1"/>
  <c r="R75" i="47"/>
  <c r="AD75" i="47" s="1"/>
  <c r="AE75" i="47" s="1"/>
  <c r="AJ51" i="47"/>
  <c r="E53" i="47"/>
  <c r="O83" i="46"/>
  <c r="N83" i="46"/>
  <c r="M83" i="46"/>
  <c r="O82" i="46"/>
  <c r="N82" i="46"/>
  <c r="M82" i="46"/>
  <c r="N81" i="46"/>
  <c r="O81" i="46" s="1"/>
  <c r="M81" i="46"/>
  <c r="O80" i="46"/>
  <c r="N80" i="46"/>
  <c r="M80" i="46"/>
  <c r="O79" i="46"/>
  <c r="N79" i="46"/>
  <c r="M79" i="46"/>
  <c r="O78" i="46"/>
  <c r="N78" i="46"/>
  <c r="M78" i="46"/>
  <c r="N77" i="46"/>
  <c r="O77" i="46" s="1"/>
  <c r="M77" i="46"/>
  <c r="O76" i="46"/>
  <c r="N76" i="46"/>
  <c r="M76" i="46"/>
  <c r="AC75" i="46"/>
  <c r="AB75" i="46"/>
  <c r="AA75" i="46"/>
  <c r="Z75" i="46"/>
  <c r="Y75" i="46"/>
  <c r="X75" i="46"/>
  <c r="W75" i="46"/>
  <c r="V75" i="46"/>
  <c r="U75" i="46"/>
  <c r="T75" i="46"/>
  <c r="S75" i="46"/>
  <c r="R75" i="46"/>
  <c r="AD75" i="46" s="1"/>
  <c r="O75" i="46"/>
  <c r="N75" i="46"/>
  <c r="M75" i="46"/>
  <c r="AD74" i="46"/>
  <c r="O74" i="46"/>
  <c r="N74" i="46"/>
  <c r="M74" i="46"/>
  <c r="AD73" i="46"/>
  <c r="R73" i="46"/>
  <c r="O73" i="46"/>
  <c r="N73" i="46"/>
  <c r="M73" i="46"/>
  <c r="O72" i="46"/>
  <c r="N72" i="46"/>
  <c r="M72" i="46"/>
  <c r="O71" i="46"/>
  <c r="N71" i="46"/>
  <c r="M71" i="46"/>
  <c r="O70" i="46"/>
  <c r="N70" i="46"/>
  <c r="M70" i="46"/>
  <c r="AE69" i="46"/>
  <c r="AD69" i="46"/>
  <c r="AC69" i="46"/>
  <c r="AB69" i="46"/>
  <c r="AA69" i="46"/>
  <c r="Z69" i="46"/>
  <c r="Y69" i="46"/>
  <c r="X69" i="46"/>
  <c r="W69" i="46"/>
  <c r="V69" i="46"/>
  <c r="U69" i="46"/>
  <c r="T69" i="46"/>
  <c r="S69" i="46"/>
  <c r="R69" i="46"/>
  <c r="O69" i="46"/>
  <c r="N69" i="46"/>
  <c r="M69" i="46"/>
  <c r="AE68" i="46"/>
  <c r="O68" i="46"/>
  <c r="N68" i="46"/>
  <c r="M68" i="46"/>
  <c r="O67" i="46"/>
  <c r="N67" i="46"/>
  <c r="M67" i="46"/>
  <c r="O66" i="46"/>
  <c r="N66" i="46"/>
  <c r="M66" i="46"/>
  <c r="O65" i="46"/>
  <c r="N65" i="46"/>
  <c r="M65" i="46"/>
  <c r="O64" i="46"/>
  <c r="N64" i="46"/>
  <c r="M64" i="46"/>
  <c r="O63" i="46"/>
  <c r="N63" i="46"/>
  <c r="M63" i="46"/>
  <c r="AH62" i="46"/>
  <c r="N62" i="46"/>
  <c r="O62" i="46" s="1"/>
  <c r="M62" i="46"/>
  <c r="AH61" i="46"/>
  <c r="N61" i="46"/>
  <c r="O61" i="46" s="1"/>
  <c r="M61" i="46"/>
  <c r="AH60" i="46"/>
  <c r="AG60" i="46"/>
  <c r="AF60" i="46"/>
  <c r="AE60" i="46"/>
  <c r="AD60" i="46"/>
  <c r="AC60" i="46"/>
  <c r="AB60" i="46"/>
  <c r="AA60" i="46"/>
  <c r="Z60" i="46"/>
  <c r="Y60" i="46"/>
  <c r="X60" i="46"/>
  <c r="W60" i="46"/>
  <c r="V60" i="46"/>
  <c r="U60" i="46"/>
  <c r="T60" i="46"/>
  <c r="S60" i="46"/>
  <c r="O60" i="46"/>
  <c r="N60" i="46"/>
  <c r="M60" i="46"/>
  <c r="AH59" i="46"/>
  <c r="O59" i="46"/>
  <c r="N59" i="46"/>
  <c r="M59" i="46"/>
  <c r="AH58" i="46"/>
  <c r="O58" i="46"/>
  <c r="N58" i="46"/>
  <c r="M58" i="46"/>
  <c r="AF54" i="46"/>
  <c r="AD54" i="46"/>
  <c r="AC54" i="46"/>
  <c r="AA54" i="46"/>
  <c r="Z54" i="46"/>
  <c r="T54" i="46"/>
  <c r="R54" i="46"/>
  <c r="Q54" i="46"/>
  <c r="O54" i="46"/>
  <c r="N54" i="46"/>
  <c r="H54" i="46"/>
  <c r="F54" i="46"/>
  <c r="E54" i="46"/>
  <c r="AI53" i="46"/>
  <c r="AI54" i="46" s="1"/>
  <c r="AH53" i="46"/>
  <c r="AH54" i="46" s="1"/>
  <c r="AG53" i="46"/>
  <c r="AG54" i="46" s="1"/>
  <c r="AF53" i="46"/>
  <c r="AE53" i="46"/>
  <c r="AE54" i="46" s="1"/>
  <c r="AD53" i="46"/>
  <c r="AC53" i="46"/>
  <c r="AB53" i="46"/>
  <c r="AB54" i="46" s="1"/>
  <c r="AA53" i="46"/>
  <c r="Z53" i="46"/>
  <c r="Y53" i="46"/>
  <c r="Y54" i="46" s="1"/>
  <c r="X53" i="46"/>
  <c r="X54" i="46" s="1"/>
  <c r="W53" i="46"/>
  <c r="W54" i="46" s="1"/>
  <c r="V53" i="46"/>
  <c r="V54" i="46" s="1"/>
  <c r="U53" i="46"/>
  <c r="U54" i="46" s="1"/>
  <c r="T53" i="46"/>
  <c r="S53" i="46"/>
  <c r="S54" i="46" s="1"/>
  <c r="R53" i="46"/>
  <c r="Q53" i="46"/>
  <c r="P53" i="46"/>
  <c r="P54" i="46" s="1"/>
  <c r="O53" i="46"/>
  <c r="N53" i="46"/>
  <c r="M53" i="46"/>
  <c r="M54" i="46" s="1"/>
  <c r="L53" i="46"/>
  <c r="L54" i="46" s="1"/>
  <c r="K53" i="46"/>
  <c r="K54" i="46" s="1"/>
  <c r="J53" i="46"/>
  <c r="J54" i="46" s="1"/>
  <c r="I53" i="46"/>
  <c r="I54" i="46" s="1"/>
  <c r="H53" i="46"/>
  <c r="G53" i="46"/>
  <c r="G54" i="46" s="1"/>
  <c r="F53" i="46"/>
  <c r="E53" i="46"/>
  <c r="AJ52" i="46"/>
  <c r="AI52" i="46"/>
  <c r="AH52" i="46"/>
  <c r="AG52" i="46"/>
  <c r="AF52" i="46"/>
  <c r="AE52" i="46"/>
  <c r="AD52" i="46"/>
  <c r="AC52" i="46"/>
  <c r="AB52" i="46"/>
  <c r="AA52" i="46"/>
  <c r="Z52" i="46"/>
  <c r="Y52" i="46"/>
  <c r="X52" i="46"/>
  <c r="W52" i="46"/>
  <c r="V52" i="46"/>
  <c r="U52" i="46"/>
  <c r="T52" i="46"/>
  <c r="S52" i="46"/>
  <c r="R52" i="46"/>
  <c r="Q52" i="46"/>
  <c r="P52" i="46"/>
  <c r="O52" i="46"/>
  <c r="N52" i="46"/>
  <c r="M52" i="46"/>
  <c r="L52" i="46"/>
  <c r="K52" i="46"/>
  <c r="J52" i="46"/>
  <c r="I52" i="46"/>
  <c r="H52" i="46"/>
  <c r="G52" i="46"/>
  <c r="F52" i="46"/>
  <c r="E52" i="46"/>
  <c r="AJ51" i="46"/>
  <c r="AI51" i="46"/>
  <c r="AH51" i="46"/>
  <c r="AG51" i="46"/>
  <c r="AF51" i="46"/>
  <c r="AE51" i="46"/>
  <c r="AD51" i="46"/>
  <c r="AC51" i="46"/>
  <c r="AB51" i="46"/>
  <c r="AA51" i="46"/>
  <c r="Z51" i="46"/>
  <c r="Y51" i="46"/>
  <c r="X51" i="46"/>
  <c r="W51" i="46"/>
  <c r="V51" i="46"/>
  <c r="U51" i="46"/>
  <c r="T51" i="46"/>
  <c r="S51" i="46"/>
  <c r="R51" i="46"/>
  <c r="Q51" i="46"/>
  <c r="P51" i="46"/>
  <c r="O51" i="46"/>
  <c r="N51" i="46"/>
  <c r="M51" i="46"/>
  <c r="L51" i="46"/>
  <c r="K51" i="46"/>
  <c r="J51" i="46"/>
  <c r="I51" i="46"/>
  <c r="H51" i="46"/>
  <c r="G51" i="46"/>
  <c r="F51" i="46"/>
  <c r="E51" i="46"/>
  <c r="E51" i="46" a="1"/>
  <c r="AJ50" i="46"/>
  <c r="D47" i="46"/>
  <c r="D46" i="46"/>
  <c r="D43" i="46"/>
  <c r="D42" i="46"/>
  <c r="P40" i="46"/>
  <c r="M40" i="46"/>
  <c r="AK39" i="46"/>
  <c r="AJ39" i="46"/>
  <c r="AH39" i="46"/>
  <c r="Y39" i="46"/>
  <c r="X39" i="46"/>
  <c r="W39" i="46"/>
  <c r="U39" i="46"/>
  <c r="V39" i="46" s="1"/>
  <c r="T39" i="46"/>
  <c r="S39" i="46"/>
  <c r="R39" i="46"/>
  <c r="Q39" i="46"/>
  <c r="P39" i="46"/>
  <c r="O39" i="46"/>
  <c r="N39" i="46"/>
  <c r="D45" i="46" s="1"/>
  <c r="M39" i="46"/>
  <c r="L39" i="46"/>
  <c r="K39" i="46"/>
  <c r="J39" i="46"/>
  <c r="I39" i="46"/>
  <c r="H39" i="46"/>
  <c r="G39" i="46"/>
  <c r="F39" i="46"/>
  <c r="E39" i="46"/>
  <c r="D39" i="46"/>
  <c r="C39" i="46"/>
  <c r="D44" i="46" s="1"/>
  <c r="B39" i="46"/>
  <c r="AM38" i="46"/>
  <c r="AL38" i="46"/>
  <c r="AK38" i="46"/>
  <c r="AJ38" i="46"/>
  <c r="AI38" i="46"/>
  <c r="Y38" i="46"/>
  <c r="X38" i="46"/>
  <c r="W38" i="46"/>
  <c r="U38" i="46"/>
  <c r="T38" i="46"/>
  <c r="S38" i="46"/>
  <c r="R38" i="46"/>
  <c r="Q38" i="46"/>
  <c r="O38" i="46"/>
  <c r="M38" i="46"/>
  <c r="L38" i="46"/>
  <c r="K38" i="46"/>
  <c r="I38" i="46"/>
  <c r="H38" i="46"/>
  <c r="G38" i="46"/>
  <c r="F38" i="46"/>
  <c r="E38" i="46"/>
  <c r="D38" i="46"/>
  <c r="C38" i="46"/>
  <c r="B38" i="46"/>
  <c r="AP37" i="46"/>
  <c r="AL37" i="46"/>
  <c r="V37" i="46"/>
  <c r="U37" i="46"/>
  <c r="P37" i="46"/>
  <c r="N37" i="46"/>
  <c r="J37" i="46"/>
  <c r="C37" i="46"/>
  <c r="AP36" i="46"/>
  <c r="AL36" i="46"/>
  <c r="V36" i="46"/>
  <c r="U36" i="46"/>
  <c r="P36" i="46"/>
  <c r="N36" i="46"/>
  <c r="J36" i="46"/>
  <c r="C36" i="46"/>
  <c r="AP35" i="46"/>
  <c r="AL35" i="46"/>
  <c r="V35" i="46"/>
  <c r="U35" i="46"/>
  <c r="P35" i="46"/>
  <c r="N35" i="46"/>
  <c r="J35" i="46"/>
  <c r="C35" i="46"/>
  <c r="AP34" i="46"/>
  <c r="AL34" i="46"/>
  <c r="V34" i="46"/>
  <c r="U34" i="46"/>
  <c r="P34" i="46"/>
  <c r="N34" i="46"/>
  <c r="J34" i="46"/>
  <c r="C34" i="46"/>
  <c r="AP33" i="46"/>
  <c r="AL33" i="46"/>
  <c r="V33" i="46"/>
  <c r="U33" i="46"/>
  <c r="P33" i="46"/>
  <c r="N33" i="46"/>
  <c r="J33" i="46"/>
  <c r="C33" i="46"/>
  <c r="AP32" i="46"/>
  <c r="AL32" i="46"/>
  <c r="V32" i="46"/>
  <c r="U32" i="46"/>
  <c r="P32" i="46"/>
  <c r="N32" i="46"/>
  <c r="J32" i="46"/>
  <c r="C32" i="46"/>
  <c r="AP31" i="46"/>
  <c r="AL31" i="46"/>
  <c r="V31" i="46"/>
  <c r="U31" i="46"/>
  <c r="P31" i="46"/>
  <c r="N31" i="46"/>
  <c r="J31" i="46"/>
  <c r="C31" i="46"/>
  <c r="AP30" i="46"/>
  <c r="AL30" i="46"/>
  <c r="V30" i="46"/>
  <c r="U30" i="46"/>
  <c r="P30" i="46"/>
  <c r="N30" i="46"/>
  <c r="J30" i="46"/>
  <c r="C30" i="46"/>
  <c r="AP29" i="46"/>
  <c r="AL29" i="46"/>
  <c r="V29" i="46"/>
  <c r="U29" i="46"/>
  <c r="P29" i="46"/>
  <c r="N29" i="46"/>
  <c r="J29" i="46"/>
  <c r="C29" i="46"/>
  <c r="AP28" i="46"/>
  <c r="AL28" i="46"/>
  <c r="V28" i="46"/>
  <c r="U28" i="46"/>
  <c r="P28" i="46"/>
  <c r="N28" i="46"/>
  <c r="J28" i="46"/>
  <c r="C28" i="46"/>
  <c r="AP27" i="46"/>
  <c r="AL27" i="46"/>
  <c r="V27" i="46"/>
  <c r="U27" i="46"/>
  <c r="P27" i="46"/>
  <c r="N27" i="46"/>
  <c r="J27" i="46"/>
  <c r="C27" i="46"/>
  <c r="AP26" i="46"/>
  <c r="AL26" i="46"/>
  <c r="V26" i="46"/>
  <c r="U26" i="46"/>
  <c r="P26" i="46"/>
  <c r="N26" i="46"/>
  <c r="J26" i="46"/>
  <c r="C26" i="46"/>
  <c r="AP25" i="46"/>
  <c r="AL25" i="46"/>
  <c r="V25" i="46"/>
  <c r="U25" i="46"/>
  <c r="P25" i="46"/>
  <c r="N25" i="46"/>
  <c r="J25" i="46"/>
  <c r="C25" i="46"/>
  <c r="AP24" i="46"/>
  <c r="AL24" i="46"/>
  <c r="V24" i="46"/>
  <c r="U24" i="46"/>
  <c r="P24" i="46"/>
  <c r="N24" i="46"/>
  <c r="J24" i="46"/>
  <c r="C24" i="46"/>
  <c r="AP23" i="46"/>
  <c r="AL23" i="46"/>
  <c r="V23" i="46"/>
  <c r="U23" i="46"/>
  <c r="P23" i="46"/>
  <c r="N23" i="46"/>
  <c r="J23" i="46"/>
  <c r="C23" i="46"/>
  <c r="AP22" i="46"/>
  <c r="AL22" i="46"/>
  <c r="V22" i="46"/>
  <c r="U22" i="46"/>
  <c r="P22" i="46"/>
  <c r="N22" i="46"/>
  <c r="J22" i="46"/>
  <c r="C22" i="46"/>
  <c r="AP21" i="46"/>
  <c r="AL21" i="46"/>
  <c r="V21" i="46"/>
  <c r="U21" i="46"/>
  <c r="P21" i="46"/>
  <c r="N21" i="46"/>
  <c r="J21" i="46"/>
  <c r="C21" i="46"/>
  <c r="AP20" i="46"/>
  <c r="AL20" i="46"/>
  <c r="V20" i="46"/>
  <c r="U20" i="46"/>
  <c r="P20" i="46"/>
  <c r="N20" i="46"/>
  <c r="J20" i="46"/>
  <c r="C20" i="46"/>
  <c r="AP19" i="46"/>
  <c r="AL19" i="46"/>
  <c r="V19" i="46"/>
  <c r="U19" i="46"/>
  <c r="P19" i="46"/>
  <c r="N19" i="46"/>
  <c r="J19" i="46"/>
  <c r="C19" i="46"/>
  <c r="AP18" i="46"/>
  <c r="AL18" i="46"/>
  <c r="V18" i="46"/>
  <c r="U18" i="46"/>
  <c r="P18" i="46"/>
  <c r="N18" i="46"/>
  <c r="J18" i="46"/>
  <c r="C18" i="46"/>
  <c r="AP17" i="46"/>
  <c r="AL17" i="46"/>
  <c r="V17" i="46"/>
  <c r="U17" i="46"/>
  <c r="P17" i="46"/>
  <c r="N17" i="46"/>
  <c r="J17" i="46"/>
  <c r="C17" i="46"/>
  <c r="AP16" i="46"/>
  <c r="AL16" i="46"/>
  <c r="V16" i="46"/>
  <c r="U16" i="46"/>
  <c r="P16" i="46"/>
  <c r="N16" i="46"/>
  <c r="J16" i="46"/>
  <c r="C16" i="46"/>
  <c r="AP15" i="46"/>
  <c r="AL15" i="46"/>
  <c r="V15" i="46"/>
  <c r="U15" i="46"/>
  <c r="P15" i="46"/>
  <c r="N15" i="46"/>
  <c r="J15" i="46"/>
  <c r="C15" i="46"/>
  <c r="AP14" i="46"/>
  <c r="AL14" i="46"/>
  <c r="V14" i="46"/>
  <c r="U14" i="46"/>
  <c r="P14" i="46"/>
  <c r="N14" i="46"/>
  <c r="J14" i="46"/>
  <c r="C14" i="46"/>
  <c r="AP13" i="46"/>
  <c r="AL13" i="46"/>
  <c r="V13" i="46"/>
  <c r="U13" i="46"/>
  <c r="P13" i="46"/>
  <c r="N13" i="46"/>
  <c r="J13" i="46"/>
  <c r="C13" i="46"/>
  <c r="AP12" i="46"/>
  <c r="AL12" i="46"/>
  <c r="V12" i="46"/>
  <c r="U12" i="46"/>
  <c r="P12" i="46"/>
  <c r="N12" i="46"/>
  <c r="J12" i="46"/>
  <c r="C12" i="46"/>
  <c r="AP11" i="46"/>
  <c r="AL11" i="46"/>
  <c r="V11" i="46"/>
  <c r="U11" i="46"/>
  <c r="P11" i="46"/>
  <c r="N11" i="46"/>
  <c r="J11" i="46"/>
  <c r="C11" i="46"/>
  <c r="AP10" i="46"/>
  <c r="AL10" i="46"/>
  <c r="V10" i="46"/>
  <c r="U10" i="46"/>
  <c r="P10" i="46"/>
  <c r="N10" i="46"/>
  <c r="J10" i="46"/>
  <c r="C10" i="46"/>
  <c r="AP9" i="46"/>
  <c r="AL9" i="46"/>
  <c r="V9" i="46"/>
  <c r="U9" i="46"/>
  <c r="P9" i="46"/>
  <c r="N9" i="46"/>
  <c r="J9" i="46"/>
  <c r="C9" i="46"/>
  <c r="AP8" i="46"/>
  <c r="AL8" i="46"/>
  <c r="V8" i="46"/>
  <c r="U8" i="46"/>
  <c r="P8" i="46"/>
  <c r="N8" i="46"/>
  <c r="J8" i="46"/>
  <c r="C8" i="46"/>
  <c r="AP7" i="46"/>
  <c r="AL7" i="46"/>
  <c r="V7" i="46"/>
  <c r="U7" i="46"/>
  <c r="P7" i="46"/>
  <c r="N7" i="46"/>
  <c r="J7" i="46"/>
  <c r="C7" i="46"/>
  <c r="AF75" i="47" l="1"/>
  <c r="AG75" i="47"/>
  <c r="E54" i="47"/>
  <c r="AJ54" i="47" s="1"/>
  <c r="AJ53" i="47"/>
  <c r="O84" i="46"/>
  <c r="AG75" i="46"/>
  <c r="AF75" i="46"/>
  <c r="AE75" i="46"/>
  <c r="AJ54" i="46"/>
  <c r="AJ53" i="46"/>
  <c r="C31" i="44"/>
  <c r="O83" i="44" l="1"/>
  <c r="N83" i="44"/>
  <c r="M83" i="44"/>
  <c r="O82" i="44"/>
  <c r="N82" i="44"/>
  <c r="M82" i="44"/>
  <c r="O81" i="44"/>
  <c r="N81" i="44"/>
  <c r="M81" i="44"/>
  <c r="O80" i="44"/>
  <c r="N80" i="44"/>
  <c r="M80" i="44"/>
  <c r="O79" i="44"/>
  <c r="N79" i="44"/>
  <c r="M79" i="44"/>
  <c r="O78" i="44"/>
  <c r="N78" i="44"/>
  <c r="M78" i="44"/>
  <c r="O77" i="44"/>
  <c r="N77" i="44"/>
  <c r="M77" i="44"/>
  <c r="O76" i="44"/>
  <c r="N76" i="44"/>
  <c r="M76" i="44"/>
  <c r="AC75" i="44"/>
  <c r="AB75" i="44"/>
  <c r="AA75" i="44"/>
  <c r="Z75" i="44"/>
  <c r="Y75" i="44"/>
  <c r="X75" i="44"/>
  <c r="W75" i="44"/>
  <c r="V75" i="44"/>
  <c r="U75" i="44"/>
  <c r="T75" i="44"/>
  <c r="S75" i="44"/>
  <c r="O75" i="44"/>
  <c r="N75" i="44"/>
  <c r="M75" i="44"/>
  <c r="AD74" i="44"/>
  <c r="O74" i="44"/>
  <c r="N74" i="44"/>
  <c r="M74" i="44"/>
  <c r="O73" i="44"/>
  <c r="N73" i="44"/>
  <c r="M73" i="44"/>
  <c r="O72" i="44"/>
  <c r="N72" i="44"/>
  <c r="M72" i="44"/>
  <c r="O71" i="44"/>
  <c r="N71" i="44"/>
  <c r="M71" i="44"/>
  <c r="O70" i="44"/>
  <c r="N70" i="44"/>
  <c r="M70" i="44"/>
  <c r="AE69" i="44"/>
  <c r="AD69" i="44"/>
  <c r="AC69" i="44"/>
  <c r="AB69" i="44"/>
  <c r="AA69" i="44"/>
  <c r="Z69" i="44"/>
  <c r="Y69" i="44"/>
  <c r="X69" i="44"/>
  <c r="W69" i="44"/>
  <c r="V69" i="44"/>
  <c r="U69" i="44"/>
  <c r="T69" i="44"/>
  <c r="S69" i="44"/>
  <c r="R69" i="44"/>
  <c r="O69" i="44"/>
  <c r="N69" i="44"/>
  <c r="M69" i="44"/>
  <c r="AE68" i="44"/>
  <c r="O68" i="44"/>
  <c r="N68" i="44"/>
  <c r="M68" i="44"/>
  <c r="N67" i="44"/>
  <c r="O67" i="44" s="1"/>
  <c r="M67" i="44"/>
  <c r="N66" i="44"/>
  <c r="O66" i="44" s="1"/>
  <c r="M66" i="44"/>
  <c r="M65" i="44"/>
  <c r="N65" i="44" s="1"/>
  <c r="O65" i="44" s="1"/>
  <c r="M64" i="44"/>
  <c r="N64" i="44" s="1"/>
  <c r="O64" i="44" s="1"/>
  <c r="M63" i="44"/>
  <c r="N63" i="44" s="1"/>
  <c r="O63" i="44" s="1"/>
  <c r="AH62" i="44"/>
  <c r="M62" i="44"/>
  <c r="N62" i="44" s="1"/>
  <c r="O62" i="44" s="1"/>
  <c r="AH61" i="44"/>
  <c r="M61" i="44"/>
  <c r="N61" i="44" s="1"/>
  <c r="O61" i="44" s="1"/>
  <c r="AH60" i="44"/>
  <c r="AG60" i="44"/>
  <c r="AF60" i="44"/>
  <c r="AE60" i="44"/>
  <c r="AD60" i="44"/>
  <c r="AC60" i="44"/>
  <c r="AB60" i="44"/>
  <c r="AA60" i="44"/>
  <c r="Z60" i="44"/>
  <c r="Y60" i="44"/>
  <c r="X60" i="44"/>
  <c r="W60" i="44"/>
  <c r="V60" i="44"/>
  <c r="U60" i="44"/>
  <c r="T60" i="44"/>
  <c r="S60" i="44"/>
  <c r="M60" i="44"/>
  <c r="N60" i="44" s="1"/>
  <c r="O60" i="44" s="1"/>
  <c r="AH59" i="44"/>
  <c r="M59" i="44"/>
  <c r="N59" i="44" s="1"/>
  <c r="O59" i="44" s="1"/>
  <c r="AH58" i="44"/>
  <c r="M58" i="44"/>
  <c r="N58" i="44" s="1"/>
  <c r="O58" i="44" s="1"/>
  <c r="AI52" i="44"/>
  <c r="AH52" i="44"/>
  <c r="AG52" i="44"/>
  <c r="AF52" i="44"/>
  <c r="AE52" i="44"/>
  <c r="AD52" i="44"/>
  <c r="AC52" i="44"/>
  <c r="AB52" i="44"/>
  <c r="AA52" i="44"/>
  <c r="Z52" i="44"/>
  <c r="Y52" i="44"/>
  <c r="X52" i="44"/>
  <c r="W52" i="44"/>
  <c r="V52" i="44"/>
  <c r="U52" i="44"/>
  <c r="T52" i="44"/>
  <c r="S52" i="44"/>
  <c r="R52" i="44"/>
  <c r="Q52" i="44"/>
  <c r="P52" i="44"/>
  <c r="O52" i="44"/>
  <c r="N52" i="44"/>
  <c r="M52" i="44"/>
  <c r="L52" i="44"/>
  <c r="K52" i="44"/>
  <c r="J52" i="44"/>
  <c r="I52" i="44"/>
  <c r="H52" i="44"/>
  <c r="G52" i="44"/>
  <c r="F52" i="44"/>
  <c r="E52" i="44"/>
  <c r="E51" i="44" a="1"/>
  <c r="AB51" i="44" s="1"/>
  <c r="AB53" i="44" s="1"/>
  <c r="AB54" i="44" s="1"/>
  <c r="AJ50" i="44"/>
  <c r="D46" i="44"/>
  <c r="AJ39" i="44"/>
  <c r="Y39" i="44"/>
  <c r="X39" i="44"/>
  <c r="W39" i="44"/>
  <c r="T39" i="44"/>
  <c r="S39" i="44"/>
  <c r="D43" i="44" s="1"/>
  <c r="R39" i="44"/>
  <c r="Q39" i="44"/>
  <c r="O39" i="44"/>
  <c r="P39" i="44" s="1"/>
  <c r="M39" i="44"/>
  <c r="N39" i="44" s="1"/>
  <c r="L39" i="44"/>
  <c r="K39" i="44"/>
  <c r="J39" i="44"/>
  <c r="I39" i="44"/>
  <c r="H39" i="44"/>
  <c r="G39" i="44"/>
  <c r="F39" i="44"/>
  <c r="E39" i="44"/>
  <c r="D39" i="44"/>
  <c r="B39" i="44"/>
  <c r="C39" i="44" s="1"/>
  <c r="D44" i="44" s="1"/>
  <c r="AM38" i="44"/>
  <c r="AK38" i="44"/>
  <c r="AK39" i="44" s="1"/>
  <c r="AJ38" i="44"/>
  <c r="AI38" i="44"/>
  <c r="Y38" i="44"/>
  <c r="X38" i="44"/>
  <c r="W38" i="44"/>
  <c r="T38" i="44"/>
  <c r="S38" i="44"/>
  <c r="R38" i="44"/>
  <c r="Q38" i="44"/>
  <c r="O38" i="44"/>
  <c r="M38" i="44"/>
  <c r="L38" i="44"/>
  <c r="K38" i="44"/>
  <c r="I38" i="44"/>
  <c r="H38" i="44"/>
  <c r="G38" i="44"/>
  <c r="F38" i="44"/>
  <c r="E38" i="44"/>
  <c r="D38" i="44"/>
  <c r="B38" i="44"/>
  <c r="AP37" i="44"/>
  <c r="AL37" i="44"/>
  <c r="U37" i="44"/>
  <c r="V37" i="44" s="1"/>
  <c r="P37" i="44"/>
  <c r="N37" i="44"/>
  <c r="J37" i="44"/>
  <c r="C37" i="44"/>
  <c r="AP36" i="44"/>
  <c r="AL36" i="44"/>
  <c r="U36" i="44"/>
  <c r="V36" i="44" s="1"/>
  <c r="P36" i="44"/>
  <c r="N36" i="44"/>
  <c r="J36" i="44"/>
  <c r="C36" i="44"/>
  <c r="AP35" i="44"/>
  <c r="AL35" i="44"/>
  <c r="U35" i="44"/>
  <c r="V35" i="44" s="1"/>
  <c r="P35" i="44"/>
  <c r="N35" i="44"/>
  <c r="J35" i="44"/>
  <c r="C35" i="44"/>
  <c r="AP34" i="44"/>
  <c r="AL34" i="44"/>
  <c r="U34" i="44"/>
  <c r="V34" i="44" s="1"/>
  <c r="P34" i="44"/>
  <c r="N34" i="44"/>
  <c r="J34" i="44"/>
  <c r="C34" i="44"/>
  <c r="AP33" i="44"/>
  <c r="AL33" i="44"/>
  <c r="U33" i="44"/>
  <c r="V33" i="44" s="1"/>
  <c r="P33" i="44"/>
  <c r="N33" i="44"/>
  <c r="J33" i="44"/>
  <c r="C33" i="44"/>
  <c r="AP32" i="44"/>
  <c r="AL32" i="44"/>
  <c r="U32" i="44"/>
  <c r="V32" i="44" s="1"/>
  <c r="P32" i="44"/>
  <c r="N32" i="44"/>
  <c r="J32" i="44"/>
  <c r="C32" i="44"/>
  <c r="AP31" i="44"/>
  <c r="AL31" i="44"/>
  <c r="U31" i="44"/>
  <c r="V31" i="44" s="1"/>
  <c r="P31" i="44"/>
  <c r="N31" i="44"/>
  <c r="J31" i="44"/>
  <c r="AP30" i="44"/>
  <c r="AL30" i="44"/>
  <c r="U30" i="44"/>
  <c r="V30" i="44" s="1"/>
  <c r="P30" i="44"/>
  <c r="N30" i="44"/>
  <c r="J30" i="44"/>
  <c r="C30" i="44"/>
  <c r="AP29" i="44"/>
  <c r="AL29" i="44"/>
  <c r="U29" i="44"/>
  <c r="V29" i="44" s="1"/>
  <c r="P29" i="44"/>
  <c r="N29" i="44"/>
  <c r="J29" i="44"/>
  <c r="C29" i="44"/>
  <c r="AP28" i="44"/>
  <c r="AL28" i="44"/>
  <c r="U28" i="44"/>
  <c r="V28" i="44" s="1"/>
  <c r="P28" i="44"/>
  <c r="N28" i="44"/>
  <c r="J28" i="44"/>
  <c r="C28" i="44"/>
  <c r="AP27" i="44"/>
  <c r="AL27" i="44"/>
  <c r="U27" i="44"/>
  <c r="V27" i="44" s="1"/>
  <c r="P27" i="44"/>
  <c r="N27" i="44"/>
  <c r="J27" i="44"/>
  <c r="C27" i="44"/>
  <c r="AP26" i="44"/>
  <c r="AL26" i="44"/>
  <c r="U26" i="44"/>
  <c r="V26" i="44" s="1"/>
  <c r="P26" i="44"/>
  <c r="N26" i="44"/>
  <c r="J26" i="44"/>
  <c r="C26" i="44"/>
  <c r="AP25" i="44"/>
  <c r="AL25" i="44"/>
  <c r="U25" i="44"/>
  <c r="V25" i="44" s="1"/>
  <c r="P25" i="44"/>
  <c r="N25" i="44"/>
  <c r="J25" i="44"/>
  <c r="C25" i="44"/>
  <c r="AP24" i="44"/>
  <c r="AL24" i="44"/>
  <c r="U24" i="44"/>
  <c r="V24" i="44" s="1"/>
  <c r="P24" i="44"/>
  <c r="N24" i="44"/>
  <c r="J24" i="44"/>
  <c r="C24" i="44"/>
  <c r="AP23" i="44"/>
  <c r="AL23" i="44"/>
  <c r="U23" i="44"/>
  <c r="V23" i="44" s="1"/>
  <c r="P23" i="44"/>
  <c r="N23" i="44"/>
  <c r="J23" i="44"/>
  <c r="C23" i="44"/>
  <c r="AP22" i="44"/>
  <c r="AL22" i="44"/>
  <c r="U22" i="44"/>
  <c r="V22" i="44" s="1"/>
  <c r="P22" i="44"/>
  <c r="N22" i="44"/>
  <c r="J22" i="44"/>
  <c r="C22" i="44"/>
  <c r="AP21" i="44"/>
  <c r="AL21" i="44"/>
  <c r="U21" i="44"/>
  <c r="V21" i="44" s="1"/>
  <c r="P21" i="44"/>
  <c r="N21" i="44"/>
  <c r="J21" i="44"/>
  <c r="C21" i="44"/>
  <c r="AP20" i="44"/>
  <c r="AL20" i="44"/>
  <c r="U20" i="44"/>
  <c r="V20" i="44" s="1"/>
  <c r="P20" i="44"/>
  <c r="N20" i="44"/>
  <c r="J20" i="44"/>
  <c r="C20" i="44"/>
  <c r="AP19" i="44"/>
  <c r="AL19" i="44"/>
  <c r="U19" i="44"/>
  <c r="V19" i="44" s="1"/>
  <c r="P19" i="44"/>
  <c r="N19" i="44"/>
  <c r="J19" i="44"/>
  <c r="C19" i="44"/>
  <c r="AP18" i="44"/>
  <c r="AL18" i="44"/>
  <c r="U18" i="44"/>
  <c r="V18" i="44" s="1"/>
  <c r="P18" i="44"/>
  <c r="N18" i="44"/>
  <c r="J18" i="44"/>
  <c r="C18" i="44"/>
  <c r="AP17" i="44"/>
  <c r="AL17" i="44"/>
  <c r="U17" i="44"/>
  <c r="V17" i="44" s="1"/>
  <c r="P17" i="44"/>
  <c r="N17" i="44"/>
  <c r="J17" i="44"/>
  <c r="C17" i="44"/>
  <c r="AP16" i="44"/>
  <c r="AL16" i="44"/>
  <c r="U16" i="44"/>
  <c r="V16" i="44" s="1"/>
  <c r="P16" i="44"/>
  <c r="N16" i="44"/>
  <c r="J16" i="44"/>
  <c r="C16" i="44"/>
  <c r="AP15" i="44"/>
  <c r="AL15" i="44"/>
  <c r="U15" i="44"/>
  <c r="V15" i="44" s="1"/>
  <c r="P15" i="44"/>
  <c r="N15" i="44"/>
  <c r="J15" i="44"/>
  <c r="C15" i="44"/>
  <c r="AP14" i="44"/>
  <c r="AL14" i="44"/>
  <c r="U14" i="44"/>
  <c r="V14" i="44" s="1"/>
  <c r="P14" i="44"/>
  <c r="N14" i="44"/>
  <c r="J14" i="44"/>
  <c r="C14" i="44"/>
  <c r="AP13" i="44"/>
  <c r="AL13" i="44"/>
  <c r="U13" i="44"/>
  <c r="V13" i="44" s="1"/>
  <c r="P13" i="44"/>
  <c r="N13" i="44"/>
  <c r="J13" i="44"/>
  <c r="C13" i="44"/>
  <c r="AP12" i="44"/>
  <c r="AL12" i="44"/>
  <c r="U12" i="44"/>
  <c r="V12" i="44" s="1"/>
  <c r="P12" i="44"/>
  <c r="N12" i="44"/>
  <c r="J12" i="44"/>
  <c r="C12" i="44"/>
  <c r="AP11" i="44"/>
  <c r="AL11" i="44"/>
  <c r="U11" i="44"/>
  <c r="V11" i="44" s="1"/>
  <c r="P11" i="44"/>
  <c r="N11" i="44"/>
  <c r="J11" i="44"/>
  <c r="C11" i="44"/>
  <c r="AP10" i="44"/>
  <c r="AL10" i="44"/>
  <c r="U10" i="44"/>
  <c r="V10" i="44" s="1"/>
  <c r="P10" i="44"/>
  <c r="N10" i="44"/>
  <c r="J10" i="44"/>
  <c r="C10" i="44"/>
  <c r="AP9" i="44"/>
  <c r="AL9" i="44"/>
  <c r="U9" i="44"/>
  <c r="V9" i="44" s="1"/>
  <c r="P9" i="44"/>
  <c r="N9" i="44"/>
  <c r="J9" i="44"/>
  <c r="C9" i="44"/>
  <c r="AP8" i="44"/>
  <c r="AL8" i="44"/>
  <c r="U8" i="44"/>
  <c r="V8" i="44" s="1"/>
  <c r="P8" i="44"/>
  <c r="N8" i="44"/>
  <c r="J8" i="44"/>
  <c r="C8" i="44"/>
  <c r="AP7" i="44"/>
  <c r="AL7" i="44"/>
  <c r="U7" i="44"/>
  <c r="P7" i="44"/>
  <c r="N7" i="44"/>
  <c r="J7" i="44"/>
  <c r="C7" i="44"/>
  <c r="R73" i="44" l="1"/>
  <c r="R75" i="44" s="1"/>
  <c r="AD75" i="44" s="1"/>
  <c r="AG75" i="44" s="1"/>
  <c r="AH39" i="44"/>
  <c r="AL38" i="44"/>
  <c r="C38" i="44"/>
  <c r="P38" i="44"/>
  <c r="D42" i="44"/>
  <c r="O84" i="44"/>
  <c r="Q51" i="44"/>
  <c r="Q53" i="44" s="1"/>
  <c r="Q54" i="44" s="1"/>
  <c r="F51" i="44"/>
  <c r="F53" i="44" s="1"/>
  <c r="F54" i="44" s="1"/>
  <c r="G51" i="44"/>
  <c r="S51" i="44"/>
  <c r="S53" i="44" s="1"/>
  <c r="S54" i="44" s="1"/>
  <c r="E51" i="44"/>
  <c r="E53" i="44" s="1"/>
  <c r="AE51" i="44"/>
  <c r="AE53" i="44" s="1"/>
  <c r="AE54" i="44" s="1"/>
  <c r="H51" i="44"/>
  <c r="H53" i="44" s="1"/>
  <c r="H54" i="44" s="1"/>
  <c r="T51" i="44"/>
  <c r="T53" i="44" s="1"/>
  <c r="T54" i="44" s="1"/>
  <c r="AF51" i="44"/>
  <c r="AF53" i="44" s="1"/>
  <c r="AF54" i="44" s="1"/>
  <c r="AD51" i="44"/>
  <c r="AD53" i="44" s="1"/>
  <c r="AD54" i="44" s="1"/>
  <c r="I51" i="44"/>
  <c r="I53" i="44" s="1"/>
  <c r="I54" i="44" s="1"/>
  <c r="U51" i="44"/>
  <c r="U53" i="44" s="1"/>
  <c r="U54" i="44" s="1"/>
  <c r="AG51" i="44"/>
  <c r="AG53" i="44" s="1"/>
  <c r="AG54" i="44" s="1"/>
  <c r="J51" i="44"/>
  <c r="J53" i="44" s="1"/>
  <c r="J54" i="44" s="1"/>
  <c r="V51" i="44"/>
  <c r="V53" i="44" s="1"/>
  <c r="V54" i="44" s="1"/>
  <c r="AH51" i="44"/>
  <c r="AH53" i="44" s="1"/>
  <c r="AH54" i="44" s="1"/>
  <c r="K51" i="44"/>
  <c r="K53" i="44" s="1"/>
  <c r="K54" i="44" s="1"/>
  <c r="X51" i="44"/>
  <c r="X53" i="44" s="1"/>
  <c r="X54" i="44" s="1"/>
  <c r="W51" i="44"/>
  <c r="W53" i="44" s="1"/>
  <c r="W54" i="44" s="1"/>
  <c r="M51" i="44"/>
  <c r="M53" i="44" s="1"/>
  <c r="M54" i="44" s="1"/>
  <c r="Y51" i="44"/>
  <c r="Y53" i="44" s="1"/>
  <c r="Y54" i="44" s="1"/>
  <c r="AC51" i="44"/>
  <c r="AC53" i="44" s="1"/>
  <c r="AC54" i="44" s="1"/>
  <c r="AI51" i="44"/>
  <c r="AI53" i="44" s="1"/>
  <c r="AI54" i="44" s="1"/>
  <c r="L51" i="44"/>
  <c r="L53" i="44" s="1"/>
  <c r="L54" i="44" s="1"/>
  <c r="N51" i="44"/>
  <c r="N53" i="44" s="1"/>
  <c r="N54" i="44" s="1"/>
  <c r="Z51" i="44"/>
  <c r="Z53" i="44" s="1"/>
  <c r="Z54" i="44" s="1"/>
  <c r="R51" i="44"/>
  <c r="R53" i="44" s="1"/>
  <c r="R54" i="44" s="1"/>
  <c r="O51" i="44"/>
  <c r="O53" i="44" s="1"/>
  <c r="O54" i="44" s="1"/>
  <c r="AA51" i="44"/>
  <c r="AA53" i="44" s="1"/>
  <c r="AA54" i="44" s="1"/>
  <c r="P51" i="44"/>
  <c r="P53" i="44" s="1"/>
  <c r="P54" i="44" s="1"/>
  <c r="AJ52" i="44"/>
  <c r="M40" i="44"/>
  <c r="D45" i="44"/>
  <c r="R40" i="44"/>
  <c r="U38" i="44"/>
  <c r="U39" i="44"/>
  <c r="V39" i="44" s="1"/>
  <c r="V7" i="44"/>
  <c r="N83" i="43"/>
  <c r="O83" i="43" s="1"/>
  <c r="M83" i="43"/>
  <c r="O82" i="43"/>
  <c r="N82" i="43"/>
  <c r="M82" i="43"/>
  <c r="O81" i="43"/>
  <c r="N81" i="43"/>
  <c r="M81" i="43"/>
  <c r="N80" i="43"/>
  <c r="O80" i="43" s="1"/>
  <c r="M80" i="43"/>
  <c r="N79" i="43"/>
  <c r="O79" i="43" s="1"/>
  <c r="M79" i="43"/>
  <c r="O78" i="43"/>
  <c r="N78" i="43"/>
  <c r="M78" i="43"/>
  <c r="O77" i="43"/>
  <c r="N77" i="43"/>
  <c r="M77" i="43"/>
  <c r="N76" i="43"/>
  <c r="O76" i="43" s="1"/>
  <c r="M76" i="43"/>
  <c r="AC75" i="43"/>
  <c r="AB75" i="43"/>
  <c r="AA75" i="43"/>
  <c r="Z75" i="43"/>
  <c r="Y75" i="43"/>
  <c r="X75" i="43"/>
  <c r="W75" i="43"/>
  <c r="V75" i="43"/>
  <c r="U75" i="43"/>
  <c r="T75" i="43"/>
  <c r="S75" i="43"/>
  <c r="O75" i="43"/>
  <c r="N75" i="43"/>
  <c r="M75" i="43"/>
  <c r="AD74" i="43"/>
  <c r="N74" i="43"/>
  <c r="O74" i="43" s="1"/>
  <c r="M74" i="43"/>
  <c r="O73" i="43"/>
  <c r="N73" i="43"/>
  <c r="M73" i="43"/>
  <c r="O72" i="43"/>
  <c r="N72" i="43"/>
  <c r="M72" i="43"/>
  <c r="O71" i="43"/>
  <c r="N71" i="43"/>
  <c r="M71" i="43"/>
  <c r="O70" i="43"/>
  <c r="N70" i="43"/>
  <c r="M70" i="43"/>
  <c r="AE69" i="43"/>
  <c r="AD69" i="43"/>
  <c r="AC69" i="43"/>
  <c r="AB69" i="43"/>
  <c r="AA69" i="43"/>
  <c r="Z69" i="43"/>
  <c r="Y69" i="43"/>
  <c r="X69" i="43"/>
  <c r="W69" i="43"/>
  <c r="V69" i="43"/>
  <c r="U69" i="43"/>
  <c r="T69" i="43"/>
  <c r="S69" i="43"/>
  <c r="R69" i="43"/>
  <c r="O69" i="43"/>
  <c r="N69" i="43"/>
  <c r="M69" i="43"/>
  <c r="AE68" i="43"/>
  <c r="O68" i="43"/>
  <c r="N68" i="43"/>
  <c r="M68" i="43"/>
  <c r="O67" i="43"/>
  <c r="N67" i="43"/>
  <c r="M67" i="43"/>
  <c r="O66" i="43"/>
  <c r="N66" i="43"/>
  <c r="M66" i="43"/>
  <c r="O65" i="43"/>
  <c r="N65" i="43"/>
  <c r="M65" i="43"/>
  <c r="O64" i="43"/>
  <c r="N64" i="43"/>
  <c r="M64" i="43"/>
  <c r="O63" i="43"/>
  <c r="N63" i="43"/>
  <c r="M63" i="43"/>
  <c r="AH62" i="43"/>
  <c r="N62" i="43"/>
  <c r="O62" i="43" s="1"/>
  <c r="M62" i="43"/>
  <c r="AH61" i="43"/>
  <c r="N61" i="43"/>
  <c r="O61" i="43" s="1"/>
  <c r="M61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U60" i="43"/>
  <c r="T60" i="43"/>
  <c r="S60" i="43"/>
  <c r="M60" i="43"/>
  <c r="N60" i="43" s="1"/>
  <c r="O60" i="43" s="1"/>
  <c r="AH59" i="43"/>
  <c r="M59" i="43"/>
  <c r="N59" i="43" s="1"/>
  <c r="O59" i="43" s="1"/>
  <c r="AH58" i="43"/>
  <c r="M58" i="43"/>
  <c r="N58" i="43" s="1"/>
  <c r="O58" i="43" s="1"/>
  <c r="AI52" i="43"/>
  <c r="AH52" i="43"/>
  <c r="AG52" i="43"/>
  <c r="AF52" i="43"/>
  <c r="AE52" i="43"/>
  <c r="AD52" i="43"/>
  <c r="AC52" i="43"/>
  <c r="AB52" i="43"/>
  <c r="AA52" i="43"/>
  <c r="Z52" i="43"/>
  <c r="Y52" i="43"/>
  <c r="X52" i="43"/>
  <c r="W52" i="43"/>
  <c r="V52" i="43"/>
  <c r="U52" i="43"/>
  <c r="T52" i="43"/>
  <c r="S52" i="43"/>
  <c r="R52" i="43"/>
  <c r="Q52" i="43"/>
  <c r="P52" i="43"/>
  <c r="O52" i="43"/>
  <c r="N52" i="43"/>
  <c r="M52" i="43"/>
  <c r="L52" i="43"/>
  <c r="K52" i="43"/>
  <c r="J52" i="43"/>
  <c r="I52" i="43"/>
  <c r="H52" i="43"/>
  <c r="G52" i="43"/>
  <c r="F52" i="43"/>
  <c r="E52" i="43"/>
  <c r="E51" i="43" a="1"/>
  <c r="Y51" i="43" s="1"/>
  <c r="Y53" i="43" s="1"/>
  <c r="Y54" i="43" s="1"/>
  <c r="AJ50" i="43"/>
  <c r="AJ39" i="43"/>
  <c r="Y39" i="43"/>
  <c r="X39" i="43"/>
  <c r="W39" i="43"/>
  <c r="T39" i="43"/>
  <c r="S39" i="43"/>
  <c r="D43" i="43" s="1"/>
  <c r="R39" i="43"/>
  <c r="Q39" i="43"/>
  <c r="O39" i="43"/>
  <c r="P39" i="43" s="1"/>
  <c r="M39" i="43"/>
  <c r="N39" i="43" s="1"/>
  <c r="L39" i="43"/>
  <c r="K39" i="43"/>
  <c r="J39" i="43"/>
  <c r="D46" i="43" s="1"/>
  <c r="I39" i="43"/>
  <c r="H39" i="43"/>
  <c r="G39" i="43"/>
  <c r="F39" i="43"/>
  <c r="E39" i="43"/>
  <c r="D39" i="43"/>
  <c r="B39" i="43"/>
  <c r="C39" i="43" s="1"/>
  <c r="D44" i="43" s="1"/>
  <c r="AM38" i="43"/>
  <c r="AK38" i="43"/>
  <c r="AK39" i="43" s="1"/>
  <c r="AJ38" i="43"/>
  <c r="AI38" i="43"/>
  <c r="Y38" i="43"/>
  <c r="X38" i="43"/>
  <c r="W38" i="43"/>
  <c r="T38" i="43"/>
  <c r="S38" i="43"/>
  <c r="R38" i="43"/>
  <c r="Q38" i="43"/>
  <c r="O38" i="43"/>
  <c r="M38" i="43"/>
  <c r="L38" i="43"/>
  <c r="K38" i="43"/>
  <c r="I38" i="43"/>
  <c r="H38" i="43"/>
  <c r="G38" i="43"/>
  <c r="F38" i="43"/>
  <c r="E38" i="43"/>
  <c r="D38" i="43"/>
  <c r="B38" i="43"/>
  <c r="AP37" i="43"/>
  <c r="AL37" i="43"/>
  <c r="U37" i="43"/>
  <c r="V37" i="43" s="1"/>
  <c r="P37" i="43"/>
  <c r="N37" i="43"/>
  <c r="J37" i="43"/>
  <c r="C37" i="43"/>
  <c r="AP36" i="43"/>
  <c r="AL36" i="43"/>
  <c r="U36" i="43"/>
  <c r="V36" i="43" s="1"/>
  <c r="P36" i="43"/>
  <c r="N36" i="43"/>
  <c r="J36" i="43"/>
  <c r="C36" i="43"/>
  <c r="AP35" i="43"/>
  <c r="AL35" i="43"/>
  <c r="U35" i="43"/>
  <c r="V35" i="43" s="1"/>
  <c r="P35" i="43"/>
  <c r="N35" i="43"/>
  <c r="J35" i="43"/>
  <c r="C35" i="43"/>
  <c r="AP34" i="43"/>
  <c r="AL34" i="43"/>
  <c r="U34" i="43"/>
  <c r="V34" i="43" s="1"/>
  <c r="P34" i="43"/>
  <c r="N34" i="43"/>
  <c r="J34" i="43"/>
  <c r="C34" i="43"/>
  <c r="AP33" i="43"/>
  <c r="AL33" i="43"/>
  <c r="U33" i="43"/>
  <c r="V33" i="43" s="1"/>
  <c r="P33" i="43"/>
  <c r="N33" i="43"/>
  <c r="J33" i="43"/>
  <c r="C33" i="43"/>
  <c r="AP32" i="43"/>
  <c r="AL32" i="43"/>
  <c r="U32" i="43"/>
  <c r="V32" i="43" s="1"/>
  <c r="P32" i="43"/>
  <c r="N32" i="43"/>
  <c r="J32" i="43"/>
  <c r="C32" i="43"/>
  <c r="AP31" i="43"/>
  <c r="AL31" i="43"/>
  <c r="U31" i="43"/>
  <c r="V31" i="43" s="1"/>
  <c r="P31" i="43"/>
  <c r="N31" i="43"/>
  <c r="J31" i="43"/>
  <c r="C31" i="43"/>
  <c r="AP30" i="43"/>
  <c r="AL30" i="43"/>
  <c r="U30" i="43"/>
  <c r="V30" i="43" s="1"/>
  <c r="P30" i="43"/>
  <c r="N30" i="43"/>
  <c r="J30" i="43"/>
  <c r="C30" i="43"/>
  <c r="AP29" i="43"/>
  <c r="AL29" i="43"/>
  <c r="U29" i="43"/>
  <c r="V29" i="43" s="1"/>
  <c r="P29" i="43"/>
  <c r="N29" i="43"/>
  <c r="J29" i="43"/>
  <c r="C29" i="43"/>
  <c r="AP28" i="43"/>
  <c r="AL28" i="43"/>
  <c r="U28" i="43"/>
  <c r="V28" i="43" s="1"/>
  <c r="P28" i="43"/>
  <c r="N28" i="43"/>
  <c r="J28" i="43"/>
  <c r="C28" i="43"/>
  <c r="AP27" i="43"/>
  <c r="AL27" i="43"/>
  <c r="U27" i="43"/>
  <c r="V27" i="43" s="1"/>
  <c r="P27" i="43"/>
  <c r="N27" i="43"/>
  <c r="J27" i="43"/>
  <c r="C27" i="43"/>
  <c r="AP26" i="43"/>
  <c r="AL26" i="43"/>
  <c r="U26" i="43"/>
  <c r="V26" i="43" s="1"/>
  <c r="P26" i="43"/>
  <c r="N26" i="43"/>
  <c r="J26" i="43"/>
  <c r="C26" i="43"/>
  <c r="AP25" i="43"/>
  <c r="AL25" i="43"/>
  <c r="U25" i="43"/>
  <c r="V25" i="43" s="1"/>
  <c r="P25" i="43"/>
  <c r="N25" i="43"/>
  <c r="J25" i="43"/>
  <c r="C25" i="43"/>
  <c r="AP24" i="43"/>
  <c r="AL24" i="43"/>
  <c r="U24" i="43"/>
  <c r="V24" i="43" s="1"/>
  <c r="P24" i="43"/>
  <c r="N24" i="43"/>
  <c r="J24" i="43"/>
  <c r="C24" i="43"/>
  <c r="AP23" i="43"/>
  <c r="AL23" i="43"/>
  <c r="U23" i="43"/>
  <c r="V23" i="43" s="1"/>
  <c r="P23" i="43"/>
  <c r="N23" i="43"/>
  <c r="J23" i="43"/>
  <c r="C23" i="43"/>
  <c r="AP22" i="43"/>
  <c r="AL22" i="43"/>
  <c r="U22" i="43"/>
  <c r="V22" i="43" s="1"/>
  <c r="P22" i="43"/>
  <c r="N22" i="43"/>
  <c r="J22" i="43"/>
  <c r="C22" i="43"/>
  <c r="AP21" i="43"/>
  <c r="AL21" i="43"/>
  <c r="U21" i="43"/>
  <c r="V21" i="43" s="1"/>
  <c r="P21" i="43"/>
  <c r="N21" i="43"/>
  <c r="J21" i="43"/>
  <c r="C21" i="43"/>
  <c r="AP20" i="43"/>
  <c r="AL20" i="43"/>
  <c r="U20" i="43"/>
  <c r="V20" i="43" s="1"/>
  <c r="P20" i="43"/>
  <c r="N20" i="43"/>
  <c r="J20" i="43"/>
  <c r="C20" i="43"/>
  <c r="AP19" i="43"/>
  <c r="AL19" i="43"/>
  <c r="U19" i="43"/>
  <c r="V19" i="43" s="1"/>
  <c r="P19" i="43"/>
  <c r="N19" i="43"/>
  <c r="J19" i="43"/>
  <c r="C19" i="43"/>
  <c r="AP18" i="43"/>
  <c r="AL18" i="43"/>
  <c r="U18" i="43"/>
  <c r="V18" i="43" s="1"/>
  <c r="P18" i="43"/>
  <c r="N18" i="43"/>
  <c r="J18" i="43"/>
  <c r="C18" i="43"/>
  <c r="AP17" i="43"/>
  <c r="AL17" i="43"/>
  <c r="U17" i="43"/>
  <c r="V17" i="43" s="1"/>
  <c r="P17" i="43"/>
  <c r="N17" i="43"/>
  <c r="J17" i="43"/>
  <c r="C17" i="43"/>
  <c r="AP16" i="43"/>
  <c r="AL16" i="43"/>
  <c r="U16" i="43"/>
  <c r="V16" i="43" s="1"/>
  <c r="P16" i="43"/>
  <c r="N16" i="43"/>
  <c r="J16" i="43"/>
  <c r="C16" i="43"/>
  <c r="AP15" i="43"/>
  <c r="AL15" i="43"/>
  <c r="U15" i="43"/>
  <c r="V15" i="43" s="1"/>
  <c r="P15" i="43"/>
  <c r="N15" i="43"/>
  <c r="J15" i="43"/>
  <c r="C15" i="43"/>
  <c r="AP14" i="43"/>
  <c r="AL14" i="43"/>
  <c r="U14" i="43"/>
  <c r="V14" i="43" s="1"/>
  <c r="P14" i="43"/>
  <c r="N14" i="43"/>
  <c r="J14" i="43"/>
  <c r="C14" i="43"/>
  <c r="AP13" i="43"/>
  <c r="AL13" i="43"/>
  <c r="U13" i="43"/>
  <c r="V13" i="43" s="1"/>
  <c r="P13" i="43"/>
  <c r="N13" i="43"/>
  <c r="J13" i="43"/>
  <c r="C13" i="43"/>
  <c r="AP12" i="43"/>
  <c r="AL12" i="43"/>
  <c r="U12" i="43"/>
  <c r="V12" i="43" s="1"/>
  <c r="P12" i="43"/>
  <c r="N12" i="43"/>
  <c r="J12" i="43"/>
  <c r="C12" i="43"/>
  <c r="AP11" i="43"/>
  <c r="AL11" i="43"/>
  <c r="U11" i="43"/>
  <c r="V11" i="43" s="1"/>
  <c r="P11" i="43"/>
  <c r="N11" i="43"/>
  <c r="J11" i="43"/>
  <c r="C11" i="43"/>
  <c r="AP10" i="43"/>
  <c r="AL10" i="43"/>
  <c r="U10" i="43"/>
  <c r="V10" i="43" s="1"/>
  <c r="P10" i="43"/>
  <c r="N10" i="43"/>
  <c r="J10" i="43"/>
  <c r="C10" i="43"/>
  <c r="AP9" i="43"/>
  <c r="AL9" i="43"/>
  <c r="U9" i="43"/>
  <c r="V9" i="43" s="1"/>
  <c r="P9" i="43"/>
  <c r="N9" i="43"/>
  <c r="J9" i="43"/>
  <c r="C9" i="43"/>
  <c r="AP8" i="43"/>
  <c r="AL8" i="43"/>
  <c r="U8" i="43"/>
  <c r="V8" i="43" s="1"/>
  <c r="P8" i="43"/>
  <c r="N8" i="43"/>
  <c r="J8" i="43"/>
  <c r="C8" i="43"/>
  <c r="AP7" i="43"/>
  <c r="AL7" i="43"/>
  <c r="U7" i="43"/>
  <c r="P7" i="43"/>
  <c r="N7" i="43"/>
  <c r="J7" i="43"/>
  <c r="C7" i="43"/>
  <c r="AD73" i="44" l="1"/>
  <c r="G53" i="44"/>
  <c r="G54" i="44" s="1"/>
  <c r="D47" i="44"/>
  <c r="AF75" i="44"/>
  <c r="AE75" i="44"/>
  <c r="E54" i="44"/>
  <c r="AJ51" i="44"/>
  <c r="M40" i="43"/>
  <c r="D45" i="43"/>
  <c r="P38" i="43"/>
  <c r="AL38" i="43"/>
  <c r="C38" i="43"/>
  <c r="D42" i="43"/>
  <c r="AH39" i="43"/>
  <c r="AJ52" i="43"/>
  <c r="R73" i="43"/>
  <c r="R75" i="43" s="1"/>
  <c r="AD75" i="43" s="1"/>
  <c r="U39" i="43"/>
  <c r="V39" i="43" s="1"/>
  <c r="U38" i="43"/>
  <c r="V7" i="43"/>
  <c r="O84" i="43"/>
  <c r="AI51" i="43"/>
  <c r="AI53" i="43" s="1"/>
  <c r="AI54" i="43" s="1"/>
  <c r="Z51" i="43"/>
  <c r="Z53" i="43" s="1"/>
  <c r="Z54" i="43" s="1"/>
  <c r="O51" i="43"/>
  <c r="O53" i="43" s="1"/>
  <c r="O54" i="43" s="1"/>
  <c r="AA51" i="43"/>
  <c r="AA53" i="43" s="1"/>
  <c r="AA54" i="43" s="1"/>
  <c r="F51" i="43"/>
  <c r="F53" i="43" s="1"/>
  <c r="F54" i="43" s="1"/>
  <c r="R51" i="43"/>
  <c r="R53" i="43" s="1"/>
  <c r="R54" i="43" s="1"/>
  <c r="AD51" i="43"/>
  <c r="AD53" i="43" s="1"/>
  <c r="AD54" i="43" s="1"/>
  <c r="G51" i="43"/>
  <c r="G53" i="43" s="1"/>
  <c r="G54" i="43" s="1"/>
  <c r="S51" i="43"/>
  <c r="S53" i="43" s="1"/>
  <c r="S54" i="43" s="1"/>
  <c r="AE51" i="43"/>
  <c r="AE53" i="43" s="1"/>
  <c r="AE54" i="43" s="1"/>
  <c r="N51" i="43"/>
  <c r="N53" i="43" s="1"/>
  <c r="N54" i="43" s="1"/>
  <c r="AB51" i="43"/>
  <c r="AB53" i="43" s="1"/>
  <c r="AB54" i="43" s="1"/>
  <c r="R40" i="43"/>
  <c r="H51" i="43"/>
  <c r="H53" i="43" s="1"/>
  <c r="H54" i="43" s="1"/>
  <c r="T51" i="43"/>
  <c r="T53" i="43" s="1"/>
  <c r="T54" i="43" s="1"/>
  <c r="AF51" i="43"/>
  <c r="AF53" i="43" s="1"/>
  <c r="AF54" i="43" s="1"/>
  <c r="Q51" i="43"/>
  <c r="Q53" i="43" s="1"/>
  <c r="Q54" i="43" s="1"/>
  <c r="I51" i="43"/>
  <c r="I53" i="43" s="1"/>
  <c r="I54" i="43" s="1"/>
  <c r="U51" i="43"/>
  <c r="U53" i="43" s="1"/>
  <c r="U54" i="43" s="1"/>
  <c r="AG51" i="43"/>
  <c r="AG53" i="43" s="1"/>
  <c r="AG54" i="43" s="1"/>
  <c r="P51" i="43"/>
  <c r="P53" i="43" s="1"/>
  <c r="P54" i="43" s="1"/>
  <c r="E51" i="43"/>
  <c r="AC51" i="43"/>
  <c r="AC53" i="43" s="1"/>
  <c r="AC54" i="43" s="1"/>
  <c r="J51" i="43"/>
  <c r="J53" i="43" s="1"/>
  <c r="J54" i="43" s="1"/>
  <c r="V51" i="43"/>
  <c r="V53" i="43" s="1"/>
  <c r="V54" i="43" s="1"/>
  <c r="AH51" i="43"/>
  <c r="AH53" i="43" s="1"/>
  <c r="AH54" i="43" s="1"/>
  <c r="K51" i="43"/>
  <c r="K53" i="43" s="1"/>
  <c r="K54" i="43" s="1"/>
  <c r="W51" i="43"/>
  <c r="W53" i="43" s="1"/>
  <c r="W54" i="43" s="1"/>
  <c r="L51" i="43"/>
  <c r="L53" i="43" s="1"/>
  <c r="L54" i="43" s="1"/>
  <c r="X51" i="43"/>
  <c r="X53" i="43" s="1"/>
  <c r="X54" i="43" s="1"/>
  <c r="M51" i="43"/>
  <c r="M53" i="43" s="1"/>
  <c r="M54" i="43" s="1"/>
  <c r="P38" i="42"/>
  <c r="AJ54" i="44" l="1"/>
  <c r="AJ53" i="44"/>
  <c r="D47" i="43"/>
  <c r="AD73" i="43"/>
  <c r="AG75" i="43"/>
  <c r="AF75" i="43"/>
  <c r="AE75" i="43"/>
  <c r="AJ51" i="43"/>
  <c r="E53" i="43"/>
  <c r="O83" i="42"/>
  <c r="N83" i="42"/>
  <c r="M83" i="42"/>
  <c r="O82" i="42"/>
  <c r="N82" i="42"/>
  <c r="M82" i="42"/>
  <c r="N81" i="42"/>
  <c r="O81" i="42" s="1"/>
  <c r="M81" i="42"/>
  <c r="O80" i="42"/>
  <c r="N80" i="42"/>
  <c r="M80" i="42"/>
  <c r="O79" i="42"/>
  <c r="N79" i="42"/>
  <c r="M79" i="42"/>
  <c r="O78" i="42"/>
  <c r="N78" i="42"/>
  <c r="M78" i="42"/>
  <c r="N77" i="42"/>
  <c r="O77" i="42" s="1"/>
  <c r="M77" i="42"/>
  <c r="O76" i="42"/>
  <c r="N76" i="42"/>
  <c r="M76" i="42"/>
  <c r="AC75" i="42"/>
  <c r="AB75" i="42"/>
  <c r="AA75" i="42"/>
  <c r="Z75" i="42"/>
  <c r="Y75" i="42"/>
  <c r="X75" i="42"/>
  <c r="W75" i="42"/>
  <c r="V75" i="42"/>
  <c r="U75" i="42"/>
  <c r="T75" i="42"/>
  <c r="S75" i="42"/>
  <c r="N75" i="42"/>
  <c r="O75" i="42" s="1"/>
  <c r="M75" i="42"/>
  <c r="AD74" i="42"/>
  <c r="N74" i="42"/>
  <c r="O74" i="42" s="1"/>
  <c r="M74" i="42"/>
  <c r="N73" i="42"/>
  <c r="O73" i="42" s="1"/>
  <c r="M73" i="42"/>
  <c r="N72" i="42"/>
  <c r="O72" i="42" s="1"/>
  <c r="M72" i="42"/>
  <c r="O71" i="42"/>
  <c r="N71" i="42"/>
  <c r="M71" i="42"/>
  <c r="O70" i="42"/>
  <c r="N70" i="42"/>
  <c r="M70" i="42"/>
  <c r="AE69" i="42"/>
  <c r="AD69" i="42"/>
  <c r="AC69" i="42"/>
  <c r="AB69" i="42"/>
  <c r="AA69" i="42"/>
  <c r="Z69" i="42"/>
  <c r="Y69" i="42"/>
  <c r="X69" i="42"/>
  <c r="W69" i="42"/>
  <c r="V69" i="42"/>
  <c r="U69" i="42"/>
  <c r="T69" i="42"/>
  <c r="S69" i="42"/>
  <c r="R69" i="42"/>
  <c r="O69" i="42"/>
  <c r="N69" i="42"/>
  <c r="M69" i="42"/>
  <c r="AE68" i="42"/>
  <c r="O68" i="42"/>
  <c r="N68" i="42"/>
  <c r="M68" i="42"/>
  <c r="O67" i="42"/>
  <c r="N67" i="42"/>
  <c r="M67" i="42"/>
  <c r="N66" i="42"/>
  <c r="O66" i="42" s="1"/>
  <c r="M66" i="42"/>
  <c r="N65" i="42"/>
  <c r="O65" i="42" s="1"/>
  <c r="M65" i="42"/>
  <c r="O64" i="42"/>
  <c r="N64" i="42"/>
  <c r="M64" i="42"/>
  <c r="O63" i="42"/>
  <c r="N63" i="42"/>
  <c r="M63" i="42"/>
  <c r="O62" i="42"/>
  <c r="N62" i="42"/>
  <c r="M62" i="42"/>
  <c r="AH61" i="42"/>
  <c r="N61" i="42"/>
  <c r="O61" i="42" s="1"/>
  <c r="M61" i="42"/>
  <c r="AH60" i="42"/>
  <c r="AH62" i="42" s="1"/>
  <c r="AG60" i="42"/>
  <c r="AF60" i="42"/>
  <c r="AE60" i="42"/>
  <c r="AD60" i="42"/>
  <c r="AC60" i="42"/>
  <c r="AB60" i="42"/>
  <c r="AA60" i="42"/>
  <c r="Z60" i="42"/>
  <c r="Y60" i="42"/>
  <c r="X60" i="42"/>
  <c r="W60" i="42"/>
  <c r="V60" i="42"/>
  <c r="U60" i="42"/>
  <c r="T60" i="42"/>
  <c r="S60" i="42"/>
  <c r="M60" i="42"/>
  <c r="N60" i="42" s="1"/>
  <c r="O60" i="42" s="1"/>
  <c r="AH59" i="42"/>
  <c r="M59" i="42"/>
  <c r="N59" i="42" s="1"/>
  <c r="O59" i="42" s="1"/>
  <c r="AH58" i="42"/>
  <c r="M58" i="42"/>
  <c r="N58" i="42" s="1"/>
  <c r="O58" i="42" s="1"/>
  <c r="AI52" i="42"/>
  <c r="AH52" i="42"/>
  <c r="AG52" i="42"/>
  <c r="AF52" i="42"/>
  <c r="AE52" i="42"/>
  <c r="AD52" i="42"/>
  <c r="AC52" i="42"/>
  <c r="AB52" i="42"/>
  <c r="AA52" i="42"/>
  <c r="Z52" i="42"/>
  <c r="Y52" i="42"/>
  <c r="X52" i="42"/>
  <c r="W52" i="42"/>
  <c r="V52" i="42"/>
  <c r="U52" i="42"/>
  <c r="T52" i="42"/>
  <c r="S52" i="42"/>
  <c r="R52" i="42"/>
  <c r="Q52" i="42"/>
  <c r="P52" i="42"/>
  <c r="O52" i="42"/>
  <c r="N52" i="42"/>
  <c r="M52" i="42"/>
  <c r="L52" i="42"/>
  <c r="K52" i="42"/>
  <c r="J52" i="42"/>
  <c r="I52" i="42"/>
  <c r="H52" i="42"/>
  <c r="G52" i="42"/>
  <c r="F52" i="42"/>
  <c r="E52" i="42"/>
  <c r="E51" i="42" a="1"/>
  <c r="AF51" i="42" s="1"/>
  <c r="AJ50" i="42"/>
  <c r="AJ39" i="42"/>
  <c r="Y39" i="42"/>
  <c r="X39" i="42"/>
  <c r="W39" i="42"/>
  <c r="T39" i="42"/>
  <c r="S39" i="42"/>
  <c r="D43" i="42" s="1"/>
  <c r="R39" i="42"/>
  <c r="Q39" i="42"/>
  <c r="O39" i="42"/>
  <c r="P39" i="42" s="1"/>
  <c r="M39" i="42"/>
  <c r="N39" i="42" s="1"/>
  <c r="L39" i="42"/>
  <c r="K39" i="42"/>
  <c r="J39" i="42"/>
  <c r="D46" i="42" s="1"/>
  <c r="I39" i="42"/>
  <c r="H39" i="42"/>
  <c r="G39" i="42"/>
  <c r="F39" i="42"/>
  <c r="E39" i="42"/>
  <c r="D39" i="42"/>
  <c r="B39" i="42"/>
  <c r="C39" i="42" s="1"/>
  <c r="D44" i="42" s="1"/>
  <c r="AM38" i="42"/>
  <c r="AK38" i="42"/>
  <c r="AK39" i="42" s="1"/>
  <c r="AJ38" i="42"/>
  <c r="AI38" i="42"/>
  <c r="Y38" i="42"/>
  <c r="X38" i="42"/>
  <c r="W38" i="42"/>
  <c r="T38" i="42"/>
  <c r="S38" i="42"/>
  <c r="R38" i="42"/>
  <c r="Q38" i="42"/>
  <c r="O38" i="42"/>
  <c r="M38" i="42"/>
  <c r="L38" i="42"/>
  <c r="K38" i="42"/>
  <c r="I38" i="42"/>
  <c r="H38" i="42"/>
  <c r="G38" i="42"/>
  <c r="F38" i="42"/>
  <c r="E38" i="42"/>
  <c r="D38" i="42"/>
  <c r="B38" i="42"/>
  <c r="AP37" i="42"/>
  <c r="AL37" i="42"/>
  <c r="U37" i="42"/>
  <c r="V37" i="42" s="1"/>
  <c r="P37" i="42"/>
  <c r="N37" i="42"/>
  <c r="J37" i="42"/>
  <c r="C37" i="42"/>
  <c r="AP36" i="42"/>
  <c r="AL36" i="42"/>
  <c r="U36" i="42"/>
  <c r="V36" i="42" s="1"/>
  <c r="P36" i="42"/>
  <c r="N36" i="42"/>
  <c r="J36" i="42"/>
  <c r="C36" i="42"/>
  <c r="AP35" i="42"/>
  <c r="AL35" i="42"/>
  <c r="U35" i="42"/>
  <c r="V35" i="42" s="1"/>
  <c r="P35" i="42"/>
  <c r="N35" i="42"/>
  <c r="J35" i="42"/>
  <c r="C35" i="42"/>
  <c r="AP34" i="42"/>
  <c r="AL34" i="42"/>
  <c r="U34" i="42"/>
  <c r="V34" i="42" s="1"/>
  <c r="P34" i="42"/>
  <c r="N34" i="42"/>
  <c r="J34" i="42"/>
  <c r="C34" i="42"/>
  <c r="AP33" i="42"/>
  <c r="AL33" i="42"/>
  <c r="U33" i="42"/>
  <c r="V33" i="42" s="1"/>
  <c r="P33" i="42"/>
  <c r="N33" i="42"/>
  <c r="J33" i="42"/>
  <c r="C33" i="42"/>
  <c r="AP32" i="42"/>
  <c r="AL32" i="42"/>
  <c r="U32" i="42"/>
  <c r="V32" i="42" s="1"/>
  <c r="P32" i="42"/>
  <c r="N32" i="42"/>
  <c r="J32" i="42"/>
  <c r="C32" i="42"/>
  <c r="AP31" i="42"/>
  <c r="AL31" i="42"/>
  <c r="U31" i="42"/>
  <c r="V31" i="42" s="1"/>
  <c r="P31" i="42"/>
  <c r="N31" i="42"/>
  <c r="J31" i="42"/>
  <c r="C31" i="42"/>
  <c r="AP30" i="42"/>
  <c r="AL30" i="42"/>
  <c r="U30" i="42"/>
  <c r="V30" i="42" s="1"/>
  <c r="P30" i="42"/>
  <c r="N30" i="42"/>
  <c r="J30" i="42"/>
  <c r="C30" i="42"/>
  <c r="AP29" i="42"/>
  <c r="AL29" i="42"/>
  <c r="U29" i="42"/>
  <c r="V29" i="42" s="1"/>
  <c r="P29" i="42"/>
  <c r="N29" i="42"/>
  <c r="J29" i="42"/>
  <c r="C29" i="42"/>
  <c r="AP28" i="42"/>
  <c r="AL28" i="42"/>
  <c r="U28" i="42"/>
  <c r="V28" i="42" s="1"/>
  <c r="P28" i="42"/>
  <c r="N28" i="42"/>
  <c r="J28" i="42"/>
  <c r="C28" i="42"/>
  <c r="AP27" i="42"/>
  <c r="AL27" i="42"/>
  <c r="U27" i="42"/>
  <c r="V27" i="42" s="1"/>
  <c r="P27" i="42"/>
  <c r="N27" i="42"/>
  <c r="J27" i="42"/>
  <c r="C27" i="42"/>
  <c r="AP26" i="42"/>
  <c r="AL26" i="42"/>
  <c r="U26" i="42"/>
  <c r="V26" i="42" s="1"/>
  <c r="P26" i="42"/>
  <c r="N26" i="42"/>
  <c r="J26" i="42"/>
  <c r="C26" i="42"/>
  <c r="AP25" i="42"/>
  <c r="AL25" i="42"/>
  <c r="U25" i="42"/>
  <c r="V25" i="42" s="1"/>
  <c r="P25" i="42"/>
  <c r="N25" i="42"/>
  <c r="J25" i="42"/>
  <c r="C25" i="42"/>
  <c r="AP24" i="42"/>
  <c r="AL24" i="42"/>
  <c r="U24" i="42"/>
  <c r="V24" i="42" s="1"/>
  <c r="P24" i="42"/>
  <c r="N24" i="42"/>
  <c r="J24" i="42"/>
  <c r="C24" i="42"/>
  <c r="AP23" i="42"/>
  <c r="AL23" i="42"/>
  <c r="U23" i="42"/>
  <c r="V23" i="42" s="1"/>
  <c r="P23" i="42"/>
  <c r="N23" i="42"/>
  <c r="J23" i="42"/>
  <c r="C23" i="42"/>
  <c r="AP22" i="42"/>
  <c r="AL22" i="42"/>
  <c r="U22" i="42"/>
  <c r="V22" i="42" s="1"/>
  <c r="P22" i="42"/>
  <c r="N22" i="42"/>
  <c r="J22" i="42"/>
  <c r="C22" i="42"/>
  <c r="AP21" i="42"/>
  <c r="AL21" i="42"/>
  <c r="U21" i="42"/>
  <c r="V21" i="42" s="1"/>
  <c r="P21" i="42"/>
  <c r="N21" i="42"/>
  <c r="J21" i="42"/>
  <c r="C21" i="42"/>
  <c r="AP20" i="42"/>
  <c r="AL20" i="42"/>
  <c r="U20" i="42"/>
  <c r="V20" i="42" s="1"/>
  <c r="P20" i="42"/>
  <c r="N20" i="42"/>
  <c r="J20" i="42"/>
  <c r="C20" i="42"/>
  <c r="AP19" i="42"/>
  <c r="AL19" i="42"/>
  <c r="U19" i="42"/>
  <c r="V19" i="42" s="1"/>
  <c r="P19" i="42"/>
  <c r="N19" i="42"/>
  <c r="J19" i="42"/>
  <c r="C19" i="42"/>
  <c r="AP18" i="42"/>
  <c r="AL18" i="42"/>
  <c r="U18" i="42"/>
  <c r="V18" i="42" s="1"/>
  <c r="P18" i="42"/>
  <c r="N18" i="42"/>
  <c r="J18" i="42"/>
  <c r="C18" i="42"/>
  <c r="AP17" i="42"/>
  <c r="AL17" i="42"/>
  <c r="U17" i="42"/>
  <c r="V17" i="42" s="1"/>
  <c r="P17" i="42"/>
  <c r="N17" i="42"/>
  <c r="J17" i="42"/>
  <c r="C17" i="42"/>
  <c r="AP16" i="42"/>
  <c r="AL16" i="42"/>
  <c r="U16" i="42"/>
  <c r="V16" i="42" s="1"/>
  <c r="P16" i="42"/>
  <c r="N16" i="42"/>
  <c r="J16" i="42"/>
  <c r="C16" i="42"/>
  <c r="AP15" i="42"/>
  <c r="AL15" i="42"/>
  <c r="U15" i="42"/>
  <c r="V15" i="42" s="1"/>
  <c r="P15" i="42"/>
  <c r="N15" i="42"/>
  <c r="J15" i="42"/>
  <c r="C15" i="42"/>
  <c r="AP14" i="42"/>
  <c r="AL14" i="42"/>
  <c r="U14" i="42"/>
  <c r="V14" i="42" s="1"/>
  <c r="P14" i="42"/>
  <c r="N14" i="42"/>
  <c r="J14" i="42"/>
  <c r="C14" i="42"/>
  <c r="AP13" i="42"/>
  <c r="AL13" i="42"/>
  <c r="U13" i="42"/>
  <c r="V13" i="42" s="1"/>
  <c r="P13" i="42"/>
  <c r="N13" i="42"/>
  <c r="J13" i="42"/>
  <c r="C13" i="42"/>
  <c r="AP12" i="42"/>
  <c r="AL12" i="42"/>
  <c r="U12" i="42"/>
  <c r="V12" i="42" s="1"/>
  <c r="P12" i="42"/>
  <c r="N12" i="42"/>
  <c r="J12" i="42"/>
  <c r="C12" i="42"/>
  <c r="AP11" i="42"/>
  <c r="AL11" i="42"/>
  <c r="U11" i="42"/>
  <c r="V11" i="42" s="1"/>
  <c r="P11" i="42"/>
  <c r="N11" i="42"/>
  <c r="J11" i="42"/>
  <c r="C11" i="42"/>
  <c r="AP10" i="42"/>
  <c r="AL10" i="42"/>
  <c r="U10" i="42"/>
  <c r="V10" i="42" s="1"/>
  <c r="P10" i="42"/>
  <c r="N10" i="42"/>
  <c r="J10" i="42"/>
  <c r="C10" i="42"/>
  <c r="AP9" i="42"/>
  <c r="AL9" i="42"/>
  <c r="U9" i="42"/>
  <c r="V9" i="42" s="1"/>
  <c r="P9" i="42"/>
  <c r="N9" i="42"/>
  <c r="J9" i="42"/>
  <c r="C9" i="42"/>
  <c r="AP8" i="42"/>
  <c r="AL8" i="42"/>
  <c r="U8" i="42"/>
  <c r="V8" i="42" s="1"/>
  <c r="P8" i="42"/>
  <c r="N8" i="42"/>
  <c r="J8" i="42"/>
  <c r="C8" i="42"/>
  <c r="AP7" i="42"/>
  <c r="AL7" i="42"/>
  <c r="U7" i="42"/>
  <c r="P7" i="42"/>
  <c r="N7" i="42"/>
  <c r="J7" i="42"/>
  <c r="C7" i="42"/>
  <c r="E54" i="43" l="1"/>
  <c r="AJ54" i="43" s="1"/>
  <c r="AJ53" i="43"/>
  <c r="AH39" i="42"/>
  <c r="AL38" i="42"/>
  <c r="C38" i="42"/>
  <c r="D42" i="42"/>
  <c r="R40" i="42"/>
  <c r="M40" i="42"/>
  <c r="AG51" i="42"/>
  <c r="AG53" i="42" s="1"/>
  <c r="AG54" i="42" s="1"/>
  <c r="AH51" i="42"/>
  <c r="AH53" i="42" s="1"/>
  <c r="AH54" i="42" s="1"/>
  <c r="L51" i="42"/>
  <c r="L53" i="42" s="1"/>
  <c r="L54" i="42" s="1"/>
  <c r="X51" i="42"/>
  <c r="X53" i="42" s="1"/>
  <c r="X54" i="42" s="1"/>
  <c r="U51" i="42"/>
  <c r="U53" i="42" s="1"/>
  <c r="U54" i="42" s="1"/>
  <c r="V51" i="42"/>
  <c r="V53" i="42" s="1"/>
  <c r="V54" i="42" s="1"/>
  <c r="AI51" i="42"/>
  <c r="AI53" i="42" s="1"/>
  <c r="AI54" i="42" s="1"/>
  <c r="Z51" i="42"/>
  <c r="Z53" i="42" s="1"/>
  <c r="Z54" i="42" s="1"/>
  <c r="Y51" i="42"/>
  <c r="Y53" i="42" s="1"/>
  <c r="Y54" i="42" s="1"/>
  <c r="AA51" i="42"/>
  <c r="AA53" i="42" s="1"/>
  <c r="AA54" i="42" s="1"/>
  <c r="P51" i="42"/>
  <c r="P53" i="42" s="1"/>
  <c r="P54" i="42" s="1"/>
  <c r="AB51" i="42"/>
  <c r="AB53" i="42" s="1"/>
  <c r="AB54" i="42" s="1"/>
  <c r="AF53" i="42"/>
  <c r="AF54" i="42" s="1"/>
  <c r="K51" i="42"/>
  <c r="K53" i="42" s="1"/>
  <c r="K54" i="42" s="1"/>
  <c r="O51" i="42"/>
  <c r="O53" i="42" s="1"/>
  <c r="O54" i="42" s="1"/>
  <c r="Q51" i="42"/>
  <c r="Q53" i="42" s="1"/>
  <c r="Q54" i="42" s="1"/>
  <c r="F51" i="42"/>
  <c r="F53" i="42" s="1"/>
  <c r="F54" i="42" s="1"/>
  <c r="R51" i="42"/>
  <c r="R53" i="42" s="1"/>
  <c r="R54" i="42" s="1"/>
  <c r="AD51" i="42"/>
  <c r="AD53" i="42" s="1"/>
  <c r="AD54" i="42" s="1"/>
  <c r="J51" i="42"/>
  <c r="J53" i="42" s="1"/>
  <c r="J54" i="42" s="1"/>
  <c r="N51" i="42"/>
  <c r="N53" i="42" s="1"/>
  <c r="N54" i="42" s="1"/>
  <c r="E51" i="42"/>
  <c r="E53" i="42" s="1"/>
  <c r="E54" i="42" s="1"/>
  <c r="AC51" i="42"/>
  <c r="AC53" i="42" s="1"/>
  <c r="AC54" i="42" s="1"/>
  <c r="G51" i="42"/>
  <c r="G53" i="42" s="1"/>
  <c r="G54" i="42" s="1"/>
  <c r="S51" i="42"/>
  <c r="S53" i="42" s="1"/>
  <c r="S54" i="42" s="1"/>
  <c r="AE51" i="42"/>
  <c r="AE53" i="42" s="1"/>
  <c r="AE54" i="42" s="1"/>
  <c r="I51" i="42"/>
  <c r="I53" i="42" s="1"/>
  <c r="I54" i="42" s="1"/>
  <c r="W51" i="42"/>
  <c r="W53" i="42" s="1"/>
  <c r="W54" i="42" s="1"/>
  <c r="M51" i="42"/>
  <c r="M53" i="42" s="1"/>
  <c r="M54" i="42" s="1"/>
  <c r="H51" i="42"/>
  <c r="H53" i="42" s="1"/>
  <c r="H54" i="42" s="1"/>
  <c r="T51" i="42"/>
  <c r="T53" i="42" s="1"/>
  <c r="T54" i="42" s="1"/>
  <c r="AJ52" i="42"/>
  <c r="R73" i="42"/>
  <c r="D45" i="42"/>
  <c r="U38" i="42"/>
  <c r="U39" i="42"/>
  <c r="V39" i="42" s="1"/>
  <c r="V7" i="42"/>
  <c r="O84" i="42"/>
  <c r="M83" i="41"/>
  <c r="N83" i="41" s="1"/>
  <c r="O83" i="41" s="1"/>
  <c r="M82" i="41"/>
  <c r="N82" i="41" s="1"/>
  <c r="O82" i="41" s="1"/>
  <c r="N81" i="41"/>
  <c r="O81" i="41" s="1"/>
  <c r="M81" i="41"/>
  <c r="O80" i="41"/>
  <c r="N80" i="41"/>
  <c r="M80" i="41"/>
  <c r="M79" i="41"/>
  <c r="N79" i="41" s="1"/>
  <c r="O79" i="41" s="1"/>
  <c r="M78" i="41"/>
  <c r="N78" i="41" s="1"/>
  <c r="O78" i="41" s="1"/>
  <c r="N77" i="41"/>
  <c r="O77" i="41" s="1"/>
  <c r="M77" i="41"/>
  <c r="O76" i="41"/>
  <c r="N76" i="41"/>
  <c r="M76" i="41"/>
  <c r="AC75" i="41"/>
  <c r="AB75" i="41"/>
  <c r="AA75" i="41"/>
  <c r="Z75" i="41"/>
  <c r="Y75" i="41"/>
  <c r="X75" i="41"/>
  <c r="W75" i="41"/>
  <c r="V75" i="41"/>
  <c r="U75" i="41"/>
  <c r="T75" i="41"/>
  <c r="S75" i="41"/>
  <c r="M75" i="41"/>
  <c r="N75" i="41" s="1"/>
  <c r="O75" i="41" s="1"/>
  <c r="AD74" i="41"/>
  <c r="N74" i="41"/>
  <c r="O74" i="41" s="1"/>
  <c r="M74" i="41"/>
  <c r="M73" i="41"/>
  <c r="N73" i="41" s="1"/>
  <c r="O73" i="41" s="1"/>
  <c r="M72" i="41"/>
  <c r="N72" i="41" s="1"/>
  <c r="O72" i="41" s="1"/>
  <c r="M71" i="41"/>
  <c r="N71" i="41" s="1"/>
  <c r="O71" i="41" s="1"/>
  <c r="M70" i="41"/>
  <c r="N70" i="41" s="1"/>
  <c r="O70" i="41" s="1"/>
  <c r="AD69" i="41"/>
  <c r="AC69" i="41"/>
  <c r="AB69" i="41"/>
  <c r="AA69" i="41"/>
  <c r="Z69" i="41"/>
  <c r="Y69" i="41"/>
  <c r="X69" i="41"/>
  <c r="W69" i="41"/>
  <c r="V69" i="41"/>
  <c r="U69" i="41"/>
  <c r="T69" i="41"/>
  <c r="S69" i="41"/>
  <c r="R69" i="41"/>
  <c r="N69" i="41"/>
  <c r="O69" i="41" s="1"/>
  <c r="M69" i="41"/>
  <c r="AE68" i="41"/>
  <c r="AE69" i="41" s="1"/>
  <c r="M68" i="41"/>
  <c r="N68" i="41" s="1"/>
  <c r="O68" i="41" s="1"/>
  <c r="M67" i="41"/>
  <c r="N67" i="41" s="1"/>
  <c r="O67" i="41" s="1"/>
  <c r="M66" i="41"/>
  <c r="N66" i="41" s="1"/>
  <c r="O66" i="41" s="1"/>
  <c r="M65" i="41"/>
  <c r="N65" i="41" s="1"/>
  <c r="O65" i="41" s="1"/>
  <c r="M64" i="41"/>
  <c r="N64" i="41" s="1"/>
  <c r="O64" i="41" s="1"/>
  <c r="M63" i="41"/>
  <c r="N63" i="41" s="1"/>
  <c r="O63" i="41" s="1"/>
  <c r="M62" i="41"/>
  <c r="N62" i="41" s="1"/>
  <c r="O62" i="41" s="1"/>
  <c r="AH61" i="41"/>
  <c r="AH62" i="41" s="1"/>
  <c r="N61" i="41"/>
  <c r="O61" i="41" s="1"/>
  <c r="M61" i="41"/>
  <c r="AH60" i="41"/>
  <c r="AG60" i="41"/>
  <c r="AF60" i="41"/>
  <c r="AE60" i="41"/>
  <c r="AD60" i="41"/>
  <c r="AC60" i="41"/>
  <c r="AB60" i="41"/>
  <c r="AA60" i="41"/>
  <c r="Z60" i="41"/>
  <c r="Y60" i="41"/>
  <c r="X60" i="41"/>
  <c r="W60" i="41"/>
  <c r="V60" i="41"/>
  <c r="U60" i="41"/>
  <c r="T60" i="41"/>
  <c r="S60" i="41"/>
  <c r="M60" i="41"/>
  <c r="N60" i="41" s="1"/>
  <c r="O60" i="41" s="1"/>
  <c r="AH59" i="41"/>
  <c r="M59" i="41"/>
  <c r="N59" i="41" s="1"/>
  <c r="O59" i="41" s="1"/>
  <c r="AH58" i="41"/>
  <c r="O58" i="41"/>
  <c r="N58" i="41"/>
  <c r="M58" i="41"/>
  <c r="AI52" i="41"/>
  <c r="AH52" i="41"/>
  <c r="AG52" i="41"/>
  <c r="AF52" i="41"/>
  <c r="AE52" i="41"/>
  <c r="AD52" i="41"/>
  <c r="AC52" i="41"/>
  <c r="AB52" i="41"/>
  <c r="AA52" i="41"/>
  <c r="Z52" i="41"/>
  <c r="Y52" i="41"/>
  <c r="X52" i="41"/>
  <c r="W52" i="41"/>
  <c r="V52" i="41"/>
  <c r="U52" i="41"/>
  <c r="T52" i="41"/>
  <c r="S52" i="41"/>
  <c r="R52" i="41"/>
  <c r="Q52" i="41"/>
  <c r="P52" i="41"/>
  <c r="O52" i="41"/>
  <c r="N52" i="41"/>
  <c r="M52" i="41"/>
  <c r="L52" i="41"/>
  <c r="K52" i="41"/>
  <c r="J52" i="41"/>
  <c r="I52" i="41"/>
  <c r="H52" i="41"/>
  <c r="G52" i="41"/>
  <c r="F52" i="41"/>
  <c r="AJ52" i="41" s="1"/>
  <c r="E52" i="41"/>
  <c r="AC51" i="41"/>
  <c r="AC53" i="41" s="1"/>
  <c r="AC54" i="41" s="1"/>
  <c r="AA51" i="41"/>
  <c r="AA53" i="41" s="1"/>
  <c r="AA54" i="41" s="1"/>
  <c r="Q51" i="41"/>
  <c r="Q53" i="41" s="1"/>
  <c r="Q54" i="41" s="1"/>
  <c r="O51" i="41"/>
  <c r="O53" i="41" s="1"/>
  <c r="O54" i="41" s="1"/>
  <c r="E51" i="41"/>
  <c r="E51" i="41" a="1"/>
  <c r="Y51" i="41" s="1"/>
  <c r="Y53" i="41" s="1"/>
  <c r="Y54" i="41" s="1"/>
  <c r="AJ50" i="41"/>
  <c r="AK39" i="41"/>
  <c r="AH39" i="41"/>
  <c r="Y39" i="41"/>
  <c r="X39" i="41"/>
  <c r="W39" i="41"/>
  <c r="T39" i="41"/>
  <c r="S39" i="41"/>
  <c r="D43" i="41" s="1"/>
  <c r="R39" i="41"/>
  <c r="Q39" i="41"/>
  <c r="D42" i="41" s="1"/>
  <c r="O39" i="41"/>
  <c r="P39" i="41" s="1"/>
  <c r="M39" i="41"/>
  <c r="N39" i="41" s="1"/>
  <c r="D45" i="41" s="1"/>
  <c r="L39" i="41"/>
  <c r="K39" i="41"/>
  <c r="I39" i="41"/>
  <c r="J39" i="41" s="1"/>
  <c r="D46" i="41" s="1"/>
  <c r="H39" i="41"/>
  <c r="G39" i="41"/>
  <c r="F39" i="41"/>
  <c r="E39" i="41"/>
  <c r="D39" i="41"/>
  <c r="B39" i="41"/>
  <c r="C39" i="41" s="1"/>
  <c r="D44" i="41" s="1"/>
  <c r="AL38" i="41"/>
  <c r="AK38" i="41"/>
  <c r="AJ38" i="41"/>
  <c r="AI38" i="41"/>
  <c r="AH38" i="41"/>
  <c r="Y38" i="41"/>
  <c r="X38" i="41"/>
  <c r="W38" i="41"/>
  <c r="T38" i="41"/>
  <c r="S38" i="41"/>
  <c r="R38" i="41"/>
  <c r="Q38" i="41"/>
  <c r="R73" i="41" s="1"/>
  <c r="O38" i="41"/>
  <c r="M38" i="41"/>
  <c r="M40" i="41" s="1"/>
  <c r="L38" i="41"/>
  <c r="K38" i="41"/>
  <c r="I38" i="41"/>
  <c r="H38" i="41"/>
  <c r="G38" i="41"/>
  <c r="F38" i="41"/>
  <c r="E38" i="41"/>
  <c r="D38" i="41"/>
  <c r="B38" i="41"/>
  <c r="AP37" i="41"/>
  <c r="AL37" i="41"/>
  <c r="U37" i="41"/>
  <c r="V37" i="41" s="1"/>
  <c r="P37" i="41"/>
  <c r="N37" i="41"/>
  <c r="J37" i="41"/>
  <c r="C37" i="41"/>
  <c r="AP36" i="41"/>
  <c r="AL36" i="41"/>
  <c r="U36" i="41"/>
  <c r="V36" i="41" s="1"/>
  <c r="P36" i="41"/>
  <c r="N36" i="41"/>
  <c r="J36" i="41"/>
  <c r="C36" i="41"/>
  <c r="AP35" i="41"/>
  <c r="AL35" i="41"/>
  <c r="U35" i="41"/>
  <c r="V35" i="41" s="1"/>
  <c r="P35" i="41"/>
  <c r="N35" i="41"/>
  <c r="J35" i="41"/>
  <c r="C35" i="41"/>
  <c r="AP34" i="41"/>
  <c r="AL34" i="41"/>
  <c r="U34" i="41"/>
  <c r="V34" i="41" s="1"/>
  <c r="P34" i="41"/>
  <c r="N34" i="41"/>
  <c r="J34" i="41"/>
  <c r="C34" i="41"/>
  <c r="AP33" i="41"/>
  <c r="AL33" i="41"/>
  <c r="U33" i="41"/>
  <c r="V33" i="41" s="1"/>
  <c r="P33" i="41"/>
  <c r="N33" i="41"/>
  <c r="J33" i="41"/>
  <c r="C33" i="41"/>
  <c r="AP32" i="41"/>
  <c r="AL32" i="41"/>
  <c r="U32" i="41"/>
  <c r="V32" i="41" s="1"/>
  <c r="P32" i="41"/>
  <c r="N32" i="41"/>
  <c r="J32" i="41"/>
  <c r="C32" i="41"/>
  <c r="AP31" i="41"/>
  <c r="AL31" i="41"/>
  <c r="U31" i="41"/>
  <c r="V31" i="41" s="1"/>
  <c r="P31" i="41"/>
  <c r="N31" i="41"/>
  <c r="J31" i="41"/>
  <c r="C31" i="41"/>
  <c r="AP30" i="41"/>
  <c r="AL30" i="41"/>
  <c r="U30" i="41"/>
  <c r="V30" i="41" s="1"/>
  <c r="P30" i="41"/>
  <c r="N30" i="41"/>
  <c r="J30" i="41"/>
  <c r="C30" i="41"/>
  <c r="AP29" i="41"/>
  <c r="AL29" i="41"/>
  <c r="U29" i="41"/>
  <c r="V29" i="41" s="1"/>
  <c r="P29" i="41"/>
  <c r="N29" i="41"/>
  <c r="J29" i="41"/>
  <c r="C29" i="41"/>
  <c r="AP28" i="41"/>
  <c r="AL28" i="41"/>
  <c r="U28" i="41"/>
  <c r="V28" i="41" s="1"/>
  <c r="P28" i="41"/>
  <c r="N28" i="41"/>
  <c r="J28" i="41"/>
  <c r="C28" i="41"/>
  <c r="AP27" i="41"/>
  <c r="AL27" i="41"/>
  <c r="U27" i="41"/>
  <c r="V27" i="41" s="1"/>
  <c r="P27" i="41"/>
  <c r="N27" i="41"/>
  <c r="J27" i="41"/>
  <c r="C27" i="41"/>
  <c r="AP26" i="41"/>
  <c r="AL26" i="41"/>
  <c r="U26" i="41"/>
  <c r="V26" i="41" s="1"/>
  <c r="P26" i="41"/>
  <c r="N26" i="41"/>
  <c r="J26" i="41"/>
  <c r="C26" i="41"/>
  <c r="AP25" i="41"/>
  <c r="AL25" i="41"/>
  <c r="U25" i="41"/>
  <c r="V25" i="41" s="1"/>
  <c r="P25" i="41"/>
  <c r="N25" i="41"/>
  <c r="J25" i="41"/>
  <c r="C25" i="41"/>
  <c r="AP24" i="41"/>
  <c r="AL24" i="41"/>
  <c r="U24" i="41"/>
  <c r="V24" i="41" s="1"/>
  <c r="P24" i="41"/>
  <c r="N24" i="41"/>
  <c r="J24" i="41"/>
  <c r="C24" i="41"/>
  <c r="AP23" i="41"/>
  <c r="AL23" i="41"/>
  <c r="U23" i="41"/>
  <c r="V23" i="41" s="1"/>
  <c r="P23" i="41"/>
  <c r="N23" i="41"/>
  <c r="J23" i="41"/>
  <c r="C23" i="41"/>
  <c r="AP22" i="41"/>
  <c r="AL22" i="41"/>
  <c r="U22" i="41"/>
  <c r="V22" i="41" s="1"/>
  <c r="P22" i="41"/>
  <c r="N22" i="41"/>
  <c r="J22" i="41"/>
  <c r="C22" i="41"/>
  <c r="AP21" i="41"/>
  <c r="AL21" i="41"/>
  <c r="U21" i="41"/>
  <c r="V21" i="41" s="1"/>
  <c r="P21" i="41"/>
  <c r="N21" i="41"/>
  <c r="J21" i="41"/>
  <c r="C21" i="41"/>
  <c r="AP20" i="41"/>
  <c r="AL20" i="41"/>
  <c r="U20" i="41"/>
  <c r="V20" i="41" s="1"/>
  <c r="P20" i="41"/>
  <c r="N20" i="41"/>
  <c r="J20" i="41"/>
  <c r="C20" i="41"/>
  <c r="AP19" i="41"/>
  <c r="AL19" i="41"/>
  <c r="U19" i="41"/>
  <c r="V19" i="41" s="1"/>
  <c r="P19" i="41"/>
  <c r="N19" i="41"/>
  <c r="J19" i="41"/>
  <c r="C19" i="41"/>
  <c r="AP18" i="41"/>
  <c r="AL18" i="41"/>
  <c r="U18" i="41"/>
  <c r="V18" i="41" s="1"/>
  <c r="P18" i="41"/>
  <c r="N18" i="41"/>
  <c r="J18" i="41"/>
  <c r="C18" i="41"/>
  <c r="AP17" i="41"/>
  <c r="AL17" i="41"/>
  <c r="U17" i="41"/>
  <c r="V17" i="41" s="1"/>
  <c r="P17" i="41"/>
  <c r="N17" i="41"/>
  <c r="J17" i="41"/>
  <c r="C17" i="41"/>
  <c r="AP16" i="41"/>
  <c r="AL16" i="41"/>
  <c r="U16" i="41"/>
  <c r="V16" i="41" s="1"/>
  <c r="P16" i="41"/>
  <c r="N16" i="41"/>
  <c r="J16" i="41"/>
  <c r="C16" i="41"/>
  <c r="AP15" i="41"/>
  <c r="AL15" i="41"/>
  <c r="U15" i="41"/>
  <c r="V15" i="41" s="1"/>
  <c r="P15" i="41"/>
  <c r="N15" i="41"/>
  <c r="J15" i="41"/>
  <c r="C15" i="41"/>
  <c r="AP14" i="41"/>
  <c r="AL14" i="41"/>
  <c r="U14" i="41"/>
  <c r="V14" i="41" s="1"/>
  <c r="P14" i="41"/>
  <c r="N14" i="41"/>
  <c r="J14" i="41"/>
  <c r="C14" i="41"/>
  <c r="AP13" i="41"/>
  <c r="AL13" i="41"/>
  <c r="U13" i="41"/>
  <c r="V13" i="41" s="1"/>
  <c r="P13" i="41"/>
  <c r="N13" i="41"/>
  <c r="J13" i="41"/>
  <c r="C13" i="41"/>
  <c r="AP12" i="41"/>
  <c r="AL12" i="41"/>
  <c r="U12" i="41"/>
  <c r="V12" i="41" s="1"/>
  <c r="P12" i="41"/>
  <c r="N12" i="41"/>
  <c r="J12" i="41"/>
  <c r="C12" i="41"/>
  <c r="AP11" i="41"/>
  <c r="AL11" i="41"/>
  <c r="U11" i="41"/>
  <c r="V11" i="41" s="1"/>
  <c r="P11" i="41"/>
  <c r="N11" i="41"/>
  <c r="J11" i="41"/>
  <c r="C11" i="41"/>
  <c r="AP10" i="41"/>
  <c r="AL10" i="41"/>
  <c r="U10" i="41"/>
  <c r="V10" i="41" s="1"/>
  <c r="P10" i="41"/>
  <c r="N10" i="41"/>
  <c r="J10" i="41"/>
  <c r="C10" i="41"/>
  <c r="AP9" i="41"/>
  <c r="AL9" i="41"/>
  <c r="U9" i="41"/>
  <c r="V9" i="41" s="1"/>
  <c r="P9" i="41"/>
  <c r="N9" i="41"/>
  <c r="J9" i="41"/>
  <c r="C9" i="41"/>
  <c r="AP8" i="41"/>
  <c r="AL8" i="41"/>
  <c r="U8" i="41"/>
  <c r="V8" i="41" s="1"/>
  <c r="P8" i="41"/>
  <c r="N8" i="41"/>
  <c r="J8" i="41"/>
  <c r="C8" i="41"/>
  <c r="C38" i="41" s="1"/>
  <c r="AP7" i="41"/>
  <c r="AL7" i="41"/>
  <c r="U7" i="41"/>
  <c r="V7" i="41" s="1"/>
  <c r="P7" i="41"/>
  <c r="N7" i="41"/>
  <c r="J7" i="41"/>
  <c r="C7" i="41"/>
  <c r="O83" i="40"/>
  <c r="N83" i="40"/>
  <c r="M83" i="40"/>
  <c r="O82" i="40"/>
  <c r="N82" i="40"/>
  <c r="M82" i="40"/>
  <c r="O81" i="40"/>
  <c r="N81" i="40"/>
  <c r="M81" i="40"/>
  <c r="O80" i="40"/>
  <c r="N80" i="40"/>
  <c r="M80" i="40"/>
  <c r="O79" i="40"/>
  <c r="N79" i="40"/>
  <c r="M79" i="40"/>
  <c r="O78" i="40"/>
  <c r="N78" i="40"/>
  <c r="M78" i="40"/>
  <c r="O77" i="40"/>
  <c r="N77" i="40"/>
  <c r="M77" i="40"/>
  <c r="O76" i="40"/>
  <c r="N76" i="40"/>
  <c r="M76" i="40"/>
  <c r="AC75" i="40"/>
  <c r="AB75" i="40"/>
  <c r="AA75" i="40"/>
  <c r="Z75" i="40"/>
  <c r="Y75" i="40"/>
  <c r="X75" i="40"/>
  <c r="W75" i="40"/>
  <c r="V75" i="40"/>
  <c r="U75" i="40"/>
  <c r="T75" i="40"/>
  <c r="S75" i="40"/>
  <c r="N75" i="40"/>
  <c r="O75" i="40" s="1"/>
  <c r="M75" i="40"/>
  <c r="AD74" i="40"/>
  <c r="N74" i="40"/>
  <c r="O74" i="40" s="1"/>
  <c r="M74" i="40"/>
  <c r="R73" i="40"/>
  <c r="R75" i="40" s="1"/>
  <c r="AD75" i="40" s="1"/>
  <c r="O73" i="40"/>
  <c r="N73" i="40"/>
  <c r="M73" i="40"/>
  <c r="N72" i="40"/>
  <c r="O72" i="40" s="1"/>
  <c r="M72" i="40"/>
  <c r="N71" i="40"/>
  <c r="O71" i="40" s="1"/>
  <c r="M71" i="40"/>
  <c r="O70" i="40"/>
  <c r="N70" i="40"/>
  <c r="M70" i="40"/>
  <c r="AE69" i="40"/>
  <c r="AD69" i="40"/>
  <c r="AC69" i="40"/>
  <c r="AB69" i="40"/>
  <c r="AA69" i="40"/>
  <c r="Z69" i="40"/>
  <c r="Y69" i="40"/>
  <c r="X69" i="40"/>
  <c r="W69" i="40"/>
  <c r="V69" i="40"/>
  <c r="U69" i="40"/>
  <c r="T69" i="40"/>
  <c r="S69" i="40"/>
  <c r="R69" i="40"/>
  <c r="O69" i="40"/>
  <c r="N69" i="40"/>
  <c r="M69" i="40"/>
  <c r="AE68" i="40"/>
  <c r="N68" i="40"/>
  <c r="O68" i="40" s="1"/>
  <c r="M68" i="40"/>
  <c r="O67" i="40"/>
  <c r="N67" i="40"/>
  <c r="M67" i="40"/>
  <c r="O66" i="40"/>
  <c r="N66" i="40"/>
  <c r="M66" i="40"/>
  <c r="N65" i="40"/>
  <c r="O65" i="40" s="1"/>
  <c r="M65" i="40"/>
  <c r="N64" i="40"/>
  <c r="O64" i="40" s="1"/>
  <c r="M64" i="40"/>
  <c r="O63" i="40"/>
  <c r="N63" i="40"/>
  <c r="M63" i="40"/>
  <c r="O62" i="40"/>
  <c r="N62" i="40"/>
  <c r="M62" i="40"/>
  <c r="AH61" i="40"/>
  <c r="O61" i="40"/>
  <c r="N61" i="40"/>
  <c r="M61" i="40"/>
  <c r="AH60" i="40"/>
  <c r="AH62" i="40" s="1"/>
  <c r="AG60" i="40"/>
  <c r="AF60" i="40"/>
  <c r="AE60" i="40"/>
  <c r="AD60" i="40"/>
  <c r="AC60" i="40"/>
  <c r="AB60" i="40"/>
  <c r="AA60" i="40"/>
  <c r="Z60" i="40"/>
  <c r="Y60" i="40"/>
  <c r="X60" i="40"/>
  <c r="W60" i="40"/>
  <c r="V60" i="40"/>
  <c r="U60" i="40"/>
  <c r="T60" i="40"/>
  <c r="S60" i="40"/>
  <c r="O60" i="40"/>
  <c r="N60" i="40"/>
  <c r="M60" i="40"/>
  <c r="AH59" i="40"/>
  <c r="N59" i="40"/>
  <c r="O59" i="40" s="1"/>
  <c r="M59" i="40"/>
  <c r="AH58" i="40"/>
  <c r="O58" i="40"/>
  <c r="N58" i="40"/>
  <c r="M58" i="40"/>
  <c r="AH54" i="40"/>
  <c r="AE54" i="40"/>
  <c r="AB54" i="40"/>
  <c r="Y54" i="40"/>
  <c r="X54" i="40"/>
  <c r="V54" i="40"/>
  <c r="S54" i="40"/>
  <c r="P54" i="40"/>
  <c r="M54" i="40"/>
  <c r="L54" i="40"/>
  <c r="J54" i="40"/>
  <c r="G54" i="40"/>
  <c r="AI53" i="40"/>
  <c r="AI54" i="40" s="1"/>
  <c r="AH53" i="40"/>
  <c r="AG53" i="40"/>
  <c r="AG54" i="40" s="1"/>
  <c r="AF53" i="40"/>
  <c r="AF54" i="40" s="1"/>
  <c r="AE53" i="40"/>
  <c r="AD53" i="40"/>
  <c r="AD54" i="40" s="1"/>
  <c r="AC53" i="40"/>
  <c r="AC54" i="40" s="1"/>
  <c r="AB53" i="40"/>
  <c r="AA53" i="40"/>
  <c r="AA54" i="40" s="1"/>
  <c r="Z53" i="40"/>
  <c r="Z54" i="40" s="1"/>
  <c r="Y53" i="40"/>
  <c r="X53" i="40"/>
  <c r="W53" i="40"/>
  <c r="W54" i="40" s="1"/>
  <c r="V53" i="40"/>
  <c r="U53" i="40"/>
  <c r="U54" i="40" s="1"/>
  <c r="T53" i="40"/>
  <c r="T54" i="40" s="1"/>
  <c r="S53" i="40"/>
  <c r="R53" i="40"/>
  <c r="R54" i="40" s="1"/>
  <c r="Q53" i="40"/>
  <c r="Q54" i="40" s="1"/>
  <c r="P53" i="40"/>
  <c r="O53" i="40"/>
  <c r="O54" i="40" s="1"/>
  <c r="N53" i="40"/>
  <c r="N54" i="40" s="1"/>
  <c r="M53" i="40"/>
  <c r="L53" i="40"/>
  <c r="K53" i="40"/>
  <c r="K54" i="40" s="1"/>
  <c r="J53" i="40"/>
  <c r="I53" i="40"/>
  <c r="I54" i="40" s="1"/>
  <c r="H53" i="40"/>
  <c r="H54" i="40" s="1"/>
  <c r="G53" i="40"/>
  <c r="F53" i="40"/>
  <c r="F54" i="40" s="1"/>
  <c r="E53" i="40"/>
  <c r="E54" i="40" s="1"/>
  <c r="AJ52" i="40"/>
  <c r="AI52" i="40"/>
  <c r="AH52" i="40"/>
  <c r="AG52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E52" i="40"/>
  <c r="AJ51" i="40"/>
  <c r="AI51" i="40"/>
  <c r="AH51" i="40"/>
  <c r="AG51" i="40"/>
  <c r="AF51" i="40"/>
  <c r="AE51" i="40"/>
  <c r="AD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E51" i="40"/>
  <c r="E51" i="40" a="1"/>
  <c r="AJ50" i="40"/>
  <c r="D45" i="40"/>
  <c r="D43" i="40"/>
  <c r="D47" i="40" s="1"/>
  <c r="D42" i="40"/>
  <c r="R40" i="40"/>
  <c r="M40" i="40"/>
  <c r="AK39" i="40"/>
  <c r="AJ39" i="40"/>
  <c r="AH39" i="40"/>
  <c r="Y39" i="40"/>
  <c r="X39" i="40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D46" i="40" s="1"/>
  <c r="I39" i="40"/>
  <c r="H39" i="40"/>
  <c r="G39" i="40"/>
  <c r="F39" i="40"/>
  <c r="E39" i="40"/>
  <c r="D39" i="40"/>
  <c r="C39" i="40"/>
  <c r="D44" i="40" s="1"/>
  <c r="B39" i="40"/>
  <c r="AM38" i="40"/>
  <c r="AL38" i="40"/>
  <c r="AK38" i="40"/>
  <c r="AJ38" i="40"/>
  <c r="AI38" i="40"/>
  <c r="Y38" i="40"/>
  <c r="X38" i="40"/>
  <c r="W38" i="40"/>
  <c r="U38" i="40"/>
  <c r="T38" i="40"/>
  <c r="S38" i="40"/>
  <c r="R38" i="40"/>
  <c r="Q38" i="40"/>
  <c r="O38" i="40"/>
  <c r="M38" i="40"/>
  <c r="L38" i="40"/>
  <c r="K38" i="40"/>
  <c r="I38" i="40"/>
  <c r="H38" i="40"/>
  <c r="G38" i="40"/>
  <c r="F38" i="40"/>
  <c r="E38" i="40"/>
  <c r="D38" i="40"/>
  <c r="C38" i="40"/>
  <c r="B38" i="40"/>
  <c r="AP37" i="40"/>
  <c r="AL37" i="40"/>
  <c r="V37" i="40"/>
  <c r="U37" i="40"/>
  <c r="P37" i="40"/>
  <c r="N37" i="40"/>
  <c r="J37" i="40"/>
  <c r="C37" i="40"/>
  <c r="AP36" i="40"/>
  <c r="AL36" i="40"/>
  <c r="V36" i="40"/>
  <c r="U36" i="40"/>
  <c r="P36" i="40"/>
  <c r="N36" i="40"/>
  <c r="J36" i="40"/>
  <c r="C36" i="40"/>
  <c r="AP35" i="40"/>
  <c r="AL35" i="40"/>
  <c r="V35" i="40"/>
  <c r="U35" i="40"/>
  <c r="P35" i="40"/>
  <c r="N35" i="40"/>
  <c r="J35" i="40"/>
  <c r="C35" i="40"/>
  <c r="AP34" i="40"/>
  <c r="AL34" i="40"/>
  <c r="V34" i="40"/>
  <c r="U34" i="40"/>
  <c r="P34" i="40"/>
  <c r="N34" i="40"/>
  <c r="J34" i="40"/>
  <c r="C34" i="40"/>
  <c r="AP33" i="40"/>
  <c r="AL33" i="40"/>
  <c r="V33" i="40"/>
  <c r="U33" i="40"/>
  <c r="P33" i="40"/>
  <c r="N33" i="40"/>
  <c r="J33" i="40"/>
  <c r="C33" i="40"/>
  <c r="AP32" i="40"/>
  <c r="AL32" i="40"/>
  <c r="V32" i="40"/>
  <c r="U32" i="40"/>
  <c r="P32" i="40"/>
  <c r="N32" i="40"/>
  <c r="J32" i="40"/>
  <c r="C32" i="40"/>
  <c r="AP31" i="40"/>
  <c r="AL31" i="40"/>
  <c r="V31" i="40"/>
  <c r="U31" i="40"/>
  <c r="P31" i="40"/>
  <c r="N31" i="40"/>
  <c r="J31" i="40"/>
  <c r="C31" i="40"/>
  <c r="AP30" i="40"/>
  <c r="AL30" i="40"/>
  <c r="V30" i="40"/>
  <c r="U30" i="40"/>
  <c r="P30" i="40"/>
  <c r="N30" i="40"/>
  <c r="J30" i="40"/>
  <c r="C30" i="40"/>
  <c r="AP29" i="40"/>
  <c r="AL29" i="40"/>
  <c r="V29" i="40"/>
  <c r="U29" i="40"/>
  <c r="P29" i="40"/>
  <c r="N29" i="40"/>
  <c r="J29" i="40"/>
  <c r="C29" i="40"/>
  <c r="AP28" i="40"/>
  <c r="AL28" i="40"/>
  <c r="V28" i="40"/>
  <c r="U28" i="40"/>
  <c r="P28" i="40"/>
  <c r="N28" i="40"/>
  <c r="J28" i="40"/>
  <c r="C28" i="40"/>
  <c r="AP27" i="40"/>
  <c r="AL27" i="40"/>
  <c r="V27" i="40"/>
  <c r="U27" i="40"/>
  <c r="P27" i="40"/>
  <c r="N27" i="40"/>
  <c r="J27" i="40"/>
  <c r="C27" i="40"/>
  <c r="AP26" i="40"/>
  <c r="AL26" i="40"/>
  <c r="V26" i="40"/>
  <c r="U26" i="40"/>
  <c r="P26" i="40"/>
  <c r="N26" i="40"/>
  <c r="J26" i="40"/>
  <c r="C26" i="40"/>
  <c r="AP25" i="40"/>
  <c r="AL25" i="40"/>
  <c r="V25" i="40"/>
  <c r="U25" i="40"/>
  <c r="P25" i="40"/>
  <c r="N25" i="40"/>
  <c r="J25" i="40"/>
  <c r="C25" i="40"/>
  <c r="AP24" i="40"/>
  <c r="AL24" i="40"/>
  <c r="V24" i="40"/>
  <c r="U24" i="40"/>
  <c r="P24" i="40"/>
  <c r="N24" i="40"/>
  <c r="J24" i="40"/>
  <c r="C24" i="40"/>
  <c r="AP23" i="40"/>
  <c r="AL23" i="40"/>
  <c r="V23" i="40"/>
  <c r="U23" i="40"/>
  <c r="P23" i="40"/>
  <c r="N23" i="40"/>
  <c r="J23" i="40"/>
  <c r="C23" i="40"/>
  <c r="AP22" i="40"/>
  <c r="AL22" i="40"/>
  <c r="V22" i="40"/>
  <c r="U22" i="40"/>
  <c r="P22" i="40"/>
  <c r="N22" i="40"/>
  <c r="J22" i="40"/>
  <c r="C22" i="40"/>
  <c r="AP21" i="40"/>
  <c r="AL21" i="40"/>
  <c r="V21" i="40"/>
  <c r="U21" i="40"/>
  <c r="P21" i="40"/>
  <c r="N21" i="40"/>
  <c r="J21" i="40"/>
  <c r="C21" i="40"/>
  <c r="AP20" i="40"/>
  <c r="AL20" i="40"/>
  <c r="V20" i="40"/>
  <c r="U20" i="40"/>
  <c r="P20" i="40"/>
  <c r="N20" i="40"/>
  <c r="J20" i="40"/>
  <c r="C20" i="40"/>
  <c r="AP19" i="40"/>
  <c r="AL19" i="40"/>
  <c r="V19" i="40"/>
  <c r="U19" i="40"/>
  <c r="P19" i="40"/>
  <c r="N19" i="40"/>
  <c r="J19" i="40"/>
  <c r="C19" i="40"/>
  <c r="AP18" i="40"/>
  <c r="AL18" i="40"/>
  <c r="V18" i="40"/>
  <c r="U18" i="40"/>
  <c r="P18" i="40"/>
  <c r="N18" i="40"/>
  <c r="J18" i="40"/>
  <c r="C18" i="40"/>
  <c r="AP17" i="40"/>
  <c r="AL17" i="40"/>
  <c r="V17" i="40"/>
  <c r="U17" i="40"/>
  <c r="P17" i="40"/>
  <c r="N17" i="40"/>
  <c r="J17" i="40"/>
  <c r="C17" i="40"/>
  <c r="AP16" i="40"/>
  <c r="AL16" i="40"/>
  <c r="V16" i="40"/>
  <c r="U16" i="40"/>
  <c r="P16" i="40"/>
  <c r="N16" i="40"/>
  <c r="J16" i="40"/>
  <c r="C16" i="40"/>
  <c r="AP15" i="40"/>
  <c r="AL15" i="40"/>
  <c r="V15" i="40"/>
  <c r="U15" i="40"/>
  <c r="P15" i="40"/>
  <c r="N15" i="40"/>
  <c r="J15" i="40"/>
  <c r="C15" i="40"/>
  <c r="AP14" i="40"/>
  <c r="AL14" i="40"/>
  <c r="V14" i="40"/>
  <c r="U14" i="40"/>
  <c r="P14" i="40"/>
  <c r="N14" i="40"/>
  <c r="J14" i="40"/>
  <c r="C14" i="40"/>
  <c r="AP13" i="40"/>
  <c r="AL13" i="40"/>
  <c r="V13" i="40"/>
  <c r="U13" i="40"/>
  <c r="P13" i="40"/>
  <c r="N13" i="40"/>
  <c r="J13" i="40"/>
  <c r="C13" i="40"/>
  <c r="AP12" i="40"/>
  <c r="AL12" i="40"/>
  <c r="V12" i="40"/>
  <c r="U12" i="40"/>
  <c r="P12" i="40"/>
  <c r="N12" i="40"/>
  <c r="J12" i="40"/>
  <c r="C12" i="40"/>
  <c r="AP11" i="40"/>
  <c r="AL11" i="40"/>
  <c r="V11" i="40"/>
  <c r="U11" i="40"/>
  <c r="P11" i="40"/>
  <c r="N11" i="40"/>
  <c r="J11" i="40"/>
  <c r="C11" i="40"/>
  <c r="AP10" i="40"/>
  <c r="AL10" i="40"/>
  <c r="V10" i="40"/>
  <c r="U10" i="40"/>
  <c r="P10" i="40"/>
  <c r="N10" i="40"/>
  <c r="J10" i="40"/>
  <c r="C10" i="40"/>
  <c r="AP9" i="40"/>
  <c r="AL9" i="40"/>
  <c r="V9" i="40"/>
  <c r="U9" i="40"/>
  <c r="P9" i="40"/>
  <c r="N9" i="40"/>
  <c r="J9" i="40"/>
  <c r="C9" i="40"/>
  <c r="AP8" i="40"/>
  <c r="AL8" i="40"/>
  <c r="V8" i="40"/>
  <c r="U8" i="40"/>
  <c r="P8" i="40"/>
  <c r="N8" i="40"/>
  <c r="J8" i="40"/>
  <c r="C8" i="40"/>
  <c r="AP7" i="40"/>
  <c r="AL7" i="40"/>
  <c r="V7" i="40"/>
  <c r="U7" i="40"/>
  <c r="P7" i="40"/>
  <c r="N7" i="40"/>
  <c r="J7" i="40"/>
  <c r="C7" i="40"/>
  <c r="D47" i="42" l="1"/>
  <c r="AJ54" i="42"/>
  <c r="AJ51" i="42"/>
  <c r="AJ53" i="42"/>
  <c r="AD73" i="42"/>
  <c r="R75" i="42"/>
  <c r="AD75" i="42" s="1"/>
  <c r="D47" i="41"/>
  <c r="AD73" i="41"/>
  <c r="R75" i="41"/>
  <c r="AD75" i="41" s="1"/>
  <c r="O84" i="41"/>
  <c r="N51" i="41"/>
  <c r="N53" i="41" s="1"/>
  <c r="N54" i="41" s="1"/>
  <c r="Z51" i="41"/>
  <c r="Z53" i="41" s="1"/>
  <c r="Z54" i="41" s="1"/>
  <c r="P51" i="41"/>
  <c r="P53" i="41" s="1"/>
  <c r="P54" i="41" s="1"/>
  <c r="AB51" i="41"/>
  <c r="AB53" i="41" s="1"/>
  <c r="AB54" i="41" s="1"/>
  <c r="F51" i="41"/>
  <c r="F53" i="41" s="1"/>
  <c r="F54" i="41" s="1"/>
  <c r="R51" i="41"/>
  <c r="R53" i="41" s="1"/>
  <c r="R54" i="41" s="1"/>
  <c r="AD51" i="41"/>
  <c r="AD53" i="41" s="1"/>
  <c r="AD54" i="41" s="1"/>
  <c r="G51" i="41"/>
  <c r="G53" i="41" s="1"/>
  <c r="G54" i="41" s="1"/>
  <c r="S51" i="41"/>
  <c r="S53" i="41" s="1"/>
  <c r="S54" i="41" s="1"/>
  <c r="AE51" i="41"/>
  <c r="AE53" i="41" s="1"/>
  <c r="AE54" i="41" s="1"/>
  <c r="U38" i="41"/>
  <c r="P40" i="41"/>
  <c r="H51" i="41"/>
  <c r="H53" i="41" s="1"/>
  <c r="H54" i="41" s="1"/>
  <c r="T51" i="41"/>
  <c r="T53" i="41" s="1"/>
  <c r="T54" i="41" s="1"/>
  <c r="AF51" i="41"/>
  <c r="AF53" i="41" s="1"/>
  <c r="AF54" i="41" s="1"/>
  <c r="I51" i="41"/>
  <c r="I53" i="41" s="1"/>
  <c r="I54" i="41" s="1"/>
  <c r="U51" i="41"/>
  <c r="U53" i="41" s="1"/>
  <c r="U54" i="41" s="1"/>
  <c r="AG51" i="41"/>
  <c r="AG53" i="41" s="1"/>
  <c r="AG54" i="41" s="1"/>
  <c r="E53" i="41"/>
  <c r="J51" i="41"/>
  <c r="J53" i="41" s="1"/>
  <c r="J54" i="41" s="1"/>
  <c r="V51" i="41"/>
  <c r="V53" i="41" s="1"/>
  <c r="V54" i="41" s="1"/>
  <c r="AH51" i="41"/>
  <c r="AH53" i="41" s="1"/>
  <c r="AH54" i="41" s="1"/>
  <c r="K51" i="41"/>
  <c r="K53" i="41" s="1"/>
  <c r="K54" i="41" s="1"/>
  <c r="W51" i="41"/>
  <c r="W53" i="41" s="1"/>
  <c r="W54" i="41" s="1"/>
  <c r="AI51" i="41"/>
  <c r="AI53" i="41" s="1"/>
  <c r="AI54" i="41" s="1"/>
  <c r="U39" i="41"/>
  <c r="V39" i="41" s="1"/>
  <c r="L51" i="41"/>
  <c r="L53" i="41" s="1"/>
  <c r="L54" i="41" s="1"/>
  <c r="X51" i="41"/>
  <c r="X53" i="41" s="1"/>
  <c r="X54" i="41" s="1"/>
  <c r="M51" i="41"/>
  <c r="M53" i="41" s="1"/>
  <c r="M54" i="41" s="1"/>
  <c r="O84" i="40"/>
  <c r="AF75" i="40"/>
  <c r="AE75" i="40"/>
  <c r="AG75" i="40"/>
  <c r="AJ54" i="40"/>
  <c r="AD73" i="40"/>
  <c r="AJ53" i="40"/>
  <c r="V52" i="39"/>
  <c r="AE75" i="42" l="1"/>
  <c r="AG75" i="42"/>
  <c r="AF75" i="42"/>
  <c r="AG75" i="41"/>
  <c r="AF75" i="41"/>
  <c r="AE75" i="41"/>
  <c r="E54" i="41"/>
  <c r="AJ54" i="41" s="1"/>
  <c r="AJ53" i="41"/>
  <c r="AJ51" i="41"/>
  <c r="N83" i="39"/>
  <c r="O83" i="39" s="1"/>
  <c r="M83" i="39"/>
  <c r="N82" i="39"/>
  <c r="O82" i="39" s="1"/>
  <c r="M82" i="39"/>
  <c r="O81" i="39"/>
  <c r="N81" i="39"/>
  <c r="M81" i="39"/>
  <c r="O80" i="39"/>
  <c r="N80" i="39"/>
  <c r="M80" i="39"/>
  <c r="N79" i="39"/>
  <c r="O79" i="39" s="1"/>
  <c r="M79" i="39"/>
  <c r="N78" i="39"/>
  <c r="O78" i="39" s="1"/>
  <c r="M78" i="39"/>
  <c r="O77" i="39"/>
  <c r="N77" i="39"/>
  <c r="M77" i="39"/>
  <c r="O76" i="39"/>
  <c r="N76" i="39"/>
  <c r="M76" i="39"/>
  <c r="AC75" i="39"/>
  <c r="AB75" i="39"/>
  <c r="AA75" i="39"/>
  <c r="Z75" i="39"/>
  <c r="Y75" i="39"/>
  <c r="X75" i="39"/>
  <c r="W75" i="39"/>
  <c r="V75" i="39"/>
  <c r="U75" i="39"/>
  <c r="T75" i="39"/>
  <c r="S75" i="39"/>
  <c r="O75" i="39"/>
  <c r="N75" i="39"/>
  <c r="M75" i="39"/>
  <c r="AD74" i="39"/>
  <c r="O74" i="39"/>
  <c r="N74" i="39"/>
  <c r="M74" i="39"/>
  <c r="O73" i="39"/>
  <c r="N73" i="39"/>
  <c r="M73" i="39"/>
  <c r="O72" i="39"/>
  <c r="N72" i="39"/>
  <c r="M72" i="39"/>
  <c r="N71" i="39"/>
  <c r="O71" i="39" s="1"/>
  <c r="M71" i="39"/>
  <c r="N70" i="39"/>
  <c r="O70" i="39" s="1"/>
  <c r="M70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N69" i="39"/>
  <c r="O69" i="39" s="1"/>
  <c r="M69" i="39"/>
  <c r="AE68" i="39"/>
  <c r="N68" i="39"/>
  <c r="O68" i="39" s="1"/>
  <c r="M68" i="39"/>
  <c r="N67" i="39"/>
  <c r="O67" i="39" s="1"/>
  <c r="M67" i="39"/>
  <c r="O66" i="39"/>
  <c r="N66" i="39"/>
  <c r="M66" i="39"/>
  <c r="O65" i="39"/>
  <c r="N65" i="39"/>
  <c r="M65" i="39"/>
  <c r="N64" i="39"/>
  <c r="O64" i="39" s="1"/>
  <c r="M64" i="39"/>
  <c r="N63" i="39"/>
  <c r="O63" i="39" s="1"/>
  <c r="M63" i="39"/>
  <c r="AH62" i="39"/>
  <c r="O62" i="39"/>
  <c r="N62" i="39"/>
  <c r="M62" i="39"/>
  <c r="AH61" i="39"/>
  <c r="M61" i="39"/>
  <c r="N61" i="39" s="1"/>
  <c r="O61" i="39" s="1"/>
  <c r="AH60" i="39"/>
  <c r="AG60" i="39"/>
  <c r="AF60" i="39"/>
  <c r="AE60" i="39"/>
  <c r="AD60" i="39"/>
  <c r="AC60" i="39"/>
  <c r="AB60" i="39"/>
  <c r="AA60" i="39"/>
  <c r="Z60" i="39"/>
  <c r="Y60" i="39"/>
  <c r="X60" i="39"/>
  <c r="W60" i="39"/>
  <c r="V60" i="39"/>
  <c r="U60" i="39"/>
  <c r="T60" i="39"/>
  <c r="S60" i="39"/>
  <c r="M60" i="39"/>
  <c r="N60" i="39" s="1"/>
  <c r="O60" i="39" s="1"/>
  <c r="AH59" i="39"/>
  <c r="M59" i="39"/>
  <c r="N59" i="39" s="1"/>
  <c r="O59" i="39" s="1"/>
  <c r="AH58" i="39"/>
  <c r="M58" i="39"/>
  <c r="N58" i="39" s="1"/>
  <c r="O58" i="39" s="1"/>
  <c r="AI52" i="39"/>
  <c r="AH52" i="39"/>
  <c r="AG52" i="39"/>
  <c r="AF52" i="39"/>
  <c r="AE52" i="39"/>
  <c r="AD52" i="39"/>
  <c r="AC52" i="39"/>
  <c r="AB52" i="39"/>
  <c r="AA52" i="39"/>
  <c r="Z52" i="39"/>
  <c r="Y52" i="39"/>
  <c r="X52" i="39"/>
  <c r="W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E51" i="39" a="1"/>
  <c r="AI51" i="39" s="1"/>
  <c r="AI53" i="39" s="1"/>
  <c r="AI54" i="39" s="1"/>
  <c r="AJ50" i="39"/>
  <c r="AJ39" i="39"/>
  <c r="Y39" i="39"/>
  <c r="X39" i="39"/>
  <c r="W39" i="39"/>
  <c r="T39" i="39"/>
  <c r="S39" i="39"/>
  <c r="D43" i="39" s="1"/>
  <c r="R39" i="39"/>
  <c r="Q39" i="39"/>
  <c r="O39" i="39"/>
  <c r="P39" i="39" s="1"/>
  <c r="M39" i="39"/>
  <c r="N39" i="39" s="1"/>
  <c r="L39" i="39"/>
  <c r="K39" i="39"/>
  <c r="I39" i="39"/>
  <c r="J39" i="39" s="1"/>
  <c r="D46" i="39" s="1"/>
  <c r="H39" i="39"/>
  <c r="G39" i="39"/>
  <c r="F39" i="39"/>
  <c r="E39" i="39"/>
  <c r="D39" i="39"/>
  <c r="B39" i="39"/>
  <c r="C39" i="39" s="1"/>
  <c r="D44" i="39" s="1"/>
  <c r="AM38" i="39"/>
  <c r="AK38" i="39"/>
  <c r="AK39" i="39" s="1"/>
  <c r="AJ38" i="39"/>
  <c r="AI38" i="39"/>
  <c r="Y38" i="39"/>
  <c r="X38" i="39"/>
  <c r="W38" i="39"/>
  <c r="T38" i="39"/>
  <c r="S38" i="39"/>
  <c r="R38" i="39"/>
  <c r="Q38" i="39"/>
  <c r="O38" i="39"/>
  <c r="M38" i="39"/>
  <c r="L38" i="39"/>
  <c r="K38" i="39"/>
  <c r="I38" i="39"/>
  <c r="H38" i="39"/>
  <c r="G38" i="39"/>
  <c r="F38" i="39"/>
  <c r="E38" i="39"/>
  <c r="D38" i="39"/>
  <c r="B38" i="39"/>
  <c r="AP37" i="39"/>
  <c r="AL37" i="39"/>
  <c r="U37" i="39"/>
  <c r="V37" i="39" s="1"/>
  <c r="P37" i="39"/>
  <c r="N37" i="39"/>
  <c r="J37" i="39"/>
  <c r="C37" i="39"/>
  <c r="AP36" i="39"/>
  <c r="AL36" i="39"/>
  <c r="U36" i="39"/>
  <c r="V36" i="39" s="1"/>
  <c r="P36" i="39"/>
  <c r="N36" i="39"/>
  <c r="J36" i="39"/>
  <c r="C36" i="39"/>
  <c r="AP35" i="39"/>
  <c r="AL35" i="39"/>
  <c r="U35" i="39"/>
  <c r="V35" i="39" s="1"/>
  <c r="P35" i="39"/>
  <c r="N35" i="39"/>
  <c r="J35" i="39"/>
  <c r="C35" i="39"/>
  <c r="AP34" i="39"/>
  <c r="AL34" i="39"/>
  <c r="U34" i="39"/>
  <c r="V34" i="39" s="1"/>
  <c r="P34" i="39"/>
  <c r="N34" i="39"/>
  <c r="J34" i="39"/>
  <c r="C34" i="39"/>
  <c r="AP33" i="39"/>
  <c r="AL33" i="39"/>
  <c r="U33" i="39"/>
  <c r="V33" i="39" s="1"/>
  <c r="P33" i="39"/>
  <c r="N33" i="39"/>
  <c r="J33" i="39"/>
  <c r="C33" i="39"/>
  <c r="AP32" i="39"/>
  <c r="AL32" i="39"/>
  <c r="U32" i="39"/>
  <c r="V32" i="39" s="1"/>
  <c r="P32" i="39"/>
  <c r="N32" i="39"/>
  <c r="J32" i="39"/>
  <c r="C32" i="39"/>
  <c r="AP31" i="39"/>
  <c r="AL31" i="39"/>
  <c r="U31" i="39"/>
  <c r="V31" i="39" s="1"/>
  <c r="P31" i="39"/>
  <c r="N31" i="39"/>
  <c r="J31" i="39"/>
  <c r="C31" i="39"/>
  <c r="AP30" i="39"/>
  <c r="AL30" i="39"/>
  <c r="U30" i="39"/>
  <c r="V30" i="39" s="1"/>
  <c r="P30" i="39"/>
  <c r="N30" i="39"/>
  <c r="J30" i="39"/>
  <c r="C30" i="39"/>
  <c r="AP29" i="39"/>
  <c r="AL29" i="39"/>
  <c r="U29" i="39"/>
  <c r="V29" i="39" s="1"/>
  <c r="P29" i="39"/>
  <c r="N29" i="39"/>
  <c r="J29" i="39"/>
  <c r="C29" i="39"/>
  <c r="AP28" i="39"/>
  <c r="AL28" i="39"/>
  <c r="U28" i="39"/>
  <c r="V28" i="39" s="1"/>
  <c r="P28" i="39"/>
  <c r="N28" i="39"/>
  <c r="J28" i="39"/>
  <c r="C28" i="39"/>
  <c r="AP27" i="39"/>
  <c r="AL27" i="39"/>
  <c r="U27" i="39"/>
  <c r="V27" i="39" s="1"/>
  <c r="P27" i="39"/>
  <c r="N27" i="39"/>
  <c r="J27" i="39"/>
  <c r="C27" i="39"/>
  <c r="AP26" i="39"/>
  <c r="AL26" i="39"/>
  <c r="U26" i="39"/>
  <c r="V26" i="39" s="1"/>
  <c r="P26" i="39"/>
  <c r="N26" i="39"/>
  <c r="J26" i="39"/>
  <c r="C26" i="39"/>
  <c r="AP25" i="39"/>
  <c r="AL25" i="39"/>
  <c r="U25" i="39"/>
  <c r="V25" i="39" s="1"/>
  <c r="P25" i="39"/>
  <c r="N25" i="39"/>
  <c r="J25" i="39"/>
  <c r="C25" i="39"/>
  <c r="AP24" i="39"/>
  <c r="AL24" i="39"/>
  <c r="U24" i="39"/>
  <c r="V24" i="39" s="1"/>
  <c r="P24" i="39"/>
  <c r="N24" i="39"/>
  <c r="J24" i="39"/>
  <c r="C24" i="39"/>
  <c r="AP23" i="39"/>
  <c r="AL23" i="39"/>
  <c r="U23" i="39"/>
  <c r="V23" i="39" s="1"/>
  <c r="P23" i="39"/>
  <c r="N23" i="39"/>
  <c r="J23" i="39"/>
  <c r="C23" i="39"/>
  <c r="AP22" i="39"/>
  <c r="AL22" i="39"/>
  <c r="U22" i="39"/>
  <c r="V22" i="39" s="1"/>
  <c r="P22" i="39"/>
  <c r="N22" i="39"/>
  <c r="J22" i="39"/>
  <c r="C22" i="39"/>
  <c r="AP21" i="39"/>
  <c r="AL21" i="39"/>
  <c r="U21" i="39"/>
  <c r="V21" i="39" s="1"/>
  <c r="P21" i="39"/>
  <c r="N21" i="39"/>
  <c r="J21" i="39"/>
  <c r="C21" i="39"/>
  <c r="AP20" i="39"/>
  <c r="AL20" i="39"/>
  <c r="U20" i="39"/>
  <c r="V20" i="39" s="1"/>
  <c r="P20" i="39"/>
  <c r="N20" i="39"/>
  <c r="J20" i="39"/>
  <c r="C20" i="39"/>
  <c r="AP19" i="39"/>
  <c r="AL19" i="39"/>
  <c r="U19" i="39"/>
  <c r="V19" i="39" s="1"/>
  <c r="P19" i="39"/>
  <c r="N19" i="39"/>
  <c r="J19" i="39"/>
  <c r="C19" i="39"/>
  <c r="AP18" i="39"/>
  <c r="AL18" i="39"/>
  <c r="U18" i="39"/>
  <c r="V18" i="39" s="1"/>
  <c r="P18" i="39"/>
  <c r="N18" i="39"/>
  <c r="J18" i="39"/>
  <c r="C18" i="39"/>
  <c r="AP17" i="39"/>
  <c r="AL17" i="39"/>
  <c r="U17" i="39"/>
  <c r="V17" i="39" s="1"/>
  <c r="P17" i="39"/>
  <c r="N17" i="39"/>
  <c r="J17" i="39"/>
  <c r="C17" i="39"/>
  <c r="AP16" i="39"/>
  <c r="AL16" i="39"/>
  <c r="U16" i="39"/>
  <c r="V16" i="39" s="1"/>
  <c r="P16" i="39"/>
  <c r="N16" i="39"/>
  <c r="J16" i="39"/>
  <c r="C16" i="39"/>
  <c r="AP15" i="39"/>
  <c r="AL15" i="39"/>
  <c r="U15" i="39"/>
  <c r="V15" i="39" s="1"/>
  <c r="P15" i="39"/>
  <c r="N15" i="39"/>
  <c r="J15" i="39"/>
  <c r="C15" i="39"/>
  <c r="AP14" i="39"/>
  <c r="AL14" i="39"/>
  <c r="U14" i="39"/>
  <c r="V14" i="39" s="1"/>
  <c r="P14" i="39"/>
  <c r="N14" i="39"/>
  <c r="J14" i="39"/>
  <c r="C14" i="39"/>
  <c r="AP13" i="39"/>
  <c r="AL13" i="39"/>
  <c r="U13" i="39"/>
  <c r="V13" i="39" s="1"/>
  <c r="P13" i="39"/>
  <c r="N13" i="39"/>
  <c r="J13" i="39"/>
  <c r="C13" i="39"/>
  <c r="AP12" i="39"/>
  <c r="AL12" i="39"/>
  <c r="U12" i="39"/>
  <c r="V12" i="39" s="1"/>
  <c r="P12" i="39"/>
  <c r="N12" i="39"/>
  <c r="J12" i="39"/>
  <c r="C12" i="39"/>
  <c r="AP11" i="39"/>
  <c r="AL11" i="39"/>
  <c r="U11" i="39"/>
  <c r="V11" i="39" s="1"/>
  <c r="P11" i="39"/>
  <c r="N11" i="39"/>
  <c r="J11" i="39"/>
  <c r="C11" i="39"/>
  <c r="AP10" i="39"/>
  <c r="AL10" i="39"/>
  <c r="U10" i="39"/>
  <c r="V10" i="39" s="1"/>
  <c r="P10" i="39"/>
  <c r="N10" i="39"/>
  <c r="J10" i="39"/>
  <c r="C10" i="39"/>
  <c r="AP9" i="39"/>
  <c r="AL9" i="39"/>
  <c r="U9" i="39"/>
  <c r="V9" i="39" s="1"/>
  <c r="P9" i="39"/>
  <c r="N9" i="39"/>
  <c r="J9" i="39"/>
  <c r="C9" i="39"/>
  <c r="AP8" i="39"/>
  <c r="AL8" i="39"/>
  <c r="U8" i="39"/>
  <c r="V8" i="39" s="1"/>
  <c r="P8" i="39"/>
  <c r="N8" i="39"/>
  <c r="J8" i="39"/>
  <c r="C8" i="39"/>
  <c r="AP7" i="39"/>
  <c r="AL7" i="39"/>
  <c r="U7" i="39"/>
  <c r="P7" i="39"/>
  <c r="N7" i="39"/>
  <c r="J7" i="39"/>
  <c r="C7" i="39"/>
  <c r="AL38" i="39" l="1"/>
  <c r="D42" i="39"/>
  <c r="M40" i="39"/>
  <c r="C38" i="39"/>
  <c r="R73" i="39"/>
  <c r="R75" i="39" s="1"/>
  <c r="AD75" i="39" s="1"/>
  <c r="AF75" i="39" s="1"/>
  <c r="AH39" i="39"/>
  <c r="N51" i="39"/>
  <c r="N53" i="39" s="1"/>
  <c r="N54" i="39" s="1"/>
  <c r="Z51" i="39"/>
  <c r="Z53" i="39" s="1"/>
  <c r="Z54" i="39" s="1"/>
  <c r="P51" i="39"/>
  <c r="P53" i="39" s="1"/>
  <c r="P54" i="39" s="1"/>
  <c r="AB51" i="39"/>
  <c r="AB53" i="39" s="1"/>
  <c r="AB54" i="39" s="1"/>
  <c r="O51" i="39"/>
  <c r="O53" i="39" s="1"/>
  <c r="O54" i="39" s="1"/>
  <c r="E51" i="39"/>
  <c r="Q51" i="39"/>
  <c r="Q53" i="39" s="1"/>
  <c r="Q54" i="39" s="1"/>
  <c r="AC51" i="39"/>
  <c r="AC53" i="39" s="1"/>
  <c r="AC54" i="39" s="1"/>
  <c r="AA51" i="39"/>
  <c r="AA53" i="39" s="1"/>
  <c r="AA54" i="39" s="1"/>
  <c r="F51" i="39"/>
  <c r="F53" i="39" s="1"/>
  <c r="F54" i="39" s="1"/>
  <c r="R51" i="39"/>
  <c r="R53" i="39" s="1"/>
  <c r="R54" i="39" s="1"/>
  <c r="AD51" i="39"/>
  <c r="AD53" i="39" s="1"/>
  <c r="AD54" i="39" s="1"/>
  <c r="X51" i="39"/>
  <c r="X53" i="39" s="1"/>
  <c r="X54" i="39" s="1"/>
  <c r="M51" i="39"/>
  <c r="M53" i="39" s="1"/>
  <c r="M54" i="39" s="1"/>
  <c r="G51" i="39"/>
  <c r="G53" i="39" s="1"/>
  <c r="G54" i="39" s="1"/>
  <c r="S51" i="39"/>
  <c r="S53" i="39" s="1"/>
  <c r="S54" i="39" s="1"/>
  <c r="AE51" i="39"/>
  <c r="AE53" i="39" s="1"/>
  <c r="AE54" i="39" s="1"/>
  <c r="Y51" i="39"/>
  <c r="Y53" i="39" s="1"/>
  <c r="Y54" i="39" s="1"/>
  <c r="H51" i="39"/>
  <c r="H53" i="39" s="1"/>
  <c r="H54" i="39" s="1"/>
  <c r="T51" i="39"/>
  <c r="T53" i="39" s="1"/>
  <c r="T54" i="39" s="1"/>
  <c r="AF51" i="39"/>
  <c r="AF53" i="39" s="1"/>
  <c r="AF54" i="39" s="1"/>
  <c r="L51" i="39"/>
  <c r="L53" i="39" s="1"/>
  <c r="L54" i="39" s="1"/>
  <c r="I51" i="39"/>
  <c r="I53" i="39" s="1"/>
  <c r="I54" i="39" s="1"/>
  <c r="U51" i="39"/>
  <c r="U53" i="39" s="1"/>
  <c r="U54" i="39" s="1"/>
  <c r="AG51" i="39"/>
  <c r="AG53" i="39" s="1"/>
  <c r="AG54" i="39" s="1"/>
  <c r="J51" i="39"/>
  <c r="J53" i="39" s="1"/>
  <c r="J54" i="39" s="1"/>
  <c r="V51" i="39"/>
  <c r="AH51" i="39"/>
  <c r="AH53" i="39" s="1"/>
  <c r="AH54" i="39" s="1"/>
  <c r="K51" i="39"/>
  <c r="K53" i="39" s="1"/>
  <c r="K54" i="39" s="1"/>
  <c r="W51" i="39"/>
  <c r="W53" i="39" s="1"/>
  <c r="W54" i="39" s="1"/>
  <c r="AJ52" i="39"/>
  <c r="R40" i="39"/>
  <c r="D45" i="39"/>
  <c r="U39" i="39"/>
  <c r="V39" i="39" s="1"/>
  <c r="U38" i="39"/>
  <c r="V7" i="39"/>
  <c r="O84" i="39"/>
  <c r="V53" i="39" l="1"/>
  <c r="V54" i="39" s="1"/>
  <c r="D47" i="39"/>
  <c r="AG75" i="39"/>
  <c r="AE75" i="39"/>
  <c r="AD73" i="39"/>
  <c r="AJ51" i="39"/>
  <c r="E53" i="39"/>
  <c r="AM38" i="33"/>
  <c r="AJ39" i="33"/>
  <c r="AI38" i="33"/>
  <c r="AJ38" i="33"/>
  <c r="AK39" i="33" s="1"/>
  <c r="AK38" i="33"/>
  <c r="AH39" i="33" l="1"/>
  <c r="E54" i="39"/>
  <c r="AJ54" i="39" s="1"/>
  <c r="AJ53" i="39"/>
  <c r="M83" i="33" l="1"/>
  <c r="N83" i="33" s="1"/>
  <c r="O83" i="33" s="1"/>
  <c r="M82" i="33"/>
  <c r="N82" i="33" s="1"/>
  <c r="O82" i="33" s="1"/>
  <c r="N81" i="33"/>
  <c r="O81" i="33" s="1"/>
  <c r="M81" i="33"/>
  <c r="O80" i="33"/>
  <c r="N80" i="33"/>
  <c r="M80" i="33"/>
  <c r="M79" i="33"/>
  <c r="N79" i="33" s="1"/>
  <c r="O79" i="33" s="1"/>
  <c r="M78" i="33"/>
  <c r="N78" i="33" s="1"/>
  <c r="O78" i="33" s="1"/>
  <c r="N77" i="33"/>
  <c r="O77" i="33" s="1"/>
  <c r="M77" i="33"/>
  <c r="O76" i="33"/>
  <c r="N76" i="33"/>
  <c r="M76" i="33"/>
  <c r="AC75" i="33"/>
  <c r="AB75" i="33"/>
  <c r="AA75" i="33"/>
  <c r="Z75" i="33"/>
  <c r="Y75" i="33"/>
  <c r="X75" i="33"/>
  <c r="W75" i="33"/>
  <c r="V75" i="33"/>
  <c r="U75" i="33"/>
  <c r="T75" i="33"/>
  <c r="S75" i="33"/>
  <c r="M75" i="33"/>
  <c r="N75" i="33" s="1"/>
  <c r="O75" i="33" s="1"/>
  <c r="AD74" i="33"/>
  <c r="N74" i="33"/>
  <c r="O74" i="33" s="1"/>
  <c r="M74" i="33"/>
  <c r="M73" i="33"/>
  <c r="N73" i="33" s="1"/>
  <c r="O73" i="33" s="1"/>
  <c r="M72" i="33"/>
  <c r="N72" i="33" s="1"/>
  <c r="O72" i="33" s="1"/>
  <c r="M71" i="33"/>
  <c r="N71" i="33" s="1"/>
  <c r="O71" i="33" s="1"/>
  <c r="M70" i="33"/>
  <c r="N70" i="33" s="1"/>
  <c r="O70" i="33" s="1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M69" i="33"/>
  <c r="N69" i="33" s="1"/>
  <c r="O69" i="33" s="1"/>
  <c r="AE68" i="33"/>
  <c r="AE69" i="33" s="1"/>
  <c r="M68" i="33"/>
  <c r="N68" i="33" s="1"/>
  <c r="O68" i="33" s="1"/>
  <c r="M67" i="33"/>
  <c r="N67" i="33" s="1"/>
  <c r="O67" i="33" s="1"/>
  <c r="M66" i="33"/>
  <c r="N66" i="33" s="1"/>
  <c r="O66" i="33" s="1"/>
  <c r="M65" i="33"/>
  <c r="N65" i="33" s="1"/>
  <c r="O65" i="33" s="1"/>
  <c r="M64" i="33"/>
  <c r="N64" i="33" s="1"/>
  <c r="O64" i="33" s="1"/>
  <c r="M63" i="33"/>
  <c r="N63" i="33" s="1"/>
  <c r="O63" i="33" s="1"/>
  <c r="M62" i="33"/>
  <c r="N62" i="33" s="1"/>
  <c r="O62" i="33" s="1"/>
  <c r="AH61" i="33"/>
  <c r="AH62" i="33" s="1"/>
  <c r="M61" i="33"/>
  <c r="N61" i="33" s="1"/>
  <c r="O61" i="33" s="1"/>
  <c r="AG60" i="33"/>
  <c r="AF60" i="33"/>
  <c r="AE60" i="33"/>
  <c r="AD60" i="33"/>
  <c r="AC60" i="33"/>
  <c r="AB60" i="33"/>
  <c r="AA60" i="33"/>
  <c r="Z60" i="33"/>
  <c r="Y60" i="33"/>
  <c r="X60" i="33"/>
  <c r="W60" i="33"/>
  <c r="V60" i="33"/>
  <c r="AH60" i="33" s="1"/>
  <c r="U60" i="33"/>
  <c r="T60" i="33"/>
  <c r="S60" i="33"/>
  <c r="M60" i="33"/>
  <c r="N60" i="33" s="1"/>
  <c r="O60" i="33" s="1"/>
  <c r="AH59" i="33"/>
  <c r="M59" i="33"/>
  <c r="N59" i="33" s="1"/>
  <c r="O59" i="33" s="1"/>
  <c r="AH58" i="33"/>
  <c r="M58" i="33"/>
  <c r="N58" i="33" s="1"/>
  <c r="O58" i="33" s="1"/>
  <c r="AI52" i="33"/>
  <c r="AH52" i="33"/>
  <c r="AG52" i="33"/>
  <c r="AF52" i="33"/>
  <c r="AE52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E51" i="33" a="1"/>
  <c r="Y51" i="33" s="1"/>
  <c r="AJ50" i="33"/>
  <c r="X39" i="33"/>
  <c r="W39" i="33"/>
  <c r="T39" i="33"/>
  <c r="S39" i="33"/>
  <c r="D43" i="33" s="1"/>
  <c r="R39" i="33"/>
  <c r="Q39" i="33"/>
  <c r="O39" i="33"/>
  <c r="P39" i="33" s="1"/>
  <c r="M39" i="33"/>
  <c r="N39" i="33" s="1"/>
  <c r="L39" i="33"/>
  <c r="K39" i="33"/>
  <c r="I39" i="33"/>
  <c r="J39" i="33" s="1"/>
  <c r="D46" i="33" s="1"/>
  <c r="H39" i="33"/>
  <c r="G39" i="33"/>
  <c r="F39" i="33"/>
  <c r="E39" i="33"/>
  <c r="D39" i="33"/>
  <c r="B39" i="33"/>
  <c r="C39" i="33" s="1"/>
  <c r="D44" i="33" s="1"/>
  <c r="Y38" i="33"/>
  <c r="X38" i="33"/>
  <c r="W38" i="33"/>
  <c r="T38" i="33"/>
  <c r="S38" i="33"/>
  <c r="R38" i="33"/>
  <c r="Q38" i="33"/>
  <c r="O38" i="33"/>
  <c r="M38" i="33"/>
  <c r="L38" i="33"/>
  <c r="K38" i="33"/>
  <c r="I38" i="33"/>
  <c r="H38" i="33"/>
  <c r="G38" i="33"/>
  <c r="F38" i="33"/>
  <c r="E38" i="33"/>
  <c r="D38" i="33"/>
  <c r="B38" i="33"/>
  <c r="AP37" i="33"/>
  <c r="AL37" i="33"/>
  <c r="U37" i="33"/>
  <c r="V37" i="33" s="1"/>
  <c r="P37" i="33"/>
  <c r="N37" i="33"/>
  <c r="J37" i="33"/>
  <c r="C37" i="33"/>
  <c r="AP36" i="33"/>
  <c r="AL36" i="33"/>
  <c r="U36" i="33"/>
  <c r="V36" i="33" s="1"/>
  <c r="P36" i="33"/>
  <c r="N36" i="33"/>
  <c r="J36" i="33"/>
  <c r="C36" i="33"/>
  <c r="AP35" i="33"/>
  <c r="AL35" i="33"/>
  <c r="U35" i="33"/>
  <c r="V35" i="33" s="1"/>
  <c r="P35" i="33"/>
  <c r="N35" i="33"/>
  <c r="J35" i="33"/>
  <c r="C35" i="33"/>
  <c r="AP34" i="33"/>
  <c r="AL34" i="33"/>
  <c r="U34" i="33"/>
  <c r="V34" i="33" s="1"/>
  <c r="P34" i="33"/>
  <c r="N34" i="33"/>
  <c r="J34" i="33"/>
  <c r="C34" i="33"/>
  <c r="AP33" i="33"/>
  <c r="AL33" i="33"/>
  <c r="U33" i="33"/>
  <c r="V33" i="33" s="1"/>
  <c r="P33" i="33"/>
  <c r="N33" i="33"/>
  <c r="J33" i="33"/>
  <c r="C33" i="33"/>
  <c r="AP32" i="33"/>
  <c r="AL32" i="33"/>
  <c r="U32" i="33"/>
  <c r="V32" i="33" s="1"/>
  <c r="P32" i="33"/>
  <c r="N32" i="33"/>
  <c r="J32" i="33"/>
  <c r="C32" i="33"/>
  <c r="AP31" i="33"/>
  <c r="AL31" i="33"/>
  <c r="U31" i="33"/>
  <c r="V31" i="33" s="1"/>
  <c r="P31" i="33"/>
  <c r="N31" i="33"/>
  <c r="J31" i="33"/>
  <c r="C31" i="33"/>
  <c r="AP30" i="33"/>
  <c r="AL30" i="33"/>
  <c r="U30" i="33"/>
  <c r="V30" i="33" s="1"/>
  <c r="P30" i="33"/>
  <c r="N30" i="33"/>
  <c r="J30" i="33"/>
  <c r="C30" i="33"/>
  <c r="AP29" i="33"/>
  <c r="AL29" i="33"/>
  <c r="U29" i="33"/>
  <c r="V29" i="33" s="1"/>
  <c r="P29" i="33"/>
  <c r="N29" i="33"/>
  <c r="J29" i="33"/>
  <c r="C29" i="33"/>
  <c r="AP28" i="33"/>
  <c r="AL28" i="33"/>
  <c r="U28" i="33"/>
  <c r="V28" i="33" s="1"/>
  <c r="P28" i="33"/>
  <c r="N28" i="33"/>
  <c r="J28" i="33"/>
  <c r="C28" i="33"/>
  <c r="AP27" i="33"/>
  <c r="AL27" i="33"/>
  <c r="U27" i="33"/>
  <c r="V27" i="33" s="1"/>
  <c r="P27" i="33"/>
  <c r="N27" i="33"/>
  <c r="J27" i="33"/>
  <c r="C27" i="33"/>
  <c r="AP26" i="33"/>
  <c r="AL26" i="33"/>
  <c r="U26" i="33"/>
  <c r="V26" i="33" s="1"/>
  <c r="P26" i="33"/>
  <c r="N26" i="33"/>
  <c r="J26" i="33"/>
  <c r="C26" i="33"/>
  <c r="AP25" i="33"/>
  <c r="AL25" i="33"/>
  <c r="U25" i="33"/>
  <c r="V25" i="33" s="1"/>
  <c r="P25" i="33"/>
  <c r="N25" i="33"/>
  <c r="J25" i="33"/>
  <c r="C25" i="33"/>
  <c r="AP24" i="33"/>
  <c r="AL24" i="33"/>
  <c r="U24" i="33"/>
  <c r="V24" i="33" s="1"/>
  <c r="P24" i="33"/>
  <c r="N24" i="33"/>
  <c r="J24" i="33"/>
  <c r="C24" i="33"/>
  <c r="AP23" i="33"/>
  <c r="AL23" i="33"/>
  <c r="U23" i="33"/>
  <c r="V23" i="33" s="1"/>
  <c r="P23" i="33"/>
  <c r="N23" i="33"/>
  <c r="J23" i="33"/>
  <c r="C23" i="33"/>
  <c r="AP22" i="33"/>
  <c r="AL22" i="33"/>
  <c r="U22" i="33"/>
  <c r="V22" i="33" s="1"/>
  <c r="P22" i="33"/>
  <c r="N22" i="33"/>
  <c r="J22" i="33"/>
  <c r="C22" i="33"/>
  <c r="AP21" i="33"/>
  <c r="AL21" i="33"/>
  <c r="U21" i="33"/>
  <c r="V21" i="33" s="1"/>
  <c r="P21" i="33"/>
  <c r="N21" i="33"/>
  <c r="J21" i="33"/>
  <c r="C21" i="33"/>
  <c r="AP20" i="33"/>
  <c r="AL20" i="33"/>
  <c r="U20" i="33"/>
  <c r="V20" i="33" s="1"/>
  <c r="P20" i="33"/>
  <c r="N20" i="33"/>
  <c r="J20" i="33"/>
  <c r="C20" i="33"/>
  <c r="AP19" i="33"/>
  <c r="AL19" i="33"/>
  <c r="U19" i="33"/>
  <c r="V19" i="33" s="1"/>
  <c r="P19" i="33"/>
  <c r="N19" i="33"/>
  <c r="J19" i="33"/>
  <c r="C19" i="33"/>
  <c r="AP18" i="33"/>
  <c r="AL18" i="33"/>
  <c r="U18" i="33"/>
  <c r="V18" i="33" s="1"/>
  <c r="P18" i="33"/>
  <c r="N18" i="33"/>
  <c r="J18" i="33"/>
  <c r="C18" i="33"/>
  <c r="AP17" i="33"/>
  <c r="AL17" i="33"/>
  <c r="U17" i="33"/>
  <c r="V17" i="33" s="1"/>
  <c r="P17" i="33"/>
  <c r="N17" i="33"/>
  <c r="J17" i="33"/>
  <c r="C17" i="33"/>
  <c r="AP16" i="33"/>
  <c r="AL16" i="33"/>
  <c r="U16" i="33"/>
  <c r="V16" i="33" s="1"/>
  <c r="P16" i="33"/>
  <c r="N16" i="33"/>
  <c r="J16" i="33"/>
  <c r="C16" i="33"/>
  <c r="AP15" i="33"/>
  <c r="AL15" i="33"/>
  <c r="U15" i="33"/>
  <c r="V15" i="33" s="1"/>
  <c r="P15" i="33"/>
  <c r="N15" i="33"/>
  <c r="J15" i="33"/>
  <c r="C15" i="33"/>
  <c r="AP14" i="33"/>
  <c r="AL14" i="33"/>
  <c r="U14" i="33"/>
  <c r="V14" i="33" s="1"/>
  <c r="P14" i="33"/>
  <c r="N14" i="33"/>
  <c r="J14" i="33"/>
  <c r="C14" i="33"/>
  <c r="AP13" i="33"/>
  <c r="AL13" i="33"/>
  <c r="U13" i="33"/>
  <c r="V13" i="33" s="1"/>
  <c r="P13" i="33"/>
  <c r="N13" i="33"/>
  <c r="J13" i="33"/>
  <c r="C13" i="33"/>
  <c r="AP12" i="33"/>
  <c r="AL12" i="33"/>
  <c r="U12" i="33"/>
  <c r="V12" i="33" s="1"/>
  <c r="P12" i="33"/>
  <c r="N12" i="33"/>
  <c r="J12" i="33"/>
  <c r="C12" i="33"/>
  <c r="AP11" i="33"/>
  <c r="AL11" i="33"/>
  <c r="U11" i="33"/>
  <c r="V11" i="33" s="1"/>
  <c r="P11" i="33"/>
  <c r="N11" i="33"/>
  <c r="J11" i="33"/>
  <c r="C11" i="33"/>
  <c r="AP10" i="33"/>
  <c r="AL10" i="33"/>
  <c r="U10" i="33"/>
  <c r="V10" i="33" s="1"/>
  <c r="P10" i="33"/>
  <c r="N10" i="33"/>
  <c r="J10" i="33"/>
  <c r="C10" i="33"/>
  <c r="AP9" i="33"/>
  <c r="AL9" i="33"/>
  <c r="U9" i="33"/>
  <c r="V9" i="33" s="1"/>
  <c r="P9" i="33"/>
  <c r="N9" i="33"/>
  <c r="J9" i="33"/>
  <c r="C9" i="33"/>
  <c r="AP8" i="33"/>
  <c r="AL8" i="33"/>
  <c r="U8" i="33"/>
  <c r="V8" i="33" s="1"/>
  <c r="P8" i="33"/>
  <c r="N8" i="33"/>
  <c r="J8" i="33"/>
  <c r="C8" i="33"/>
  <c r="AP7" i="33"/>
  <c r="AL7" i="33"/>
  <c r="U7" i="33"/>
  <c r="V7" i="33" s="1"/>
  <c r="P7" i="33"/>
  <c r="N7" i="33"/>
  <c r="J7" i="33"/>
  <c r="C7" i="33"/>
  <c r="Y53" i="33" l="1"/>
  <c r="Y54" i="33" s="1"/>
  <c r="AL38" i="33"/>
  <c r="C38" i="33"/>
  <c r="R40" i="33"/>
  <c r="AJ52" i="33"/>
  <c r="M40" i="33"/>
  <c r="D45" i="33"/>
  <c r="R73" i="33"/>
  <c r="R75" i="33" s="1"/>
  <c r="AD75" i="33" s="1"/>
  <c r="O51" i="33"/>
  <c r="O53" i="33" s="1"/>
  <c r="O54" i="33" s="1"/>
  <c r="AA51" i="33"/>
  <c r="AA53" i="33" s="1"/>
  <c r="AA54" i="33" s="1"/>
  <c r="D42" i="33"/>
  <c r="O84" i="33"/>
  <c r="E51" i="33"/>
  <c r="N51" i="33"/>
  <c r="N53" i="33" s="1"/>
  <c r="N54" i="33" s="1"/>
  <c r="Z51" i="33"/>
  <c r="Z53" i="33" s="1"/>
  <c r="Z54" i="33" s="1"/>
  <c r="P51" i="33"/>
  <c r="P53" i="33" s="1"/>
  <c r="P54" i="33" s="1"/>
  <c r="AB51" i="33"/>
  <c r="AB53" i="33" s="1"/>
  <c r="AB54" i="33" s="1"/>
  <c r="AD51" i="33"/>
  <c r="AD53" i="33" s="1"/>
  <c r="AD54" i="33" s="1"/>
  <c r="G51" i="33"/>
  <c r="G53" i="33" s="1"/>
  <c r="G54" i="33" s="1"/>
  <c r="S51" i="33"/>
  <c r="S53" i="33" s="1"/>
  <c r="S54" i="33" s="1"/>
  <c r="AE51" i="33"/>
  <c r="AE53" i="33" s="1"/>
  <c r="AE54" i="33" s="1"/>
  <c r="AC51" i="33"/>
  <c r="AC53" i="33" s="1"/>
  <c r="AC54" i="33" s="1"/>
  <c r="U38" i="33"/>
  <c r="P40" i="33"/>
  <c r="H51" i="33"/>
  <c r="H53" i="33" s="1"/>
  <c r="H54" i="33" s="1"/>
  <c r="T51" i="33"/>
  <c r="T53" i="33" s="1"/>
  <c r="T54" i="33" s="1"/>
  <c r="AF51" i="33"/>
  <c r="AF53" i="33" s="1"/>
  <c r="AF54" i="33" s="1"/>
  <c r="I51" i="33"/>
  <c r="I53" i="33" s="1"/>
  <c r="I54" i="33" s="1"/>
  <c r="U51" i="33"/>
  <c r="U53" i="33" s="1"/>
  <c r="U54" i="33" s="1"/>
  <c r="AG51" i="33"/>
  <c r="AG53" i="33" s="1"/>
  <c r="AG54" i="33" s="1"/>
  <c r="J51" i="33"/>
  <c r="J53" i="33" s="1"/>
  <c r="J54" i="33" s="1"/>
  <c r="V51" i="33"/>
  <c r="V53" i="33" s="1"/>
  <c r="V54" i="33" s="1"/>
  <c r="AH51" i="33"/>
  <c r="AH53" i="33" s="1"/>
  <c r="AH54" i="33" s="1"/>
  <c r="K51" i="33"/>
  <c r="K53" i="33" s="1"/>
  <c r="K54" i="33" s="1"/>
  <c r="W51" i="33"/>
  <c r="W53" i="33" s="1"/>
  <c r="W54" i="33" s="1"/>
  <c r="AI51" i="33"/>
  <c r="AI53" i="33" s="1"/>
  <c r="AI54" i="33" s="1"/>
  <c r="Q51" i="33"/>
  <c r="Q53" i="33" s="1"/>
  <c r="Q54" i="33" s="1"/>
  <c r="F51" i="33"/>
  <c r="F53" i="33" s="1"/>
  <c r="F54" i="33" s="1"/>
  <c r="U39" i="33"/>
  <c r="V39" i="33" s="1"/>
  <c r="L51" i="33"/>
  <c r="L53" i="33" s="1"/>
  <c r="L54" i="33" s="1"/>
  <c r="X51" i="33"/>
  <c r="X53" i="33" s="1"/>
  <c r="X54" i="33" s="1"/>
  <c r="R51" i="33"/>
  <c r="R53" i="33" s="1"/>
  <c r="R54" i="33" s="1"/>
  <c r="M51" i="33"/>
  <c r="M53" i="33" s="1"/>
  <c r="M54" i="33" s="1"/>
  <c r="D47" i="33" l="1"/>
  <c r="AD73" i="33"/>
  <c r="AJ51" i="33"/>
  <c r="E53" i="33"/>
  <c r="AG75" i="33"/>
  <c r="AF75" i="33"/>
  <c r="AE75" i="33"/>
  <c r="E54" i="33" l="1"/>
  <c r="AJ54" i="33" s="1"/>
  <c r="AJ53" i="33"/>
  <c r="P39" i="51" l="1"/>
  <c r="D45" i="51" s="1"/>
  <c r="D47" i="51" s="1"/>
</calcChain>
</file>

<file path=xl/comments1.xml><?xml version="1.0" encoding="utf-8"?>
<comments xmlns="http://schemas.openxmlformats.org/spreadsheetml/2006/main">
  <authors>
    <author>만든 이</author>
  </authors>
  <commentList>
    <comment ref="S15" authorId="0" shapeId="0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유동상측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유량값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J50" authorId="0" shapeId="0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유량계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소손
</t>
        </r>
      </text>
    </comment>
    <comment ref="N50" authorId="0" shapeId="0">
      <text>
        <r>
          <rPr>
            <b/>
            <sz val="9"/>
            <color indexed="81"/>
            <rFont val="돋움"/>
            <family val="3"/>
            <charset val="129"/>
          </rPr>
          <t>적산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돌아옴
</t>
        </r>
      </text>
    </comment>
  </commentList>
</comments>
</file>

<file path=xl/sharedStrings.xml><?xml version="1.0" encoding="utf-8"?>
<sst xmlns="http://schemas.openxmlformats.org/spreadsheetml/2006/main" count="2705" uniqueCount="365">
  <si>
    <t>제지2호기 정비</t>
    <phoneticPr fontId="1" type="noConversion"/>
  </si>
  <si>
    <t>제지3호기 정비</t>
    <phoneticPr fontId="1" type="noConversion"/>
  </si>
  <si>
    <t>디스퍼져 가동</t>
    <phoneticPr fontId="1" type="noConversion"/>
  </si>
  <si>
    <t>복합보일러</t>
    <phoneticPr fontId="1" type="noConversion"/>
  </si>
  <si>
    <t>외부보일러</t>
    <phoneticPr fontId="1" type="noConversion"/>
  </si>
  <si>
    <t>폐합성 소각로</t>
    <phoneticPr fontId="1" type="noConversion"/>
  </si>
  <si>
    <t>깨끗한나라 보일러</t>
    <phoneticPr fontId="1" type="noConversion"/>
  </si>
  <si>
    <t>스팀총계                  (복합+외부+소각로+기관)</t>
    <phoneticPr fontId="1" type="noConversion"/>
  </si>
  <si>
    <t>당사 보일러 가동시간(H/D)</t>
    <phoneticPr fontId="1" type="noConversion"/>
  </si>
  <si>
    <t>일</t>
    <phoneticPr fontId="1" type="noConversion"/>
  </si>
  <si>
    <t>스팀구매량</t>
    <phoneticPr fontId="1" type="noConversion"/>
  </si>
  <si>
    <t>응축수판매량</t>
    <phoneticPr fontId="1" type="noConversion"/>
  </si>
  <si>
    <t>보충수판매량</t>
    <phoneticPr fontId="1" type="noConversion"/>
  </si>
  <si>
    <t>탈기기급수량</t>
    <phoneticPr fontId="1" type="noConversion"/>
  </si>
  <si>
    <t>공정수판매량</t>
    <phoneticPr fontId="1" type="noConversion"/>
  </si>
  <si>
    <t>1호 스팀 구입량</t>
    <phoneticPr fontId="1" type="noConversion"/>
  </si>
  <si>
    <t>2호 스팀 구입량</t>
    <phoneticPr fontId="1" type="noConversion"/>
  </si>
  <si>
    <t>스팀 생산량(T/D)</t>
    <phoneticPr fontId="1" type="noConversion"/>
  </si>
  <si>
    <t>복합보일러 운휴시간(분)</t>
    <phoneticPr fontId="1" type="noConversion"/>
  </si>
  <si>
    <t>디스파샤</t>
    <phoneticPr fontId="1" type="noConversion"/>
  </si>
  <si>
    <t>시간당</t>
    <phoneticPr fontId="1" type="noConversion"/>
  </si>
  <si>
    <t>자</t>
    <phoneticPr fontId="1" type="noConversion"/>
  </si>
  <si>
    <t>(T/D)</t>
    <phoneticPr fontId="1" type="noConversion"/>
  </si>
  <si>
    <t>(T/H)</t>
    <phoneticPr fontId="1" type="noConversion"/>
  </si>
  <si>
    <t>(㎥/D)</t>
    <phoneticPr fontId="1" type="noConversion"/>
  </si>
  <si>
    <t xml:space="preserve">(T/D) </t>
    <phoneticPr fontId="1" type="noConversion"/>
  </si>
  <si>
    <t>20톤(#2)</t>
    <phoneticPr fontId="1" type="noConversion"/>
  </si>
  <si>
    <t>50톤(#3)</t>
    <phoneticPr fontId="1" type="noConversion"/>
  </si>
  <si>
    <t>유동상</t>
    <phoneticPr fontId="1" type="noConversion"/>
  </si>
  <si>
    <t>변동사항(복합보일러)</t>
    <phoneticPr fontId="1" type="noConversion"/>
  </si>
  <si>
    <t>변동사항(제스코)</t>
    <phoneticPr fontId="1" type="noConversion"/>
  </si>
  <si>
    <t>#1호기</t>
    <phoneticPr fontId="1" type="noConversion"/>
  </si>
  <si>
    <t>#2호기</t>
    <phoneticPr fontId="1" type="noConversion"/>
  </si>
  <si>
    <t>스팀량</t>
    <phoneticPr fontId="1" type="noConversion"/>
  </si>
  <si>
    <t>시간</t>
    <phoneticPr fontId="1" type="noConversion"/>
  </si>
  <si>
    <t>누 계</t>
    <phoneticPr fontId="1" type="noConversion"/>
  </si>
  <si>
    <t>월누계(H)</t>
    <phoneticPr fontId="1" type="noConversion"/>
  </si>
  <si>
    <t>평 균</t>
    <phoneticPr fontId="1" type="noConversion"/>
  </si>
  <si>
    <t>통합누계(H)</t>
    <phoneticPr fontId="1" type="noConversion"/>
  </si>
  <si>
    <t xml:space="preserve"> </t>
    <phoneticPr fontId="1" type="noConversion"/>
  </si>
  <si>
    <t>구  분</t>
    <phoneticPr fontId="1" type="noConversion"/>
  </si>
  <si>
    <t>스팀 원단위 (톤/hr)</t>
  </si>
  <si>
    <t>1월 연료단가</t>
    <phoneticPr fontId="1" type="noConversion"/>
  </si>
  <si>
    <t>LNG 보일러</t>
  </si>
  <si>
    <t>유동상소각로</t>
  </si>
  <si>
    <t>복합보일러</t>
  </si>
  <si>
    <t>폐합성소각로</t>
  </si>
  <si>
    <t>외부보일러</t>
  </si>
  <si>
    <t>합    계</t>
  </si>
  <si>
    <t>구 분</t>
    <phoneticPr fontId="1" type="noConversion"/>
  </si>
  <si>
    <t>단가(전월)</t>
    <phoneticPr fontId="1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</si>
  <si>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</si>
  <si>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</si>
  <si>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</si>
  <si>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</si>
  <si>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</si>
  <si>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</si>
  <si>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</si>
  <si>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</si>
  <si>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</si>
  <si>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</si>
  <si>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</si>
  <si>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</si>
  <si>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</si>
  <si>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</si>
  <si>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</si>
  <si>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</si>
  <si>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</si>
  <si>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</si>
  <si>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</si>
  <si>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</si>
  <si>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</si>
  <si>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</si>
  <si>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</si>
  <si>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</si>
  <si>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</si>
  <si>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</si>
  <si>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</si>
  <si>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</si>
  <si>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</si>
  <si>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</si>
  <si>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누 계</t>
  </si>
  <si>
    <t>유동상
벤트 손실비용    (단위:천원)</t>
    <phoneticPr fontId="1" type="noConversion"/>
  </si>
  <si>
    <t>생산량
(FIT-301)</t>
    <phoneticPr fontId="1" type="noConversion"/>
  </si>
  <si>
    <t>소내 사용량
(추정)</t>
    <phoneticPr fontId="1" type="noConversion"/>
  </si>
  <si>
    <t>사용량
(FIT-304)</t>
    <phoneticPr fontId="1" type="noConversion"/>
  </si>
  <si>
    <t>벤트량
(생산량-소내 사용량-사용량)</t>
    <phoneticPr fontId="1" type="noConversion"/>
  </si>
  <si>
    <t>손실비용</t>
    <phoneticPr fontId="1" type="noConversion"/>
  </si>
  <si>
    <t xml:space="preserve">현장 운휴, 절지등 복합보일러 스팀 회수량 감소요인  </t>
    <phoneticPr fontId="1" type="noConversion"/>
  </si>
  <si>
    <t xml:space="preserve">복합보일러 </t>
    <phoneticPr fontId="1" type="noConversion"/>
  </si>
  <si>
    <t>날짜</t>
    <phoneticPr fontId="1" type="noConversion"/>
  </si>
  <si>
    <t>스팀회수 감소시간</t>
    <phoneticPr fontId="1" type="noConversion"/>
  </si>
  <si>
    <t>내             용</t>
    <phoneticPr fontId="1" type="noConversion"/>
  </si>
  <si>
    <t>스팀 감소량(T/H)</t>
    <phoneticPr fontId="1" type="noConversion"/>
  </si>
  <si>
    <t>감소시간(min)</t>
    <phoneticPr fontId="1" type="noConversion"/>
  </si>
  <si>
    <t>(톤/hr)</t>
    <phoneticPr fontId="1" type="noConversion"/>
  </si>
  <si>
    <t>(톤/min)</t>
    <phoneticPr fontId="1" type="noConversion"/>
  </si>
  <si>
    <t>스팀손실량</t>
    <phoneticPr fontId="1" type="noConversion"/>
  </si>
  <si>
    <t>구분</t>
    <phoneticPr fontId="1" type="noConversion"/>
  </si>
  <si>
    <t>20.6월</t>
    <phoneticPr fontId="1" type="noConversion"/>
  </si>
  <si>
    <t>7월</t>
    <phoneticPr fontId="1" type="noConversion"/>
  </si>
  <si>
    <t>8월</t>
  </si>
  <si>
    <t>9월</t>
  </si>
  <si>
    <t>10월</t>
  </si>
  <si>
    <t>11월</t>
  </si>
  <si>
    <t>12월</t>
  </si>
  <si>
    <t>21. 1월</t>
    <phoneticPr fontId="1" type="noConversion"/>
  </si>
  <si>
    <t>2월</t>
  </si>
  <si>
    <t>3월</t>
  </si>
  <si>
    <t>4월</t>
  </si>
  <si>
    <t>5월</t>
  </si>
  <si>
    <t>6월</t>
  </si>
  <si>
    <t>7월</t>
  </si>
  <si>
    <t>계</t>
    <phoneticPr fontId="1" type="noConversion"/>
  </si>
  <si>
    <t>계획</t>
    <phoneticPr fontId="1" type="noConversion"/>
  </si>
  <si>
    <t>기본</t>
    <phoneticPr fontId="1" type="noConversion"/>
  </si>
  <si>
    <t>특약</t>
    <phoneticPr fontId="1" type="noConversion"/>
  </si>
  <si>
    <t>소 계</t>
    <phoneticPr fontId="1" type="noConversion"/>
  </si>
  <si>
    <t>실적</t>
    <phoneticPr fontId="1" type="noConversion"/>
  </si>
  <si>
    <t>잔량</t>
    <phoneticPr fontId="1" type="noConversion"/>
  </si>
  <si>
    <t xml:space="preserve">제스코 </t>
    <phoneticPr fontId="1" type="noConversion"/>
  </si>
  <si>
    <t>20.5월</t>
    <phoneticPr fontId="1" type="noConversion"/>
  </si>
  <si>
    <t>6월</t>
    <phoneticPr fontId="1" type="noConversion"/>
  </si>
  <si>
    <t>20. 2월</t>
  </si>
  <si>
    <t xml:space="preserve"> 계획 </t>
    <phoneticPr fontId="1" type="noConversion"/>
  </si>
  <si>
    <t>LNG사용량</t>
    <phoneticPr fontId="1" type="noConversion"/>
  </si>
  <si>
    <t>1월</t>
    <phoneticPr fontId="1" type="noConversion"/>
  </si>
  <si>
    <t>진척률</t>
    <phoneticPr fontId="1" type="noConversion"/>
  </si>
  <si>
    <t>보일러</t>
    <phoneticPr fontId="1" type="noConversion"/>
  </si>
  <si>
    <t>기준</t>
    <phoneticPr fontId="1" type="noConversion"/>
  </si>
  <si>
    <t>하한</t>
    <phoneticPr fontId="1" type="noConversion"/>
  </si>
  <si>
    <t>상한</t>
    <phoneticPr fontId="1" type="noConversion"/>
  </si>
  <si>
    <t>복합</t>
    <phoneticPr fontId="1" type="noConversion"/>
  </si>
  <si>
    <t>1월1일</t>
    <phoneticPr fontId="1" type="noConversion"/>
  </si>
  <si>
    <t>유동상</t>
    <phoneticPr fontId="1" type="noConversion"/>
  </si>
  <si>
    <t>응축수</t>
    <phoneticPr fontId="1" type="noConversion"/>
  </si>
  <si>
    <t>스팀 생산량</t>
    <phoneticPr fontId="1" type="noConversion"/>
  </si>
  <si>
    <t>희석수판매량</t>
    <phoneticPr fontId="1" type="noConversion"/>
  </si>
  <si>
    <t>2025년  1월</t>
    <phoneticPr fontId="1" type="noConversion"/>
  </si>
  <si>
    <t>1/2 #1,2스팀중지(07:50~</t>
    <phoneticPr fontId="1" type="noConversion"/>
  </si>
  <si>
    <t>1/2 #2스팀회수(04:40~</t>
    <phoneticPr fontId="1" type="noConversion"/>
  </si>
  <si>
    <t>1/5 #1스팀회수(05:50~</t>
    <phoneticPr fontId="1" type="noConversion"/>
  </si>
  <si>
    <t>1/9 #1스팀중지(13:10~05:30)</t>
    <phoneticPr fontId="1" type="noConversion"/>
  </si>
  <si>
    <t>1/10 1호기 연료측 터널발생으로 스팀하락(23:30~24:00)</t>
    <phoneticPr fontId="1" type="noConversion"/>
  </si>
  <si>
    <t>1/11 HCL 문제로 운휴(01:10~스팀중지)</t>
    <phoneticPr fontId="1" type="noConversion"/>
  </si>
  <si>
    <t>1/12#2호스팀중지(02:30~</t>
    <phoneticPr fontId="1" type="noConversion"/>
  </si>
  <si>
    <t>1/13#2호 스팀회수(21:40~</t>
    <phoneticPr fontId="1" type="noConversion"/>
  </si>
  <si>
    <t>1/12 스팀회수(09:45~15:30, 00;20~</t>
    <phoneticPr fontId="1" type="noConversion"/>
  </si>
  <si>
    <t>16:13~16:51</t>
    <phoneticPr fontId="1" type="noConversion"/>
  </si>
  <si>
    <t xml:space="preserve">PM-2 운휴 </t>
    <phoneticPr fontId="1" type="noConversion"/>
  </si>
  <si>
    <t xml:space="preserve"> 급전지시 공장 전력감축 운휴</t>
    <phoneticPr fontId="1" type="noConversion"/>
  </si>
  <si>
    <t>15:38~17:44</t>
    <phoneticPr fontId="1" type="noConversion"/>
  </si>
  <si>
    <t>1/18 스팀중지(22:50~</t>
    <phoneticPr fontId="1" type="noConversion"/>
  </si>
  <si>
    <t>09:59~</t>
    <phoneticPr fontId="1" type="noConversion"/>
  </si>
  <si>
    <t xml:space="preserve"> PM-2  FELT세척운휴</t>
    <phoneticPr fontId="1" type="noConversion"/>
  </si>
  <si>
    <t>1/20 스팀회수(06:05~</t>
    <phoneticPr fontId="1" type="noConversion"/>
  </si>
  <si>
    <t>1/23 스팀회수(18:00~  )</t>
    <phoneticPr fontId="1" type="noConversion"/>
  </si>
  <si>
    <t xml:space="preserve"> 1/24 #1,2 회수중지(08:15~ ), #2스팀회수(20:45~  )</t>
    <phoneticPr fontId="1" type="noConversion"/>
  </si>
  <si>
    <t>1/31#1호 스팀회수(09:00~</t>
    <phoneticPr fontId="1" type="noConversion"/>
  </si>
  <si>
    <t>2025년  2월</t>
    <phoneticPr fontId="1" type="noConversion"/>
  </si>
  <si>
    <t>2월1일</t>
    <phoneticPr fontId="1" type="noConversion"/>
  </si>
  <si>
    <t>19:15~19:35</t>
    <phoneticPr fontId="1" type="noConversion"/>
  </si>
  <si>
    <t>PM-3 절지</t>
    <phoneticPr fontId="1" type="noConversion"/>
  </si>
  <si>
    <t>23.6월</t>
    <phoneticPr fontId="1" type="noConversion"/>
  </si>
  <si>
    <t>24. 1월</t>
    <phoneticPr fontId="1" type="noConversion"/>
  </si>
  <si>
    <t>24. 1월</t>
    <phoneticPr fontId="1" type="noConversion"/>
  </si>
  <si>
    <t>24.5월</t>
    <phoneticPr fontId="1" type="noConversion"/>
  </si>
  <si>
    <t>시간당</t>
    <phoneticPr fontId="1" type="noConversion"/>
  </si>
  <si>
    <t>디스퍼져</t>
    <phoneticPr fontId="1" type="noConversion"/>
  </si>
  <si>
    <t>운휴시간(분)</t>
    <phoneticPr fontId="1" type="noConversion"/>
  </si>
  <si>
    <t>복합보일러</t>
    <phoneticPr fontId="1" type="noConversion"/>
  </si>
  <si>
    <t>운휴시간(분)</t>
    <phoneticPr fontId="1" type="noConversion"/>
  </si>
  <si>
    <t>가동 시간(분)</t>
    <phoneticPr fontId="1" type="noConversion"/>
  </si>
  <si>
    <t>가동시간(분)</t>
    <phoneticPr fontId="1" type="noConversion"/>
  </si>
  <si>
    <t>2/4 스팀중지(06:15~</t>
    <phoneticPr fontId="1" type="noConversion"/>
  </si>
  <si>
    <t>10:30~11:45</t>
    <phoneticPr fontId="1" type="noConversion"/>
  </si>
  <si>
    <t>PM-3 절지</t>
    <phoneticPr fontId="1" type="noConversion"/>
  </si>
  <si>
    <t>#2 2/11 스팀회수(03:30~</t>
    <phoneticPr fontId="1" type="noConversion"/>
  </si>
  <si>
    <t xml:space="preserve"> #2 2/8 스팀중지(14:00~</t>
    <phoneticPr fontId="1" type="noConversion"/>
  </si>
  <si>
    <t xml:space="preserve"> PM-2.3 FEIT 세척</t>
    <phoneticPr fontId="1" type="noConversion"/>
  </si>
  <si>
    <t>07:50~14:00</t>
    <phoneticPr fontId="1" type="noConversion"/>
  </si>
  <si>
    <t>05:00~07:00</t>
    <phoneticPr fontId="1" type="noConversion"/>
  </si>
  <si>
    <t>#1 2/24 스팀중지(08:10~</t>
    <phoneticPr fontId="1" type="noConversion"/>
  </si>
  <si>
    <t>#1 2/25 스팀 (18:20~  회수</t>
    <phoneticPr fontId="1" type="noConversion"/>
  </si>
  <si>
    <t>2월 연료단가</t>
    <phoneticPr fontId="1" type="noConversion"/>
  </si>
  <si>
    <t>2025년  3월</t>
    <phoneticPr fontId="1" type="noConversion"/>
  </si>
  <si>
    <t>3월 연료단가</t>
    <phoneticPr fontId="1" type="noConversion"/>
  </si>
  <si>
    <t>3월1일</t>
    <phoneticPr fontId="1" type="noConversion"/>
  </si>
  <si>
    <t>3/3 #1스팀중지(07:30~</t>
    <phoneticPr fontId="1" type="noConversion"/>
  </si>
  <si>
    <t>3/4 #1스팀회수(05:40~</t>
    <phoneticPr fontId="1" type="noConversion"/>
  </si>
  <si>
    <t>12:50~15:20</t>
    <phoneticPr fontId="1" type="noConversion"/>
  </si>
  <si>
    <t>PM-3호기 FELT 세척차</t>
    <phoneticPr fontId="1" type="noConversion"/>
  </si>
  <si>
    <t>3/12 #2호 스팀 중지(04:40~</t>
    <phoneticPr fontId="1" type="noConversion"/>
  </si>
  <si>
    <t>3/14 #2스팀 회수(02:40~</t>
    <phoneticPr fontId="1" type="noConversion"/>
  </si>
  <si>
    <t xml:space="preserve"> 3/17 #2스팀중지(08:35~</t>
    <phoneticPr fontId="1" type="noConversion"/>
  </si>
  <si>
    <t xml:space="preserve"> 3/18 #2스팀회수(05:55~</t>
    <phoneticPr fontId="1" type="noConversion"/>
  </si>
  <si>
    <t>3/20 #스팀회수(08:00~</t>
    <phoneticPr fontId="1" type="noConversion"/>
  </si>
  <si>
    <t>00:30~02:20</t>
    <phoneticPr fontId="1" type="noConversion"/>
  </si>
  <si>
    <t>02:20~03:52</t>
    <phoneticPr fontId="1" type="noConversion"/>
  </si>
  <si>
    <t>"</t>
    <phoneticPr fontId="1" type="noConversion"/>
  </si>
  <si>
    <t>#6 포머 포밍와이어 소손운휴</t>
    <phoneticPr fontId="1" type="noConversion"/>
  </si>
  <si>
    <t xml:space="preserve">               "</t>
    <phoneticPr fontId="1" type="noConversion"/>
  </si>
  <si>
    <t xml:space="preserve">3/30 #1,2회수중지 20:30~   #2 스팀회수 06:05~ </t>
    <phoneticPr fontId="1" type="noConversion"/>
  </si>
  <si>
    <t>2025년  4월</t>
    <phoneticPr fontId="1" type="noConversion"/>
  </si>
  <si>
    <t>4월1일</t>
    <phoneticPr fontId="1" type="noConversion"/>
  </si>
  <si>
    <t>4/3 #1스팀회수(00:20~,#2스팀중지(01:20~</t>
    <phoneticPr fontId="1" type="noConversion"/>
  </si>
  <si>
    <t>4/4 #2스팀회수(05:50~</t>
    <phoneticPr fontId="1" type="noConversion"/>
  </si>
  <si>
    <t>08:20~10:47</t>
    <phoneticPr fontId="1" type="noConversion"/>
  </si>
  <si>
    <t xml:space="preserve"> PM-3  FELT세척 운휴</t>
    <phoneticPr fontId="1" type="noConversion"/>
  </si>
  <si>
    <t>4/17 #2스팀중지(08:20~20:00)</t>
    <phoneticPr fontId="1" type="noConversion"/>
  </si>
  <si>
    <t xml:space="preserve"> PM-3 #2 포머 와이어 교체차 운휴</t>
    <phoneticPr fontId="1" type="noConversion"/>
  </si>
  <si>
    <t>13:15~16:00</t>
    <phoneticPr fontId="1" type="noConversion"/>
  </si>
  <si>
    <t>PM-3 FELT 세척 운휴</t>
    <phoneticPr fontId="1" type="noConversion"/>
  </si>
  <si>
    <t>08:50~12:50</t>
    <phoneticPr fontId="1" type="noConversion"/>
  </si>
  <si>
    <t>4/28 #1 스팀중지(24:30~  )</t>
    <phoneticPr fontId="1" type="noConversion"/>
  </si>
  <si>
    <t>2025년  5월</t>
    <phoneticPr fontId="1" type="noConversion"/>
  </si>
  <si>
    <t>5월1일</t>
    <phoneticPr fontId="1" type="noConversion"/>
  </si>
  <si>
    <t>4월 연료단가</t>
    <phoneticPr fontId="1" type="noConversion"/>
  </si>
  <si>
    <t>(T/D)0</t>
    <phoneticPr fontId="1" type="noConversion"/>
  </si>
  <si>
    <t>5/6 #2스팀회수(05:50~</t>
    <phoneticPr fontId="1" type="noConversion"/>
  </si>
  <si>
    <t>5/13#2호 스팀중지(22:30~</t>
    <phoneticPr fontId="1" type="noConversion"/>
  </si>
  <si>
    <t>21:00~22:10</t>
    <phoneticPr fontId="1" type="noConversion"/>
  </si>
  <si>
    <t>PM-3 절지</t>
    <phoneticPr fontId="1" type="noConversion"/>
  </si>
  <si>
    <t>5/14#2호 스팀회수(01:00~</t>
    <phoneticPr fontId="1" type="noConversion"/>
  </si>
  <si>
    <t>5/4일 #1스팀회수(04:40~</t>
    <phoneticPr fontId="1" type="noConversion"/>
  </si>
  <si>
    <t>5/1#1스팀회수(22:00~</t>
    <phoneticPr fontId="1" type="noConversion"/>
  </si>
  <si>
    <t>5/19 #1호 스팀중지(03:00~</t>
    <phoneticPr fontId="1" type="noConversion"/>
  </si>
  <si>
    <t xml:space="preserve">                                     #2호 스팀회수(19:15~ )</t>
    <phoneticPr fontId="1" type="noConversion"/>
  </si>
  <si>
    <t>5/20 #1호 스팀회수(16:45~ ) #2호 스팀중지(08:20~ )</t>
    <phoneticPr fontId="1" type="noConversion"/>
  </si>
  <si>
    <t>PM-3 FELT 세척</t>
    <phoneticPr fontId="1" type="noConversion"/>
  </si>
  <si>
    <t>10:40~15:00</t>
    <phoneticPr fontId="1" type="noConversion"/>
  </si>
  <si>
    <t>2025년  6월</t>
    <phoneticPr fontId="1" type="noConversion"/>
  </si>
  <si>
    <t>6/08 #2호 스팀중지(02:20~</t>
    <phoneticPr fontId="1" type="noConversion"/>
  </si>
  <si>
    <t>6/09 #1호 스팀중지(08:25~22:40)#2호 스팀회수(20:00~)</t>
    <phoneticPr fontId="1" type="noConversion"/>
  </si>
  <si>
    <t>6/10 유동상소각로 정비차 운휴 18:30 연료 투입중지</t>
    <phoneticPr fontId="1" type="noConversion"/>
  </si>
  <si>
    <t>TM-3.4.5및PM-3호기 급전 지시 운휴</t>
    <phoneticPr fontId="1" type="noConversion"/>
  </si>
  <si>
    <t>20:30~01:20</t>
    <phoneticPr fontId="1" type="noConversion"/>
  </si>
  <si>
    <t>PM-3 정비후 초출 준비</t>
    <phoneticPr fontId="1" type="noConversion"/>
  </si>
  <si>
    <t>17:30~20:10</t>
    <phoneticPr fontId="1" type="noConversion"/>
  </si>
  <si>
    <t>PM-3 felt 세척차</t>
    <phoneticPr fontId="1" type="noConversion"/>
  </si>
  <si>
    <t>13:10~17:40</t>
    <phoneticPr fontId="1" type="noConversion"/>
  </si>
  <si>
    <t>23:05~04:20</t>
    <phoneticPr fontId="1" type="noConversion"/>
  </si>
  <si>
    <t>04:20~05:15</t>
    <phoneticPr fontId="1" type="noConversion"/>
  </si>
  <si>
    <t>PM-3 브럭팔파 아지데타 베어링교체차 운휴</t>
    <phoneticPr fontId="1" type="noConversion"/>
  </si>
  <si>
    <t xml:space="preserve">            "</t>
    <phoneticPr fontId="1" type="noConversion"/>
  </si>
  <si>
    <t>"</t>
    <phoneticPr fontId="1" type="noConversion"/>
  </si>
  <si>
    <t xml:space="preserve"> PM-3 코타Backing Roll 문제로 운휴</t>
    <phoneticPr fontId="1" type="noConversion"/>
  </si>
  <si>
    <t>05:30~07:00</t>
    <phoneticPr fontId="1" type="noConversion"/>
  </si>
  <si>
    <t>12:40~13:35</t>
    <phoneticPr fontId="1" type="noConversion"/>
  </si>
  <si>
    <t>07:00~07:40</t>
    <phoneticPr fontId="1" type="noConversion"/>
  </si>
  <si>
    <t>PM-3 절지</t>
    <phoneticPr fontId="1" type="noConversion"/>
  </si>
  <si>
    <t>14:57~15:27</t>
    <phoneticPr fontId="1" type="noConversion"/>
  </si>
  <si>
    <t xml:space="preserve">     " </t>
    <phoneticPr fontId="1" type="noConversion"/>
  </si>
  <si>
    <t>6/23#1호 스팀중지(02:50~</t>
    <phoneticPr fontId="1" type="noConversion"/>
  </si>
  <si>
    <t>변동사항(제스코,유동상보일러)</t>
    <phoneticPr fontId="1" type="noConversion"/>
  </si>
  <si>
    <t>6/24#1호 스팀 회수(18:10~</t>
    <phoneticPr fontId="1" type="noConversion"/>
  </si>
  <si>
    <t>6/24#2호 스팀중지(08:20~17:30)</t>
    <phoneticPr fontId="1" type="noConversion"/>
  </si>
  <si>
    <t>2025년  7월</t>
    <phoneticPr fontId="1" type="noConversion"/>
  </si>
  <si>
    <t>변동사항(제스코,유동상 보일러)</t>
    <phoneticPr fontId="1" type="noConversion"/>
  </si>
  <si>
    <t>17:30~19:50</t>
    <phoneticPr fontId="1" type="noConversion"/>
  </si>
  <si>
    <t>6/30  2호기1열 화격자실린더 헤드파손교체(10:45~12:20)</t>
    <phoneticPr fontId="1" type="noConversion"/>
  </si>
  <si>
    <t>08:25~11:50</t>
    <phoneticPr fontId="1" type="noConversion"/>
  </si>
  <si>
    <t xml:space="preserve"> PM-3 FELT세척 운휴</t>
    <phoneticPr fontId="1" type="noConversion"/>
  </si>
  <si>
    <t>6월 연료단가</t>
    <phoneticPr fontId="1" type="noConversion"/>
  </si>
  <si>
    <t>7월1일</t>
    <phoneticPr fontId="1" type="noConversion"/>
  </si>
  <si>
    <t>7/4 유동상소각로 정비차 운휴 24:00~</t>
    <phoneticPr fontId="1" type="noConversion"/>
  </si>
  <si>
    <t>PM-3#4포머 포밍 와이어 교체차 운휴</t>
    <phoneticPr fontId="1" type="noConversion"/>
  </si>
  <si>
    <t>08:05~09:50</t>
    <phoneticPr fontId="1" type="noConversion"/>
  </si>
  <si>
    <t>7/9 #2 24:10~ 스팀회수</t>
    <phoneticPr fontId="1" type="noConversion"/>
  </si>
  <si>
    <t>7/8 #2 02:00~ 스팀중지</t>
    <phoneticPr fontId="1" type="noConversion"/>
  </si>
  <si>
    <t>15:55~16:25</t>
    <phoneticPr fontId="1" type="noConversion"/>
  </si>
  <si>
    <t xml:space="preserve"> PM-3절지로 스팀량 감소</t>
    <phoneticPr fontId="1" type="noConversion"/>
  </si>
  <si>
    <t>23:55~00:20</t>
    <phoneticPr fontId="1" type="noConversion"/>
  </si>
  <si>
    <t xml:space="preserve"> PM-3절지로 스팀량 감소</t>
    <phoneticPr fontId="1" type="noConversion"/>
  </si>
  <si>
    <t>18:55~22:20</t>
    <phoneticPr fontId="1" type="noConversion"/>
  </si>
  <si>
    <t>16:25~16:45</t>
    <phoneticPr fontId="1" type="noConversion"/>
  </si>
  <si>
    <t xml:space="preserve">7/21 크레인 소손으로 22:40 ~ 연료투입 중지 </t>
    <phoneticPr fontId="1" type="noConversion"/>
  </si>
  <si>
    <t xml:space="preserve">       01:20~ 재가동</t>
    <phoneticPr fontId="1" type="noConversion"/>
  </si>
  <si>
    <t>7/21 #1보일러 24:00 ~연료투입중지</t>
    <phoneticPr fontId="1" type="noConversion"/>
  </si>
  <si>
    <t>16:50~18:15</t>
    <phoneticPr fontId="1" type="noConversion"/>
  </si>
  <si>
    <t>PM-3 칸바스 소손으로 교체차 운휴</t>
    <phoneticPr fontId="1" type="noConversion"/>
  </si>
  <si>
    <t>PM-3 #6군 상 칸바스 소손으로 교체차 운휴</t>
    <phoneticPr fontId="1" type="noConversion"/>
  </si>
  <si>
    <t>10:00~12:50</t>
    <phoneticPr fontId="1" type="noConversion"/>
  </si>
  <si>
    <t>21:05~23:55</t>
    <phoneticPr fontId="1" type="noConversion"/>
  </si>
  <si>
    <t>8월1일</t>
    <phoneticPr fontId="1" type="noConversion"/>
  </si>
  <si>
    <t>2025년  8월</t>
    <phoneticPr fontId="1" type="noConversion"/>
  </si>
  <si>
    <t>19:40~23:55</t>
    <phoneticPr fontId="1" type="noConversion"/>
  </si>
  <si>
    <t>PM-3 FELT 세척차 운휴</t>
    <phoneticPr fontId="1" type="noConversion"/>
  </si>
  <si>
    <t>PM-3 절지</t>
    <phoneticPr fontId="1" type="noConversion"/>
  </si>
  <si>
    <t>20:15~20;50</t>
    <phoneticPr fontId="1" type="noConversion"/>
  </si>
  <si>
    <t>18:28~21:05</t>
    <phoneticPr fontId="1" type="noConversion"/>
  </si>
  <si>
    <t>PM-3절지</t>
    <phoneticPr fontId="1" type="noConversion"/>
  </si>
  <si>
    <t>8/2 #1 스팀회수(16:00~</t>
    <phoneticPr fontId="1" type="noConversion"/>
  </si>
  <si>
    <t>8/4 #2 스팀중지 (02:30~</t>
    <phoneticPr fontId="1" type="noConversion"/>
  </si>
  <si>
    <t>8/5 #2 스팀회수(19:00~</t>
    <phoneticPr fontId="1" type="noConversion"/>
  </si>
  <si>
    <t>8/19 #1 스팀중지(02:20~</t>
    <phoneticPr fontId="1" type="noConversion"/>
  </si>
  <si>
    <t>8/20 #1 스팀회수(20:50~</t>
    <phoneticPr fontId="1" type="noConversion"/>
  </si>
  <si>
    <t>8/16 유동상 소각로 스팀 중지(07:20~</t>
    <phoneticPr fontId="1" type="noConversion"/>
  </si>
  <si>
    <t>16:30~18:50</t>
    <phoneticPr fontId="1" type="noConversion"/>
  </si>
  <si>
    <t>PM-3 급전지시발령</t>
    <phoneticPr fontId="1" type="noConversion"/>
  </si>
  <si>
    <t>8/21 유동상 소각로 스팀회수(00:40~</t>
    <phoneticPr fontId="1" type="noConversion"/>
  </si>
  <si>
    <t>13:10~14:40</t>
    <phoneticPr fontId="1" type="noConversion"/>
  </si>
  <si>
    <t xml:space="preserve"> PM-3 #6F 포밍 와이어 교체차 운휴</t>
    <phoneticPr fontId="1" type="noConversion"/>
  </si>
  <si>
    <t>07:40~09:30</t>
    <phoneticPr fontId="1" type="noConversion"/>
  </si>
  <si>
    <t>03:20~04:10</t>
    <phoneticPr fontId="1" type="noConversion"/>
  </si>
  <si>
    <t>9월1일</t>
    <phoneticPr fontId="1" type="noConversion"/>
  </si>
  <si>
    <t>2025년  9월</t>
    <phoneticPr fontId="1" type="noConversion"/>
  </si>
  <si>
    <t>07:00~09:20</t>
    <phoneticPr fontId="1" type="noConversion"/>
  </si>
  <si>
    <t>pm-2호기 베이비 샥숀롤 교체차</t>
    <phoneticPr fontId="1" type="noConversion"/>
  </si>
  <si>
    <t>13:25~16:30</t>
    <phoneticPr fontId="1" type="noConversion"/>
  </si>
  <si>
    <t>Pm-3 FELT 세척</t>
    <phoneticPr fontId="1" type="noConversion"/>
  </si>
  <si>
    <t>18:35~19:05</t>
    <phoneticPr fontId="1" type="noConversion"/>
  </si>
  <si>
    <t>PM-3 절지</t>
    <phoneticPr fontId="1" type="noConversion"/>
  </si>
  <si>
    <t>10:40~11:25</t>
    <phoneticPr fontId="1" type="noConversion"/>
  </si>
  <si>
    <t>PM-3 #6포머 터닝 실린더 유니버샬 조인트 교체차 운휴</t>
    <phoneticPr fontId="1" type="noConversion"/>
  </si>
  <si>
    <t>9/14 #1 스팀중지 (02:30~</t>
    <phoneticPr fontId="1" type="noConversion"/>
  </si>
  <si>
    <t>9/15 #2 스팀중지 (08:30~  스팀회수 (19:25~</t>
    <phoneticPr fontId="1" type="noConversion"/>
  </si>
  <si>
    <t>9/15 #1 스팀회수 (19:25~</t>
    <phoneticPr fontId="1" type="noConversion"/>
  </si>
  <si>
    <t>9/2 #2 스팀회수 (18:10~</t>
    <phoneticPr fontId="1" type="noConversion"/>
  </si>
  <si>
    <t>9/1 #2 스팀중지 (02:20~</t>
    <phoneticPr fontId="1" type="noConversion"/>
  </si>
  <si>
    <t>2025년  10월</t>
    <phoneticPr fontId="1" type="noConversion"/>
  </si>
  <si>
    <t>10월1일</t>
    <phoneticPr fontId="1" type="noConversion"/>
  </si>
  <si>
    <t>10/2 #1스팀회수(21:10~,#2스팀중지(07:15~20:40)</t>
    <phoneticPr fontId="1" type="noConversion"/>
  </si>
  <si>
    <t xml:space="preserve"> PM-3 FELT세척 및 Backing 롤 교체차 운휴</t>
    <phoneticPr fontId="1" type="noConversion"/>
  </si>
  <si>
    <t>07:43~11:00</t>
    <phoneticPr fontId="1" type="noConversion"/>
  </si>
  <si>
    <t>10/6 유동상 07:20~스팀회수 중지</t>
    <phoneticPr fontId="1" type="noConversion"/>
  </si>
  <si>
    <t xml:space="preserve">10/8 유동상 17:50~스팀회수 </t>
    <phoneticPr fontId="1" type="noConversion"/>
  </si>
  <si>
    <t>10/13 #2스팀중지(02:30~</t>
    <phoneticPr fontId="1" type="noConversion"/>
  </si>
  <si>
    <t>10/14 #1스팀중지(08:20~ #1,2스팀회수(22:00~</t>
    <phoneticPr fontId="1" type="noConversion"/>
  </si>
  <si>
    <t xml:space="preserve"> PM-3 #1 포머 와이어 교체차 운휴</t>
    <phoneticPr fontId="1" type="noConversion"/>
  </si>
  <si>
    <t>10:00~15:00</t>
    <phoneticPr fontId="1" type="noConversion"/>
  </si>
  <si>
    <t>10/1 #1스팀중지(02:40~</t>
    <phoneticPr fontId="1" type="noConversion"/>
  </si>
  <si>
    <t>10/28 #1스팀중지(02:20~</t>
    <phoneticPr fontId="1" type="noConversion"/>
  </si>
  <si>
    <t>10/29 #1스팀회수(18:00~</t>
    <phoneticPr fontId="1" type="noConversion"/>
  </si>
  <si>
    <t>2025년  11월</t>
    <phoneticPr fontId="1" type="noConversion"/>
  </si>
  <si>
    <t>11/4 #2스팀중지(02:15~</t>
    <phoneticPr fontId="1" type="noConversion"/>
  </si>
  <si>
    <t>16:10~18:55</t>
    <phoneticPr fontId="1" type="noConversion"/>
  </si>
  <si>
    <t>PM-3 Felt세척차 운휴</t>
    <phoneticPr fontId="1" type="noConversion"/>
  </si>
  <si>
    <t>11/10 유동상 스팀중지(07:30~</t>
    <phoneticPr fontId="1" type="noConversion"/>
  </si>
  <si>
    <t>11/11 유동상 스팀회수(03:20~</t>
    <phoneticPr fontId="1" type="noConversion"/>
  </si>
  <si>
    <t>11/11 #1스팀중지(05:00~</t>
    <phoneticPr fontId="1" type="noConversion"/>
  </si>
  <si>
    <t>11/14 #1스팀회수 (21:00~</t>
    <phoneticPr fontId="1" type="noConversion"/>
  </si>
  <si>
    <t>11/16 #2스팀회수 (18:00~</t>
    <phoneticPr fontId="1" type="noConversion"/>
  </si>
  <si>
    <t xml:space="preserve">11/16 유동상 스팀중지 (05:20~ </t>
    <phoneticPr fontId="1" type="noConversion"/>
  </si>
  <si>
    <t>16:10~20:45</t>
    <phoneticPr fontId="1" type="noConversion"/>
  </si>
  <si>
    <t>PM-3  Felt세척차 운휴</t>
    <phoneticPr fontId="1" type="noConversion"/>
  </si>
  <si>
    <t>16:20~17:20</t>
    <phoneticPr fontId="1" type="noConversion"/>
  </si>
  <si>
    <t>PM-3  Felt세척차 운휴</t>
    <phoneticPr fontId="1" type="noConversion"/>
  </si>
  <si>
    <t>11/25 #1스팀중지(02:15~</t>
    <phoneticPr fontId="1" type="noConversion"/>
  </si>
  <si>
    <t>11/26 #2스팀중지(09:00~</t>
    <phoneticPr fontId="1" type="noConversion"/>
  </si>
  <si>
    <t>11/26 1,2 스팀회수 (19:40~</t>
    <phoneticPr fontId="1" type="noConversion"/>
  </si>
  <si>
    <t>07:20~07:55</t>
    <phoneticPr fontId="1" type="noConversion"/>
  </si>
  <si>
    <t>PM-3  절지 운휴</t>
    <phoneticPr fontId="1" type="noConversion"/>
  </si>
  <si>
    <t>11/25 유동상 스팀 회수 (00:40~</t>
    <phoneticPr fontId="1" type="noConversion"/>
  </si>
  <si>
    <t>2025년  12월</t>
    <phoneticPr fontId="1" type="noConversion"/>
  </si>
  <si>
    <t>16:00~ 복합보일러 #1, 2호기 덕트FRP 용융으로 운휴</t>
    <phoneticPr fontId="1" type="noConversion"/>
  </si>
  <si>
    <t>12/3일 (16:00~23:00) 정정운휴</t>
    <phoneticPr fontId="1" type="noConversion"/>
  </si>
  <si>
    <t>12/4#1호 스팀 회수(14:50~</t>
    <phoneticPr fontId="1" type="noConversion"/>
  </si>
  <si>
    <t xml:space="preserve">      #2호 스팀 회수(18:10~     </t>
    <phoneticPr fontId="1" type="noConversion"/>
  </si>
  <si>
    <t>15:40~18:00</t>
    <phoneticPr fontId="1" type="noConversion"/>
  </si>
  <si>
    <t>전력감축 지시발령</t>
    <phoneticPr fontId="1" type="noConversion"/>
  </si>
  <si>
    <t>07:20~08:40</t>
    <phoneticPr fontId="1" type="noConversion"/>
  </si>
  <si>
    <t>PM-3 FELT세척차 운휴</t>
    <phoneticPr fontId="1" type="noConversion"/>
  </si>
  <si>
    <t>12/11#2스팀회수중지(03:10~</t>
    <phoneticPr fontId="1" type="noConversion"/>
  </si>
  <si>
    <t>12/12#2스팀회수(20:10~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</si>
</sst>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-* #,##0_-;\-* #,##0_-;_-* &quot;-&quot;_-;_-@_-"/>
    <numFmt numFmtId="43" formatCode="_-* #,##0.00_-;\-* #,##0.00_-;_-* &quot;-&quot;??_-;_-@_-"/>
    <numFmt numFmtId="176" formatCode="0.0_);[Red]\(0.0\)"/>
    <numFmt numFmtId="177" formatCode="0_);[Red]\(0\)"/>
    <numFmt numFmtId="178" formatCode="_-* #,##0.0_-;\-* #,##0.0_-;_-* &quot;-&quot;_-;_-@_-"/>
    <numFmt numFmtId="179" formatCode="_-* #,##0.0_-;\-* #,##0.0_-;_-* &quot;-&quot;??_-;_-@_-"/>
    <numFmt numFmtId="180" formatCode="mm&quot;월&quot;\ dd&quot;일&quot;"/>
    <numFmt numFmtId="181" formatCode="0.0_ "/>
    <numFmt numFmtId="182" formatCode="_-* #,##0.00_-;&quot;₩&quot;&quot;₩&quot;\-* #,##0.00_-;_-* &quot;-&quot;??_-;_-@_-"/>
    <numFmt numFmtId="183" formatCode="0_ "/>
    <numFmt numFmtId="184" formatCode="_-* #,##0.00_-;\-* #,##0.00_-;_-* &quot;-&quot;_-;_-@_-"/>
    <numFmt numFmtId="185" formatCode="#,##0;&quot;△&quot;#,##0"/>
    <numFmt numFmtId="186" formatCode="0.0"/>
    <numFmt numFmtId="187" formatCode="m&quot;/&quot;d;@"/>
    <numFmt numFmtId="188" formatCode="0.0%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Arial"/>
      <family val="2"/>
    </font>
    <font>
      <b/>
      <u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9" fillId="0" borderId="0"/>
    <xf numFmtId="41" fontId="2" fillId="0" borderId="0" applyFont="0" applyFill="0" applyBorder="0" applyAlignment="0" applyProtection="0">
      <alignment vertical="center"/>
    </xf>
  </cellStyleXfs>
  <cellXfs count="400">
    <xf numFmtId="0" fontId="0" fillId="0" borderId="0" xfId="0">
      <alignment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41" fontId="4" fillId="0" borderId="0" xfId="1" applyFont="1" applyProtection="1">
      <alignment vertical="center"/>
      <protection locked="0"/>
    </xf>
    <xf numFmtId="178" fontId="4" fillId="0" borderId="0" xfId="1" applyNumberFormat="1" applyFont="1" applyProtection="1">
      <alignment vertical="center"/>
      <protection locked="0"/>
    </xf>
    <xf numFmtId="0" fontId="4" fillId="10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Fill="1" applyProtection="1">
      <alignment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4" fillId="11" borderId="0" xfId="0" applyFont="1" applyFill="1" applyAlignment="1" applyProtection="1">
      <alignment vertical="center"/>
      <protection locked="0"/>
    </xf>
    <xf numFmtId="178" fontId="4" fillId="0" borderId="0" xfId="1" applyNumberFormat="1" applyFont="1" applyBorder="1" applyProtection="1">
      <alignment vertical="center"/>
      <protection locked="0"/>
    </xf>
    <xf numFmtId="178" fontId="4" fillId="2" borderId="0" xfId="1" applyNumberFormat="1" applyFont="1" applyFill="1" applyBorder="1" applyProtection="1">
      <alignment vertical="center"/>
      <protection locked="0"/>
    </xf>
    <xf numFmtId="41" fontId="4" fillId="0" borderId="0" xfId="1" applyFont="1" applyBorder="1" applyProtection="1">
      <alignment vertical="center"/>
      <protection locked="0"/>
    </xf>
    <xf numFmtId="0" fontId="4" fillId="0" borderId="0" xfId="0" applyFont="1" applyBorder="1" applyProtection="1">
      <alignment vertical="center"/>
      <protection locked="0"/>
    </xf>
    <xf numFmtId="41" fontId="4" fillId="0" borderId="0" xfId="0" applyNumberFormat="1" applyFont="1" applyBorder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4" fillId="0" borderId="18" xfId="0" applyFont="1" applyFill="1" applyBorder="1" applyAlignment="1" applyProtection="1">
      <alignment vertical="center"/>
      <protection locked="0"/>
    </xf>
    <xf numFmtId="0" fontId="4" fillId="0" borderId="9" xfId="0" applyFont="1" applyFill="1" applyBorder="1" applyAlignment="1" applyProtection="1">
      <alignment horizontal="center"/>
      <protection locked="0"/>
    </xf>
    <xf numFmtId="41" fontId="4" fillId="7" borderId="14" xfId="1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41" fontId="4" fillId="10" borderId="8" xfId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10" borderId="0" xfId="0" applyFont="1" applyFill="1" applyAlignment="1" applyProtection="1">
      <alignment horizontal="center" vertical="center"/>
      <protection locked="0"/>
    </xf>
    <xf numFmtId="0" fontId="4" fillId="0" borderId="10" xfId="0" applyFont="1" applyFill="1" applyBorder="1" applyAlignment="1" applyProtection="1">
      <alignment horizontal="center" vertical="top"/>
      <protection locked="0"/>
    </xf>
    <xf numFmtId="41" fontId="4" fillId="7" borderId="11" xfId="1" applyFont="1" applyFill="1" applyBorder="1" applyAlignment="1" applyProtection="1">
      <alignment horizontal="center" vertical="center"/>
      <protection locked="0"/>
    </xf>
    <xf numFmtId="178" fontId="4" fillId="7" borderId="11" xfId="1" applyNumberFormat="1" applyFont="1" applyFill="1" applyBorder="1" applyAlignment="1" applyProtection="1">
      <alignment horizontal="center" vertical="center"/>
      <protection locked="0"/>
    </xf>
    <xf numFmtId="0" fontId="4" fillId="7" borderId="17" xfId="0" applyFont="1" applyFill="1" applyBorder="1" applyAlignment="1" applyProtection="1">
      <alignment horizontal="center" vertical="center"/>
      <protection locked="0"/>
    </xf>
    <xf numFmtId="178" fontId="4" fillId="10" borderId="11" xfId="1" applyNumberFormat="1" applyFont="1" applyFill="1" applyBorder="1" applyAlignment="1" applyProtection="1">
      <alignment horizontal="center" vertical="center"/>
      <protection locked="0"/>
    </xf>
    <xf numFmtId="41" fontId="4" fillId="10" borderId="11" xfId="1" applyFont="1" applyFill="1" applyBorder="1" applyAlignment="1" applyProtection="1">
      <alignment horizontal="center" vertical="center"/>
      <protection locked="0"/>
    </xf>
    <xf numFmtId="41" fontId="4" fillId="10" borderId="12" xfId="1" applyFont="1" applyFill="1" applyBorder="1" applyAlignment="1" applyProtection="1">
      <alignment horizontal="center" vertical="center"/>
      <protection locked="0"/>
    </xf>
    <xf numFmtId="0" fontId="4" fillId="8" borderId="10" xfId="0" applyFont="1" applyFill="1" applyBorder="1" applyAlignment="1" applyProtection="1">
      <alignment horizontal="center" vertical="center"/>
      <protection locked="0"/>
    </xf>
    <xf numFmtId="178" fontId="4" fillId="8" borderId="11" xfId="1" applyNumberFormat="1" applyFont="1" applyFill="1" applyBorder="1" applyAlignment="1" applyProtection="1">
      <alignment horizontal="center" vertical="center"/>
      <protection locked="0"/>
    </xf>
    <xf numFmtId="0" fontId="4" fillId="8" borderId="11" xfId="0" applyFont="1" applyFill="1" applyBorder="1" applyAlignment="1" applyProtection="1">
      <alignment horizontal="center" vertical="center"/>
      <protection locked="0"/>
    </xf>
    <xf numFmtId="178" fontId="4" fillId="8" borderId="12" xfId="1" applyNumberFormat="1" applyFont="1" applyFill="1" applyBorder="1" applyAlignment="1" applyProtection="1">
      <alignment horizontal="center" vertical="center"/>
      <protection locked="0"/>
    </xf>
    <xf numFmtId="0" fontId="4" fillId="6" borderId="11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7" borderId="7" xfId="0" applyFont="1" applyFill="1" applyBorder="1" applyAlignment="1" applyProtection="1">
      <alignment horizontal="center" vertical="center"/>
      <protection locked="0"/>
    </xf>
    <xf numFmtId="41" fontId="4" fillId="7" borderId="3" xfId="1" applyFont="1" applyFill="1" applyBorder="1" applyAlignment="1" applyProtection="1">
      <alignment horizontal="center" vertical="center"/>
    </xf>
    <xf numFmtId="178" fontId="4" fillId="7" borderId="1" xfId="1" applyNumberFormat="1" applyFont="1" applyFill="1" applyBorder="1" applyAlignment="1" applyProtection="1">
      <alignment vertical="center"/>
      <protection locked="0"/>
    </xf>
    <xf numFmtId="41" fontId="4" fillId="7" borderId="3" xfId="1" applyFont="1" applyFill="1" applyBorder="1" applyProtection="1">
      <alignment vertical="center"/>
    </xf>
    <xf numFmtId="41" fontId="4" fillId="7" borderId="16" xfId="1" applyFont="1" applyFill="1" applyBorder="1" applyProtection="1">
      <alignment vertical="center"/>
    </xf>
    <xf numFmtId="0" fontId="4" fillId="7" borderId="16" xfId="0" applyFont="1" applyFill="1" applyBorder="1" applyAlignment="1" applyProtection="1">
      <alignment horizontal="center" vertical="center"/>
    </xf>
    <xf numFmtId="178" fontId="4" fillId="10" borderId="1" xfId="1" applyNumberFormat="1" applyFont="1" applyFill="1" applyBorder="1" applyAlignment="1" applyProtection="1">
      <alignment vertical="center"/>
      <protection locked="0"/>
    </xf>
    <xf numFmtId="41" fontId="4" fillId="10" borderId="1" xfId="1" applyFont="1" applyFill="1" applyBorder="1" applyProtection="1">
      <alignment vertical="center"/>
      <protection locked="0"/>
    </xf>
    <xf numFmtId="41" fontId="4" fillId="10" borderId="8" xfId="1" applyFont="1" applyFill="1" applyBorder="1" applyProtection="1">
      <alignment vertical="center"/>
      <protection locked="0"/>
    </xf>
    <xf numFmtId="177" fontId="8" fillId="8" borderId="9" xfId="2" applyNumberFormat="1" applyFont="1" applyFill="1" applyBorder="1" applyAlignment="1" applyProtection="1">
      <alignment vertical="center"/>
      <protection locked="0"/>
    </xf>
    <xf numFmtId="182" fontId="8" fillId="8" borderId="3" xfId="2" applyNumberFormat="1" applyFont="1" applyFill="1" applyBorder="1" applyAlignment="1" applyProtection="1">
      <alignment horizontal="right" vertical="center"/>
      <protection locked="0"/>
    </xf>
    <xf numFmtId="177" fontId="8" fillId="8" borderId="1" xfId="2" applyNumberFormat="1" applyFont="1" applyFill="1" applyBorder="1" applyAlignment="1" applyProtection="1">
      <alignment vertical="center"/>
      <protection locked="0"/>
    </xf>
    <xf numFmtId="179" fontId="4" fillId="8" borderId="27" xfId="0" applyNumberFormat="1" applyFont="1" applyFill="1" applyBorder="1" applyProtection="1">
      <alignment vertical="center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13" borderId="21" xfId="0" applyFont="1" applyFill="1" applyBorder="1" applyAlignment="1" applyProtection="1">
      <alignment horizontal="center" vertical="center"/>
      <protection locked="0"/>
    </xf>
    <xf numFmtId="41" fontId="4" fillId="5" borderId="30" xfId="0" applyNumberFormat="1" applyFont="1" applyFill="1" applyBorder="1" applyProtection="1">
      <alignment vertical="center"/>
      <protection locked="0"/>
    </xf>
    <xf numFmtId="0" fontId="4" fillId="9" borderId="3" xfId="0" applyFont="1" applyFill="1" applyBorder="1" applyAlignment="1" applyProtection="1">
      <alignment horizontal="center" vertical="center"/>
      <protection locked="0"/>
    </xf>
    <xf numFmtId="0" fontId="4" fillId="9" borderId="2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83" fontId="4" fillId="0" borderId="0" xfId="0" applyNumberFormat="1" applyFont="1" applyAlignment="1" applyProtection="1">
      <alignment horizontal="center" vertical="center"/>
      <protection locked="0"/>
    </xf>
    <xf numFmtId="181" fontId="4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Protection="1">
      <alignment vertical="center"/>
      <protection locked="0"/>
    </xf>
    <xf numFmtId="0" fontId="4" fillId="7" borderId="9" xfId="0" applyFont="1" applyFill="1" applyBorder="1" applyAlignment="1" applyProtection="1">
      <alignment horizontal="center" vertical="center"/>
      <protection locked="0"/>
    </xf>
    <xf numFmtId="41" fontId="4" fillId="7" borderId="1" xfId="1" applyFont="1" applyFill="1" applyBorder="1" applyProtection="1">
      <alignment vertical="center"/>
      <protection locked="0"/>
    </xf>
    <xf numFmtId="41" fontId="4" fillId="7" borderId="14" xfId="1" applyFont="1" applyFill="1" applyBorder="1" applyProtection="1">
      <alignment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8" xfId="0" applyFont="1" applyFill="1" applyBorder="1" applyAlignment="1" applyProtection="1">
      <alignment horizontal="center" vertical="center"/>
      <protection locked="0"/>
    </xf>
    <xf numFmtId="41" fontId="4" fillId="7" borderId="3" xfId="1" applyFont="1" applyFill="1" applyBorder="1" applyAlignment="1" applyProtection="1">
      <alignment horizontal="center" vertical="center"/>
      <protection locked="0"/>
    </xf>
    <xf numFmtId="41" fontId="8" fillId="8" borderId="1" xfId="2" applyFont="1" applyFill="1" applyBorder="1" applyAlignment="1" applyProtection="1">
      <alignment vertical="center"/>
      <protection locked="0"/>
    </xf>
    <xf numFmtId="41" fontId="4" fillId="7" borderId="1" xfId="4" applyFont="1" applyFill="1" applyBorder="1" applyAlignment="1" applyProtection="1">
      <alignment horizontal="center" vertical="center"/>
      <protection locked="0"/>
    </xf>
    <xf numFmtId="41" fontId="4" fillId="7" borderId="14" xfId="4" applyFont="1" applyFill="1" applyBorder="1" applyAlignment="1" applyProtection="1">
      <alignment horizontal="center" vertical="center"/>
      <protection locked="0"/>
    </xf>
    <xf numFmtId="41" fontId="4" fillId="10" borderId="1" xfId="4" applyFont="1" applyFill="1" applyBorder="1" applyAlignment="1" applyProtection="1">
      <alignment horizontal="center" vertical="center"/>
      <protection locked="0"/>
    </xf>
    <xf numFmtId="41" fontId="4" fillId="10" borderId="8" xfId="4" applyFont="1" applyFill="1" applyBorder="1" applyAlignment="1" applyProtection="1">
      <alignment horizontal="center" vertical="center"/>
      <protection locked="0"/>
    </xf>
    <xf numFmtId="177" fontId="8" fillId="8" borderId="9" xfId="5" applyNumberFormat="1" applyFont="1" applyFill="1" applyBorder="1" applyAlignment="1" applyProtection="1">
      <alignment vertical="center"/>
      <protection locked="0"/>
    </xf>
    <xf numFmtId="41" fontId="8" fillId="8" borderId="1" xfId="5" applyFont="1" applyFill="1" applyBorder="1" applyAlignment="1" applyProtection="1">
      <alignment vertical="center"/>
      <protection locked="0"/>
    </xf>
    <xf numFmtId="0" fontId="8" fillId="7" borderId="14" xfId="0" applyFont="1" applyFill="1" applyBorder="1" applyAlignment="1" applyProtection="1">
      <alignment horizontal="center" vertical="center"/>
      <protection locked="0"/>
    </xf>
    <xf numFmtId="41" fontId="6" fillId="7" borderId="1" xfId="1" applyFont="1" applyFill="1" applyBorder="1" applyAlignment="1" applyProtection="1">
      <alignment horizontal="center" vertical="center"/>
      <protection locked="0"/>
    </xf>
    <xf numFmtId="41" fontId="6" fillId="7" borderId="14" xfId="1" applyFont="1" applyFill="1" applyBorder="1" applyAlignment="1" applyProtection="1">
      <alignment horizontal="center" vertical="center"/>
      <protection locked="0"/>
    </xf>
    <xf numFmtId="0" fontId="6" fillId="7" borderId="14" xfId="0" applyFont="1" applyFill="1" applyBorder="1" applyAlignment="1" applyProtection="1">
      <alignment horizontal="center" vertical="center"/>
      <protection locked="0"/>
    </xf>
    <xf numFmtId="41" fontId="6" fillId="10" borderId="1" xfId="1" applyFont="1" applyFill="1" applyBorder="1" applyAlignment="1" applyProtection="1">
      <alignment horizontal="center" vertical="center"/>
      <protection locked="0"/>
    </xf>
    <xf numFmtId="41" fontId="6" fillId="10" borderId="8" xfId="1" applyFont="1" applyFill="1" applyBorder="1" applyAlignment="1" applyProtection="1">
      <alignment horizontal="center" vertical="center"/>
      <protection locked="0"/>
    </xf>
    <xf numFmtId="179" fontId="4" fillId="8" borderId="27" xfId="0" applyNumberFormat="1" applyFont="1" applyFill="1" applyBorder="1" applyProtection="1">
      <alignment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6" fillId="9" borderId="8" xfId="0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41" fontId="4" fillId="3" borderId="1" xfId="1" applyFont="1" applyFill="1" applyBorder="1" applyAlignment="1" applyProtection="1">
      <alignment horizontal="center" vertical="center"/>
      <protection locked="0"/>
    </xf>
    <xf numFmtId="178" fontId="4" fillId="3" borderId="1" xfId="1" applyNumberFormat="1" applyFont="1" applyFill="1" applyBorder="1" applyProtection="1">
      <alignment vertical="center"/>
      <protection locked="0"/>
    </xf>
    <xf numFmtId="41" fontId="4" fillId="3" borderId="1" xfId="1" applyFont="1" applyFill="1" applyBorder="1" applyProtection="1">
      <alignment vertical="center"/>
      <protection locked="0"/>
    </xf>
    <xf numFmtId="41" fontId="4" fillId="3" borderId="14" xfId="1" applyFont="1" applyFill="1" applyBorder="1" applyAlignment="1" applyProtection="1">
      <alignment horizontal="center" vertical="center"/>
      <protection locked="0"/>
    </xf>
    <xf numFmtId="41" fontId="4" fillId="3" borderId="8" xfId="1" applyFont="1" applyFill="1" applyBorder="1" applyProtection="1">
      <alignment vertical="center"/>
      <protection locked="0"/>
    </xf>
    <xf numFmtId="41" fontId="4" fillId="3" borderId="31" xfId="1" applyFont="1" applyFill="1" applyBorder="1" applyAlignment="1" applyProtection="1">
      <alignment horizontal="center" vertical="center"/>
      <protection locked="0"/>
    </xf>
    <xf numFmtId="41" fontId="4" fillId="3" borderId="24" xfId="1" applyFont="1" applyFill="1" applyBorder="1" applyProtection="1">
      <alignment vertical="center"/>
      <protection locked="0"/>
    </xf>
    <xf numFmtId="41" fontId="4" fillId="3" borderId="31" xfId="1" applyFont="1" applyFill="1" applyBorder="1" applyProtection="1">
      <alignment vertical="center"/>
      <protection locked="0"/>
    </xf>
    <xf numFmtId="181" fontId="4" fillId="15" borderId="14" xfId="0" applyNumberFormat="1" applyFont="1" applyFill="1" applyBorder="1" applyAlignment="1" applyProtection="1">
      <alignment vertical="center"/>
      <protection locked="0"/>
    </xf>
    <xf numFmtId="0" fontId="4" fillId="0" borderId="37" xfId="0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176" fontId="4" fillId="2" borderId="11" xfId="0" applyNumberFormat="1" applyFont="1" applyFill="1" applyBorder="1" applyAlignment="1" applyProtection="1">
      <alignment horizontal="center" vertical="center"/>
      <protection locked="0"/>
    </xf>
    <xf numFmtId="178" fontId="4" fillId="2" borderId="11" xfId="0" applyNumberFormat="1" applyFont="1" applyFill="1" applyBorder="1" applyAlignment="1" applyProtection="1">
      <alignment horizontal="right" vertical="center"/>
      <protection locked="0"/>
    </xf>
    <xf numFmtId="176" fontId="4" fillId="2" borderId="11" xfId="0" applyNumberFormat="1" applyFont="1" applyFill="1" applyBorder="1" applyAlignment="1" applyProtection="1">
      <alignment horizontal="right" vertical="center"/>
      <protection locked="0"/>
    </xf>
    <xf numFmtId="176" fontId="4" fillId="2" borderId="12" xfId="0" applyNumberFormat="1" applyFont="1" applyFill="1" applyBorder="1" applyAlignment="1" applyProtection="1">
      <alignment horizontal="center" vertical="center"/>
      <protection locked="0"/>
    </xf>
    <xf numFmtId="184" fontId="4" fillId="2" borderId="11" xfId="0" applyNumberFormat="1" applyFont="1" applyFill="1" applyBorder="1" applyAlignment="1" applyProtection="1">
      <alignment horizontal="right" vertical="center"/>
      <protection locked="0"/>
    </xf>
    <xf numFmtId="176" fontId="4" fillId="2" borderId="12" xfId="0" applyNumberFormat="1" applyFont="1" applyFill="1" applyBorder="1" applyAlignment="1" applyProtection="1">
      <alignment horizontal="right" vertical="center"/>
      <protection locked="0"/>
    </xf>
    <xf numFmtId="176" fontId="4" fillId="2" borderId="10" xfId="0" applyNumberFormat="1" applyFont="1" applyFill="1" applyBorder="1" applyAlignment="1" applyProtection="1">
      <alignment horizontal="right" vertical="center"/>
      <protection locked="0"/>
    </xf>
    <xf numFmtId="176" fontId="4" fillId="2" borderId="17" xfId="0" applyNumberFormat="1" applyFont="1" applyFill="1" applyBorder="1" applyAlignment="1" applyProtection="1">
      <alignment horizontal="right" vertical="center"/>
      <protection locked="0"/>
    </xf>
    <xf numFmtId="176" fontId="4" fillId="2" borderId="29" xfId="0" applyNumberFormat="1" applyFont="1" applyFill="1" applyBorder="1" applyAlignment="1" applyProtection="1">
      <alignment horizontal="right" vertical="center"/>
      <protection locked="0"/>
    </xf>
    <xf numFmtId="41" fontId="4" fillId="0" borderId="2" xfId="0" applyNumberFormat="1" applyFont="1" applyBorder="1" applyProtection="1">
      <alignment vertical="center"/>
      <protection locked="0"/>
    </xf>
    <xf numFmtId="41" fontId="4" fillId="0" borderId="2" xfId="0" applyNumberFormat="1" applyFont="1" applyBorder="1" applyAlignment="1" applyProtection="1">
      <alignment horizontal="center" vertical="center"/>
      <protection locked="0"/>
    </xf>
    <xf numFmtId="41" fontId="4" fillId="0" borderId="0" xfId="0" applyNumberFormat="1" applyFont="1" applyProtection="1">
      <alignment vertical="center"/>
      <protection locked="0"/>
    </xf>
    <xf numFmtId="41" fontId="7" fillId="0" borderId="46" xfId="6" applyFont="1" applyBorder="1" applyProtection="1">
      <alignment vertical="center"/>
      <protection locked="0"/>
    </xf>
    <xf numFmtId="178" fontId="4" fillId="0" borderId="0" xfId="6" applyNumberFormat="1" applyFont="1" applyFill="1" applyBorder="1" applyProtection="1">
      <alignment vertical="center"/>
      <protection locked="0"/>
    </xf>
    <xf numFmtId="0" fontId="4" fillId="0" borderId="0" xfId="0" applyFont="1" applyFill="1" applyBorder="1" applyProtection="1">
      <alignment vertical="center"/>
      <protection locked="0"/>
    </xf>
    <xf numFmtId="41" fontId="7" fillId="0" borderId="47" xfId="6" applyFont="1" applyBorder="1" applyProtection="1">
      <alignment vertical="center"/>
      <protection locked="0"/>
    </xf>
    <xf numFmtId="178" fontId="4" fillId="0" borderId="0" xfId="6" applyNumberFormat="1" applyFont="1" applyFill="1" applyBorder="1" applyAlignment="1" applyProtection="1">
      <alignment horizontal="center" vertical="center"/>
      <protection locked="0"/>
    </xf>
    <xf numFmtId="178" fontId="4" fillId="0" borderId="0" xfId="6" applyNumberFormat="1" applyFont="1" applyFill="1" applyBorder="1" applyAlignment="1" applyProtection="1">
      <alignment vertical="center"/>
      <protection locked="0"/>
    </xf>
    <xf numFmtId="41" fontId="4" fillId="0" borderId="0" xfId="6" quotePrefix="1" applyNumberFormat="1" applyFont="1" applyFill="1" applyBorder="1" applyAlignment="1" applyProtection="1">
      <alignment horizontal="center" vertical="center"/>
      <protection locked="0"/>
    </xf>
    <xf numFmtId="41" fontId="4" fillId="0" borderId="0" xfId="6" applyNumberFormat="1" applyFont="1" applyFill="1" applyBorder="1" applyAlignment="1" applyProtection="1">
      <alignment horizontal="center" vertical="center"/>
      <protection locked="0"/>
    </xf>
    <xf numFmtId="178" fontId="4" fillId="0" borderId="0" xfId="6" quotePrefix="1" applyNumberFormat="1" applyFont="1" applyFill="1" applyBorder="1" applyAlignment="1" applyProtection="1">
      <alignment horizontal="center" vertical="center"/>
      <protection locked="0"/>
    </xf>
    <xf numFmtId="178" fontId="4" fillId="0" borderId="0" xfId="6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185" fontId="4" fillId="0" borderId="0" xfId="1" applyNumberFormat="1" applyFont="1" applyFill="1" applyBorder="1" applyAlignment="1" applyProtection="1">
      <alignment horizontal="right" vertical="center"/>
      <protection locked="0"/>
    </xf>
    <xf numFmtId="185" fontId="4" fillId="0" borderId="0" xfId="1" quotePrefix="1" applyNumberFormat="1" applyFont="1" applyFill="1" applyBorder="1" applyAlignment="1" applyProtection="1">
      <alignment horizontal="right" vertical="center"/>
      <protection locked="0"/>
    </xf>
    <xf numFmtId="43" fontId="7" fillId="0" borderId="0" xfId="0" applyNumberFormat="1" applyFont="1" applyFill="1" applyBorder="1" applyAlignment="1" applyProtection="1">
      <alignment horizontal="center" vertical="center"/>
      <protection locked="0"/>
    </xf>
    <xf numFmtId="176" fontId="4" fillId="0" borderId="0" xfId="0" applyNumberFormat="1" applyFont="1" applyFill="1" applyBorder="1" applyAlignment="1" applyProtection="1">
      <alignment horizontal="center" vertical="center"/>
      <protection locked="0"/>
    </xf>
    <xf numFmtId="178" fontId="4" fillId="0" borderId="0" xfId="1" applyNumberFormat="1" applyFont="1" applyFill="1" applyBorder="1" applyAlignment="1" applyProtection="1">
      <alignment horizontal="center" vertical="center"/>
      <protection locked="0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41" fontId="7" fillId="0" borderId="0" xfId="1" applyFont="1" applyFill="1" applyBorder="1" applyAlignment="1" applyProtection="1">
      <alignment horizontal="center" vertical="center"/>
      <protection locked="0"/>
    </xf>
    <xf numFmtId="41" fontId="4" fillId="0" borderId="0" xfId="0" applyNumberFormat="1" applyFont="1" applyFill="1" applyBorder="1" applyAlignment="1" applyProtection="1">
      <alignment horizontal="center" vertical="center"/>
      <protection locked="0"/>
    </xf>
    <xf numFmtId="184" fontId="4" fillId="0" borderId="0" xfId="6" applyNumberFormat="1" applyFont="1" applyProtection="1">
      <alignment vertical="center"/>
      <protection locked="0"/>
    </xf>
    <xf numFmtId="184" fontId="4" fillId="0" borderId="0" xfId="6" applyNumberFormat="1" applyFont="1" applyFill="1" applyProtection="1">
      <alignment vertical="center"/>
      <protection locked="0"/>
    </xf>
    <xf numFmtId="41" fontId="7" fillId="0" borderId="50" xfId="6" applyFont="1" applyBorder="1" applyProtection="1">
      <alignment vertical="center"/>
      <protection locked="0"/>
    </xf>
    <xf numFmtId="0" fontId="8" fillId="0" borderId="0" xfId="7" applyFont="1" applyProtection="1">
      <protection locked="0"/>
    </xf>
    <xf numFmtId="0" fontId="10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178" fontId="7" fillId="0" borderId="0" xfId="6" applyNumberFormat="1" applyFont="1" applyFill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2" fillId="9" borderId="52" xfId="0" applyFont="1" applyFill="1" applyBorder="1" applyAlignment="1" applyProtection="1">
      <alignment horizontal="center" vertical="center" wrapText="1" readingOrder="1"/>
      <protection locked="0"/>
    </xf>
    <xf numFmtId="0" fontId="12" fillId="9" borderId="53" xfId="0" applyFont="1" applyFill="1" applyBorder="1" applyAlignment="1" applyProtection="1">
      <alignment horizontal="center" vertical="center" wrapText="1" readingOrder="1"/>
      <protection locked="0"/>
    </xf>
    <xf numFmtId="41" fontId="13" fillId="9" borderId="37" xfId="6" applyFont="1" applyFill="1" applyBorder="1" applyAlignment="1" applyProtection="1">
      <alignment horizontal="center" vertical="center" wrapText="1" readingOrder="1"/>
      <protection locked="0"/>
    </xf>
    <xf numFmtId="0" fontId="12" fillId="0" borderId="0" xfId="0" applyFont="1" applyBorder="1" applyAlignment="1" applyProtection="1">
      <alignment horizontal="center" vertical="center" wrapText="1" readingOrder="1"/>
      <protection locked="0"/>
    </xf>
    <xf numFmtId="0" fontId="12" fillId="0" borderId="0" xfId="0" applyFont="1" applyBorder="1" applyAlignment="1" applyProtection="1">
      <alignment horizontal="center" vertical="center" wrapText="1"/>
      <protection locked="0"/>
    </xf>
    <xf numFmtId="0" fontId="11" fillId="0" borderId="0" xfId="0" applyFont="1" applyFill="1" applyProtection="1">
      <alignment vertical="center"/>
      <protection locked="0"/>
    </xf>
    <xf numFmtId="0" fontId="12" fillId="0" borderId="5" xfId="0" applyFont="1" applyFill="1" applyBorder="1" applyAlignment="1" applyProtection="1">
      <alignment horizontal="center" vertical="center" wrapText="1" readingOrder="1"/>
      <protection locked="0"/>
    </xf>
    <xf numFmtId="0" fontId="12" fillId="0" borderId="20" xfId="0" applyFont="1" applyFill="1" applyBorder="1" applyAlignment="1" applyProtection="1">
      <alignment horizontal="center" vertical="center" wrapText="1" readingOrder="1"/>
      <protection locked="0"/>
    </xf>
    <xf numFmtId="41" fontId="12" fillId="0" borderId="15" xfId="6" applyNumberFormat="1" applyFont="1" applyFill="1" applyBorder="1" applyAlignment="1" applyProtection="1">
      <alignment horizontal="right" vertical="center" wrapText="1" readingOrder="1"/>
      <protection locked="0"/>
    </xf>
    <xf numFmtId="178" fontId="14" fillId="0" borderId="46" xfId="6" applyNumberFormat="1" applyFont="1" applyFill="1" applyBorder="1" applyProtection="1">
      <alignment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12" fillId="0" borderId="3" xfId="0" applyFont="1" applyFill="1" applyBorder="1" applyAlignment="1" applyProtection="1">
      <alignment horizontal="center" vertical="center" wrapText="1" readingOrder="1"/>
      <protection locked="0"/>
    </xf>
    <xf numFmtId="0" fontId="12" fillId="0" borderId="1" xfId="0" applyFont="1" applyFill="1" applyBorder="1" applyAlignment="1" applyProtection="1">
      <alignment horizontal="center" vertical="center" wrapText="1" readingOrder="1"/>
      <protection locked="0"/>
    </xf>
    <xf numFmtId="0" fontId="12" fillId="0" borderId="15" xfId="0" applyFont="1" applyFill="1" applyBorder="1" applyAlignment="1" applyProtection="1">
      <alignment horizontal="center" vertical="center" wrapText="1" readingOrder="1"/>
      <protection locked="0"/>
    </xf>
    <xf numFmtId="178" fontId="11" fillId="0" borderId="47" xfId="6" applyNumberFormat="1" applyFont="1" applyFill="1" applyBorder="1" applyProtection="1">
      <alignment vertical="center"/>
      <protection locked="0"/>
    </xf>
    <xf numFmtId="43" fontId="11" fillId="0" borderId="0" xfId="0" applyNumberFormat="1" applyFont="1" applyFill="1" applyProtection="1">
      <alignment vertical="center"/>
      <protection locked="0"/>
    </xf>
    <xf numFmtId="0" fontId="12" fillId="0" borderId="44" xfId="0" applyFont="1" applyFill="1" applyBorder="1" applyAlignment="1" applyProtection="1">
      <alignment horizontal="center" vertical="center" wrapText="1" readingOrder="1"/>
      <protection locked="0"/>
    </xf>
    <xf numFmtId="41" fontId="12" fillId="0" borderId="44" xfId="6" applyNumberFormat="1" applyFont="1" applyFill="1" applyBorder="1" applyAlignment="1" applyProtection="1">
      <alignment horizontal="right" vertical="center" wrapText="1" readingOrder="1"/>
      <protection locked="0"/>
    </xf>
    <xf numFmtId="0" fontId="12" fillId="2" borderId="11" xfId="0" applyFont="1" applyFill="1" applyBorder="1" applyAlignment="1" applyProtection="1">
      <alignment horizontal="center" vertical="center" wrapText="1" readingOrder="1"/>
      <protection locked="0"/>
    </xf>
    <xf numFmtId="186" fontId="12" fillId="2" borderId="11" xfId="0" applyNumberFormat="1" applyFont="1" applyFill="1" applyBorder="1" applyAlignment="1" applyProtection="1">
      <alignment horizontal="center" vertical="center" wrapText="1" readingOrder="1"/>
      <protection locked="0"/>
    </xf>
    <xf numFmtId="41" fontId="12" fillId="2" borderId="11" xfId="1" applyFont="1" applyFill="1" applyBorder="1" applyAlignment="1" applyProtection="1">
      <alignment horizontal="right" vertical="center" wrapText="1" readingOrder="1"/>
      <protection locked="0"/>
    </xf>
    <xf numFmtId="41" fontId="13" fillId="2" borderId="50" xfId="1" applyFont="1" applyFill="1" applyBorder="1" applyAlignment="1" applyProtection="1">
      <alignment horizontal="right" vertical="center" wrapText="1" readingOrder="1"/>
      <protection locked="0"/>
    </xf>
    <xf numFmtId="180" fontId="4" fillId="0" borderId="1" xfId="0" applyNumberFormat="1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vertical="center" shrinkToFit="1"/>
      <protection locked="0"/>
    </xf>
    <xf numFmtId="0" fontId="4" fillId="0" borderId="1" xfId="0" applyFont="1" applyBorder="1" applyAlignment="1" applyProtection="1">
      <alignment vertical="center" shrinkToFit="1"/>
      <protection locked="0"/>
    </xf>
    <xf numFmtId="41" fontId="4" fillId="16" borderId="1" xfId="6" quotePrefix="1" applyNumberFormat="1" applyFont="1" applyFill="1" applyBorder="1" applyAlignment="1" applyProtection="1">
      <alignment horizontal="center" vertical="center"/>
      <protection locked="0"/>
    </xf>
    <xf numFmtId="41" fontId="4" fillId="16" borderId="1" xfId="6" applyNumberFormat="1" applyFont="1" applyFill="1" applyBorder="1" applyAlignment="1" applyProtection="1">
      <alignment horizontal="center" vertical="center"/>
      <protection locked="0"/>
    </xf>
    <xf numFmtId="178" fontId="4" fillId="16" borderId="1" xfId="6" applyNumberFormat="1" applyFont="1" applyFill="1" applyBorder="1" applyAlignment="1" applyProtection="1">
      <alignment horizontal="center" vertical="center"/>
      <protection locked="0"/>
    </xf>
    <xf numFmtId="187" fontId="6" fillId="0" borderId="1" xfId="0" applyNumberFormat="1" applyFont="1" applyBorder="1" applyAlignment="1" applyProtection="1">
      <alignment horizontal="center" vertical="center"/>
      <protection locked="0"/>
    </xf>
    <xf numFmtId="41" fontId="6" fillId="0" borderId="1" xfId="8" applyFont="1" applyBorder="1" applyAlignment="1" applyProtection="1">
      <alignment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41" fontId="4" fillId="2" borderId="1" xfId="1" applyNumberFormat="1" applyFont="1" applyFill="1" applyBorder="1" applyProtection="1">
      <alignment vertical="center"/>
      <protection locked="0"/>
    </xf>
    <xf numFmtId="184" fontId="4" fillId="0" borderId="1" xfId="1" applyNumberFormat="1" applyFont="1" applyBorder="1" applyProtection="1">
      <alignment vertical="center"/>
      <protection locked="0"/>
    </xf>
    <xf numFmtId="41" fontId="4" fillId="0" borderId="1" xfId="1" applyFont="1" applyBorder="1" applyProtection="1">
      <alignment vertical="center"/>
      <protection locked="0"/>
    </xf>
    <xf numFmtId="178" fontId="4" fillId="0" borderId="1" xfId="6" applyNumberFormat="1" applyFont="1" applyFill="1" applyBorder="1" applyAlignment="1" applyProtection="1">
      <alignment horizontal="center" vertical="center"/>
      <protection locked="0"/>
    </xf>
    <xf numFmtId="185" fontId="4" fillId="0" borderId="1" xfId="1" applyNumberFormat="1" applyFont="1" applyFill="1" applyBorder="1" applyAlignment="1" applyProtection="1">
      <alignment horizontal="right" vertical="center"/>
      <protection locked="0"/>
    </xf>
    <xf numFmtId="185" fontId="4" fillId="0" borderId="1" xfId="1" applyNumberFormat="1" applyFont="1" applyBorder="1" applyAlignment="1" applyProtection="1">
      <alignment horizontal="right" vertical="center"/>
      <protection locked="0"/>
    </xf>
    <xf numFmtId="185" fontId="4" fillId="0" borderId="1" xfId="1" quotePrefix="1" applyNumberFormat="1" applyFont="1" applyFill="1" applyBorder="1" applyAlignment="1" applyProtection="1">
      <alignment horizontal="right" vertical="center"/>
      <protection locked="0"/>
    </xf>
    <xf numFmtId="185" fontId="4" fillId="2" borderId="1" xfId="1" applyNumberFormat="1" applyFont="1" applyFill="1" applyBorder="1" applyAlignment="1" applyProtection="1">
      <alignment horizontal="right" vertical="center"/>
      <protection locked="0"/>
    </xf>
    <xf numFmtId="178" fontId="4" fillId="2" borderId="1" xfId="6" applyNumberFormat="1" applyFont="1" applyFill="1" applyBorder="1" applyAlignment="1" applyProtection="1">
      <alignment horizontal="center" vertical="center"/>
      <protection locked="0"/>
    </xf>
    <xf numFmtId="185" fontId="4" fillId="0" borderId="0" xfId="0" applyNumberFormat="1" applyFont="1" applyProtection="1">
      <alignment vertical="center"/>
      <protection locked="0"/>
    </xf>
    <xf numFmtId="41" fontId="6" fillId="0" borderId="1" xfId="1" applyFont="1" applyBorder="1" applyAlignment="1" applyProtection="1">
      <alignment vertical="center"/>
      <protection locked="0"/>
    </xf>
    <xf numFmtId="0" fontId="4" fillId="16" borderId="1" xfId="0" applyFont="1" applyFill="1" applyBorder="1" applyAlignment="1" applyProtection="1">
      <alignment horizontal="center" vertical="center"/>
      <protection locked="0"/>
    </xf>
    <xf numFmtId="41" fontId="4" fillId="2" borderId="1" xfId="1" applyFont="1" applyFill="1" applyBorder="1" applyAlignment="1" applyProtection="1">
      <alignment horizontal="center" vertical="center"/>
      <protection locked="0"/>
    </xf>
    <xf numFmtId="187" fontId="3" fillId="0" borderId="1" xfId="0" applyNumberFormat="1" applyFont="1" applyBorder="1" applyAlignment="1" applyProtection="1">
      <alignment horizontal="center" vertical="center"/>
      <protection locked="0"/>
    </xf>
    <xf numFmtId="185" fontId="4" fillId="0" borderId="1" xfId="1" applyNumberFormat="1" applyFont="1" applyBorder="1" applyAlignment="1" applyProtection="1">
      <alignment horizontal="center" vertical="center"/>
      <protection locked="0"/>
    </xf>
    <xf numFmtId="185" fontId="4" fillId="2" borderId="1" xfId="1" applyNumberFormat="1" applyFont="1" applyFill="1" applyBorder="1" applyAlignment="1" applyProtection="1">
      <alignment horizontal="center" vertical="center"/>
      <protection locked="0"/>
    </xf>
    <xf numFmtId="187" fontId="6" fillId="0" borderId="1" xfId="0" quotePrefix="1" applyNumberFormat="1" applyFont="1" applyBorder="1" applyAlignment="1" applyProtection="1">
      <alignment horizontal="center" vertical="center"/>
      <protection locked="0"/>
    </xf>
    <xf numFmtId="0" fontId="4" fillId="17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41" fontId="4" fillId="0" borderId="1" xfId="0" applyNumberFormat="1" applyFont="1" applyBorder="1" applyAlignment="1" applyProtection="1">
      <alignment horizontal="center" vertical="center"/>
      <protection locked="0"/>
    </xf>
    <xf numFmtId="41" fontId="4" fillId="2" borderId="1" xfId="0" applyNumberFormat="1" applyFont="1" applyFill="1" applyBorder="1" applyAlignment="1" applyProtection="1">
      <alignment horizontal="center" vertical="center"/>
      <protection locked="0"/>
    </xf>
    <xf numFmtId="9" fontId="4" fillId="0" borderId="1" xfId="3" applyFont="1" applyFill="1" applyBorder="1" applyAlignment="1" applyProtection="1">
      <alignment horizontal="center" vertical="center"/>
      <protection locked="0"/>
    </xf>
    <xf numFmtId="41" fontId="4" fillId="0" borderId="1" xfId="1" applyFont="1" applyFill="1" applyBorder="1" applyAlignment="1" applyProtection="1">
      <alignment vertical="center"/>
      <protection locked="0"/>
    </xf>
    <xf numFmtId="188" fontId="4" fillId="0" borderId="1" xfId="3" applyNumberFormat="1" applyFont="1" applyFill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Protection="1">
      <alignment vertical="center"/>
      <protection locked="0"/>
    </xf>
    <xf numFmtId="178" fontId="11" fillId="0" borderId="1" xfId="0" applyNumberFormat="1" applyFont="1" applyBorder="1" applyProtection="1">
      <alignment vertical="center"/>
      <protection locked="0"/>
    </xf>
    <xf numFmtId="0" fontId="4" fillId="8" borderId="1" xfId="0" applyFont="1" applyFill="1" applyBorder="1" applyAlignment="1" applyProtection="1">
      <alignment vertical="center"/>
      <protection locked="0"/>
    </xf>
    <xf numFmtId="0" fontId="6" fillId="8" borderId="1" xfId="0" applyFont="1" applyFill="1" applyBorder="1" applyAlignment="1" applyProtection="1">
      <alignment vertical="center"/>
      <protection locked="0"/>
    </xf>
    <xf numFmtId="0" fontId="4" fillId="8" borderId="9" xfId="0" applyFont="1" applyFill="1" applyBorder="1" applyAlignment="1" applyProtection="1">
      <alignment vertical="center"/>
      <protection locked="0"/>
    </xf>
    <xf numFmtId="0" fontId="6" fillId="8" borderId="9" xfId="0" applyFont="1" applyFill="1" applyBorder="1" applyAlignment="1" applyProtection="1">
      <alignment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41" fontId="4" fillId="10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41" fontId="4" fillId="3" borderId="14" xfId="1" applyFont="1" applyFill="1" applyBorder="1" applyProtection="1">
      <alignment vertical="center"/>
      <protection locked="0"/>
    </xf>
    <xf numFmtId="176" fontId="4" fillId="2" borderId="17" xfId="0" applyNumberFormat="1" applyFont="1" applyFill="1" applyBorder="1" applyAlignment="1" applyProtection="1">
      <alignment horizontal="center" vertical="center"/>
      <protection locked="0"/>
    </xf>
    <xf numFmtId="41" fontId="4" fillId="10" borderId="57" xfId="1" applyFont="1" applyFill="1" applyBorder="1" applyAlignment="1" applyProtection="1">
      <alignment horizontal="center" vertical="center"/>
      <protection locked="0"/>
    </xf>
    <xf numFmtId="41" fontId="8" fillId="10" borderId="20" xfId="1" applyFont="1" applyFill="1" applyBorder="1" applyAlignment="1" applyProtection="1">
      <alignment horizontal="center" vertical="center"/>
      <protection locked="0"/>
    </xf>
    <xf numFmtId="41" fontId="4" fillId="10" borderId="20" xfId="1" applyFont="1" applyFill="1" applyBorder="1" applyAlignment="1" applyProtection="1">
      <alignment horizontal="center" vertical="center"/>
      <protection locked="0"/>
    </xf>
    <xf numFmtId="41" fontId="4" fillId="3" borderId="15" xfId="1" applyFont="1" applyFill="1" applyBorder="1" applyAlignment="1" applyProtection="1">
      <alignment horizontal="center" vertical="center"/>
      <protection locked="0"/>
    </xf>
    <xf numFmtId="176" fontId="4" fillId="2" borderId="57" xfId="0" applyNumberFormat="1" applyFont="1" applyFill="1" applyBorder="1" applyAlignment="1" applyProtection="1">
      <alignment horizontal="center" vertical="center"/>
      <protection locked="0"/>
    </xf>
    <xf numFmtId="178" fontId="4" fillId="7" borderId="3" xfId="1" applyNumberFormat="1" applyFont="1" applyFill="1" applyBorder="1" applyAlignment="1" applyProtection="1">
      <alignment vertical="center"/>
      <protection locked="0"/>
    </xf>
    <xf numFmtId="0" fontId="4" fillId="7" borderId="23" xfId="0" applyFont="1" applyFill="1" applyBorder="1" applyAlignment="1" applyProtection="1">
      <alignment horizontal="center" vertical="center"/>
      <protection locked="0"/>
    </xf>
    <xf numFmtId="0" fontId="4" fillId="7" borderId="8" xfId="0" applyFont="1" applyFill="1" applyBorder="1" applyAlignment="1" applyProtection="1">
      <alignment horizontal="center" vertical="center"/>
      <protection locked="0"/>
    </xf>
    <xf numFmtId="0" fontId="4" fillId="7" borderId="12" xfId="0" applyFont="1" applyFill="1" applyBorder="1" applyAlignment="1" applyProtection="1">
      <alignment horizontal="center" vertical="center"/>
      <protection locked="0"/>
    </xf>
    <xf numFmtId="0" fontId="4" fillId="7" borderId="21" xfId="0" applyFont="1" applyFill="1" applyBorder="1" applyAlignment="1" applyProtection="1">
      <alignment horizontal="center" vertical="center"/>
    </xf>
    <xf numFmtId="0" fontId="8" fillId="7" borderId="8" xfId="0" applyFont="1" applyFill="1" applyBorder="1" applyAlignment="1" applyProtection="1">
      <alignment horizontal="center" vertical="center"/>
      <protection locked="0"/>
    </xf>
    <xf numFmtId="0" fontId="6" fillId="7" borderId="8" xfId="0" applyFont="1" applyFill="1" applyBorder="1" applyAlignment="1" applyProtection="1">
      <alignment horizontal="center" vertical="center"/>
      <protection locked="0"/>
    </xf>
    <xf numFmtId="41" fontId="4" fillId="3" borderId="8" xfId="1" applyFont="1" applyFill="1" applyBorder="1" applyAlignment="1" applyProtection="1">
      <alignment horizontal="center" vertical="center"/>
      <protection locked="0"/>
    </xf>
    <xf numFmtId="0" fontId="4" fillId="6" borderId="56" xfId="0" applyFont="1" applyFill="1" applyBorder="1" applyAlignment="1" applyProtection="1">
      <alignment horizontal="center" vertical="center"/>
      <protection locked="0"/>
    </xf>
    <xf numFmtId="0" fontId="4" fillId="13" borderId="26" xfId="0" applyFont="1" applyFill="1" applyBorder="1" applyAlignment="1" applyProtection="1">
      <alignment horizontal="center" vertical="center"/>
      <protection locked="0"/>
    </xf>
    <xf numFmtId="0" fontId="4" fillId="9" borderId="59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6" borderId="57" xfId="0" applyFont="1" applyFill="1" applyBorder="1" applyAlignment="1" applyProtection="1">
      <alignment horizontal="center" vertical="center"/>
      <protection locked="0"/>
    </xf>
    <xf numFmtId="0" fontId="6" fillId="6" borderId="15" xfId="0" applyFont="1" applyFill="1" applyBorder="1" applyAlignment="1" applyProtection="1">
      <alignment horizontal="center" vertical="center"/>
      <protection locked="0"/>
    </xf>
    <xf numFmtId="176" fontId="4" fillId="2" borderId="56" xfId="0" applyNumberFormat="1" applyFont="1" applyFill="1" applyBorder="1" applyAlignment="1" applyProtection="1">
      <alignment horizontal="right" vertical="center"/>
      <protection locked="0"/>
    </xf>
    <xf numFmtId="184" fontId="4" fillId="2" borderId="12" xfId="0" applyNumberFormat="1" applyFont="1" applyFill="1" applyBorder="1" applyAlignment="1" applyProtection="1">
      <alignment horizontal="right" vertical="center"/>
      <protection locked="0"/>
    </xf>
    <xf numFmtId="0" fontId="4" fillId="5" borderId="56" xfId="0" applyFont="1" applyFill="1" applyBorder="1" applyAlignment="1" applyProtection="1">
      <alignment horizontal="center" vertical="center"/>
      <protection locked="0"/>
    </xf>
    <xf numFmtId="41" fontId="4" fillId="5" borderId="16" xfId="0" applyNumberFormat="1" applyFont="1" applyFill="1" applyBorder="1" applyProtection="1">
      <alignment vertical="center"/>
      <protection locked="0"/>
    </xf>
    <xf numFmtId="41" fontId="6" fillId="5" borderId="16" xfId="0" applyNumberFormat="1" applyFont="1" applyFill="1" applyBorder="1" applyProtection="1">
      <alignment vertical="center"/>
      <protection locked="0"/>
    </xf>
    <xf numFmtId="184" fontId="4" fillId="2" borderId="17" xfId="0" applyNumberFormat="1" applyFont="1" applyFill="1" applyBorder="1" applyAlignment="1" applyProtection="1">
      <alignment horizontal="right" vertic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center" vertical="center"/>
      <protection locked="0"/>
    </xf>
    <xf numFmtId="0" fontId="6" fillId="9" borderId="9" xfId="0" applyFont="1" applyFill="1" applyBorder="1" applyAlignment="1" applyProtection="1">
      <alignment horizontal="center" vertical="center"/>
      <protection locked="0"/>
    </xf>
    <xf numFmtId="41" fontId="4" fillId="3" borderId="9" xfId="1" applyFont="1" applyFill="1" applyBorder="1" applyProtection="1">
      <alignment vertical="center"/>
      <protection locked="0"/>
    </xf>
    <xf numFmtId="41" fontId="4" fillId="10" borderId="1" xfId="1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Protection="1">
      <alignment vertical="center"/>
      <protection locked="0"/>
    </xf>
    <xf numFmtId="181" fontId="4" fillId="7" borderId="14" xfId="0" applyNumberFormat="1" applyFont="1" applyFill="1" applyBorder="1" applyAlignment="1" applyProtection="1">
      <alignment vertical="center"/>
      <protection locked="0"/>
    </xf>
    <xf numFmtId="186" fontId="4" fillId="18" borderId="37" xfId="0" applyNumberFormat="1" applyFont="1" applyFill="1" applyBorder="1" applyAlignment="1" applyProtection="1">
      <alignment horizontal="center" vertical="center"/>
      <protection locked="0"/>
    </xf>
    <xf numFmtId="186" fontId="4" fillId="17" borderId="37" xfId="0" applyNumberFormat="1" applyFont="1" applyFill="1" applyBorder="1" applyAlignment="1" applyProtection="1">
      <alignment horizontal="center" vertical="center"/>
      <protection locked="0"/>
    </xf>
    <xf numFmtId="183" fontId="4" fillId="2" borderId="0" xfId="0" applyNumberFormat="1" applyFont="1" applyFill="1" applyAlignment="1" applyProtection="1">
      <alignment horizontal="center" vertical="center"/>
      <protection locked="0"/>
    </xf>
    <xf numFmtId="181" fontId="4" fillId="2" borderId="0" xfId="0" applyNumberFormat="1" applyFont="1" applyFill="1" applyAlignment="1" applyProtection="1">
      <alignment horizontal="center" vertical="center"/>
      <protection locked="0"/>
    </xf>
    <xf numFmtId="176" fontId="4" fillId="21" borderId="12" xfId="0" applyNumberFormat="1" applyFont="1" applyFill="1" applyBorder="1" applyAlignment="1" applyProtection="1">
      <alignment horizontal="right" vertical="center"/>
      <protection locked="0"/>
    </xf>
    <xf numFmtId="176" fontId="4" fillId="20" borderId="12" xfId="0" applyNumberFormat="1" applyFont="1" applyFill="1" applyBorder="1" applyAlignment="1" applyProtection="1">
      <alignment horizontal="right" vertical="center"/>
      <protection locked="0"/>
    </xf>
    <xf numFmtId="0" fontId="4" fillId="17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8" borderId="2" xfId="0" applyFont="1" applyFill="1" applyBorder="1" applyAlignment="1" applyProtection="1">
      <alignment horizontal="center" vertical="center"/>
      <protection locked="0"/>
    </xf>
    <xf numFmtId="0" fontId="4" fillId="19" borderId="0" xfId="0" applyFont="1" applyFill="1" applyProtection="1">
      <alignment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Protection="1">
      <alignment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0" fontId="4" fillId="22" borderId="0" xfId="0" applyFont="1" applyFill="1" applyProtection="1">
      <alignment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6" fillId="0" borderId="1" xfId="1" applyFont="1" applyBorder="1" applyAlignment="1" applyProtection="1">
      <alignment horizontal="center" vertical="center"/>
      <protection locked="0"/>
    </xf>
    <xf numFmtId="41" fontId="6" fillId="0" borderId="14" xfId="1" applyFont="1" applyBorder="1" applyAlignment="1" applyProtection="1">
      <alignment horizontal="left" vertical="center"/>
      <protection locked="0"/>
    </xf>
    <xf numFmtId="41" fontId="6" fillId="0" borderId="40" xfId="1" applyFont="1" applyBorder="1" applyAlignment="1" applyProtection="1">
      <alignment horizontal="left" vertical="center"/>
      <protection locked="0"/>
    </xf>
    <xf numFmtId="41" fontId="6" fillId="0" borderId="14" xfId="1" applyFont="1" applyBorder="1" applyAlignment="1" applyProtection="1">
      <alignment horizontal="center" vertical="center"/>
      <protection locked="0"/>
    </xf>
    <xf numFmtId="41" fontId="6" fillId="0" borderId="15" xfId="1" applyFont="1" applyBorder="1" applyAlignment="1" applyProtection="1">
      <alignment horizontal="center" vertical="center"/>
      <protection locked="0"/>
    </xf>
    <xf numFmtId="41" fontId="6" fillId="0" borderId="15" xfId="1" applyFont="1" applyBorder="1" applyAlignment="1" applyProtection="1">
      <alignment horizontal="left" vertical="center"/>
      <protection locked="0"/>
    </xf>
    <xf numFmtId="20" fontId="6" fillId="0" borderId="1" xfId="1" applyNumberFormat="1" applyFont="1" applyBorder="1" applyAlignment="1" applyProtection="1">
      <alignment horizontal="center" vertical="center"/>
      <protection locked="0"/>
    </xf>
    <xf numFmtId="41" fontId="6" fillId="0" borderId="14" xfId="8" applyFont="1" applyBorder="1" applyAlignment="1" applyProtection="1">
      <alignment horizontal="left" vertical="center"/>
      <protection locked="0"/>
    </xf>
    <xf numFmtId="41" fontId="6" fillId="0" borderId="40" xfId="8" applyFont="1" applyBorder="1" applyAlignment="1" applyProtection="1">
      <alignment horizontal="left" vertical="center"/>
      <protection locked="0"/>
    </xf>
    <xf numFmtId="0" fontId="4" fillId="16" borderId="14" xfId="0" applyFont="1" applyFill="1" applyBorder="1" applyAlignment="1" applyProtection="1">
      <alignment horizontal="center" vertical="center"/>
      <protection locked="0"/>
    </xf>
    <xf numFmtId="0" fontId="4" fillId="16" borderId="40" xfId="0" applyFont="1" applyFill="1" applyBorder="1" applyAlignment="1" applyProtection="1">
      <alignment horizontal="center" vertical="center"/>
      <protection locked="0"/>
    </xf>
    <xf numFmtId="0" fontId="4" fillId="16" borderId="15" xfId="0" applyFont="1" applyFill="1" applyBorder="1" applyAlignment="1" applyProtection="1">
      <alignment horizontal="center" vertical="center"/>
      <protection locked="0"/>
    </xf>
    <xf numFmtId="20" fontId="6" fillId="0" borderId="14" xfId="1" applyNumberFormat="1" applyFont="1" applyBorder="1" applyAlignment="1" applyProtection="1">
      <alignment horizontal="center" vertical="center"/>
      <protection locked="0"/>
    </xf>
    <xf numFmtId="41" fontId="6" fillId="0" borderId="1" xfId="8" applyFont="1" applyBorder="1" applyAlignment="1" applyProtection="1">
      <alignment horizontal="center" vertical="center"/>
      <protection locked="0"/>
    </xf>
    <xf numFmtId="20" fontId="6" fillId="0" borderId="14" xfId="8" applyNumberFormat="1" applyFont="1" applyBorder="1" applyAlignment="1" applyProtection="1">
      <alignment horizontal="center" vertical="center"/>
      <protection locked="0"/>
    </xf>
    <xf numFmtId="41" fontId="6" fillId="0" borderId="15" xfId="8" applyFont="1" applyBorder="1" applyAlignment="1" applyProtection="1">
      <alignment horizontal="center" vertical="center"/>
      <protection locked="0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176" fontId="4" fillId="0" borderId="14" xfId="0" applyNumberFormat="1" applyFont="1" applyFill="1" applyBorder="1" applyAlignment="1" applyProtection="1">
      <alignment horizontal="center" vertical="center"/>
      <protection locked="0"/>
    </xf>
    <xf numFmtId="176" fontId="4" fillId="0" borderId="15" xfId="0" applyNumberFormat="1" applyFont="1" applyFill="1" applyBorder="1" applyAlignment="1" applyProtection="1">
      <alignment horizontal="center" vertical="center"/>
      <protection locked="0"/>
    </xf>
    <xf numFmtId="178" fontId="4" fillId="16" borderId="14" xfId="6" applyNumberFormat="1" applyFont="1" applyFill="1" applyBorder="1" applyAlignment="1" applyProtection="1">
      <alignment horizontal="center" vertical="center"/>
      <protection locked="0"/>
    </xf>
    <xf numFmtId="178" fontId="4" fillId="16" borderId="15" xfId="6" applyNumberFormat="1" applyFont="1" applyFill="1" applyBorder="1" applyAlignment="1" applyProtection="1">
      <alignment horizontal="center" vertical="center"/>
      <protection locked="0"/>
    </xf>
    <xf numFmtId="178" fontId="4" fillId="0" borderId="2" xfId="6" applyNumberFormat="1" applyFont="1" applyFill="1" applyBorder="1" applyAlignment="1" applyProtection="1">
      <alignment horizontal="center" vertical="center"/>
      <protection locked="0"/>
    </xf>
    <xf numFmtId="178" fontId="4" fillId="0" borderId="4" xfId="6" applyNumberFormat="1" applyFont="1" applyFill="1" applyBorder="1" applyAlignment="1" applyProtection="1">
      <alignment horizontal="center" vertical="center"/>
      <protection locked="0"/>
    </xf>
    <xf numFmtId="178" fontId="4" fillId="0" borderId="3" xfId="6" applyNumberFormat="1" applyFont="1" applyFill="1" applyBorder="1" applyAlignment="1" applyProtection="1">
      <alignment horizontal="center" vertical="center"/>
      <protection locked="0"/>
    </xf>
    <xf numFmtId="0" fontId="12" fillId="9" borderId="35" xfId="0" applyFont="1" applyFill="1" applyBorder="1" applyAlignment="1" applyProtection="1">
      <alignment horizontal="center" vertical="center" wrapText="1" readingOrder="1"/>
      <protection locked="0"/>
    </xf>
    <xf numFmtId="0" fontId="12" fillId="9" borderId="51" xfId="0" applyFont="1" applyFill="1" applyBorder="1" applyAlignment="1" applyProtection="1">
      <alignment horizontal="center" vertical="center" wrapText="1" readingOrder="1"/>
      <protection locked="0"/>
    </xf>
    <xf numFmtId="0" fontId="12" fillId="0" borderId="39" xfId="0" applyFont="1" applyFill="1" applyBorder="1" applyAlignment="1" applyProtection="1">
      <alignment horizontal="center" vertical="center" wrapText="1" readingOrder="1"/>
      <protection locked="0"/>
    </xf>
    <xf numFmtId="0" fontId="12" fillId="0" borderId="54" xfId="0" applyFont="1" applyFill="1" applyBorder="1" applyAlignment="1" applyProtection="1">
      <alignment horizontal="center" vertical="center" wrapText="1" readingOrder="1"/>
      <protection locked="0"/>
    </xf>
    <xf numFmtId="0" fontId="12" fillId="0" borderId="55" xfId="0" applyFont="1" applyFill="1" applyBorder="1" applyAlignment="1" applyProtection="1">
      <alignment horizontal="center" vertical="center" wrapText="1" readingOrder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1" fontId="4" fillId="0" borderId="1" xfId="1" applyFont="1" applyBorder="1" applyAlignment="1" applyProtection="1">
      <alignment horizontal="center" vertical="center"/>
      <protection locked="0"/>
    </xf>
    <xf numFmtId="41" fontId="4" fillId="0" borderId="14" xfId="1" applyFont="1" applyBorder="1" applyAlignment="1" applyProtection="1">
      <alignment horizontal="center" vertical="center"/>
      <protection locked="0"/>
    </xf>
    <xf numFmtId="41" fontId="4" fillId="0" borderId="40" xfId="1" applyFont="1" applyBorder="1" applyAlignment="1" applyProtection="1">
      <alignment horizontal="center" vertical="center"/>
      <protection locked="0"/>
    </xf>
    <xf numFmtId="41" fontId="4" fillId="0" borderId="9" xfId="6" applyFont="1" applyFill="1" applyBorder="1" applyAlignment="1" applyProtection="1">
      <alignment horizontal="center" vertical="center"/>
      <protection locked="0"/>
    </xf>
    <xf numFmtId="41" fontId="4" fillId="0" borderId="14" xfId="6" applyFont="1" applyFill="1" applyBorder="1" applyAlignment="1" applyProtection="1">
      <alignment horizontal="center" vertical="center"/>
      <protection locked="0"/>
    </xf>
    <xf numFmtId="178" fontId="4" fillId="0" borderId="31" xfId="1" applyNumberFormat="1" applyFont="1" applyFill="1" applyBorder="1" applyAlignment="1" applyProtection="1">
      <alignment horizontal="right" vertical="center"/>
      <protection locked="0"/>
    </xf>
    <xf numFmtId="178" fontId="4" fillId="0" borderId="24" xfId="1" applyNumberFormat="1" applyFont="1" applyFill="1" applyBorder="1" applyAlignment="1" applyProtection="1">
      <alignment horizontal="right" vertical="center"/>
      <protection locked="0"/>
    </xf>
    <xf numFmtId="41" fontId="4" fillId="0" borderId="48" xfId="6" applyFont="1" applyFill="1" applyBorder="1" applyAlignment="1" applyProtection="1">
      <alignment horizontal="center" vertical="center"/>
      <protection locked="0"/>
    </xf>
    <xf numFmtId="41" fontId="4" fillId="0" borderId="38" xfId="6" applyFont="1" applyFill="1" applyBorder="1" applyAlignment="1" applyProtection="1">
      <alignment horizontal="center" vertical="center"/>
      <protection locked="0"/>
    </xf>
    <xf numFmtId="178" fontId="4" fillId="0" borderId="29" xfId="1" applyNumberFormat="1" applyFont="1" applyFill="1" applyBorder="1" applyAlignment="1" applyProtection="1">
      <alignment horizontal="center" vertical="center"/>
      <protection locked="0"/>
    </xf>
    <xf numFmtId="178" fontId="4" fillId="0" borderId="28" xfId="1" applyNumberFormat="1" applyFont="1" applyFill="1" applyBorder="1" applyAlignment="1" applyProtection="1">
      <alignment horizontal="center" vertical="center"/>
      <protection locked="0"/>
    </xf>
    <xf numFmtId="0" fontId="7" fillId="0" borderId="35" xfId="0" applyFont="1" applyFill="1" applyBorder="1" applyAlignment="1" applyProtection="1">
      <alignment horizontal="center" vertical="center"/>
      <protection locked="0"/>
    </xf>
    <xf numFmtId="0" fontId="7" fillId="0" borderId="49" xfId="0" applyFont="1" applyFill="1" applyBorder="1" applyAlignment="1" applyProtection="1">
      <alignment horizontal="center" vertical="center"/>
      <protection locked="0"/>
    </xf>
    <xf numFmtId="178" fontId="7" fillId="0" borderId="35" xfId="1" applyNumberFormat="1" applyFont="1" applyFill="1" applyBorder="1" applyAlignment="1" applyProtection="1">
      <alignment horizontal="center" vertical="center"/>
      <protection locked="0"/>
    </xf>
    <xf numFmtId="178" fontId="7" fillId="0" borderId="36" xfId="1" applyNumberFormat="1" applyFont="1" applyFill="1" applyBorder="1" applyAlignment="1" applyProtection="1">
      <alignment horizontal="center" vertical="center"/>
      <protection locked="0"/>
    </xf>
    <xf numFmtId="178" fontId="4" fillId="0" borderId="31" xfId="1" applyNumberFormat="1" applyFont="1" applyFill="1" applyBorder="1" applyAlignment="1" applyProtection="1">
      <alignment horizontal="center" vertical="center"/>
      <protection locked="0"/>
    </xf>
    <xf numFmtId="178" fontId="4" fillId="0" borderId="24" xfId="1" applyNumberFormat="1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4" fillId="5" borderId="0" xfId="0" applyNumberFormat="1" applyFont="1" applyFill="1" applyAlignment="1" applyProtection="1">
      <alignment horizontal="left" vertical="center"/>
      <protection locked="0"/>
    </xf>
    <xf numFmtId="0" fontId="4" fillId="5" borderId="33" xfId="0" applyNumberFormat="1" applyFont="1" applyFill="1" applyBorder="1" applyAlignment="1" applyProtection="1">
      <alignment horizontal="left" vertical="center"/>
      <protection locked="0"/>
    </xf>
    <xf numFmtId="0" fontId="4" fillId="14" borderId="45" xfId="0" applyNumberFormat="1" applyFont="1" applyFill="1" applyBorder="1" applyAlignment="1" applyProtection="1">
      <alignment horizontal="left" vertical="center"/>
      <protection locked="0"/>
    </xf>
    <xf numFmtId="0" fontId="4" fillId="14" borderId="0" xfId="0" applyNumberFormat="1" applyFont="1" applyFill="1" applyBorder="1" applyAlignment="1" applyProtection="1">
      <alignment horizontal="left" vertical="center"/>
      <protection locked="0"/>
    </xf>
    <xf numFmtId="0" fontId="4" fillId="14" borderId="33" xfId="0" applyNumberFormat="1" applyFont="1" applyFill="1" applyBorder="1" applyAlignment="1" applyProtection="1">
      <alignment horizontal="left" vertical="center"/>
      <protection locked="0"/>
    </xf>
    <xf numFmtId="181" fontId="4" fillId="12" borderId="1" xfId="0" applyNumberFormat="1" applyFont="1" applyFill="1" applyBorder="1" applyAlignment="1" applyProtection="1">
      <alignment horizontal="center" vertical="center"/>
      <protection locked="0"/>
    </xf>
    <xf numFmtId="0" fontId="4" fillId="12" borderId="1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8" xfId="0" quotePrefix="1" applyFont="1" applyFill="1" applyBorder="1" applyAlignment="1" applyProtection="1">
      <alignment horizontal="center" vertical="center"/>
      <protection locked="0"/>
    </xf>
    <xf numFmtId="0" fontId="4" fillId="2" borderId="6" xfId="0" quotePrefix="1" applyFont="1" applyFill="1" applyBorder="1" applyAlignment="1" applyProtection="1">
      <alignment horizontal="center" vertical="center"/>
      <protection locked="0"/>
    </xf>
    <xf numFmtId="180" fontId="4" fillId="5" borderId="0" xfId="0" applyNumberFormat="1" applyFont="1" applyFill="1" applyAlignment="1" applyProtection="1">
      <alignment horizontal="left" vertical="center"/>
      <protection locked="0"/>
    </xf>
    <xf numFmtId="180" fontId="4" fillId="14" borderId="45" xfId="0" applyNumberFormat="1" applyFont="1" applyFill="1" applyBorder="1" applyAlignment="1" applyProtection="1">
      <alignment horizontal="left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38" xfId="0" applyFont="1" applyFill="1" applyBorder="1" applyAlignment="1" applyProtection="1">
      <alignment horizontal="center" vertical="center"/>
      <protection locked="0"/>
    </xf>
    <xf numFmtId="0" fontId="4" fillId="4" borderId="43" xfId="0" applyFont="1" applyFill="1" applyBorder="1" applyAlignment="1" applyProtection="1">
      <alignment horizontal="center" vertical="center"/>
      <protection locked="0"/>
    </xf>
    <xf numFmtId="0" fontId="4" fillId="4" borderId="44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 wrapText="1"/>
      <protection locked="0"/>
    </xf>
    <xf numFmtId="0" fontId="4" fillId="5" borderId="25" xfId="0" applyFont="1" applyFill="1" applyBorder="1" applyAlignment="1" applyProtection="1">
      <alignment horizontal="center" vertical="center" wrapText="1"/>
      <protection locked="0"/>
    </xf>
    <xf numFmtId="0" fontId="4" fillId="5" borderId="30" xfId="0" applyFont="1" applyFill="1" applyBorder="1" applyAlignment="1" applyProtection="1">
      <alignment horizontal="center" vertical="center" wrapText="1"/>
      <protection locked="0"/>
    </xf>
    <xf numFmtId="0" fontId="4" fillId="5" borderId="26" xfId="0" applyFont="1" applyFill="1" applyBorder="1" applyAlignment="1" applyProtection="1">
      <alignment horizontal="center" vertical="center" wrapText="1"/>
      <protection locked="0"/>
    </xf>
    <xf numFmtId="0" fontId="4" fillId="9" borderId="41" xfId="0" applyFont="1" applyFill="1" applyBorder="1" applyAlignment="1" applyProtection="1">
      <alignment horizontal="center" vertical="center"/>
      <protection locked="0"/>
    </xf>
    <xf numFmtId="0" fontId="4" fillId="9" borderId="25" xfId="0" applyFont="1" applyFill="1" applyBorder="1" applyAlignment="1" applyProtection="1">
      <alignment horizontal="center" vertical="center"/>
      <protection locked="0"/>
    </xf>
    <xf numFmtId="0" fontId="4" fillId="9" borderId="23" xfId="0" applyFont="1" applyFill="1" applyBorder="1" applyAlignment="1" applyProtection="1">
      <alignment horizontal="center" vertical="center"/>
      <protection locked="0"/>
    </xf>
    <xf numFmtId="0" fontId="4" fillId="9" borderId="61" xfId="0" applyFont="1" applyFill="1" applyBorder="1" applyAlignment="1" applyProtection="1">
      <alignment horizontal="center" vertical="center"/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62" xfId="0" applyFont="1" applyFill="1" applyBorder="1" applyAlignment="1" applyProtection="1">
      <alignment horizontal="center" vertical="center"/>
      <protection locked="0"/>
    </xf>
    <xf numFmtId="0" fontId="4" fillId="6" borderId="58" xfId="0" applyFont="1" applyFill="1" applyBorder="1" applyAlignment="1" applyProtection="1">
      <alignment horizontal="center" vertical="center"/>
      <protection locked="0"/>
    </xf>
    <xf numFmtId="0" fontId="4" fillId="6" borderId="23" xfId="0" applyFont="1" applyFill="1" applyBorder="1" applyAlignment="1" applyProtection="1">
      <alignment horizontal="center" vertical="center"/>
      <protection locked="0"/>
    </xf>
    <xf numFmtId="0" fontId="4" fillId="6" borderId="16" xfId="0" applyFont="1" applyFill="1" applyBorder="1" applyAlignment="1" applyProtection="1">
      <alignment horizontal="center" vertical="center"/>
      <protection locked="0"/>
    </xf>
    <xf numFmtId="0" fontId="4" fillId="6" borderId="27" xfId="0" applyFont="1" applyFill="1" applyBorder="1" applyAlignment="1" applyProtection="1">
      <alignment horizontal="center" vertical="center"/>
      <protection locked="0"/>
    </xf>
    <xf numFmtId="41" fontId="4" fillId="7" borderId="1" xfId="1" applyFont="1" applyFill="1" applyBorder="1" applyAlignment="1" applyProtection="1">
      <alignment horizontal="center" vertical="center"/>
      <protection locked="0"/>
    </xf>
    <xf numFmtId="41" fontId="4" fillId="10" borderId="40" xfId="1" applyFont="1" applyFill="1" applyBorder="1" applyAlignment="1" applyProtection="1">
      <alignment horizontal="center" vertical="center"/>
      <protection locked="0"/>
    </xf>
    <xf numFmtId="41" fontId="4" fillId="10" borderId="15" xfId="1" applyFont="1" applyFill="1" applyBorder="1" applyAlignment="1" applyProtection="1">
      <alignment horizontal="center" vertical="center"/>
      <protection locked="0"/>
    </xf>
    <xf numFmtId="0" fontId="4" fillId="8" borderId="9" xfId="0" applyFont="1" applyFill="1" applyBorder="1" applyAlignment="1" applyProtection="1">
      <alignment horizontal="center" vertical="center"/>
      <protection locked="0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4" fillId="8" borderId="15" xfId="0" applyFont="1" applyFill="1" applyBorder="1" applyAlignment="1" applyProtection="1">
      <alignment horizontal="center" vertical="center"/>
      <protection locked="0"/>
    </xf>
    <xf numFmtId="0" fontId="4" fillId="8" borderId="8" xfId="0" applyFont="1" applyFill="1" applyBorder="1" applyAlignment="1" applyProtection="1">
      <alignment horizontal="center" vertical="center"/>
      <protection locked="0"/>
    </xf>
    <xf numFmtId="0" fontId="4" fillId="6" borderId="40" xfId="0" applyFont="1" applyFill="1" applyBorder="1" applyAlignment="1" applyProtection="1">
      <alignment horizontal="center"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left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4" fillId="7" borderId="13" xfId="0" applyFont="1" applyFill="1" applyBorder="1" applyAlignment="1" applyProtection="1">
      <alignment horizontal="center" vertical="center"/>
      <protection locked="0"/>
    </xf>
    <xf numFmtId="0" fontId="4" fillId="10" borderId="19" xfId="0" applyFont="1" applyFill="1" applyBorder="1" applyAlignment="1" applyProtection="1">
      <alignment horizontal="center" vertical="center"/>
      <protection locked="0"/>
    </xf>
    <xf numFmtId="0" fontId="4" fillId="10" borderId="22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0" fontId="4" fillId="8" borderId="22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/>
      <protection locked="0"/>
    </xf>
    <xf numFmtId="0" fontId="4" fillId="6" borderId="42" xfId="0" applyFont="1" applyFill="1" applyBorder="1" applyAlignment="1" applyProtection="1">
      <alignment horizontal="center" vertical="center"/>
      <protection locked="0"/>
    </xf>
    <xf numFmtId="20" fontId="6" fillId="0" borderId="1" xfId="8" applyNumberFormat="1" applyFont="1" applyBorder="1" applyAlignment="1" applyProtection="1">
      <alignment horizontal="center" vertical="center"/>
      <protection locked="0"/>
    </xf>
    <xf numFmtId="0" fontId="4" fillId="14" borderId="0" xfId="0" applyNumberFormat="1" applyFont="1" applyFill="1" applyAlignment="1" applyProtection="1">
      <alignment horizontal="left" vertical="center"/>
      <protection locked="0"/>
    </xf>
  </cellXfs>
  <cellStyles count="9">
    <cellStyle name="백분율" xfId="3" builtinId="5"/>
    <cellStyle name="쉼표 [0]" xfId="1" builtinId="6"/>
    <cellStyle name="쉼표 [0] 2" xfId="2"/>
    <cellStyle name="쉼표 [0] 2 73" xfId="5"/>
    <cellStyle name="쉼표 [0] 3 10" xfId="6"/>
    <cellStyle name="쉼표 [0] 3 14" xfId="8"/>
    <cellStyle name="쉼표 [0] 63" xfId="4"/>
    <cellStyle name="표준" xfId="0" builtinId="0"/>
    <cellStyle name="표준 2 30" xfId="7"/>
  </cellStyles>
  <dxfs count="0"/>
  <tableStyles count="0" defaultTableStyle="TableStyleMedium9" defaultPivotStyle="PivotStyleLight16"/>
  <colors>
    <mruColors>
      <color rgb="FFD6EBFA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89"/>
  <sheetViews>
    <sheetView topLeftCell="A10" zoomScale="90" zoomScaleNormal="90" workbookViewId="0">
      <selection activeCell="D61" sqref="D61:I61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7.125" style="8" customWidth="1"/>
    <col min="29" max="31" width="11.375" style="8" customWidth="1"/>
    <col min="32" max="32" width="10.5" style="8" bestFit="1" customWidth="1"/>
    <col min="33" max="33" width="9.75" style="8" bestFit="1" customWidth="1"/>
    <col min="34" max="34" width="7" style="6" customWidth="1"/>
    <col min="35" max="35" width="9.375" style="6" bestFit="1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9.875" style="6" bestFit="1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138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56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18</v>
      </c>
      <c r="AI5" s="354"/>
      <c r="AK5" s="22" t="s">
        <v>19</v>
      </c>
      <c r="AL5" s="23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30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34</v>
      </c>
      <c r="AN6" s="7"/>
      <c r="AO6" s="7"/>
      <c r="AP6" s="7"/>
      <c r="AQ6"/>
    </row>
    <row r="7" spans="1:43" x14ac:dyDescent="0.3">
      <c r="A7" s="40">
        <v>1</v>
      </c>
      <c r="B7" s="41">
        <v>1515</v>
      </c>
      <c r="C7" s="214">
        <f t="shared" ref="C7:C37" si="0">B7/24</f>
        <v>63.125</v>
      </c>
      <c r="D7" s="43">
        <v>1061</v>
      </c>
      <c r="E7" s="44">
        <v>700</v>
      </c>
      <c r="F7" s="44">
        <v>1760</v>
      </c>
      <c r="G7" s="45">
        <v>402</v>
      </c>
      <c r="H7" s="218">
        <v>107</v>
      </c>
      <c r="I7" s="210">
        <v>409</v>
      </c>
      <c r="J7" s="46">
        <f t="shared" ref="J7:J37" si="1">I7/24</f>
        <v>17.041666666666668</v>
      </c>
      <c r="K7" s="47">
        <v>346</v>
      </c>
      <c r="L7" s="48">
        <v>268</v>
      </c>
      <c r="M7" s="49">
        <v>0</v>
      </c>
      <c r="N7" s="50">
        <f t="shared" ref="N7:N37" si="2">M7/24</f>
        <v>0</v>
      </c>
      <c r="O7" s="51">
        <v>206</v>
      </c>
      <c r="P7" s="52">
        <f t="shared" ref="P7:P37" si="3">O7/24</f>
        <v>8.5833333333333339</v>
      </c>
      <c r="Q7" s="257">
        <v>0</v>
      </c>
      <c r="R7" s="53">
        <v>0</v>
      </c>
      <c r="S7" s="54">
        <v>231</v>
      </c>
      <c r="T7" s="223">
        <v>470</v>
      </c>
      <c r="U7" s="55">
        <f>SUM(B7,I7,M7,O7,Q7,R7,S7)</f>
        <v>2361</v>
      </c>
      <c r="V7" s="231">
        <f t="shared" ref="V7:V37" si="4">U7/24</f>
        <v>98.375</v>
      </c>
      <c r="W7" s="235">
        <v>0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>
        <v>140</v>
      </c>
      <c r="AL7" s="60">
        <f t="shared" ref="AL7:AL37" si="5">AK7/24</f>
        <v>5.833333333333333</v>
      </c>
      <c r="AM7" s="6">
        <v>1440</v>
      </c>
      <c r="AO7" s="61"/>
      <c r="AP7" s="61">
        <f t="shared" ref="AP7:AP37" si="6">S7-AO7</f>
        <v>231</v>
      </c>
      <c r="AQ7"/>
    </row>
    <row r="8" spans="1:43" x14ac:dyDescent="0.3">
      <c r="A8" s="62">
        <v>2</v>
      </c>
      <c r="B8" s="41">
        <v>106</v>
      </c>
      <c r="C8" s="42">
        <f t="shared" si="0"/>
        <v>4.416666666666667</v>
      </c>
      <c r="D8" s="63">
        <v>74</v>
      </c>
      <c r="E8" s="44">
        <v>170</v>
      </c>
      <c r="F8" s="64">
        <v>244</v>
      </c>
      <c r="G8" s="20">
        <v>328</v>
      </c>
      <c r="H8" s="216">
        <v>29</v>
      </c>
      <c r="I8" s="210">
        <v>387</v>
      </c>
      <c r="J8" s="46">
        <f t="shared" si="1"/>
        <v>16.125</v>
      </c>
      <c r="K8" s="47">
        <v>338</v>
      </c>
      <c r="L8" s="48">
        <v>268</v>
      </c>
      <c r="M8" s="49">
        <v>0</v>
      </c>
      <c r="N8" s="50">
        <f t="shared" si="2"/>
        <v>0</v>
      </c>
      <c r="O8" s="51">
        <v>0</v>
      </c>
      <c r="P8" s="52">
        <f t="shared" si="3"/>
        <v>0</v>
      </c>
      <c r="Q8" s="257">
        <v>0</v>
      </c>
      <c r="R8" s="53">
        <v>0</v>
      </c>
      <c r="S8" s="54">
        <v>187</v>
      </c>
      <c r="T8" s="223">
        <v>428</v>
      </c>
      <c r="U8" s="55">
        <f>SUM(B8,I8,M8,O8,Q8,R8,S8)</f>
        <v>680</v>
      </c>
      <c r="V8" s="231">
        <f t="shared" si="4"/>
        <v>28.333333333333332</v>
      </c>
      <c r="W8" s="236">
        <v>0</v>
      </c>
      <c r="X8" s="65">
        <v>0</v>
      </c>
      <c r="Y8" s="66">
        <v>24</v>
      </c>
      <c r="Z8" s="6"/>
      <c r="AA8" s="359" t="s">
        <v>139</v>
      </c>
      <c r="AB8" s="348"/>
      <c r="AC8" s="348"/>
      <c r="AD8" s="348"/>
      <c r="AE8" s="350"/>
      <c r="AF8" s="351"/>
      <c r="AG8" s="351"/>
      <c r="AH8" s="352"/>
      <c r="AI8" s="58">
        <v>1390</v>
      </c>
      <c r="AJ8" s="58">
        <v>1300</v>
      </c>
      <c r="AK8" s="59">
        <v>1</v>
      </c>
      <c r="AL8" s="60">
        <f t="shared" si="5"/>
        <v>4.1666666666666664E-2</v>
      </c>
      <c r="AM8" s="6">
        <v>0</v>
      </c>
      <c r="AO8" s="61"/>
      <c r="AP8" s="61">
        <f t="shared" si="6"/>
        <v>187</v>
      </c>
      <c r="AQ8"/>
    </row>
    <row r="9" spans="1:43" x14ac:dyDescent="0.3">
      <c r="A9" s="62">
        <v>3</v>
      </c>
      <c r="B9" s="67">
        <v>727</v>
      </c>
      <c r="C9" s="42">
        <f t="shared" si="0"/>
        <v>30.291666666666668</v>
      </c>
      <c r="D9" s="63">
        <v>509</v>
      </c>
      <c r="E9" s="44">
        <v>452</v>
      </c>
      <c r="F9" s="64">
        <v>961</v>
      </c>
      <c r="G9" s="20">
        <v>335</v>
      </c>
      <c r="H9" s="216">
        <v>33</v>
      </c>
      <c r="I9" s="210">
        <v>370</v>
      </c>
      <c r="J9" s="46">
        <f t="shared" si="1"/>
        <v>15.416666666666666</v>
      </c>
      <c r="K9" s="47">
        <v>312</v>
      </c>
      <c r="L9" s="48">
        <v>266</v>
      </c>
      <c r="M9" s="49">
        <v>0</v>
      </c>
      <c r="N9" s="50">
        <f t="shared" si="2"/>
        <v>0</v>
      </c>
      <c r="O9" s="68">
        <v>0</v>
      </c>
      <c r="P9" s="52">
        <f t="shared" si="3"/>
        <v>0</v>
      </c>
      <c r="Q9" s="257">
        <v>0</v>
      </c>
      <c r="R9" s="53">
        <v>0</v>
      </c>
      <c r="S9" s="54">
        <v>234</v>
      </c>
      <c r="T9" s="223">
        <v>504</v>
      </c>
      <c r="U9" s="55">
        <f t="shared" ref="U9:U37" si="7">SUM(B9,I9,M9,O9,Q9,R9,S9)</f>
        <v>1331</v>
      </c>
      <c r="V9" s="231">
        <f t="shared" si="4"/>
        <v>55.458333333333336</v>
      </c>
      <c r="W9" s="236">
        <v>0</v>
      </c>
      <c r="X9" s="65">
        <v>0</v>
      </c>
      <c r="Y9" s="66">
        <v>24</v>
      </c>
      <c r="Z9" s="6"/>
      <c r="AA9" s="348" t="s">
        <v>140</v>
      </c>
      <c r="AB9" s="348"/>
      <c r="AC9" s="348"/>
      <c r="AD9" s="348"/>
      <c r="AE9" s="350"/>
      <c r="AF9" s="351"/>
      <c r="AG9" s="351"/>
      <c r="AH9" s="352"/>
      <c r="AI9" s="58">
        <v>1440</v>
      </c>
      <c r="AJ9" s="58"/>
      <c r="AK9" s="59">
        <v>21</v>
      </c>
      <c r="AL9" s="60">
        <f t="shared" si="5"/>
        <v>0.875</v>
      </c>
      <c r="AM9" s="6">
        <v>1380</v>
      </c>
      <c r="AO9" s="61"/>
      <c r="AP9" s="61">
        <f t="shared" si="6"/>
        <v>234</v>
      </c>
      <c r="AQ9"/>
    </row>
    <row r="10" spans="1:43" x14ac:dyDescent="0.3">
      <c r="A10" s="62">
        <v>4</v>
      </c>
      <c r="B10" s="67">
        <v>710</v>
      </c>
      <c r="C10" s="42">
        <f t="shared" si="0"/>
        <v>29.583333333333332</v>
      </c>
      <c r="D10" s="63">
        <v>497</v>
      </c>
      <c r="E10" s="44">
        <v>390</v>
      </c>
      <c r="F10" s="64">
        <v>887</v>
      </c>
      <c r="G10" s="20">
        <v>363</v>
      </c>
      <c r="H10" s="216">
        <v>32</v>
      </c>
      <c r="I10" s="210">
        <v>364</v>
      </c>
      <c r="J10" s="46">
        <f t="shared" si="1"/>
        <v>15.166666666666666</v>
      </c>
      <c r="K10" s="47">
        <v>334</v>
      </c>
      <c r="L10" s="48">
        <v>267</v>
      </c>
      <c r="M10" s="49">
        <v>0</v>
      </c>
      <c r="N10" s="50">
        <f t="shared" si="2"/>
        <v>0</v>
      </c>
      <c r="O10" s="68">
        <v>0</v>
      </c>
      <c r="P10" s="52">
        <f t="shared" si="3"/>
        <v>0</v>
      </c>
      <c r="Q10" s="257">
        <v>0</v>
      </c>
      <c r="R10" s="53">
        <v>0</v>
      </c>
      <c r="S10" s="54">
        <v>94</v>
      </c>
      <c r="T10" s="223">
        <v>491</v>
      </c>
      <c r="U10" s="55">
        <f t="shared" si="7"/>
        <v>1168</v>
      </c>
      <c r="V10" s="231">
        <f t="shared" si="4"/>
        <v>48.666666666666664</v>
      </c>
      <c r="W10" s="236">
        <v>0</v>
      </c>
      <c r="X10" s="65">
        <v>0</v>
      </c>
      <c r="Y10" s="66">
        <v>24</v>
      </c>
      <c r="Z10" s="6"/>
      <c r="AA10" s="348"/>
      <c r="AB10" s="348"/>
      <c r="AC10" s="348"/>
      <c r="AD10" s="348"/>
      <c r="AE10" s="350"/>
      <c r="AF10" s="351"/>
      <c r="AG10" s="351"/>
      <c r="AH10" s="352"/>
      <c r="AI10" s="58">
        <v>1440</v>
      </c>
      <c r="AJ10" s="58"/>
      <c r="AK10" s="59">
        <v>23</v>
      </c>
      <c r="AL10" s="60">
        <f t="shared" si="5"/>
        <v>0.95833333333333337</v>
      </c>
      <c r="AM10" s="6">
        <v>1440</v>
      </c>
      <c r="AO10" s="61"/>
      <c r="AP10" s="61">
        <f t="shared" si="6"/>
        <v>94</v>
      </c>
      <c r="AQ10"/>
    </row>
    <row r="11" spans="1:43" x14ac:dyDescent="0.3">
      <c r="A11" s="62">
        <v>5</v>
      </c>
      <c r="B11" s="67">
        <v>719</v>
      </c>
      <c r="C11" s="42">
        <f t="shared" si="0"/>
        <v>29.958333333333332</v>
      </c>
      <c r="D11" s="69">
        <v>503</v>
      </c>
      <c r="E11" s="44">
        <v>370</v>
      </c>
      <c r="F11" s="70">
        <v>873</v>
      </c>
      <c r="G11" s="20">
        <v>345</v>
      </c>
      <c r="H11" s="216">
        <v>31</v>
      </c>
      <c r="I11" s="210">
        <v>378</v>
      </c>
      <c r="J11" s="46">
        <f t="shared" si="1"/>
        <v>15.75</v>
      </c>
      <c r="K11" s="71">
        <v>360</v>
      </c>
      <c r="L11" s="72">
        <v>266</v>
      </c>
      <c r="M11" s="73">
        <v>0</v>
      </c>
      <c r="N11" s="50">
        <f t="shared" si="2"/>
        <v>0</v>
      </c>
      <c r="O11" s="74">
        <v>0</v>
      </c>
      <c r="P11" s="52">
        <f t="shared" si="3"/>
        <v>0</v>
      </c>
      <c r="Q11" s="257">
        <v>0</v>
      </c>
      <c r="R11" s="53">
        <v>0</v>
      </c>
      <c r="S11" s="54">
        <v>103</v>
      </c>
      <c r="T11" s="223">
        <v>477</v>
      </c>
      <c r="U11" s="55">
        <f t="shared" si="7"/>
        <v>1200</v>
      </c>
      <c r="V11" s="231">
        <f t="shared" si="4"/>
        <v>50</v>
      </c>
      <c r="W11" s="236">
        <v>0</v>
      </c>
      <c r="X11" s="65">
        <v>0</v>
      </c>
      <c r="Y11" s="66">
        <v>24</v>
      </c>
      <c r="Z11" s="6"/>
      <c r="AA11" s="348" t="s">
        <v>141</v>
      </c>
      <c r="AB11" s="348"/>
      <c r="AC11" s="348"/>
      <c r="AD11" s="348"/>
      <c r="AE11" s="350"/>
      <c r="AF11" s="351"/>
      <c r="AG11" s="351"/>
      <c r="AH11" s="352"/>
      <c r="AI11" s="58">
        <v>1370</v>
      </c>
      <c r="AJ11" s="58"/>
      <c r="AK11" s="59">
        <v>23</v>
      </c>
      <c r="AL11" s="60">
        <f t="shared" si="5"/>
        <v>0.95833333333333337</v>
      </c>
      <c r="AM11" s="6">
        <v>1440</v>
      </c>
      <c r="AO11" s="61"/>
      <c r="AP11" s="61">
        <f t="shared" si="6"/>
        <v>103</v>
      </c>
      <c r="AQ11"/>
    </row>
    <row r="12" spans="1:43" x14ac:dyDescent="0.3">
      <c r="A12" s="62">
        <v>6</v>
      </c>
      <c r="B12" s="67">
        <v>1637</v>
      </c>
      <c r="C12" s="42">
        <f t="shared" si="0"/>
        <v>68.208333333333329</v>
      </c>
      <c r="D12" s="69">
        <v>1146</v>
      </c>
      <c r="E12" s="44">
        <v>750</v>
      </c>
      <c r="F12" s="70">
        <v>1896</v>
      </c>
      <c r="G12" s="75">
        <v>375</v>
      </c>
      <c r="H12" s="219">
        <v>73</v>
      </c>
      <c r="I12" s="210">
        <v>423</v>
      </c>
      <c r="J12" s="46">
        <f t="shared" si="1"/>
        <v>17.625</v>
      </c>
      <c r="K12" s="71">
        <v>336</v>
      </c>
      <c r="L12" s="72">
        <v>266</v>
      </c>
      <c r="M12" s="73">
        <v>0</v>
      </c>
      <c r="N12" s="50">
        <f t="shared" si="2"/>
        <v>0</v>
      </c>
      <c r="O12" s="74">
        <v>305</v>
      </c>
      <c r="P12" s="52">
        <f t="shared" si="3"/>
        <v>12.708333333333334</v>
      </c>
      <c r="Q12" s="257">
        <v>20</v>
      </c>
      <c r="R12" s="53">
        <v>0</v>
      </c>
      <c r="S12" s="54">
        <v>381</v>
      </c>
      <c r="T12" s="223">
        <v>506</v>
      </c>
      <c r="U12" s="55">
        <f t="shared" si="7"/>
        <v>2766</v>
      </c>
      <c r="V12" s="231">
        <f t="shared" si="4"/>
        <v>115.25</v>
      </c>
      <c r="W12" s="236">
        <v>7.17</v>
      </c>
      <c r="X12" s="65">
        <v>0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166</v>
      </c>
      <c r="AL12" s="60">
        <f t="shared" si="5"/>
        <v>6.916666666666667</v>
      </c>
      <c r="AM12" s="6">
        <v>1440</v>
      </c>
      <c r="AO12" s="61"/>
      <c r="AP12" s="61">
        <f t="shared" si="6"/>
        <v>381</v>
      </c>
      <c r="AQ12"/>
    </row>
    <row r="13" spans="1:43" x14ac:dyDescent="0.3">
      <c r="A13" s="62">
        <v>7</v>
      </c>
      <c r="B13" s="67">
        <v>1688</v>
      </c>
      <c r="C13" s="42">
        <f t="shared" si="0"/>
        <v>70.333333333333329</v>
      </c>
      <c r="D13" s="69">
        <v>1182</v>
      </c>
      <c r="E13" s="44">
        <v>751</v>
      </c>
      <c r="F13" s="70">
        <v>1933</v>
      </c>
      <c r="G13" s="20">
        <v>409</v>
      </c>
      <c r="H13" s="216">
        <v>93</v>
      </c>
      <c r="I13" s="210">
        <v>396</v>
      </c>
      <c r="J13" s="46">
        <f t="shared" si="1"/>
        <v>16.5</v>
      </c>
      <c r="K13" s="71">
        <v>348</v>
      </c>
      <c r="L13" s="72">
        <v>267</v>
      </c>
      <c r="M13" s="73">
        <v>0</v>
      </c>
      <c r="N13" s="50">
        <f t="shared" si="2"/>
        <v>0</v>
      </c>
      <c r="O13" s="74">
        <v>346</v>
      </c>
      <c r="P13" s="52">
        <f t="shared" si="3"/>
        <v>14.416666666666666</v>
      </c>
      <c r="Q13" s="257">
        <v>44</v>
      </c>
      <c r="R13" s="53">
        <v>26</v>
      </c>
      <c r="S13" s="54">
        <v>401</v>
      </c>
      <c r="T13" s="223">
        <v>497</v>
      </c>
      <c r="U13" s="55">
        <f t="shared" si="7"/>
        <v>2901</v>
      </c>
      <c r="V13" s="231">
        <f t="shared" si="4"/>
        <v>120.875</v>
      </c>
      <c r="W13" s="236">
        <v>8.67</v>
      </c>
      <c r="X13" s="65">
        <v>2.33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152</v>
      </c>
      <c r="AL13" s="60">
        <f t="shared" si="5"/>
        <v>6.333333333333333</v>
      </c>
      <c r="AM13" s="6">
        <v>1440</v>
      </c>
      <c r="AO13" s="61"/>
      <c r="AP13" s="61">
        <f t="shared" si="6"/>
        <v>401</v>
      </c>
      <c r="AQ13"/>
    </row>
    <row r="14" spans="1:43" x14ac:dyDescent="0.3">
      <c r="A14" s="62">
        <v>8</v>
      </c>
      <c r="B14" s="67">
        <v>1612</v>
      </c>
      <c r="C14" s="42">
        <f t="shared" si="0"/>
        <v>67.166666666666671</v>
      </c>
      <c r="D14" s="69">
        <v>1128</v>
      </c>
      <c r="E14" s="44">
        <v>802</v>
      </c>
      <c r="F14" s="70">
        <v>1930</v>
      </c>
      <c r="G14" s="20">
        <v>412</v>
      </c>
      <c r="H14" s="216">
        <v>93</v>
      </c>
      <c r="I14" s="210">
        <v>445</v>
      </c>
      <c r="J14" s="46">
        <f t="shared" si="1"/>
        <v>18.541666666666668</v>
      </c>
      <c r="K14" s="71">
        <v>385</v>
      </c>
      <c r="L14" s="72">
        <v>269</v>
      </c>
      <c r="M14" s="73">
        <v>0</v>
      </c>
      <c r="N14" s="50">
        <f t="shared" si="2"/>
        <v>0</v>
      </c>
      <c r="O14" s="74">
        <v>336</v>
      </c>
      <c r="P14" s="52">
        <f t="shared" si="3"/>
        <v>14</v>
      </c>
      <c r="Q14" s="257">
        <v>79</v>
      </c>
      <c r="R14" s="53">
        <v>0</v>
      </c>
      <c r="S14" s="54">
        <v>383</v>
      </c>
      <c r="T14" s="223">
        <v>496</v>
      </c>
      <c r="U14" s="55">
        <f t="shared" si="7"/>
        <v>2855</v>
      </c>
      <c r="V14" s="231">
        <f t="shared" si="4"/>
        <v>118.95833333333333</v>
      </c>
      <c r="W14" s="236">
        <v>13.67</v>
      </c>
      <c r="X14" s="65">
        <v>0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>
        <v>146</v>
      </c>
      <c r="AL14" s="60">
        <f t="shared" si="5"/>
        <v>6.083333333333333</v>
      </c>
      <c r="AM14" s="6">
        <v>1440</v>
      </c>
      <c r="AO14" s="61"/>
      <c r="AP14" s="61">
        <f t="shared" si="6"/>
        <v>383</v>
      </c>
      <c r="AQ14"/>
    </row>
    <row r="15" spans="1:43" x14ac:dyDescent="0.3">
      <c r="A15" s="62">
        <v>9</v>
      </c>
      <c r="B15" s="67">
        <v>1046</v>
      </c>
      <c r="C15" s="42">
        <f t="shared" si="0"/>
        <v>43.583333333333336</v>
      </c>
      <c r="D15" s="69">
        <v>732</v>
      </c>
      <c r="E15" s="44">
        <v>608</v>
      </c>
      <c r="F15" s="70">
        <v>1340</v>
      </c>
      <c r="G15" s="20">
        <v>378</v>
      </c>
      <c r="H15" s="216">
        <v>77</v>
      </c>
      <c r="I15" s="210">
        <v>571</v>
      </c>
      <c r="J15" s="46">
        <f t="shared" si="1"/>
        <v>23.791666666666668</v>
      </c>
      <c r="K15" s="71">
        <v>488</v>
      </c>
      <c r="L15" s="72">
        <v>168</v>
      </c>
      <c r="M15" s="73">
        <v>0</v>
      </c>
      <c r="N15" s="50">
        <f t="shared" si="2"/>
        <v>0</v>
      </c>
      <c r="O15" s="74">
        <v>320</v>
      </c>
      <c r="P15" s="52">
        <f t="shared" si="3"/>
        <v>13.333333333333334</v>
      </c>
      <c r="Q15" s="257">
        <v>205</v>
      </c>
      <c r="R15" s="53">
        <v>551</v>
      </c>
      <c r="S15" s="54">
        <v>423</v>
      </c>
      <c r="T15" s="223">
        <v>447</v>
      </c>
      <c r="U15" s="55">
        <f t="shared" si="7"/>
        <v>3116</v>
      </c>
      <c r="V15" s="231">
        <f t="shared" si="4"/>
        <v>129.83333333333334</v>
      </c>
      <c r="W15" s="236">
        <v>22.83</v>
      </c>
      <c r="X15" s="65">
        <v>18.670000000000002</v>
      </c>
      <c r="Y15" s="66">
        <v>21</v>
      </c>
      <c r="Z15" s="6"/>
      <c r="AA15" s="348" t="s">
        <v>142</v>
      </c>
      <c r="AB15" s="348"/>
      <c r="AC15" s="348"/>
      <c r="AD15" s="348"/>
      <c r="AE15" s="350"/>
      <c r="AF15" s="351"/>
      <c r="AG15" s="351"/>
      <c r="AH15" s="352"/>
      <c r="AI15" s="58">
        <v>1080</v>
      </c>
      <c r="AJ15" s="58"/>
      <c r="AK15" s="59">
        <v>159</v>
      </c>
      <c r="AL15" s="60">
        <f t="shared" si="5"/>
        <v>6.625</v>
      </c>
      <c r="AM15" s="6">
        <v>1440</v>
      </c>
      <c r="AO15" s="61"/>
      <c r="AP15" s="61">
        <f t="shared" si="6"/>
        <v>423</v>
      </c>
      <c r="AQ15"/>
    </row>
    <row r="16" spans="1:43" x14ac:dyDescent="0.3">
      <c r="A16" s="62">
        <v>10</v>
      </c>
      <c r="B16" s="67">
        <v>1639</v>
      </c>
      <c r="C16" s="42">
        <f t="shared" si="0"/>
        <v>68.291666666666671</v>
      </c>
      <c r="D16" s="69">
        <v>1147</v>
      </c>
      <c r="E16" s="44">
        <v>746</v>
      </c>
      <c r="F16" s="70">
        <v>1893</v>
      </c>
      <c r="G16" s="20">
        <v>405</v>
      </c>
      <c r="H16" s="216">
        <v>93</v>
      </c>
      <c r="I16" s="210">
        <v>618</v>
      </c>
      <c r="J16" s="46">
        <f t="shared" si="1"/>
        <v>25.75</v>
      </c>
      <c r="K16" s="71">
        <v>518</v>
      </c>
      <c r="L16" s="72">
        <v>91</v>
      </c>
      <c r="M16" s="73">
        <v>0</v>
      </c>
      <c r="N16" s="50">
        <f t="shared" si="2"/>
        <v>0</v>
      </c>
      <c r="O16" s="74">
        <v>343</v>
      </c>
      <c r="P16" s="52">
        <f t="shared" si="3"/>
        <v>14.291666666666666</v>
      </c>
      <c r="Q16" s="257">
        <v>69</v>
      </c>
      <c r="R16" s="53">
        <v>32</v>
      </c>
      <c r="S16" s="54">
        <v>400</v>
      </c>
      <c r="T16" s="223">
        <v>478</v>
      </c>
      <c r="U16" s="55">
        <f t="shared" si="7"/>
        <v>3101</v>
      </c>
      <c r="V16" s="231">
        <f t="shared" si="4"/>
        <v>129.20833333333334</v>
      </c>
      <c r="W16" s="236">
        <v>14.5</v>
      </c>
      <c r="X16" s="65">
        <v>3.5</v>
      </c>
      <c r="Y16" s="66">
        <v>24</v>
      </c>
      <c r="Z16" s="6"/>
      <c r="AA16" s="348" t="s">
        <v>143</v>
      </c>
      <c r="AB16" s="348"/>
      <c r="AC16" s="348"/>
      <c r="AD16" s="349"/>
      <c r="AE16" s="350"/>
      <c r="AF16" s="351"/>
      <c r="AG16" s="351"/>
      <c r="AH16" s="352"/>
      <c r="AI16" s="58">
        <v>30</v>
      </c>
      <c r="AJ16" s="58"/>
      <c r="AK16" s="59">
        <v>172</v>
      </c>
      <c r="AL16" s="60">
        <f t="shared" si="5"/>
        <v>7.166666666666667</v>
      </c>
      <c r="AM16" s="6">
        <v>1440</v>
      </c>
      <c r="AO16" s="61"/>
      <c r="AP16" s="61">
        <f t="shared" si="6"/>
        <v>400</v>
      </c>
      <c r="AQ16"/>
    </row>
    <row r="17" spans="1:43" x14ac:dyDescent="0.3">
      <c r="A17" s="62">
        <v>11</v>
      </c>
      <c r="B17" s="67">
        <v>1624</v>
      </c>
      <c r="C17" s="42">
        <f t="shared" si="0"/>
        <v>67.666666666666671</v>
      </c>
      <c r="D17" s="69">
        <v>1137</v>
      </c>
      <c r="E17" s="44">
        <v>735</v>
      </c>
      <c r="F17" s="70">
        <v>1872</v>
      </c>
      <c r="G17" s="20">
        <v>394</v>
      </c>
      <c r="H17" s="216">
        <v>94</v>
      </c>
      <c r="I17" s="210">
        <v>427</v>
      </c>
      <c r="J17" s="46">
        <f t="shared" si="1"/>
        <v>17.791666666666668</v>
      </c>
      <c r="K17" s="71">
        <v>357</v>
      </c>
      <c r="L17" s="72">
        <v>148</v>
      </c>
      <c r="M17" s="73">
        <v>0</v>
      </c>
      <c r="N17" s="50">
        <f t="shared" si="2"/>
        <v>0</v>
      </c>
      <c r="O17" s="74">
        <v>368</v>
      </c>
      <c r="P17" s="52">
        <f t="shared" si="3"/>
        <v>15.333333333333334</v>
      </c>
      <c r="Q17" s="257">
        <v>0</v>
      </c>
      <c r="R17" s="53">
        <v>143</v>
      </c>
      <c r="S17" s="54">
        <v>367</v>
      </c>
      <c r="T17" s="223">
        <v>497</v>
      </c>
      <c r="U17" s="55">
        <f t="shared" si="7"/>
        <v>2929</v>
      </c>
      <c r="V17" s="231">
        <f t="shared" si="4"/>
        <v>122.04166666666667</v>
      </c>
      <c r="W17" s="236">
        <v>0</v>
      </c>
      <c r="X17" s="65">
        <v>7.17</v>
      </c>
      <c r="Y17" s="66">
        <v>24</v>
      </c>
      <c r="Z17" s="6"/>
      <c r="AA17" s="348"/>
      <c r="AB17" s="348"/>
      <c r="AC17" s="348"/>
      <c r="AD17" s="349"/>
      <c r="AE17" s="350" t="s">
        <v>144</v>
      </c>
      <c r="AF17" s="351"/>
      <c r="AG17" s="351"/>
      <c r="AH17" s="352"/>
      <c r="AI17" s="58"/>
      <c r="AJ17" s="58"/>
      <c r="AK17" s="59">
        <v>182</v>
      </c>
      <c r="AL17" s="60">
        <f t="shared" si="5"/>
        <v>7.583333333333333</v>
      </c>
      <c r="AM17" s="6">
        <v>1440</v>
      </c>
      <c r="AO17" s="61"/>
      <c r="AP17" s="61">
        <f t="shared" si="6"/>
        <v>367</v>
      </c>
      <c r="AQ17"/>
    </row>
    <row r="18" spans="1:43" x14ac:dyDescent="0.3">
      <c r="A18" s="62">
        <v>12</v>
      </c>
      <c r="B18" s="67">
        <v>1470</v>
      </c>
      <c r="C18" s="42">
        <f t="shared" si="0"/>
        <v>61.25</v>
      </c>
      <c r="D18" s="69">
        <v>1029</v>
      </c>
      <c r="E18" s="44">
        <v>752</v>
      </c>
      <c r="F18" s="70">
        <v>1781</v>
      </c>
      <c r="G18" s="20">
        <v>432</v>
      </c>
      <c r="H18" s="216">
        <v>91</v>
      </c>
      <c r="I18" s="210">
        <v>267</v>
      </c>
      <c r="J18" s="46">
        <f t="shared" si="1"/>
        <v>11.125</v>
      </c>
      <c r="K18" s="71">
        <v>201</v>
      </c>
      <c r="L18" s="72">
        <v>37</v>
      </c>
      <c r="M18" s="73">
        <v>0</v>
      </c>
      <c r="N18" s="50">
        <f t="shared" si="2"/>
        <v>0</v>
      </c>
      <c r="O18" s="74">
        <v>367</v>
      </c>
      <c r="P18" s="52">
        <f t="shared" si="3"/>
        <v>15.291666666666666</v>
      </c>
      <c r="Q18" s="257">
        <v>1</v>
      </c>
      <c r="R18" s="53">
        <v>342</v>
      </c>
      <c r="S18" s="54">
        <v>326</v>
      </c>
      <c r="T18" s="223">
        <v>493</v>
      </c>
      <c r="U18" s="55">
        <f t="shared" si="7"/>
        <v>2773</v>
      </c>
      <c r="V18" s="231">
        <f t="shared" si="4"/>
        <v>115.54166666666667</v>
      </c>
      <c r="W18" s="236">
        <v>1</v>
      </c>
      <c r="X18" s="65">
        <v>17.829999999999998</v>
      </c>
      <c r="Y18" s="66">
        <v>24</v>
      </c>
      <c r="Z18" s="6"/>
      <c r="AA18" s="348" t="s">
        <v>145</v>
      </c>
      <c r="AB18" s="348"/>
      <c r="AC18" s="348"/>
      <c r="AD18" s="349"/>
      <c r="AE18" s="350" t="s">
        <v>147</v>
      </c>
      <c r="AF18" s="351"/>
      <c r="AG18" s="351"/>
      <c r="AH18" s="352"/>
      <c r="AI18" s="58"/>
      <c r="AJ18" s="58">
        <v>270</v>
      </c>
      <c r="AK18" s="59">
        <v>176</v>
      </c>
      <c r="AL18" s="60">
        <f t="shared" si="5"/>
        <v>7.333333333333333</v>
      </c>
      <c r="AM18" s="6">
        <v>1440</v>
      </c>
      <c r="AO18" s="61"/>
      <c r="AP18" s="61">
        <f t="shared" si="6"/>
        <v>326</v>
      </c>
      <c r="AQ18"/>
    </row>
    <row r="19" spans="1:43" x14ac:dyDescent="0.3">
      <c r="A19" s="62">
        <v>13</v>
      </c>
      <c r="B19" s="67">
        <v>966</v>
      </c>
      <c r="C19" s="42">
        <f t="shared" si="0"/>
        <v>40.25</v>
      </c>
      <c r="D19" s="256">
        <v>676</v>
      </c>
      <c r="E19" s="44">
        <v>531</v>
      </c>
      <c r="F19" s="19">
        <v>1207</v>
      </c>
      <c r="G19" s="20">
        <v>414</v>
      </c>
      <c r="H19" s="216">
        <v>65</v>
      </c>
      <c r="I19" s="210">
        <v>409</v>
      </c>
      <c r="J19" s="46">
        <f t="shared" si="1"/>
        <v>17.041666666666668</v>
      </c>
      <c r="K19" s="239">
        <v>427</v>
      </c>
      <c r="L19" s="21">
        <v>199</v>
      </c>
      <c r="M19" s="49">
        <v>0</v>
      </c>
      <c r="N19" s="50">
        <f t="shared" si="2"/>
        <v>0</v>
      </c>
      <c r="O19" s="68">
        <v>355</v>
      </c>
      <c r="P19" s="52">
        <f t="shared" si="3"/>
        <v>14.791666666666666</v>
      </c>
      <c r="Q19" s="257">
        <v>1</v>
      </c>
      <c r="R19" s="53">
        <v>17</v>
      </c>
      <c r="S19" s="54">
        <v>69</v>
      </c>
      <c r="T19" s="223">
        <v>202</v>
      </c>
      <c r="U19" s="55">
        <f t="shared" si="7"/>
        <v>1817</v>
      </c>
      <c r="V19" s="231">
        <f t="shared" si="4"/>
        <v>75.708333333333329</v>
      </c>
      <c r="W19" s="236">
        <v>0.5</v>
      </c>
      <c r="X19" s="65">
        <v>1.5</v>
      </c>
      <c r="Y19" s="66">
        <v>5.5</v>
      </c>
      <c r="Z19" s="6"/>
      <c r="AA19" s="348" t="s">
        <v>146</v>
      </c>
      <c r="AB19" s="348"/>
      <c r="AC19" s="348"/>
      <c r="AD19" s="349"/>
      <c r="AE19" s="350"/>
      <c r="AF19" s="351"/>
      <c r="AG19" s="351"/>
      <c r="AH19" s="352"/>
      <c r="AI19" s="58"/>
      <c r="AJ19" s="58">
        <v>880</v>
      </c>
      <c r="AK19" s="59">
        <v>41</v>
      </c>
      <c r="AL19" s="60">
        <f t="shared" si="5"/>
        <v>1.7083333333333333</v>
      </c>
      <c r="AM19" s="6">
        <v>1440</v>
      </c>
      <c r="AO19" s="61"/>
      <c r="AP19" s="61">
        <f t="shared" si="6"/>
        <v>69</v>
      </c>
      <c r="AQ19"/>
    </row>
    <row r="20" spans="1:43" x14ac:dyDescent="0.3">
      <c r="A20" s="62">
        <v>14</v>
      </c>
      <c r="B20" s="67">
        <v>1578</v>
      </c>
      <c r="C20" s="42">
        <f t="shared" si="0"/>
        <v>65.75</v>
      </c>
      <c r="D20" s="256">
        <v>1105</v>
      </c>
      <c r="E20" s="44">
        <v>778</v>
      </c>
      <c r="F20" s="19">
        <v>1883</v>
      </c>
      <c r="G20" s="20">
        <v>402</v>
      </c>
      <c r="H20" s="216">
        <v>100</v>
      </c>
      <c r="I20" s="211">
        <v>408</v>
      </c>
      <c r="J20" s="46">
        <f t="shared" si="1"/>
        <v>17</v>
      </c>
      <c r="K20" s="239">
        <v>408</v>
      </c>
      <c r="L20" s="21">
        <v>248</v>
      </c>
      <c r="M20" s="49">
        <v>0</v>
      </c>
      <c r="N20" s="50">
        <f t="shared" si="2"/>
        <v>0</v>
      </c>
      <c r="O20" s="51">
        <v>336</v>
      </c>
      <c r="P20" s="52">
        <f t="shared" si="3"/>
        <v>14</v>
      </c>
      <c r="Q20" s="257">
        <v>0</v>
      </c>
      <c r="R20" s="53">
        <v>0</v>
      </c>
      <c r="S20" s="54">
        <v>235</v>
      </c>
      <c r="T20" s="223">
        <v>507</v>
      </c>
      <c r="U20" s="55">
        <f t="shared" si="7"/>
        <v>2557</v>
      </c>
      <c r="V20" s="231">
        <f t="shared" si="4"/>
        <v>106.54166666666667</v>
      </c>
      <c r="W20" s="236">
        <v>0</v>
      </c>
      <c r="X20" s="65">
        <v>0</v>
      </c>
      <c r="Y20" s="66">
        <v>24</v>
      </c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>
        <v>138</v>
      </c>
      <c r="AL20" s="60">
        <f t="shared" si="5"/>
        <v>5.75</v>
      </c>
      <c r="AM20" s="6">
        <v>1440</v>
      </c>
      <c r="AO20" s="61"/>
      <c r="AP20" s="61">
        <f t="shared" si="6"/>
        <v>235</v>
      </c>
      <c r="AQ20"/>
    </row>
    <row r="21" spans="1:43" x14ac:dyDescent="0.3">
      <c r="A21" s="62">
        <v>15</v>
      </c>
      <c r="B21" s="67">
        <v>1598</v>
      </c>
      <c r="C21" s="42">
        <f t="shared" si="0"/>
        <v>66.583333333333329</v>
      </c>
      <c r="D21" s="256">
        <v>1119</v>
      </c>
      <c r="E21" s="44">
        <v>798</v>
      </c>
      <c r="F21" s="19">
        <v>1917</v>
      </c>
      <c r="G21" s="20">
        <v>407</v>
      </c>
      <c r="H21" s="216">
        <v>84</v>
      </c>
      <c r="I21" s="211">
        <v>418</v>
      </c>
      <c r="J21" s="46">
        <f t="shared" si="1"/>
        <v>17.416666666666668</v>
      </c>
      <c r="K21" s="239">
        <v>392</v>
      </c>
      <c r="L21" s="21">
        <v>85</v>
      </c>
      <c r="M21" s="49">
        <v>0</v>
      </c>
      <c r="N21" s="50">
        <f t="shared" si="2"/>
        <v>0</v>
      </c>
      <c r="O21" s="51">
        <v>323</v>
      </c>
      <c r="P21" s="52">
        <f t="shared" si="3"/>
        <v>13.458333333333334</v>
      </c>
      <c r="Q21" s="257">
        <v>1</v>
      </c>
      <c r="R21" s="53">
        <v>0</v>
      </c>
      <c r="S21" s="54">
        <v>304</v>
      </c>
      <c r="T21" s="223">
        <v>516</v>
      </c>
      <c r="U21" s="55">
        <f t="shared" si="7"/>
        <v>2644</v>
      </c>
      <c r="V21" s="231">
        <f t="shared" si="4"/>
        <v>110.16666666666667</v>
      </c>
      <c r="W21" s="236">
        <v>0.5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150</v>
      </c>
      <c r="AL21" s="60">
        <f t="shared" si="5"/>
        <v>6.25</v>
      </c>
      <c r="AM21" s="6">
        <v>1350</v>
      </c>
      <c r="AO21" s="61"/>
      <c r="AP21" s="61">
        <f t="shared" si="6"/>
        <v>304</v>
      </c>
      <c r="AQ21"/>
    </row>
    <row r="22" spans="1:43" x14ac:dyDescent="0.3">
      <c r="A22" s="62">
        <v>16</v>
      </c>
      <c r="B22" s="67">
        <v>1314</v>
      </c>
      <c r="C22" s="42">
        <f t="shared" si="0"/>
        <v>54.75</v>
      </c>
      <c r="D22" s="256">
        <v>920</v>
      </c>
      <c r="E22" s="44">
        <v>712</v>
      </c>
      <c r="F22" s="19">
        <v>1632</v>
      </c>
      <c r="G22" s="20">
        <v>412</v>
      </c>
      <c r="H22" s="216">
        <v>81</v>
      </c>
      <c r="I22" s="211">
        <v>376</v>
      </c>
      <c r="J22" s="46">
        <f t="shared" si="1"/>
        <v>15.666666666666666</v>
      </c>
      <c r="K22" s="239">
        <v>366</v>
      </c>
      <c r="L22" s="21">
        <v>190</v>
      </c>
      <c r="M22" s="49">
        <v>0</v>
      </c>
      <c r="N22" s="50">
        <f t="shared" si="2"/>
        <v>0</v>
      </c>
      <c r="O22" s="68">
        <v>308</v>
      </c>
      <c r="P22" s="52">
        <f t="shared" si="3"/>
        <v>12.833333333333334</v>
      </c>
      <c r="Q22" s="257">
        <v>0</v>
      </c>
      <c r="R22" s="53">
        <v>0</v>
      </c>
      <c r="S22" s="54">
        <v>98</v>
      </c>
      <c r="T22" s="223">
        <v>500</v>
      </c>
      <c r="U22" s="55">
        <f t="shared" si="7"/>
        <v>2096</v>
      </c>
      <c r="V22" s="231">
        <f t="shared" si="4"/>
        <v>87.333333333333329</v>
      </c>
      <c r="W22" s="236">
        <v>0</v>
      </c>
      <c r="X22" s="65">
        <v>0</v>
      </c>
      <c r="Y22" s="66">
        <v>24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130</v>
      </c>
      <c r="AL22" s="60">
        <f t="shared" si="5"/>
        <v>5.416666666666667</v>
      </c>
      <c r="AM22" s="6">
        <v>1440</v>
      </c>
      <c r="AO22" s="61"/>
      <c r="AP22" s="61">
        <f t="shared" si="6"/>
        <v>98</v>
      </c>
      <c r="AQ22"/>
    </row>
    <row r="23" spans="1:43" x14ac:dyDescent="0.3">
      <c r="A23" s="62">
        <v>17</v>
      </c>
      <c r="B23" s="67">
        <v>1678</v>
      </c>
      <c r="C23" s="42">
        <f t="shared" si="0"/>
        <v>69.916666666666671</v>
      </c>
      <c r="D23" s="256">
        <v>1175</v>
      </c>
      <c r="E23" s="44">
        <v>761</v>
      </c>
      <c r="F23" s="19">
        <v>1936</v>
      </c>
      <c r="G23" s="20">
        <v>560</v>
      </c>
      <c r="H23" s="216">
        <v>86</v>
      </c>
      <c r="I23" s="211">
        <v>426</v>
      </c>
      <c r="J23" s="46">
        <f t="shared" si="1"/>
        <v>17.75</v>
      </c>
      <c r="K23" s="239">
        <v>406</v>
      </c>
      <c r="L23" s="21">
        <v>252</v>
      </c>
      <c r="M23" s="49">
        <v>0</v>
      </c>
      <c r="N23" s="50">
        <f t="shared" si="2"/>
        <v>0</v>
      </c>
      <c r="O23" s="68">
        <v>329</v>
      </c>
      <c r="P23" s="52">
        <f t="shared" si="3"/>
        <v>13.708333333333334</v>
      </c>
      <c r="Q23" s="257">
        <v>81</v>
      </c>
      <c r="R23" s="53">
        <v>0</v>
      </c>
      <c r="S23" s="54">
        <v>363</v>
      </c>
      <c r="T23" s="223">
        <v>494</v>
      </c>
      <c r="U23" s="55">
        <f t="shared" si="7"/>
        <v>2877</v>
      </c>
      <c r="V23" s="231">
        <f t="shared" si="4"/>
        <v>119.875</v>
      </c>
      <c r="W23" s="236">
        <v>18.170000000000002</v>
      </c>
      <c r="X23" s="65">
        <v>0</v>
      </c>
      <c r="Y23" s="66">
        <v>24</v>
      </c>
      <c r="Z23" s="6"/>
      <c r="AA23" s="348"/>
      <c r="AB23" s="348"/>
      <c r="AC23" s="348"/>
      <c r="AD23" s="349"/>
      <c r="AE23" s="360"/>
      <c r="AF23" s="351"/>
      <c r="AG23" s="351"/>
      <c r="AH23" s="352"/>
      <c r="AI23" s="58"/>
      <c r="AJ23" s="58"/>
      <c r="AK23" s="59">
        <v>169</v>
      </c>
      <c r="AL23" s="60">
        <f t="shared" si="5"/>
        <v>7.041666666666667</v>
      </c>
      <c r="AM23" s="6">
        <v>1440</v>
      </c>
      <c r="AO23" s="61"/>
      <c r="AP23" s="61">
        <f t="shared" si="6"/>
        <v>363</v>
      </c>
      <c r="AQ23"/>
    </row>
    <row r="24" spans="1:43" x14ac:dyDescent="0.3">
      <c r="A24" s="62">
        <v>18</v>
      </c>
      <c r="B24" s="67">
        <v>1668</v>
      </c>
      <c r="C24" s="42">
        <f t="shared" si="0"/>
        <v>69.5</v>
      </c>
      <c r="D24" s="256">
        <v>1168</v>
      </c>
      <c r="E24" s="44">
        <v>759</v>
      </c>
      <c r="F24" s="19">
        <v>1927</v>
      </c>
      <c r="G24" s="20">
        <v>384</v>
      </c>
      <c r="H24" s="216">
        <v>95</v>
      </c>
      <c r="I24" s="211">
        <v>282</v>
      </c>
      <c r="J24" s="46">
        <f t="shared" si="1"/>
        <v>11.75</v>
      </c>
      <c r="K24" s="239">
        <v>266</v>
      </c>
      <c r="L24" s="21">
        <v>68</v>
      </c>
      <c r="M24" s="49">
        <v>25</v>
      </c>
      <c r="N24" s="50">
        <f t="shared" si="2"/>
        <v>1.0416666666666667</v>
      </c>
      <c r="O24" s="198">
        <v>318</v>
      </c>
      <c r="P24" s="52">
        <f t="shared" si="3"/>
        <v>13.25</v>
      </c>
      <c r="Q24" s="257">
        <v>57</v>
      </c>
      <c r="R24" s="53">
        <v>0</v>
      </c>
      <c r="S24" s="54">
        <v>358</v>
      </c>
      <c r="T24" s="223">
        <v>496</v>
      </c>
      <c r="U24" s="55">
        <f t="shared" si="7"/>
        <v>2708</v>
      </c>
      <c r="V24" s="231">
        <f t="shared" si="4"/>
        <v>112.83333333333333</v>
      </c>
      <c r="W24" s="236">
        <v>9.5</v>
      </c>
      <c r="X24" s="65">
        <v>0</v>
      </c>
      <c r="Y24" s="66">
        <v>24</v>
      </c>
      <c r="Z24" s="6"/>
      <c r="AA24" s="348"/>
      <c r="AB24" s="348"/>
      <c r="AC24" s="348"/>
      <c r="AD24" s="349"/>
      <c r="AE24" s="350" t="s">
        <v>152</v>
      </c>
      <c r="AF24" s="351"/>
      <c r="AG24" s="351"/>
      <c r="AH24" s="352"/>
      <c r="AI24" s="58"/>
      <c r="AJ24" s="58"/>
      <c r="AK24" s="59">
        <v>177</v>
      </c>
      <c r="AL24" s="60">
        <f t="shared" si="5"/>
        <v>7.375</v>
      </c>
      <c r="AM24" s="6">
        <v>1440</v>
      </c>
      <c r="AO24" s="61"/>
      <c r="AP24" s="61">
        <f t="shared" si="6"/>
        <v>358</v>
      </c>
      <c r="AQ24"/>
    </row>
    <row r="25" spans="1:43" x14ac:dyDescent="0.3">
      <c r="A25" s="62">
        <v>19</v>
      </c>
      <c r="B25" s="67">
        <v>1656</v>
      </c>
      <c r="C25" s="42">
        <f t="shared" si="0"/>
        <v>69</v>
      </c>
      <c r="D25" s="256">
        <v>1159</v>
      </c>
      <c r="E25" s="44">
        <v>752</v>
      </c>
      <c r="F25" s="19">
        <v>1911</v>
      </c>
      <c r="G25" s="20">
        <v>357</v>
      </c>
      <c r="H25" s="216">
        <v>101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236</v>
      </c>
      <c r="N25" s="50">
        <f t="shared" si="2"/>
        <v>9.8333333333333339</v>
      </c>
      <c r="O25" s="198">
        <v>317</v>
      </c>
      <c r="P25" s="52">
        <f t="shared" si="3"/>
        <v>13.208333333333334</v>
      </c>
      <c r="Q25" s="257">
        <v>110</v>
      </c>
      <c r="R25" s="53">
        <v>0</v>
      </c>
      <c r="S25" s="54">
        <v>355</v>
      </c>
      <c r="T25" s="223">
        <v>501</v>
      </c>
      <c r="U25" s="55">
        <f t="shared" si="7"/>
        <v>2674</v>
      </c>
      <c r="V25" s="231">
        <f t="shared" si="4"/>
        <v>111.41666666666667</v>
      </c>
      <c r="W25" s="236">
        <v>21.83</v>
      </c>
      <c r="X25" s="65">
        <v>0</v>
      </c>
      <c r="Y25" s="66">
        <v>24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139</v>
      </c>
      <c r="AL25" s="60">
        <f t="shared" si="5"/>
        <v>5.791666666666667</v>
      </c>
      <c r="AM25" s="6">
        <v>1440</v>
      </c>
      <c r="AO25" s="61"/>
      <c r="AP25" s="61">
        <f t="shared" si="6"/>
        <v>355</v>
      </c>
      <c r="AQ25"/>
    </row>
    <row r="26" spans="1:43" x14ac:dyDescent="0.3">
      <c r="A26" s="62">
        <v>20</v>
      </c>
      <c r="B26" s="67">
        <v>1541</v>
      </c>
      <c r="C26" s="42">
        <f t="shared" si="0"/>
        <v>64.208333333333329</v>
      </c>
      <c r="D26" s="256">
        <v>1079</v>
      </c>
      <c r="E26" s="44">
        <v>764</v>
      </c>
      <c r="F26" s="19">
        <v>1843</v>
      </c>
      <c r="G26" s="20">
        <v>334</v>
      </c>
      <c r="H26" s="216">
        <v>94</v>
      </c>
      <c r="I26" s="211">
        <v>14</v>
      </c>
      <c r="J26" s="46">
        <f t="shared" si="1"/>
        <v>0.58333333333333337</v>
      </c>
      <c r="K26" s="239">
        <v>94</v>
      </c>
      <c r="L26" s="21">
        <v>104</v>
      </c>
      <c r="M26" s="49">
        <v>224</v>
      </c>
      <c r="N26" s="50">
        <f t="shared" si="2"/>
        <v>9.3333333333333339</v>
      </c>
      <c r="O26" s="198">
        <v>327</v>
      </c>
      <c r="P26" s="52">
        <f t="shared" si="3"/>
        <v>13.625</v>
      </c>
      <c r="Q26" s="257">
        <v>97</v>
      </c>
      <c r="R26" s="53">
        <v>0</v>
      </c>
      <c r="S26" s="54">
        <v>281</v>
      </c>
      <c r="T26" s="223">
        <v>496</v>
      </c>
      <c r="U26" s="55">
        <f t="shared" si="7"/>
        <v>2484</v>
      </c>
      <c r="V26" s="231">
        <f t="shared" si="4"/>
        <v>103.5</v>
      </c>
      <c r="W26" s="236">
        <v>15.17</v>
      </c>
      <c r="X26" s="65">
        <v>0</v>
      </c>
      <c r="Y26" s="66">
        <v>24</v>
      </c>
      <c r="Z26" s="6"/>
      <c r="AA26" s="348"/>
      <c r="AB26" s="348"/>
      <c r="AC26" s="348"/>
      <c r="AD26" s="349"/>
      <c r="AE26" s="350" t="s">
        <v>155</v>
      </c>
      <c r="AF26" s="351"/>
      <c r="AG26" s="351"/>
      <c r="AH26" s="352"/>
      <c r="AI26" s="58"/>
      <c r="AJ26" s="58"/>
      <c r="AK26" s="59">
        <v>123</v>
      </c>
      <c r="AL26" s="60">
        <f t="shared" si="5"/>
        <v>5.125</v>
      </c>
      <c r="AM26" s="6">
        <v>1440</v>
      </c>
      <c r="AO26" s="61"/>
      <c r="AP26" s="61">
        <f t="shared" si="6"/>
        <v>281</v>
      </c>
      <c r="AQ26"/>
    </row>
    <row r="27" spans="1:43" x14ac:dyDescent="0.3">
      <c r="A27" s="62">
        <v>21</v>
      </c>
      <c r="B27" s="67">
        <v>1593</v>
      </c>
      <c r="C27" s="42">
        <f t="shared" si="0"/>
        <v>66.375</v>
      </c>
      <c r="D27" s="256">
        <v>1115</v>
      </c>
      <c r="E27" s="44">
        <v>714</v>
      </c>
      <c r="F27" s="19">
        <v>1829</v>
      </c>
      <c r="G27" s="20">
        <v>410</v>
      </c>
      <c r="H27" s="216">
        <v>95</v>
      </c>
      <c r="I27" s="211">
        <v>611</v>
      </c>
      <c r="J27" s="46">
        <f t="shared" si="1"/>
        <v>25.458333333333332</v>
      </c>
      <c r="K27" s="239">
        <v>545</v>
      </c>
      <c r="L27" s="21">
        <v>202</v>
      </c>
      <c r="M27" s="49">
        <v>219</v>
      </c>
      <c r="N27" s="50">
        <f t="shared" si="2"/>
        <v>9.125</v>
      </c>
      <c r="O27" s="198">
        <v>0</v>
      </c>
      <c r="P27" s="52">
        <f t="shared" si="3"/>
        <v>0</v>
      </c>
      <c r="Q27" s="257">
        <v>4</v>
      </c>
      <c r="R27" s="53">
        <v>0</v>
      </c>
      <c r="S27" s="54">
        <v>337</v>
      </c>
      <c r="T27" s="223">
        <v>503</v>
      </c>
      <c r="U27" s="55">
        <f t="shared" si="7"/>
        <v>2764</v>
      </c>
      <c r="V27" s="231">
        <f t="shared" si="4"/>
        <v>115.16666666666667</v>
      </c>
      <c r="W27" s="236">
        <v>1.17</v>
      </c>
      <c r="X27" s="65">
        <v>0</v>
      </c>
      <c r="Y27" s="66">
        <v>24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178</v>
      </c>
      <c r="AL27" s="60">
        <f t="shared" si="5"/>
        <v>7.416666666666667</v>
      </c>
      <c r="AM27" s="6">
        <v>1440</v>
      </c>
      <c r="AO27" s="61"/>
      <c r="AP27" s="61">
        <f t="shared" si="6"/>
        <v>337</v>
      </c>
      <c r="AQ27"/>
    </row>
    <row r="28" spans="1:43" x14ac:dyDescent="0.3">
      <c r="A28" s="62">
        <v>22</v>
      </c>
      <c r="B28" s="67">
        <v>1578</v>
      </c>
      <c r="C28" s="42">
        <f t="shared" si="0"/>
        <v>65.75</v>
      </c>
      <c r="D28" s="256">
        <v>1105</v>
      </c>
      <c r="E28" s="44">
        <v>688</v>
      </c>
      <c r="F28" s="19">
        <v>1793</v>
      </c>
      <c r="G28" s="20">
        <v>372</v>
      </c>
      <c r="H28" s="216">
        <v>97</v>
      </c>
      <c r="I28" s="211">
        <v>646</v>
      </c>
      <c r="J28" s="46">
        <f t="shared" si="1"/>
        <v>26.916666666666668</v>
      </c>
      <c r="K28" s="239">
        <v>552</v>
      </c>
      <c r="L28" s="21">
        <v>201</v>
      </c>
      <c r="M28" s="49">
        <v>205</v>
      </c>
      <c r="N28" s="50">
        <f t="shared" si="2"/>
        <v>8.5416666666666661</v>
      </c>
      <c r="O28" s="198">
        <v>0</v>
      </c>
      <c r="P28" s="52">
        <f t="shared" si="3"/>
        <v>0</v>
      </c>
      <c r="Q28" s="257">
        <v>0</v>
      </c>
      <c r="R28" s="53">
        <v>0</v>
      </c>
      <c r="S28" s="54">
        <v>331</v>
      </c>
      <c r="T28" s="223">
        <v>498</v>
      </c>
      <c r="U28" s="55">
        <f t="shared" si="7"/>
        <v>2760</v>
      </c>
      <c r="V28" s="231">
        <f t="shared" si="4"/>
        <v>115</v>
      </c>
      <c r="W28" s="236">
        <v>0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180</v>
      </c>
      <c r="AL28" s="60">
        <f t="shared" si="5"/>
        <v>7.5</v>
      </c>
      <c r="AM28" s="6">
        <v>1440</v>
      </c>
      <c r="AO28" s="61"/>
      <c r="AP28" s="61">
        <f t="shared" si="6"/>
        <v>331</v>
      </c>
      <c r="AQ28"/>
    </row>
    <row r="29" spans="1:43" x14ac:dyDescent="0.3">
      <c r="A29" s="62">
        <v>23</v>
      </c>
      <c r="B29" s="67">
        <v>1581</v>
      </c>
      <c r="C29" s="42">
        <f t="shared" si="0"/>
        <v>65.875</v>
      </c>
      <c r="D29" s="256">
        <v>1107</v>
      </c>
      <c r="E29" s="44">
        <v>704</v>
      </c>
      <c r="F29" s="19">
        <v>1811</v>
      </c>
      <c r="G29" s="20">
        <v>375</v>
      </c>
      <c r="H29" s="216">
        <v>102</v>
      </c>
      <c r="I29" s="211">
        <v>455</v>
      </c>
      <c r="J29" s="46">
        <f t="shared" si="1"/>
        <v>18.958333333333332</v>
      </c>
      <c r="K29" s="239">
        <v>381</v>
      </c>
      <c r="L29" s="21">
        <v>207</v>
      </c>
      <c r="M29" s="49">
        <v>198</v>
      </c>
      <c r="N29" s="50">
        <f t="shared" si="2"/>
        <v>8.25</v>
      </c>
      <c r="O29" s="198">
        <v>0</v>
      </c>
      <c r="P29" s="52">
        <f t="shared" si="3"/>
        <v>0</v>
      </c>
      <c r="Q29" s="257">
        <v>1</v>
      </c>
      <c r="R29" s="53">
        <v>123</v>
      </c>
      <c r="S29" s="54">
        <v>249</v>
      </c>
      <c r="T29" s="223">
        <v>512</v>
      </c>
      <c r="U29" s="55">
        <f t="shared" si="7"/>
        <v>2607</v>
      </c>
      <c r="V29" s="231">
        <f t="shared" si="4"/>
        <v>108.625</v>
      </c>
      <c r="W29" s="236">
        <v>0.5</v>
      </c>
      <c r="X29" s="65">
        <v>6.5</v>
      </c>
      <c r="Y29" s="66">
        <v>24</v>
      </c>
      <c r="Z29" s="6"/>
      <c r="AA29" s="348"/>
      <c r="AB29" s="348"/>
      <c r="AC29" s="348"/>
      <c r="AD29" s="349"/>
      <c r="AE29" s="350" t="s">
        <v>156</v>
      </c>
      <c r="AF29" s="351"/>
      <c r="AG29" s="351"/>
      <c r="AH29" s="352"/>
      <c r="AI29" s="58"/>
      <c r="AJ29" s="58"/>
      <c r="AK29" s="59">
        <v>158</v>
      </c>
      <c r="AL29" s="60">
        <f t="shared" si="5"/>
        <v>6.583333333333333</v>
      </c>
      <c r="AM29" s="6">
        <v>1440</v>
      </c>
      <c r="AO29" s="61"/>
      <c r="AP29" s="61">
        <f t="shared" si="6"/>
        <v>249</v>
      </c>
      <c r="AQ29"/>
    </row>
    <row r="30" spans="1:43" x14ac:dyDescent="0.3">
      <c r="A30" s="62">
        <v>24</v>
      </c>
      <c r="B30" s="67">
        <v>291</v>
      </c>
      <c r="C30" s="42">
        <f t="shared" si="0"/>
        <v>12.125</v>
      </c>
      <c r="D30" s="256">
        <v>204</v>
      </c>
      <c r="E30" s="44">
        <v>308</v>
      </c>
      <c r="F30" s="19">
        <v>512</v>
      </c>
      <c r="G30" s="20">
        <v>420</v>
      </c>
      <c r="H30" s="216">
        <v>45</v>
      </c>
      <c r="I30" s="211">
        <v>350</v>
      </c>
      <c r="J30" s="46">
        <f t="shared" si="1"/>
        <v>14.583333333333334</v>
      </c>
      <c r="K30" s="239">
        <v>424</v>
      </c>
      <c r="L30" s="21">
        <v>203</v>
      </c>
      <c r="M30" s="49">
        <v>111</v>
      </c>
      <c r="N30" s="50">
        <f t="shared" si="2"/>
        <v>4.625</v>
      </c>
      <c r="O30" s="198">
        <v>0</v>
      </c>
      <c r="P30" s="52">
        <f t="shared" si="3"/>
        <v>0</v>
      </c>
      <c r="Q30" s="257">
        <v>24</v>
      </c>
      <c r="R30" s="53">
        <v>0</v>
      </c>
      <c r="S30" s="54">
        <v>214</v>
      </c>
      <c r="T30" s="223">
        <v>371</v>
      </c>
      <c r="U30" s="55">
        <f t="shared" si="7"/>
        <v>990</v>
      </c>
      <c r="V30" s="231">
        <f t="shared" si="4"/>
        <v>41.25</v>
      </c>
      <c r="W30" s="236">
        <v>6.83</v>
      </c>
      <c r="X30" s="65">
        <v>0</v>
      </c>
      <c r="Y30" s="66">
        <v>14</v>
      </c>
      <c r="Z30" s="6"/>
      <c r="AA30" s="359" t="s">
        <v>157</v>
      </c>
      <c r="AB30" s="348"/>
      <c r="AC30" s="348"/>
      <c r="AD30" s="349"/>
      <c r="AE30" s="350"/>
      <c r="AF30" s="351"/>
      <c r="AG30" s="351"/>
      <c r="AH30" s="352"/>
      <c r="AI30" s="58">
        <v>1440</v>
      </c>
      <c r="AJ30" s="58">
        <v>750</v>
      </c>
      <c r="AK30" s="59">
        <v>11</v>
      </c>
      <c r="AL30" s="60">
        <f t="shared" si="5"/>
        <v>0.45833333333333331</v>
      </c>
      <c r="AM30" s="6">
        <v>720</v>
      </c>
      <c r="AO30" s="61"/>
      <c r="AP30" s="61">
        <f t="shared" si="6"/>
        <v>214</v>
      </c>
      <c r="AQ30"/>
    </row>
    <row r="31" spans="1:43" x14ac:dyDescent="0.3">
      <c r="A31" s="62">
        <v>25</v>
      </c>
      <c r="B31" s="67">
        <v>572</v>
      </c>
      <c r="C31" s="42">
        <f t="shared" si="0"/>
        <v>23.833333333333332</v>
      </c>
      <c r="D31" s="256">
        <v>400</v>
      </c>
      <c r="E31" s="44">
        <v>370</v>
      </c>
      <c r="F31" s="19">
        <v>770</v>
      </c>
      <c r="G31" s="20">
        <v>473</v>
      </c>
      <c r="H31" s="216">
        <v>48</v>
      </c>
      <c r="I31" s="211">
        <v>0</v>
      </c>
      <c r="J31" s="46">
        <f t="shared" si="1"/>
        <v>0</v>
      </c>
      <c r="K31" s="239">
        <v>241</v>
      </c>
      <c r="L31" s="21">
        <v>150</v>
      </c>
      <c r="M31" s="49">
        <v>0</v>
      </c>
      <c r="N31" s="50">
        <f t="shared" si="2"/>
        <v>0</v>
      </c>
      <c r="O31" s="198">
        <v>0</v>
      </c>
      <c r="P31" s="52">
        <f t="shared" si="3"/>
        <v>0</v>
      </c>
      <c r="Q31" s="257">
        <v>0</v>
      </c>
      <c r="R31" s="53">
        <v>0</v>
      </c>
      <c r="S31" s="54">
        <v>0</v>
      </c>
      <c r="T31" s="223">
        <v>0</v>
      </c>
      <c r="U31" s="55">
        <f t="shared" si="7"/>
        <v>572</v>
      </c>
      <c r="V31" s="231">
        <f t="shared" si="4"/>
        <v>23.833333333333332</v>
      </c>
      <c r="W31" s="236">
        <v>0</v>
      </c>
      <c r="X31" s="65">
        <v>0</v>
      </c>
      <c r="Y31" s="66">
        <v>0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>
        <v>1440</v>
      </c>
      <c r="AJ31" s="58"/>
      <c r="AK31" s="59">
        <v>0</v>
      </c>
      <c r="AL31" s="60">
        <f t="shared" si="5"/>
        <v>0</v>
      </c>
      <c r="AM31" s="6">
        <v>0</v>
      </c>
      <c r="AO31" s="61"/>
      <c r="AP31" s="61">
        <f t="shared" si="6"/>
        <v>0</v>
      </c>
      <c r="AQ31"/>
    </row>
    <row r="32" spans="1:43" x14ac:dyDescent="0.3">
      <c r="A32" s="62">
        <v>26</v>
      </c>
      <c r="B32" s="67">
        <v>576</v>
      </c>
      <c r="C32" s="42">
        <f t="shared" si="0"/>
        <v>24</v>
      </c>
      <c r="D32" s="256">
        <v>403</v>
      </c>
      <c r="E32" s="44">
        <v>332</v>
      </c>
      <c r="F32" s="19">
        <v>735</v>
      </c>
      <c r="G32" s="20">
        <v>439</v>
      </c>
      <c r="H32" s="216">
        <v>55</v>
      </c>
      <c r="I32" s="211">
        <v>0</v>
      </c>
      <c r="J32" s="46">
        <f t="shared" si="1"/>
        <v>0</v>
      </c>
      <c r="K32" s="239">
        <v>240</v>
      </c>
      <c r="L32" s="21">
        <v>253</v>
      </c>
      <c r="M32" s="200">
        <v>0</v>
      </c>
      <c r="N32" s="50">
        <f t="shared" si="2"/>
        <v>0</v>
      </c>
      <c r="O32" s="198">
        <v>0</v>
      </c>
      <c r="P32" s="52">
        <f t="shared" si="3"/>
        <v>0</v>
      </c>
      <c r="Q32" s="257">
        <v>0</v>
      </c>
      <c r="R32" s="53">
        <v>0</v>
      </c>
      <c r="S32" s="54">
        <v>0</v>
      </c>
      <c r="T32" s="223">
        <v>0</v>
      </c>
      <c r="U32" s="55">
        <f t="shared" si="7"/>
        <v>576</v>
      </c>
      <c r="V32" s="231">
        <f t="shared" si="4"/>
        <v>24</v>
      </c>
      <c r="W32" s="236">
        <v>0</v>
      </c>
      <c r="X32" s="65">
        <v>0</v>
      </c>
      <c r="Y32" s="66">
        <v>0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>
        <v>1440</v>
      </c>
      <c r="AJ32" s="58"/>
      <c r="AK32" s="59">
        <v>0</v>
      </c>
      <c r="AL32" s="60">
        <f t="shared" si="5"/>
        <v>0</v>
      </c>
      <c r="AM32" s="6">
        <v>0</v>
      </c>
      <c r="AO32" s="61"/>
      <c r="AP32" s="61">
        <f t="shared" si="6"/>
        <v>0</v>
      </c>
      <c r="AQ32"/>
    </row>
    <row r="33" spans="1:43" x14ac:dyDescent="0.3">
      <c r="A33" s="62">
        <v>27</v>
      </c>
      <c r="B33" s="67">
        <v>528</v>
      </c>
      <c r="C33" s="42">
        <f t="shared" si="0"/>
        <v>22</v>
      </c>
      <c r="D33" s="256">
        <v>370</v>
      </c>
      <c r="E33" s="44">
        <v>377</v>
      </c>
      <c r="F33" s="19">
        <v>747</v>
      </c>
      <c r="G33" s="20">
        <v>355</v>
      </c>
      <c r="H33" s="216">
        <v>55</v>
      </c>
      <c r="I33" s="211">
        <v>0</v>
      </c>
      <c r="J33" s="46">
        <f t="shared" si="1"/>
        <v>0</v>
      </c>
      <c r="K33" s="239">
        <v>240</v>
      </c>
      <c r="L33" s="21">
        <v>211</v>
      </c>
      <c r="M33" s="200">
        <v>0</v>
      </c>
      <c r="N33" s="50">
        <f t="shared" si="2"/>
        <v>0</v>
      </c>
      <c r="O33" s="198">
        <v>0</v>
      </c>
      <c r="P33" s="52">
        <f t="shared" si="3"/>
        <v>0</v>
      </c>
      <c r="Q33" s="257">
        <v>0</v>
      </c>
      <c r="R33" s="53">
        <v>0</v>
      </c>
      <c r="S33" s="54">
        <v>0</v>
      </c>
      <c r="T33" s="223">
        <v>76</v>
      </c>
      <c r="U33" s="55">
        <f t="shared" si="7"/>
        <v>528</v>
      </c>
      <c r="V33" s="231">
        <f t="shared" si="4"/>
        <v>22</v>
      </c>
      <c r="W33" s="236">
        <v>0</v>
      </c>
      <c r="X33" s="65">
        <v>0</v>
      </c>
      <c r="Y33" s="66">
        <v>0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>
        <v>1440</v>
      </c>
      <c r="AJ33" s="58"/>
      <c r="AK33" s="59">
        <v>0</v>
      </c>
      <c r="AL33" s="60">
        <f t="shared" si="5"/>
        <v>0</v>
      </c>
      <c r="AM33" s="6">
        <v>0</v>
      </c>
      <c r="AO33" s="61"/>
      <c r="AP33" s="61">
        <f t="shared" si="6"/>
        <v>0</v>
      </c>
      <c r="AQ33"/>
    </row>
    <row r="34" spans="1:43" x14ac:dyDescent="0.3">
      <c r="A34" s="62">
        <v>28</v>
      </c>
      <c r="B34" s="67">
        <v>509</v>
      </c>
      <c r="C34" s="42">
        <f t="shared" si="0"/>
        <v>21.208333333333332</v>
      </c>
      <c r="D34" s="256">
        <v>356</v>
      </c>
      <c r="E34" s="44">
        <v>461</v>
      </c>
      <c r="F34" s="19">
        <v>817</v>
      </c>
      <c r="G34" s="20">
        <v>344</v>
      </c>
      <c r="H34" s="216">
        <v>48</v>
      </c>
      <c r="I34" s="211">
        <v>0</v>
      </c>
      <c r="J34" s="46">
        <f t="shared" si="1"/>
        <v>0</v>
      </c>
      <c r="K34" s="239">
        <v>240</v>
      </c>
      <c r="L34" s="21">
        <v>253</v>
      </c>
      <c r="M34" s="200">
        <v>0</v>
      </c>
      <c r="N34" s="50">
        <f t="shared" si="2"/>
        <v>0</v>
      </c>
      <c r="O34" s="198">
        <v>0</v>
      </c>
      <c r="P34" s="52">
        <f t="shared" si="3"/>
        <v>0</v>
      </c>
      <c r="Q34" s="257">
        <v>0</v>
      </c>
      <c r="R34" s="53">
        <v>0</v>
      </c>
      <c r="S34" s="54">
        <v>0</v>
      </c>
      <c r="T34" s="223">
        <v>74</v>
      </c>
      <c r="U34" s="55">
        <f t="shared" si="7"/>
        <v>509</v>
      </c>
      <c r="V34" s="231">
        <f t="shared" si="4"/>
        <v>21.208333333333332</v>
      </c>
      <c r="W34" s="236">
        <v>0</v>
      </c>
      <c r="X34" s="65">
        <v>0</v>
      </c>
      <c r="Y34" s="66">
        <v>0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>
        <v>1440</v>
      </c>
      <c r="AJ34" s="58"/>
      <c r="AK34" s="59">
        <v>0</v>
      </c>
      <c r="AL34" s="60">
        <f t="shared" si="5"/>
        <v>0</v>
      </c>
      <c r="AM34" s="6">
        <v>0</v>
      </c>
      <c r="AO34" s="61"/>
      <c r="AP34" s="61">
        <f t="shared" si="6"/>
        <v>0</v>
      </c>
      <c r="AQ34"/>
    </row>
    <row r="35" spans="1:43" x14ac:dyDescent="0.3">
      <c r="A35" s="62">
        <v>29</v>
      </c>
      <c r="B35" s="67">
        <v>509</v>
      </c>
      <c r="C35" s="42">
        <f t="shared" si="0"/>
        <v>21.208333333333332</v>
      </c>
      <c r="D35" s="256">
        <v>356</v>
      </c>
      <c r="E35" s="44">
        <v>467</v>
      </c>
      <c r="F35" s="19">
        <v>823</v>
      </c>
      <c r="G35" s="20">
        <v>342</v>
      </c>
      <c r="H35" s="216">
        <v>47</v>
      </c>
      <c r="I35" s="211">
        <v>0</v>
      </c>
      <c r="J35" s="46">
        <f t="shared" si="1"/>
        <v>0</v>
      </c>
      <c r="K35" s="239">
        <v>240</v>
      </c>
      <c r="L35" s="21">
        <v>252</v>
      </c>
      <c r="M35" s="200">
        <v>0</v>
      </c>
      <c r="N35" s="50">
        <f t="shared" si="2"/>
        <v>0</v>
      </c>
      <c r="O35" s="198">
        <v>0</v>
      </c>
      <c r="P35" s="52">
        <f t="shared" si="3"/>
        <v>0</v>
      </c>
      <c r="Q35" s="257">
        <v>0</v>
      </c>
      <c r="R35" s="53">
        <v>0</v>
      </c>
      <c r="S35" s="54">
        <v>0</v>
      </c>
      <c r="T35" s="223">
        <v>75</v>
      </c>
      <c r="U35" s="55">
        <f t="shared" si="7"/>
        <v>509</v>
      </c>
      <c r="V35" s="231">
        <f t="shared" si="4"/>
        <v>21.208333333333332</v>
      </c>
      <c r="W35" s="236">
        <v>0</v>
      </c>
      <c r="X35" s="65">
        <v>0</v>
      </c>
      <c r="Y35" s="66">
        <v>0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>
        <v>1440</v>
      </c>
      <c r="AJ35" s="58"/>
      <c r="AK35" s="59">
        <v>0</v>
      </c>
      <c r="AL35" s="60">
        <f t="shared" si="5"/>
        <v>0</v>
      </c>
      <c r="AM35" s="6">
        <v>0</v>
      </c>
      <c r="AO35" s="61"/>
      <c r="AP35" s="61">
        <f t="shared" si="6"/>
        <v>0</v>
      </c>
      <c r="AQ35"/>
    </row>
    <row r="36" spans="1:43" x14ac:dyDescent="0.3">
      <c r="A36" s="62">
        <v>30</v>
      </c>
      <c r="B36" s="67">
        <v>518</v>
      </c>
      <c r="C36" s="42">
        <f t="shared" si="0"/>
        <v>21.583333333333332</v>
      </c>
      <c r="D36" s="256">
        <v>363</v>
      </c>
      <c r="E36" s="44">
        <v>438</v>
      </c>
      <c r="F36" s="19">
        <v>801</v>
      </c>
      <c r="G36" s="20">
        <v>343</v>
      </c>
      <c r="H36" s="216">
        <v>60</v>
      </c>
      <c r="I36" s="211">
        <v>0</v>
      </c>
      <c r="J36" s="46">
        <f t="shared" si="1"/>
        <v>0</v>
      </c>
      <c r="K36" s="239">
        <v>239</v>
      </c>
      <c r="L36" s="21">
        <v>250</v>
      </c>
      <c r="M36" s="200">
        <v>0</v>
      </c>
      <c r="N36" s="50">
        <f t="shared" si="2"/>
        <v>0</v>
      </c>
      <c r="O36" s="198">
        <v>0</v>
      </c>
      <c r="P36" s="52">
        <f t="shared" si="3"/>
        <v>0</v>
      </c>
      <c r="Q36" s="257">
        <v>0</v>
      </c>
      <c r="R36" s="53">
        <v>0</v>
      </c>
      <c r="S36" s="54">
        <v>0</v>
      </c>
      <c r="T36" s="223">
        <v>69</v>
      </c>
      <c r="U36" s="55">
        <f t="shared" si="7"/>
        <v>518</v>
      </c>
      <c r="V36" s="231">
        <f t="shared" si="4"/>
        <v>21.583333333333332</v>
      </c>
      <c r="W36" s="236">
        <v>0</v>
      </c>
      <c r="X36" s="65">
        <v>0</v>
      </c>
      <c r="Y36" s="66">
        <v>0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>
        <v>1440</v>
      </c>
      <c r="AJ36" s="58"/>
      <c r="AK36" s="59">
        <v>0</v>
      </c>
      <c r="AL36" s="60">
        <f t="shared" si="5"/>
        <v>0</v>
      </c>
      <c r="AM36" s="6">
        <v>0</v>
      </c>
      <c r="AO36" s="61"/>
      <c r="AP36" s="61">
        <f t="shared" si="6"/>
        <v>0</v>
      </c>
      <c r="AQ36"/>
    </row>
    <row r="37" spans="1:43" ht="17.25" thickBot="1" x14ac:dyDescent="0.35">
      <c r="A37" s="62">
        <v>31</v>
      </c>
      <c r="B37" s="67">
        <v>1442</v>
      </c>
      <c r="C37" s="42">
        <f t="shared" si="0"/>
        <v>60.083333333333336</v>
      </c>
      <c r="D37" s="76">
        <v>1009</v>
      </c>
      <c r="E37" s="44">
        <v>668</v>
      </c>
      <c r="F37" s="77">
        <v>1677</v>
      </c>
      <c r="G37" s="78">
        <v>382</v>
      </c>
      <c r="H37" s="220">
        <v>84</v>
      </c>
      <c r="I37" s="211">
        <v>343</v>
      </c>
      <c r="J37" s="46">
        <f t="shared" si="1"/>
        <v>14.291666666666666</v>
      </c>
      <c r="K37" s="79">
        <v>333</v>
      </c>
      <c r="L37" s="80">
        <v>254</v>
      </c>
      <c r="M37" s="201">
        <v>0</v>
      </c>
      <c r="N37" s="50">
        <f t="shared" si="2"/>
        <v>0</v>
      </c>
      <c r="O37" s="199">
        <v>234</v>
      </c>
      <c r="P37" s="81">
        <f t="shared" si="3"/>
        <v>9.75</v>
      </c>
      <c r="Q37" s="227">
        <v>6</v>
      </c>
      <c r="R37" s="82">
        <v>0</v>
      </c>
      <c r="S37" s="54">
        <v>286</v>
      </c>
      <c r="T37" s="223">
        <v>432</v>
      </c>
      <c r="U37" s="55">
        <f t="shared" si="7"/>
        <v>2311</v>
      </c>
      <c r="V37" s="232">
        <f t="shared" si="4"/>
        <v>96.291666666666671</v>
      </c>
      <c r="W37" s="237">
        <v>3.67</v>
      </c>
      <c r="X37" s="83">
        <v>0</v>
      </c>
      <c r="Y37" s="84">
        <v>19.170000000000002</v>
      </c>
      <c r="Z37" s="85"/>
      <c r="AA37" s="348" t="s">
        <v>158</v>
      </c>
      <c r="AB37" s="348"/>
      <c r="AC37" s="348"/>
      <c r="AD37" s="349"/>
      <c r="AE37" s="350"/>
      <c r="AF37" s="351"/>
      <c r="AG37" s="351"/>
      <c r="AH37" s="352"/>
      <c r="AI37" s="58">
        <v>120</v>
      </c>
      <c r="AJ37" s="58"/>
      <c r="AK37" s="59">
        <v>117</v>
      </c>
      <c r="AL37" s="60">
        <f t="shared" si="5"/>
        <v>4.875</v>
      </c>
      <c r="AM37" s="6">
        <v>720</v>
      </c>
      <c r="AN37" s="85"/>
      <c r="AO37" s="85"/>
      <c r="AP37" s="61">
        <f t="shared" si="6"/>
        <v>286</v>
      </c>
      <c r="AQ37"/>
    </row>
    <row r="38" spans="1:43" ht="17.25" thickBot="1" x14ac:dyDescent="0.35">
      <c r="A38" s="86" t="s">
        <v>35</v>
      </c>
      <c r="B38" s="87">
        <f t="shared" ref="B38:I38" si="8">SUM(B7:B37)</f>
        <v>36189</v>
      </c>
      <c r="C38" s="88">
        <f t="shared" si="8"/>
        <v>1507.8749999999995</v>
      </c>
      <c r="D38" s="89">
        <f t="shared" si="8"/>
        <v>25334</v>
      </c>
      <c r="E38" s="89">
        <f t="shared" si="8"/>
        <v>18608</v>
      </c>
      <c r="F38" s="89">
        <f t="shared" si="8"/>
        <v>43941</v>
      </c>
      <c r="G38" s="90">
        <f t="shared" si="8"/>
        <v>12103</v>
      </c>
      <c r="H38" s="221">
        <f t="shared" si="8"/>
        <v>2288</v>
      </c>
      <c r="I38" s="212">
        <f t="shared" si="8"/>
        <v>9793</v>
      </c>
      <c r="J38" s="88"/>
      <c r="K38" s="89">
        <f>SUM(K7:K37)</f>
        <v>10357</v>
      </c>
      <c r="L38" s="91">
        <f>SUM(L7:L37)</f>
        <v>6163</v>
      </c>
      <c r="M38" s="92">
        <f>SUM(M7:M37)</f>
        <v>1218</v>
      </c>
      <c r="N38" s="89"/>
      <c r="O38" s="87">
        <f>SUM(O7:O37)</f>
        <v>5438</v>
      </c>
      <c r="P38" s="93"/>
      <c r="Q38" s="212">
        <f>SUM(Q7:Q37)</f>
        <v>800</v>
      </c>
      <c r="R38" s="87">
        <f>SUM(R7:R37)</f>
        <v>1234</v>
      </c>
      <c r="S38" s="87">
        <f>SUM(S7:S37)</f>
        <v>7010</v>
      </c>
      <c r="T38" s="87">
        <f>SUM(T7:T37)</f>
        <v>12106</v>
      </c>
      <c r="U38" s="94">
        <f>SUM(U7:U37)</f>
        <v>61682</v>
      </c>
      <c r="V38" s="207"/>
      <c r="W38" s="238">
        <f>SUM(W7:W37)</f>
        <v>145.67999999999998</v>
      </c>
      <c r="X38" s="89">
        <f>SUM(X7:X37)</f>
        <v>57.5</v>
      </c>
      <c r="Y38" s="91">
        <f>SUM(Y7:Y37)</f>
        <v>563.66999999999996</v>
      </c>
      <c r="Z38" s="6"/>
      <c r="AA38" s="5"/>
      <c r="AB38" s="6"/>
      <c r="AC38" s="6"/>
      <c r="AD38" s="6"/>
      <c r="AE38" s="6"/>
      <c r="AF38" s="6"/>
      <c r="AG38" s="7" t="s">
        <v>36</v>
      </c>
      <c r="AH38" s="95">
        <f>SUM(AI7:AI37)/60</f>
        <v>282.5</v>
      </c>
      <c r="AI38" s="95">
        <f>SUM(AJ7:AJ37)/60</f>
        <v>53.333333333333336</v>
      </c>
      <c r="AJ38" s="96">
        <f>SUM(AK7:AK37)</f>
        <v>3072</v>
      </c>
      <c r="AK38" s="60">
        <f>(AJ38/31)/24</f>
        <v>4.129032258064516</v>
      </c>
      <c r="AL38" s="97">
        <f>SUM(AM7:AM37)/60</f>
        <v>549.5</v>
      </c>
      <c r="AP38"/>
      <c r="AQ38"/>
    </row>
    <row r="39" spans="1:43" ht="17.25" thickBot="1" x14ac:dyDescent="0.35">
      <c r="A39" s="98" t="s">
        <v>37</v>
      </c>
      <c r="B39" s="99">
        <f>AVERAGE(B7:B37)</f>
        <v>1167.3870967741937</v>
      </c>
      <c r="C39" s="100">
        <f>B39/24</f>
        <v>48.641129032258071</v>
      </c>
      <c r="D39" s="101">
        <f t="shared" ref="D39:I39" si="9">AVERAGE(D7:D37)</f>
        <v>817.22580645161293</v>
      </c>
      <c r="E39" s="101">
        <f t="shared" si="9"/>
        <v>600.25806451612902</v>
      </c>
      <c r="F39" s="101">
        <f t="shared" si="9"/>
        <v>1417.4516129032259</v>
      </c>
      <c r="G39" s="208">
        <f t="shared" si="9"/>
        <v>390.41935483870969</v>
      </c>
      <c r="H39" s="102">
        <f t="shared" si="9"/>
        <v>73.806451612903231</v>
      </c>
      <c r="I39" s="213">
        <f t="shared" si="9"/>
        <v>315.90322580645159</v>
      </c>
      <c r="J39" s="103">
        <f>I39/24</f>
        <v>13.16263440860215</v>
      </c>
      <c r="K39" s="101">
        <f>AVERAGE(K7:K37)</f>
        <v>334.09677419354841</v>
      </c>
      <c r="L39" s="104">
        <f>AVERAGE(L7:L37)</f>
        <v>198.80645161290323</v>
      </c>
      <c r="M39" s="105">
        <f>AVERAGE(M7:M37)</f>
        <v>39.29032258064516</v>
      </c>
      <c r="N39" s="103">
        <f>M39/24</f>
        <v>1.6370967741935483</v>
      </c>
      <c r="O39" s="101">
        <f>AVERAGE(O7:O37)</f>
        <v>175.41935483870967</v>
      </c>
      <c r="P39" s="229">
        <f>O39/24</f>
        <v>7.3091397849462361</v>
      </c>
      <c r="Q39" s="228">
        <f>AVERAGE(Q7:Q37)</f>
        <v>25.806451612903224</v>
      </c>
      <c r="R39" s="106">
        <f>AVERAGE(R7:R37)</f>
        <v>39.806451612903224</v>
      </c>
      <c r="S39" s="102">
        <f>AVERAGE(S7:S37)</f>
        <v>226.12903225806451</v>
      </c>
      <c r="T39" s="102">
        <f>AVERAGE(T7:T37)</f>
        <v>390.51612903225805</v>
      </c>
      <c r="U39" s="107">
        <f>AVERAGE(U7:U37)</f>
        <v>1989.741935483871</v>
      </c>
      <c r="V39" s="233">
        <f>U39/24</f>
        <v>82.905913978494624</v>
      </c>
      <c r="W39" s="105">
        <f>AVERAGE(W7:W37)</f>
        <v>4.6993548387096764</v>
      </c>
      <c r="X39" s="101">
        <f>AVERAGE(X7:X37)</f>
        <v>1.8548387096774193</v>
      </c>
      <c r="Y39" s="104">
        <f>AVERAGE(Y7:Y37)</f>
        <v>18.182903225806449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AH38+AI38</f>
        <v>335.83333333333331</v>
      </c>
      <c r="AI39" s="354"/>
      <c r="AJ39" s="104"/>
      <c r="AK39" s="60">
        <f>AJ39/24</f>
        <v>0</v>
      </c>
      <c r="AP39"/>
      <c r="AQ39"/>
    </row>
    <row r="40" spans="1:43" ht="17.25" thickBot="1" x14ac:dyDescent="0.35">
      <c r="A40" s="7"/>
      <c r="M40" s="108">
        <f>M38+O38</f>
        <v>6656</v>
      </c>
      <c r="P40" s="109">
        <f>Q38+R38</f>
        <v>2034</v>
      </c>
      <c r="Q40" s="110" t="s">
        <v>39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42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2.7338709677419355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9.422043010752688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48.641129032258071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8.9462365591397841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13.16263440860215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82.905913978494624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58" t="s">
        <v>50</v>
      </c>
      <c r="E49" s="258" t="s">
        <v>133</v>
      </c>
      <c r="F49" s="140" t="s">
        <v>51</v>
      </c>
      <c r="G49" s="140" t="s">
        <v>52</v>
      </c>
      <c r="H49" s="258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470</v>
      </c>
      <c r="F50" s="148">
        <v>426</v>
      </c>
      <c r="G50" s="148">
        <v>503</v>
      </c>
      <c r="H50" s="148">
        <v>490</v>
      </c>
      <c r="I50" s="148">
        <v>475</v>
      </c>
      <c r="J50" s="148">
        <v>512</v>
      </c>
      <c r="K50" s="148">
        <v>499</v>
      </c>
      <c r="L50" s="148">
        <v>495</v>
      </c>
      <c r="M50" s="148">
        <v>423</v>
      </c>
      <c r="N50" s="148">
        <v>476</v>
      </c>
      <c r="O50" s="148">
        <v>367</v>
      </c>
      <c r="P50" s="148">
        <v>493</v>
      </c>
      <c r="Q50" s="148">
        <v>138</v>
      </c>
      <c r="R50" s="148">
        <v>500</v>
      </c>
      <c r="S50" s="148">
        <v>509</v>
      </c>
      <c r="T50" s="148">
        <v>472</v>
      </c>
      <c r="U50" s="148">
        <v>489</v>
      </c>
      <c r="V50" s="148">
        <v>491</v>
      </c>
      <c r="W50" s="148">
        <v>496</v>
      </c>
      <c r="X50" s="148">
        <v>492</v>
      </c>
      <c r="Y50" s="148">
        <v>498</v>
      </c>
      <c r="Z50" s="148">
        <v>492</v>
      </c>
      <c r="AA50" s="148">
        <v>508</v>
      </c>
      <c r="AB50" s="148">
        <v>304</v>
      </c>
      <c r="AC50" s="148">
        <v>0</v>
      </c>
      <c r="AD50" s="148">
        <v>0</v>
      </c>
      <c r="AE50" s="148">
        <v>0</v>
      </c>
      <c r="AF50" s="148">
        <v>0</v>
      </c>
      <c r="AG50" s="148">
        <v>0</v>
      </c>
      <c r="AH50" s="148">
        <v>0</v>
      </c>
      <c r="AI50" s="148">
        <v>430</v>
      </c>
      <c r="AJ50" s="149">
        <f>SUM(E50:AI50)</f>
        <v>11448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72</v>
      </c>
      <c r="I51" s="148">
        <v>72</v>
      </c>
      <c r="J51" s="148">
        <v>72</v>
      </c>
      <c r="K51" s="148">
        <v>72</v>
      </c>
      <c r="L51" s="148">
        <v>72</v>
      </c>
      <c r="M51" s="148">
        <v>63</v>
      </c>
      <c r="N51" s="148">
        <v>72</v>
      </c>
      <c r="O51" s="148">
        <v>72</v>
      </c>
      <c r="P51" s="148">
        <v>72</v>
      </c>
      <c r="Q51" s="148">
        <v>16.5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72</v>
      </c>
      <c r="X51" s="148">
        <v>72</v>
      </c>
      <c r="Y51" s="148">
        <v>72</v>
      </c>
      <c r="Z51" s="148">
        <v>72</v>
      </c>
      <c r="AA51" s="148">
        <v>72</v>
      </c>
      <c r="AB51" s="148">
        <v>42</v>
      </c>
      <c r="AC51" s="148">
        <v>0</v>
      </c>
      <c r="AD51" s="148">
        <v>0</v>
      </c>
      <c r="AE51" s="148">
        <v>0</v>
      </c>
      <c r="AF51" s="148">
        <v>0</v>
      </c>
      <c r="AG51" s="148">
        <v>0</v>
      </c>
      <c r="AH51" s="148">
        <v>0</v>
      </c>
      <c r="AI51" s="148">
        <v>57.510000000000005</v>
      </c>
      <c r="AJ51" s="149">
        <f>SUM(E51:AI51)</f>
        <v>1691.01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231</v>
      </c>
      <c r="F52" s="148">
        <f>$S8</f>
        <v>187</v>
      </c>
      <c r="G52" s="148">
        <f>$S9</f>
        <v>234</v>
      </c>
      <c r="H52" s="148">
        <f>$S10</f>
        <v>94</v>
      </c>
      <c r="I52" s="148">
        <f>$S11</f>
        <v>103</v>
      </c>
      <c r="J52" s="148">
        <f>$S12</f>
        <v>381</v>
      </c>
      <c r="K52" s="148">
        <f>$S13</f>
        <v>401</v>
      </c>
      <c r="L52" s="148">
        <f>$S14</f>
        <v>383</v>
      </c>
      <c r="M52" s="148">
        <f>$S15</f>
        <v>423</v>
      </c>
      <c r="N52" s="148">
        <f>$S16</f>
        <v>400</v>
      </c>
      <c r="O52" s="148">
        <f>$S17</f>
        <v>367</v>
      </c>
      <c r="P52" s="148">
        <f>$S18</f>
        <v>326</v>
      </c>
      <c r="Q52" s="148">
        <f>$S19</f>
        <v>69</v>
      </c>
      <c r="R52" s="148">
        <f>$S20</f>
        <v>235</v>
      </c>
      <c r="S52" s="148">
        <f>$S21</f>
        <v>304</v>
      </c>
      <c r="T52" s="148">
        <f>$S22</f>
        <v>98</v>
      </c>
      <c r="U52" s="148">
        <f>$S23</f>
        <v>363</v>
      </c>
      <c r="V52" s="148">
        <f>$S24</f>
        <v>358</v>
      </c>
      <c r="W52" s="148">
        <f>$S25</f>
        <v>355</v>
      </c>
      <c r="X52" s="148">
        <f>$S26</f>
        <v>281</v>
      </c>
      <c r="Y52" s="148">
        <f>$S27</f>
        <v>337</v>
      </c>
      <c r="Z52" s="148">
        <f>$S28</f>
        <v>331</v>
      </c>
      <c r="AA52" s="148">
        <f>$S29</f>
        <v>249</v>
      </c>
      <c r="AB52" s="148">
        <f>$S30</f>
        <v>214</v>
      </c>
      <c r="AC52" s="148">
        <f>$S31</f>
        <v>0</v>
      </c>
      <c r="AD52" s="148">
        <f>$S32</f>
        <v>0</v>
      </c>
      <c r="AE52" s="148">
        <f>$S33</f>
        <v>0</v>
      </c>
      <c r="AF52" s="148">
        <f>$S34</f>
        <v>0</v>
      </c>
      <c r="AG52" s="148">
        <f>$S35</f>
        <v>0</v>
      </c>
      <c r="AH52" s="148">
        <f>$S36</f>
        <v>0</v>
      </c>
      <c r="AI52" s="148">
        <f>$S37</f>
        <v>286</v>
      </c>
      <c r="AJ52" s="154">
        <f>SUM(E52:AI52)</f>
        <v>7010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167</v>
      </c>
      <c r="F53" s="157">
        <f t="shared" si="10"/>
        <v>167</v>
      </c>
      <c r="G53" s="157">
        <f t="shared" si="10"/>
        <v>197</v>
      </c>
      <c r="H53" s="157">
        <f t="shared" si="10"/>
        <v>324</v>
      </c>
      <c r="I53" s="157">
        <f t="shared" si="10"/>
        <v>300</v>
      </c>
      <c r="J53" s="157">
        <f t="shared" si="10"/>
        <v>59</v>
      </c>
      <c r="K53" s="157">
        <f t="shared" si="10"/>
        <v>26</v>
      </c>
      <c r="L53" s="157">
        <f t="shared" si="10"/>
        <v>40</v>
      </c>
      <c r="M53" s="157">
        <f t="shared" si="10"/>
        <v>0</v>
      </c>
      <c r="N53" s="157">
        <f t="shared" si="10"/>
        <v>4</v>
      </c>
      <c r="O53" s="157">
        <f t="shared" si="10"/>
        <v>0</v>
      </c>
      <c r="P53" s="157">
        <f t="shared" si="10"/>
        <v>95</v>
      </c>
      <c r="Q53" s="157">
        <f t="shared" si="10"/>
        <v>52.5</v>
      </c>
      <c r="R53" s="157">
        <f t="shared" si="10"/>
        <v>193</v>
      </c>
      <c r="S53" s="157">
        <f t="shared" si="10"/>
        <v>133</v>
      </c>
      <c r="T53" s="157">
        <f t="shared" si="10"/>
        <v>302</v>
      </c>
      <c r="U53" s="157">
        <f t="shared" si="10"/>
        <v>54</v>
      </c>
      <c r="V53" s="157">
        <f t="shared" si="10"/>
        <v>61</v>
      </c>
      <c r="W53" s="157">
        <f t="shared" si="10"/>
        <v>69</v>
      </c>
      <c r="X53" s="157">
        <f t="shared" si="10"/>
        <v>139</v>
      </c>
      <c r="Y53" s="157">
        <f t="shared" si="10"/>
        <v>89</v>
      </c>
      <c r="Z53" s="157">
        <f t="shared" si="10"/>
        <v>89</v>
      </c>
      <c r="AA53" s="157">
        <f t="shared" si="10"/>
        <v>187</v>
      </c>
      <c r="AB53" s="157">
        <f t="shared" si="10"/>
        <v>48</v>
      </c>
      <c r="AC53" s="157">
        <f t="shared" si="10"/>
        <v>0</v>
      </c>
      <c r="AD53" s="157">
        <f t="shared" si="10"/>
        <v>0</v>
      </c>
      <c r="AE53" s="157">
        <f t="shared" si="10"/>
        <v>0</v>
      </c>
      <c r="AF53" s="157">
        <f t="shared" si="10"/>
        <v>0</v>
      </c>
      <c r="AG53" s="157">
        <f t="shared" si="10"/>
        <v>0</v>
      </c>
      <c r="AH53" s="157">
        <f t="shared" si="10"/>
        <v>0</v>
      </c>
      <c r="AI53" s="157">
        <f t="shared" si="10"/>
        <v>86.490000000000009</v>
      </c>
      <c r="AJ53" s="154">
        <f>SUM(E53:AI53)</f>
        <v>2881.99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2839</v>
      </c>
      <c r="F54" s="160">
        <f t="shared" si="11"/>
        <v>2839</v>
      </c>
      <c r="G54" s="160">
        <f t="shared" si="11"/>
        <v>3349</v>
      </c>
      <c r="H54" s="160">
        <f t="shared" si="11"/>
        <v>5508</v>
      </c>
      <c r="I54" s="160">
        <f t="shared" si="11"/>
        <v>5100</v>
      </c>
      <c r="J54" s="160">
        <f t="shared" si="11"/>
        <v>1003</v>
      </c>
      <c r="K54" s="160">
        <f t="shared" si="11"/>
        <v>442</v>
      </c>
      <c r="L54" s="160">
        <f t="shared" si="11"/>
        <v>680</v>
      </c>
      <c r="M54" s="160" t="str">
        <f t="shared" si="11"/>
        <v xml:space="preserve"> </v>
      </c>
      <c r="N54" s="160">
        <f t="shared" si="11"/>
        <v>68</v>
      </c>
      <c r="O54" s="160" t="str">
        <f t="shared" si="11"/>
        <v xml:space="preserve"> </v>
      </c>
      <c r="P54" s="160">
        <f t="shared" si="11"/>
        <v>1615</v>
      </c>
      <c r="Q54" s="160">
        <f t="shared" si="11"/>
        <v>892.5</v>
      </c>
      <c r="R54" s="160">
        <f t="shared" si="11"/>
        <v>3281</v>
      </c>
      <c r="S54" s="160">
        <f t="shared" si="11"/>
        <v>2261</v>
      </c>
      <c r="T54" s="160">
        <f t="shared" si="11"/>
        <v>5134</v>
      </c>
      <c r="U54" s="160">
        <f t="shared" si="11"/>
        <v>918</v>
      </c>
      <c r="V54" s="160">
        <f t="shared" si="11"/>
        <v>1037</v>
      </c>
      <c r="W54" s="160">
        <f t="shared" si="11"/>
        <v>1173</v>
      </c>
      <c r="X54" s="160">
        <f t="shared" si="11"/>
        <v>2363</v>
      </c>
      <c r="Y54" s="160">
        <f t="shared" si="11"/>
        <v>1513</v>
      </c>
      <c r="Z54" s="160">
        <f t="shared" si="11"/>
        <v>1513</v>
      </c>
      <c r="AA54" s="160">
        <f t="shared" si="11"/>
        <v>3179</v>
      </c>
      <c r="AB54" s="160">
        <f t="shared" si="11"/>
        <v>816</v>
      </c>
      <c r="AC54" s="160" t="str">
        <f t="shared" si="11"/>
        <v xml:space="preserve"> </v>
      </c>
      <c r="AD54" s="160" t="str">
        <f t="shared" si="11"/>
        <v xml:space="preserve"> </v>
      </c>
      <c r="AE54" s="160" t="str">
        <f t="shared" si="11"/>
        <v xml:space="preserve"> </v>
      </c>
      <c r="AF54" s="160" t="str">
        <f t="shared" si="11"/>
        <v xml:space="preserve"> </v>
      </c>
      <c r="AG54" s="160" t="str">
        <f t="shared" si="11"/>
        <v xml:space="preserve"> </v>
      </c>
      <c r="AH54" s="160" t="str">
        <f t="shared" si="11"/>
        <v xml:space="preserve"> </v>
      </c>
      <c r="AI54" s="160">
        <f t="shared" si="11"/>
        <v>1470.3300000000002</v>
      </c>
      <c r="AJ54" s="161">
        <f>SUM(E54:AI54)</f>
        <v>48993.83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45671</v>
      </c>
      <c r="B58" s="312" t="s">
        <v>148</v>
      </c>
      <c r="C58" s="312"/>
      <c r="D58" s="306" t="s">
        <v>149</v>
      </c>
      <c r="E58" s="307"/>
      <c r="F58" s="307"/>
      <c r="G58" s="307"/>
      <c r="H58" s="307"/>
      <c r="I58" s="307"/>
      <c r="J58" s="169">
        <v>60</v>
      </c>
      <c r="K58" s="169">
        <v>58</v>
      </c>
      <c r="L58" s="170">
        <v>38</v>
      </c>
      <c r="M58" s="171">
        <f t="shared" ref="M58:M83" si="12">J58-K58</f>
        <v>2</v>
      </c>
      <c r="N58" s="172">
        <f t="shared" ref="N58:N83" si="13">M58/60</f>
        <v>3.3333333333333333E-2</v>
      </c>
      <c r="O58" s="173">
        <f t="shared" ref="O58:O83" si="14">L58*N58</f>
        <v>1.2666666666666666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45672</v>
      </c>
      <c r="B59" s="312" t="s">
        <v>151</v>
      </c>
      <c r="C59" s="312"/>
      <c r="D59" s="306" t="s">
        <v>150</v>
      </c>
      <c r="E59" s="307"/>
      <c r="F59" s="307"/>
      <c r="G59" s="307"/>
      <c r="H59" s="307"/>
      <c r="I59" s="307"/>
      <c r="J59" s="169">
        <v>60</v>
      </c>
      <c r="K59" s="169">
        <v>33</v>
      </c>
      <c r="L59" s="170">
        <v>126</v>
      </c>
      <c r="M59" s="171">
        <f t="shared" si="12"/>
        <v>27</v>
      </c>
      <c r="N59" s="172">
        <f t="shared" si="13"/>
        <v>0.45</v>
      </c>
      <c r="O59" s="173">
        <f t="shared" si="14"/>
        <v>56.7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45677</v>
      </c>
      <c r="B60" s="312" t="s">
        <v>153</v>
      </c>
      <c r="C60" s="312"/>
      <c r="D60" s="306" t="s">
        <v>154</v>
      </c>
      <c r="E60" s="307"/>
      <c r="F60" s="307"/>
      <c r="G60" s="307"/>
      <c r="H60" s="307"/>
      <c r="I60" s="307"/>
      <c r="J60" s="169">
        <v>60</v>
      </c>
      <c r="K60" s="169">
        <v>42</v>
      </c>
      <c r="L60" s="170"/>
      <c r="M60" s="171">
        <f t="shared" si="12"/>
        <v>18</v>
      </c>
      <c r="N60" s="172">
        <f t="shared" si="13"/>
        <v>0.3</v>
      </c>
      <c r="O60" s="173">
        <f t="shared" si="14"/>
        <v>0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/>
      <c r="B61" s="313"/>
      <c r="C61" s="314"/>
      <c r="D61" s="306"/>
      <c r="E61" s="307"/>
      <c r="F61" s="307"/>
      <c r="G61" s="307"/>
      <c r="H61" s="307"/>
      <c r="I61" s="307"/>
      <c r="J61" s="169"/>
      <c r="K61" s="169"/>
      <c r="L61" s="170"/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59">
        <f>SUM(Q38:R38)*65</f>
        <v>132210</v>
      </c>
      <c r="S73" s="259"/>
      <c r="T73" s="259"/>
      <c r="U73" s="259"/>
      <c r="V73" s="259"/>
      <c r="W73" s="259"/>
      <c r="X73" s="259"/>
      <c r="Y73" s="259"/>
      <c r="Z73" s="190"/>
      <c r="AA73" s="190"/>
      <c r="AB73" s="58"/>
      <c r="AC73" s="58"/>
      <c r="AD73" s="191">
        <f>SUM(R73:AC73)</f>
        <v>132210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59"/>
      <c r="S74" s="259"/>
      <c r="T74" s="259"/>
      <c r="U74" s="259"/>
      <c r="V74" s="259"/>
      <c r="W74" s="259"/>
      <c r="X74" s="259"/>
      <c r="Y74" s="259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132210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132210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57.966666666666669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topLeftCell="A4" zoomScale="96" zoomScaleNormal="96" workbookViewId="0">
      <selection activeCell="O29" sqref="O29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1.6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19" width="10.875" style="7" customWidth="1"/>
    <col min="20" max="20" width="11.875" style="7" customWidth="1"/>
    <col min="21" max="21" width="12.5" style="6" customWidth="1"/>
    <col min="22" max="22" width="12.25" style="6" customWidth="1"/>
    <col min="23" max="23" width="9.875" style="8" bestFit="1" customWidth="1"/>
    <col min="24" max="27" width="11.375" style="8" customWidth="1"/>
    <col min="28" max="28" width="11.75" style="8" customWidth="1"/>
    <col min="29" max="31" width="11.375" style="8" customWidth="1"/>
    <col min="32" max="32" width="10.5" style="8" bestFit="1" customWidth="1"/>
    <col min="33" max="33" width="9.75" style="8" bestFit="1" customWidth="1"/>
    <col min="34" max="34" width="8.5" style="6" customWidth="1"/>
    <col min="35" max="35" width="9.375" style="6" bestFit="1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bestFit="1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159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56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3</v>
      </c>
      <c r="AI5" s="354"/>
      <c r="AJ5" s="251" t="s">
        <v>171</v>
      </c>
      <c r="AK5" s="22" t="s">
        <v>19</v>
      </c>
      <c r="AL5" s="23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30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172</v>
      </c>
      <c r="AN6" s="7"/>
      <c r="AO6" s="7"/>
      <c r="AP6" s="7"/>
      <c r="AQ6"/>
    </row>
    <row r="7" spans="1:43" x14ac:dyDescent="0.3">
      <c r="A7" s="40">
        <v>1</v>
      </c>
      <c r="B7" s="41">
        <v>1629</v>
      </c>
      <c r="C7" s="214">
        <f t="shared" ref="C7:C37" si="0">B7/24</f>
        <v>67.875</v>
      </c>
      <c r="D7" s="43">
        <v>1140</v>
      </c>
      <c r="E7" s="44">
        <v>763</v>
      </c>
      <c r="F7" s="44">
        <v>1903</v>
      </c>
      <c r="G7" s="45">
        <v>435</v>
      </c>
      <c r="H7" s="218">
        <v>96</v>
      </c>
      <c r="I7" s="210">
        <v>401</v>
      </c>
      <c r="J7" s="46">
        <f t="shared" ref="J7:J37" si="1">I7/24</f>
        <v>16.708333333333332</v>
      </c>
      <c r="K7" s="47">
        <v>360</v>
      </c>
      <c r="L7" s="48">
        <v>251</v>
      </c>
      <c r="M7" s="49">
        <v>0</v>
      </c>
      <c r="N7" s="50">
        <f t="shared" ref="N7:N37" si="2">M7/24</f>
        <v>0</v>
      </c>
      <c r="O7" s="51">
        <v>303</v>
      </c>
      <c r="P7" s="52">
        <f t="shared" ref="P7:P37" si="3">O7/24</f>
        <v>12.625</v>
      </c>
      <c r="Q7" s="257">
        <v>0</v>
      </c>
      <c r="R7" s="53">
        <v>0</v>
      </c>
      <c r="S7" s="54">
        <v>415</v>
      </c>
      <c r="T7" s="223">
        <v>548</v>
      </c>
      <c r="U7" s="55">
        <f>SUM(B7,I7,M7,O7,Q7,R7,S7)</f>
        <v>2748</v>
      </c>
      <c r="V7" s="231">
        <f t="shared" ref="V7:V37" si="4">U7/24</f>
        <v>114.5</v>
      </c>
      <c r="W7" s="235">
        <v>0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>
        <v>153</v>
      </c>
      <c r="AL7" s="60">
        <f t="shared" ref="AL7:AL37" si="5">AK7/24</f>
        <v>6.375</v>
      </c>
      <c r="AM7" s="6">
        <v>1440</v>
      </c>
      <c r="AO7" s="61"/>
      <c r="AP7" s="61">
        <f t="shared" ref="AP7:AP37" si="6">S7-AO7</f>
        <v>415</v>
      </c>
      <c r="AQ7"/>
    </row>
    <row r="8" spans="1:43" x14ac:dyDescent="0.3">
      <c r="A8" s="62">
        <v>2</v>
      </c>
      <c r="B8" s="41">
        <v>1608</v>
      </c>
      <c r="C8" s="42">
        <f t="shared" si="0"/>
        <v>67</v>
      </c>
      <c r="D8" s="63">
        <v>1126</v>
      </c>
      <c r="E8" s="44">
        <v>737</v>
      </c>
      <c r="F8" s="64">
        <v>1863</v>
      </c>
      <c r="G8" s="20">
        <v>458</v>
      </c>
      <c r="H8" s="216">
        <v>101</v>
      </c>
      <c r="I8" s="210">
        <v>405</v>
      </c>
      <c r="J8" s="46">
        <f t="shared" si="1"/>
        <v>16.875</v>
      </c>
      <c r="K8" s="47">
        <v>360</v>
      </c>
      <c r="L8" s="48">
        <v>259</v>
      </c>
      <c r="M8" s="49">
        <v>0</v>
      </c>
      <c r="N8" s="50">
        <f t="shared" si="2"/>
        <v>0</v>
      </c>
      <c r="O8" s="51">
        <v>288</v>
      </c>
      <c r="P8" s="52">
        <f t="shared" si="3"/>
        <v>12</v>
      </c>
      <c r="Q8" s="257">
        <v>27</v>
      </c>
      <c r="R8" s="53">
        <v>0</v>
      </c>
      <c r="S8" s="54">
        <v>368</v>
      </c>
      <c r="T8" s="223">
        <v>539</v>
      </c>
      <c r="U8" s="55">
        <f>SUM(B8,I8,M8,O8,Q8,R8,S8)</f>
        <v>2696</v>
      </c>
      <c r="V8" s="231">
        <f t="shared" si="4"/>
        <v>112.33333333333333</v>
      </c>
      <c r="W8" s="236">
        <v>10.33</v>
      </c>
      <c r="X8" s="65">
        <v>0</v>
      </c>
      <c r="Y8" s="66">
        <v>24</v>
      </c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/>
      <c r="AK8" s="59">
        <v>131</v>
      </c>
      <c r="AL8" s="60">
        <f t="shared" si="5"/>
        <v>5.458333333333333</v>
      </c>
      <c r="AM8" s="6">
        <v>1440</v>
      </c>
      <c r="AO8" s="61"/>
      <c r="AP8" s="61">
        <f t="shared" si="6"/>
        <v>368</v>
      </c>
      <c r="AQ8"/>
    </row>
    <row r="9" spans="1:43" x14ac:dyDescent="0.3">
      <c r="A9" s="62">
        <v>3</v>
      </c>
      <c r="B9" s="67">
        <v>1633</v>
      </c>
      <c r="C9" s="42">
        <f t="shared" si="0"/>
        <v>68.041666666666671</v>
      </c>
      <c r="D9" s="63">
        <v>1143</v>
      </c>
      <c r="E9" s="44">
        <v>752</v>
      </c>
      <c r="F9" s="64">
        <v>1895</v>
      </c>
      <c r="G9" s="20">
        <v>451</v>
      </c>
      <c r="H9" s="216">
        <v>96</v>
      </c>
      <c r="I9" s="210">
        <v>412</v>
      </c>
      <c r="J9" s="46">
        <f t="shared" si="1"/>
        <v>17.166666666666668</v>
      </c>
      <c r="K9" s="47">
        <v>360</v>
      </c>
      <c r="L9" s="48">
        <v>258</v>
      </c>
      <c r="M9" s="49">
        <v>0</v>
      </c>
      <c r="N9" s="50">
        <f t="shared" si="2"/>
        <v>0</v>
      </c>
      <c r="O9" s="68">
        <v>295</v>
      </c>
      <c r="P9" s="52">
        <f t="shared" si="3"/>
        <v>12.291666666666666</v>
      </c>
      <c r="Q9" s="257">
        <v>46</v>
      </c>
      <c r="R9" s="53">
        <v>0</v>
      </c>
      <c r="S9" s="54">
        <v>290</v>
      </c>
      <c r="T9" s="223">
        <v>458</v>
      </c>
      <c r="U9" s="55">
        <f t="shared" ref="U9:U37" si="7">SUM(B9,I9,M9,O9,Q9,R9,S9)</f>
        <v>2676</v>
      </c>
      <c r="V9" s="231">
        <f t="shared" si="4"/>
        <v>111.5</v>
      </c>
      <c r="W9" s="236">
        <v>13.83</v>
      </c>
      <c r="X9" s="65">
        <v>0</v>
      </c>
      <c r="Y9" s="66">
        <v>24</v>
      </c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>
        <v>128</v>
      </c>
      <c r="AL9" s="60">
        <f t="shared" si="5"/>
        <v>5.333333333333333</v>
      </c>
      <c r="AM9" s="6">
        <v>1440</v>
      </c>
      <c r="AO9" s="61"/>
      <c r="AP9" s="61">
        <f t="shared" si="6"/>
        <v>290</v>
      </c>
      <c r="AQ9"/>
    </row>
    <row r="10" spans="1:43" x14ac:dyDescent="0.3">
      <c r="A10" s="62">
        <v>4</v>
      </c>
      <c r="B10" s="67">
        <v>1649</v>
      </c>
      <c r="C10" s="42">
        <f t="shared" si="0"/>
        <v>68.708333333333329</v>
      </c>
      <c r="D10" s="63">
        <v>1154</v>
      </c>
      <c r="E10" s="44">
        <v>720</v>
      </c>
      <c r="F10" s="64">
        <v>1874</v>
      </c>
      <c r="G10" s="20">
        <v>427</v>
      </c>
      <c r="H10" s="216">
        <v>107</v>
      </c>
      <c r="I10" s="210">
        <v>407</v>
      </c>
      <c r="J10" s="46">
        <f t="shared" si="1"/>
        <v>16.958333333333332</v>
      </c>
      <c r="K10" s="47">
        <v>349</v>
      </c>
      <c r="L10" s="48">
        <v>249</v>
      </c>
      <c r="M10" s="49">
        <v>0</v>
      </c>
      <c r="N10" s="50">
        <f t="shared" si="2"/>
        <v>0</v>
      </c>
      <c r="O10" s="68">
        <v>311</v>
      </c>
      <c r="P10" s="52">
        <f t="shared" si="3"/>
        <v>12.958333333333334</v>
      </c>
      <c r="Q10" s="257">
        <v>141</v>
      </c>
      <c r="R10" s="53">
        <v>20</v>
      </c>
      <c r="S10" s="54">
        <v>290</v>
      </c>
      <c r="T10" s="223">
        <v>449</v>
      </c>
      <c r="U10" s="55">
        <f t="shared" si="7"/>
        <v>2818</v>
      </c>
      <c r="V10" s="231">
        <f t="shared" si="4"/>
        <v>117.41666666666667</v>
      </c>
      <c r="W10" s="236">
        <v>20.83</v>
      </c>
      <c r="X10" s="65">
        <v>1.17</v>
      </c>
      <c r="Y10" s="66">
        <v>24</v>
      </c>
      <c r="Z10" s="6"/>
      <c r="AA10" s="348"/>
      <c r="AB10" s="348"/>
      <c r="AC10" s="348"/>
      <c r="AD10" s="348"/>
      <c r="AE10" s="350" t="s">
        <v>174</v>
      </c>
      <c r="AF10" s="351"/>
      <c r="AG10" s="351"/>
      <c r="AH10" s="352"/>
      <c r="AI10" s="58"/>
      <c r="AJ10" s="58"/>
      <c r="AK10" s="59">
        <v>130</v>
      </c>
      <c r="AL10" s="60">
        <f t="shared" si="5"/>
        <v>5.416666666666667</v>
      </c>
      <c r="AM10" s="6">
        <v>1440</v>
      </c>
      <c r="AO10" s="61"/>
      <c r="AP10" s="61">
        <f t="shared" si="6"/>
        <v>290</v>
      </c>
      <c r="AQ10"/>
    </row>
    <row r="11" spans="1:43" x14ac:dyDescent="0.3">
      <c r="A11" s="62">
        <v>5</v>
      </c>
      <c r="B11" s="67">
        <v>1646</v>
      </c>
      <c r="C11" s="42">
        <f t="shared" si="0"/>
        <v>68.583333333333329</v>
      </c>
      <c r="D11" s="69">
        <v>1152</v>
      </c>
      <c r="E11" s="44">
        <v>748</v>
      </c>
      <c r="F11" s="70">
        <v>1900</v>
      </c>
      <c r="G11" s="20">
        <v>475</v>
      </c>
      <c r="H11" s="216">
        <v>109</v>
      </c>
      <c r="I11" s="210">
        <v>0</v>
      </c>
      <c r="J11" s="46">
        <f t="shared" si="1"/>
        <v>0</v>
      </c>
      <c r="K11" s="71">
        <v>98</v>
      </c>
      <c r="L11" s="72">
        <v>17</v>
      </c>
      <c r="M11" s="73">
        <v>0</v>
      </c>
      <c r="N11" s="50">
        <f t="shared" si="2"/>
        <v>0</v>
      </c>
      <c r="O11" s="74">
        <v>298</v>
      </c>
      <c r="P11" s="52">
        <f t="shared" si="3"/>
        <v>12.416666666666666</v>
      </c>
      <c r="Q11" s="257">
        <v>0</v>
      </c>
      <c r="R11" s="53">
        <v>519</v>
      </c>
      <c r="S11" s="54">
        <v>319</v>
      </c>
      <c r="T11" s="223">
        <v>467</v>
      </c>
      <c r="U11" s="55">
        <f t="shared" si="7"/>
        <v>2782</v>
      </c>
      <c r="V11" s="231">
        <f t="shared" si="4"/>
        <v>115.91666666666667</v>
      </c>
      <c r="W11" s="236">
        <v>0</v>
      </c>
      <c r="X11" s="65">
        <v>24</v>
      </c>
      <c r="Y11" s="66">
        <v>24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145</v>
      </c>
      <c r="AL11" s="60">
        <f t="shared" si="5"/>
        <v>6.041666666666667</v>
      </c>
      <c r="AM11" s="6">
        <v>1440</v>
      </c>
      <c r="AO11" s="61"/>
      <c r="AP11" s="61">
        <f t="shared" si="6"/>
        <v>319</v>
      </c>
      <c r="AQ11"/>
    </row>
    <row r="12" spans="1:43" x14ac:dyDescent="0.3">
      <c r="A12" s="62">
        <v>6</v>
      </c>
      <c r="B12" s="67">
        <v>1650</v>
      </c>
      <c r="C12" s="42">
        <f t="shared" si="0"/>
        <v>68.75</v>
      </c>
      <c r="D12" s="69">
        <v>1155</v>
      </c>
      <c r="E12" s="44">
        <v>735</v>
      </c>
      <c r="F12" s="70">
        <v>1890</v>
      </c>
      <c r="G12" s="75">
        <v>489</v>
      </c>
      <c r="H12" s="219">
        <v>107</v>
      </c>
      <c r="I12" s="210">
        <v>0</v>
      </c>
      <c r="J12" s="46">
        <f t="shared" si="1"/>
        <v>0</v>
      </c>
      <c r="K12" s="71">
        <v>144</v>
      </c>
      <c r="L12" s="72">
        <v>5</v>
      </c>
      <c r="M12" s="73">
        <v>0</v>
      </c>
      <c r="N12" s="50">
        <f t="shared" si="2"/>
        <v>0</v>
      </c>
      <c r="O12" s="74">
        <v>287</v>
      </c>
      <c r="P12" s="52">
        <f t="shared" si="3"/>
        <v>11.958333333333334</v>
      </c>
      <c r="Q12" s="257">
        <v>0</v>
      </c>
      <c r="R12" s="53">
        <v>355</v>
      </c>
      <c r="S12" s="54">
        <v>327</v>
      </c>
      <c r="T12" s="223">
        <v>470</v>
      </c>
      <c r="U12" s="55">
        <f t="shared" si="7"/>
        <v>2619</v>
      </c>
      <c r="V12" s="231">
        <f t="shared" si="4"/>
        <v>109.125</v>
      </c>
      <c r="W12" s="236">
        <v>0</v>
      </c>
      <c r="X12" s="65">
        <v>24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150</v>
      </c>
      <c r="AL12" s="60">
        <f t="shared" si="5"/>
        <v>6.25</v>
      </c>
      <c r="AM12" s="6">
        <v>1440</v>
      </c>
      <c r="AO12" s="61"/>
      <c r="AP12" s="61">
        <f t="shared" si="6"/>
        <v>327</v>
      </c>
      <c r="AQ12"/>
    </row>
    <row r="13" spans="1:43" x14ac:dyDescent="0.3">
      <c r="A13" s="62">
        <v>7</v>
      </c>
      <c r="B13" s="67">
        <v>1582</v>
      </c>
      <c r="C13" s="42">
        <f t="shared" si="0"/>
        <v>65.916666666666671</v>
      </c>
      <c r="D13" s="69">
        <v>1107</v>
      </c>
      <c r="E13" s="44">
        <v>739</v>
      </c>
      <c r="F13" s="70">
        <v>1846</v>
      </c>
      <c r="G13" s="20">
        <v>498</v>
      </c>
      <c r="H13" s="216">
        <v>118</v>
      </c>
      <c r="I13" s="210">
        <v>0</v>
      </c>
      <c r="J13" s="46">
        <f t="shared" si="1"/>
        <v>0</v>
      </c>
      <c r="K13" s="71">
        <v>62</v>
      </c>
      <c r="L13" s="72">
        <v>12</v>
      </c>
      <c r="M13" s="73">
        <v>0</v>
      </c>
      <c r="N13" s="50">
        <f t="shared" si="2"/>
        <v>0</v>
      </c>
      <c r="O13" s="74">
        <v>208</v>
      </c>
      <c r="P13" s="52">
        <f t="shared" si="3"/>
        <v>8.6666666666666661</v>
      </c>
      <c r="Q13" s="257">
        <v>0</v>
      </c>
      <c r="R13" s="53">
        <v>249</v>
      </c>
      <c r="S13" s="54">
        <v>270</v>
      </c>
      <c r="T13" s="223">
        <v>366</v>
      </c>
      <c r="U13" s="55">
        <f t="shared" si="7"/>
        <v>2309</v>
      </c>
      <c r="V13" s="231">
        <f t="shared" si="4"/>
        <v>96.208333333333329</v>
      </c>
      <c r="W13" s="236">
        <v>0</v>
      </c>
      <c r="X13" s="65">
        <v>15.83</v>
      </c>
      <c r="Y13" s="66">
        <v>16.329999999999998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82</v>
      </c>
      <c r="AL13" s="60">
        <f t="shared" si="5"/>
        <v>3.4166666666666665</v>
      </c>
      <c r="AM13" s="6">
        <v>1440</v>
      </c>
      <c r="AO13" s="61"/>
      <c r="AP13" s="61">
        <f t="shared" si="6"/>
        <v>270</v>
      </c>
      <c r="AQ13"/>
    </row>
    <row r="14" spans="1:43" x14ac:dyDescent="0.3">
      <c r="A14" s="62">
        <v>8</v>
      </c>
      <c r="B14" s="67">
        <v>912</v>
      </c>
      <c r="C14" s="42">
        <f t="shared" si="0"/>
        <v>38</v>
      </c>
      <c r="D14" s="69">
        <v>638</v>
      </c>
      <c r="E14" s="44">
        <v>510</v>
      </c>
      <c r="F14" s="70">
        <v>1148</v>
      </c>
      <c r="G14" s="20">
        <v>533</v>
      </c>
      <c r="H14" s="216">
        <v>75</v>
      </c>
      <c r="I14" s="210">
        <v>0</v>
      </c>
      <c r="J14" s="46">
        <f t="shared" si="1"/>
        <v>0</v>
      </c>
      <c r="K14" s="71">
        <v>121</v>
      </c>
      <c r="L14" s="72">
        <v>38</v>
      </c>
      <c r="M14" s="73">
        <v>0</v>
      </c>
      <c r="N14" s="50">
        <f t="shared" si="2"/>
        <v>0</v>
      </c>
      <c r="O14" s="74">
        <v>0</v>
      </c>
      <c r="P14" s="52">
        <f t="shared" si="3"/>
        <v>0</v>
      </c>
      <c r="Q14" s="257">
        <v>0</v>
      </c>
      <c r="R14" s="53">
        <v>0</v>
      </c>
      <c r="S14" s="54">
        <v>0</v>
      </c>
      <c r="T14" s="223">
        <v>47</v>
      </c>
      <c r="U14" s="55">
        <f t="shared" si="7"/>
        <v>912</v>
      </c>
      <c r="V14" s="231">
        <f t="shared" si="4"/>
        <v>38</v>
      </c>
      <c r="W14" s="236">
        <v>0</v>
      </c>
      <c r="X14" s="65">
        <v>0</v>
      </c>
      <c r="Y14" s="66">
        <v>0</v>
      </c>
      <c r="Z14" s="6"/>
      <c r="AA14" s="348" t="s">
        <v>178</v>
      </c>
      <c r="AB14" s="348"/>
      <c r="AC14" s="348"/>
      <c r="AD14" s="348"/>
      <c r="AE14" s="350"/>
      <c r="AF14" s="351"/>
      <c r="AG14" s="351"/>
      <c r="AH14" s="352"/>
      <c r="AI14" s="58"/>
      <c r="AJ14" s="58">
        <v>1020</v>
      </c>
      <c r="AK14" s="59">
        <v>0</v>
      </c>
      <c r="AL14" s="60">
        <f t="shared" si="5"/>
        <v>0</v>
      </c>
      <c r="AM14" s="6">
        <v>0</v>
      </c>
      <c r="AO14" s="61"/>
      <c r="AP14" s="61">
        <f t="shared" si="6"/>
        <v>0</v>
      </c>
      <c r="AQ14"/>
    </row>
    <row r="15" spans="1:43" x14ac:dyDescent="0.3">
      <c r="A15" s="62">
        <v>9</v>
      </c>
      <c r="B15" s="67">
        <v>764</v>
      </c>
      <c r="C15" s="42">
        <f t="shared" si="0"/>
        <v>31.833333333333332</v>
      </c>
      <c r="D15" s="69">
        <v>535</v>
      </c>
      <c r="E15" s="44">
        <v>356</v>
      </c>
      <c r="F15" s="70">
        <v>891</v>
      </c>
      <c r="G15" s="20">
        <v>441</v>
      </c>
      <c r="H15" s="216">
        <v>71</v>
      </c>
      <c r="I15" s="210">
        <v>0</v>
      </c>
      <c r="J15" s="46">
        <f t="shared" si="1"/>
        <v>0</v>
      </c>
      <c r="K15" s="71">
        <v>120</v>
      </c>
      <c r="L15" s="72">
        <v>14</v>
      </c>
      <c r="M15" s="73">
        <v>0</v>
      </c>
      <c r="N15" s="50">
        <f t="shared" si="2"/>
        <v>0</v>
      </c>
      <c r="O15" s="74">
        <v>0</v>
      </c>
      <c r="P15" s="52">
        <f t="shared" si="3"/>
        <v>0</v>
      </c>
      <c r="Q15" s="257">
        <v>0</v>
      </c>
      <c r="R15" s="53">
        <v>0</v>
      </c>
      <c r="S15" s="54">
        <v>0</v>
      </c>
      <c r="T15" s="223">
        <v>13</v>
      </c>
      <c r="U15" s="55">
        <f t="shared" si="7"/>
        <v>764</v>
      </c>
      <c r="V15" s="231">
        <f t="shared" si="4"/>
        <v>31.833333333333332</v>
      </c>
      <c r="W15" s="236">
        <v>0</v>
      </c>
      <c r="X15" s="65">
        <v>0</v>
      </c>
      <c r="Y15" s="66">
        <v>0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>
        <v>1440</v>
      </c>
      <c r="AK15" s="59">
        <v>0</v>
      </c>
      <c r="AL15" s="60">
        <f t="shared" si="5"/>
        <v>0</v>
      </c>
      <c r="AM15" s="6">
        <v>0</v>
      </c>
      <c r="AO15" s="61"/>
      <c r="AP15" s="61">
        <f t="shared" si="6"/>
        <v>0</v>
      </c>
      <c r="AQ15"/>
    </row>
    <row r="16" spans="1:43" x14ac:dyDescent="0.3">
      <c r="A16" s="62">
        <v>10</v>
      </c>
      <c r="B16" s="67">
        <v>807</v>
      </c>
      <c r="C16" s="42">
        <f t="shared" si="0"/>
        <v>33.625</v>
      </c>
      <c r="D16" s="69">
        <v>565</v>
      </c>
      <c r="E16" s="44">
        <v>460</v>
      </c>
      <c r="F16" s="70">
        <v>1025</v>
      </c>
      <c r="G16" s="20">
        <v>347</v>
      </c>
      <c r="H16" s="216">
        <v>64</v>
      </c>
      <c r="I16" s="210">
        <v>0</v>
      </c>
      <c r="J16" s="46">
        <f t="shared" si="1"/>
        <v>0</v>
      </c>
      <c r="K16" s="71">
        <v>103</v>
      </c>
      <c r="L16" s="72">
        <v>13</v>
      </c>
      <c r="M16" s="73">
        <v>0</v>
      </c>
      <c r="N16" s="50">
        <f t="shared" si="2"/>
        <v>0</v>
      </c>
      <c r="O16" s="74">
        <v>0</v>
      </c>
      <c r="P16" s="52">
        <f t="shared" si="3"/>
        <v>0</v>
      </c>
      <c r="Q16" s="257">
        <v>23</v>
      </c>
      <c r="R16" s="53">
        <v>0</v>
      </c>
      <c r="S16" s="54">
        <v>0</v>
      </c>
      <c r="T16" s="223">
        <v>25</v>
      </c>
      <c r="U16" s="55">
        <f t="shared" si="7"/>
        <v>830</v>
      </c>
      <c r="V16" s="231">
        <f t="shared" si="4"/>
        <v>34.583333333333336</v>
      </c>
      <c r="W16" s="236">
        <v>8.83</v>
      </c>
      <c r="X16" s="65">
        <v>0</v>
      </c>
      <c r="Y16" s="66">
        <v>0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>
        <v>1440</v>
      </c>
      <c r="AK16" s="59">
        <v>0</v>
      </c>
      <c r="AL16" s="60">
        <f t="shared" si="5"/>
        <v>0</v>
      </c>
      <c r="AM16" s="6">
        <v>0</v>
      </c>
      <c r="AO16" s="61"/>
      <c r="AP16" s="61">
        <f t="shared" si="6"/>
        <v>0</v>
      </c>
      <c r="AQ16"/>
    </row>
    <row r="17" spans="1:43" x14ac:dyDescent="0.3">
      <c r="A17" s="62">
        <v>11</v>
      </c>
      <c r="B17" s="67">
        <v>839</v>
      </c>
      <c r="C17" s="42">
        <f t="shared" si="0"/>
        <v>34.958333333333336</v>
      </c>
      <c r="D17" s="69">
        <v>587</v>
      </c>
      <c r="E17" s="44">
        <v>382</v>
      </c>
      <c r="F17" s="70">
        <v>969</v>
      </c>
      <c r="G17" s="20">
        <v>358</v>
      </c>
      <c r="H17" s="216">
        <v>72</v>
      </c>
      <c r="I17" s="210">
        <v>0</v>
      </c>
      <c r="J17" s="46">
        <f t="shared" si="1"/>
        <v>0</v>
      </c>
      <c r="K17" s="71">
        <v>99</v>
      </c>
      <c r="L17" s="72">
        <v>4</v>
      </c>
      <c r="M17" s="73">
        <v>0</v>
      </c>
      <c r="N17" s="50">
        <f t="shared" si="2"/>
        <v>0</v>
      </c>
      <c r="O17" s="74">
        <v>0</v>
      </c>
      <c r="P17" s="52">
        <f t="shared" si="3"/>
        <v>0</v>
      </c>
      <c r="Q17" s="257">
        <v>23</v>
      </c>
      <c r="R17" s="53">
        <v>0</v>
      </c>
      <c r="S17" s="54">
        <v>26</v>
      </c>
      <c r="T17" s="223">
        <v>123</v>
      </c>
      <c r="U17" s="55">
        <f t="shared" si="7"/>
        <v>888</v>
      </c>
      <c r="V17" s="231">
        <f t="shared" si="4"/>
        <v>37</v>
      </c>
      <c r="W17" s="236">
        <v>7.83</v>
      </c>
      <c r="X17" s="65">
        <v>0</v>
      </c>
      <c r="Y17" s="66">
        <v>4.5</v>
      </c>
      <c r="Z17" s="6"/>
      <c r="AA17" s="348" t="s">
        <v>177</v>
      </c>
      <c r="AB17" s="348"/>
      <c r="AC17" s="348"/>
      <c r="AD17" s="349"/>
      <c r="AE17" s="350"/>
      <c r="AF17" s="351"/>
      <c r="AG17" s="351"/>
      <c r="AH17" s="352"/>
      <c r="AI17" s="58"/>
      <c r="AJ17" s="58">
        <v>1170</v>
      </c>
      <c r="AK17" s="59">
        <v>0</v>
      </c>
      <c r="AL17" s="60">
        <f t="shared" si="5"/>
        <v>0</v>
      </c>
      <c r="AM17" s="6">
        <v>0</v>
      </c>
      <c r="AO17" s="61"/>
      <c r="AP17" s="61">
        <f t="shared" si="6"/>
        <v>26</v>
      </c>
      <c r="AQ17"/>
    </row>
    <row r="18" spans="1:43" x14ac:dyDescent="0.3">
      <c r="A18" s="62">
        <v>12</v>
      </c>
      <c r="B18" s="67">
        <v>1627</v>
      </c>
      <c r="C18" s="42">
        <f t="shared" si="0"/>
        <v>67.791666666666671</v>
      </c>
      <c r="D18" s="69">
        <v>1139</v>
      </c>
      <c r="E18" s="44">
        <v>713</v>
      </c>
      <c r="F18" s="70">
        <v>1852</v>
      </c>
      <c r="G18" s="20">
        <v>406</v>
      </c>
      <c r="H18" s="216">
        <v>83</v>
      </c>
      <c r="I18" s="210">
        <v>0</v>
      </c>
      <c r="J18" s="46">
        <f t="shared" si="1"/>
        <v>0</v>
      </c>
      <c r="K18" s="71">
        <v>95</v>
      </c>
      <c r="L18" s="72">
        <v>10</v>
      </c>
      <c r="M18" s="73">
        <v>0</v>
      </c>
      <c r="N18" s="50">
        <f t="shared" si="2"/>
        <v>0</v>
      </c>
      <c r="O18" s="74">
        <v>339</v>
      </c>
      <c r="P18" s="52">
        <f t="shared" si="3"/>
        <v>14.125</v>
      </c>
      <c r="Q18" s="257">
        <v>0</v>
      </c>
      <c r="R18" s="53">
        <v>315</v>
      </c>
      <c r="S18" s="54">
        <v>341</v>
      </c>
      <c r="T18" s="223">
        <v>533</v>
      </c>
      <c r="U18" s="55">
        <f t="shared" si="7"/>
        <v>2622</v>
      </c>
      <c r="V18" s="231">
        <f t="shared" si="4"/>
        <v>109.25</v>
      </c>
      <c r="W18" s="236">
        <v>0</v>
      </c>
      <c r="X18" s="65">
        <v>19.829999999999998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108</v>
      </c>
      <c r="AL18" s="60">
        <f t="shared" si="5"/>
        <v>4.5</v>
      </c>
      <c r="AM18" s="6">
        <v>1440</v>
      </c>
      <c r="AO18" s="61"/>
      <c r="AP18" s="61">
        <f t="shared" si="6"/>
        <v>341</v>
      </c>
      <c r="AQ18"/>
    </row>
    <row r="19" spans="1:43" x14ac:dyDescent="0.3">
      <c r="A19" s="62">
        <v>13</v>
      </c>
      <c r="B19" s="67">
        <v>1704</v>
      </c>
      <c r="C19" s="42">
        <f t="shared" si="0"/>
        <v>71</v>
      </c>
      <c r="D19" s="256">
        <v>1193</v>
      </c>
      <c r="E19" s="44">
        <v>745</v>
      </c>
      <c r="F19" s="19">
        <v>1938</v>
      </c>
      <c r="G19" s="20">
        <v>451</v>
      </c>
      <c r="H19" s="216">
        <v>84</v>
      </c>
      <c r="I19" s="210">
        <v>0</v>
      </c>
      <c r="J19" s="46">
        <f t="shared" si="1"/>
        <v>0</v>
      </c>
      <c r="K19" s="239">
        <v>96</v>
      </c>
      <c r="L19" s="21">
        <v>7</v>
      </c>
      <c r="M19" s="49">
        <v>0</v>
      </c>
      <c r="N19" s="50">
        <f t="shared" si="2"/>
        <v>0</v>
      </c>
      <c r="O19" s="68">
        <v>338</v>
      </c>
      <c r="P19" s="52">
        <f t="shared" si="3"/>
        <v>14.083333333333334</v>
      </c>
      <c r="Q19" s="257">
        <v>0</v>
      </c>
      <c r="R19" s="53">
        <v>480</v>
      </c>
      <c r="S19" s="54">
        <v>419</v>
      </c>
      <c r="T19" s="223">
        <v>539</v>
      </c>
      <c r="U19" s="55">
        <f t="shared" si="7"/>
        <v>2941</v>
      </c>
      <c r="V19" s="231">
        <f t="shared" si="4"/>
        <v>122.54166666666667</v>
      </c>
      <c r="W19" s="236">
        <v>0</v>
      </c>
      <c r="X19" s="65">
        <v>24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>
        <v>167</v>
      </c>
      <c r="AL19" s="60">
        <f t="shared" si="5"/>
        <v>6.958333333333333</v>
      </c>
      <c r="AM19" s="6">
        <v>1440</v>
      </c>
      <c r="AO19" s="61"/>
      <c r="AP19" s="61">
        <f t="shared" si="6"/>
        <v>419</v>
      </c>
      <c r="AQ19"/>
    </row>
    <row r="20" spans="1:43" x14ac:dyDescent="0.3">
      <c r="A20" s="62">
        <v>14</v>
      </c>
      <c r="B20" s="67">
        <v>1689</v>
      </c>
      <c r="C20" s="42">
        <f t="shared" si="0"/>
        <v>70.375</v>
      </c>
      <c r="D20" s="256">
        <v>1182</v>
      </c>
      <c r="E20" s="44">
        <v>797</v>
      </c>
      <c r="F20" s="19">
        <v>1979</v>
      </c>
      <c r="G20" s="20">
        <v>498</v>
      </c>
      <c r="H20" s="216">
        <v>92</v>
      </c>
      <c r="I20" s="211">
        <v>0</v>
      </c>
      <c r="J20" s="46">
        <f t="shared" si="1"/>
        <v>0</v>
      </c>
      <c r="K20" s="239">
        <v>88</v>
      </c>
      <c r="L20" s="21">
        <v>1</v>
      </c>
      <c r="M20" s="49">
        <v>0</v>
      </c>
      <c r="N20" s="50">
        <f t="shared" si="2"/>
        <v>0</v>
      </c>
      <c r="O20" s="51">
        <v>333</v>
      </c>
      <c r="P20" s="52">
        <f t="shared" si="3"/>
        <v>13.875</v>
      </c>
      <c r="Q20" s="257">
        <v>75</v>
      </c>
      <c r="R20" s="53">
        <v>220</v>
      </c>
      <c r="S20" s="54">
        <v>403</v>
      </c>
      <c r="T20" s="223">
        <v>529</v>
      </c>
      <c r="U20" s="55">
        <f t="shared" si="7"/>
        <v>2720</v>
      </c>
      <c r="V20" s="231">
        <f t="shared" si="4"/>
        <v>113.33333333333333</v>
      </c>
      <c r="W20" s="236">
        <v>9.73</v>
      </c>
      <c r="X20" s="65">
        <v>15</v>
      </c>
      <c r="Y20" s="66">
        <v>24</v>
      </c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>
        <v>171</v>
      </c>
      <c r="AL20" s="60">
        <f t="shared" si="5"/>
        <v>7.125</v>
      </c>
      <c r="AM20" s="6">
        <v>1440</v>
      </c>
      <c r="AO20" s="61"/>
      <c r="AP20" s="61">
        <f t="shared" si="6"/>
        <v>403</v>
      </c>
      <c r="AQ20"/>
    </row>
    <row r="21" spans="1:43" x14ac:dyDescent="0.3">
      <c r="A21" s="62">
        <v>15</v>
      </c>
      <c r="B21" s="67">
        <v>1701</v>
      </c>
      <c r="C21" s="42">
        <f t="shared" si="0"/>
        <v>70.875</v>
      </c>
      <c r="D21" s="256">
        <v>1191</v>
      </c>
      <c r="E21" s="44">
        <v>792</v>
      </c>
      <c r="F21" s="19">
        <v>1983</v>
      </c>
      <c r="G21" s="20">
        <v>469</v>
      </c>
      <c r="H21" s="216">
        <v>95</v>
      </c>
      <c r="I21" s="211">
        <v>0</v>
      </c>
      <c r="J21" s="46">
        <f t="shared" si="1"/>
        <v>0</v>
      </c>
      <c r="K21" s="239">
        <v>60</v>
      </c>
      <c r="L21" s="21">
        <v>3</v>
      </c>
      <c r="M21" s="49">
        <v>0</v>
      </c>
      <c r="N21" s="50">
        <f t="shared" si="2"/>
        <v>0</v>
      </c>
      <c r="O21" s="51">
        <v>321</v>
      </c>
      <c r="P21" s="52">
        <f t="shared" si="3"/>
        <v>13.375</v>
      </c>
      <c r="Q21" s="257">
        <v>0</v>
      </c>
      <c r="R21" s="53">
        <v>315</v>
      </c>
      <c r="S21" s="54">
        <v>335</v>
      </c>
      <c r="T21" s="223">
        <v>496</v>
      </c>
      <c r="U21" s="55">
        <f t="shared" si="7"/>
        <v>2672</v>
      </c>
      <c r="V21" s="231">
        <f t="shared" si="4"/>
        <v>111.33333333333333</v>
      </c>
      <c r="W21" s="236">
        <v>0</v>
      </c>
      <c r="X21" s="65">
        <v>24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154</v>
      </c>
      <c r="AL21" s="60">
        <f t="shared" si="5"/>
        <v>6.416666666666667</v>
      </c>
      <c r="AM21" s="6">
        <v>1440</v>
      </c>
      <c r="AO21" s="61"/>
      <c r="AP21" s="61">
        <f t="shared" si="6"/>
        <v>335</v>
      </c>
      <c r="AQ21"/>
    </row>
    <row r="22" spans="1:43" x14ac:dyDescent="0.3">
      <c r="A22" s="62">
        <v>16</v>
      </c>
      <c r="B22" s="67">
        <v>1692</v>
      </c>
      <c r="C22" s="42">
        <f t="shared" si="0"/>
        <v>70.5</v>
      </c>
      <c r="D22" s="256">
        <v>1184</v>
      </c>
      <c r="E22" s="44">
        <v>774</v>
      </c>
      <c r="F22" s="19">
        <v>1958</v>
      </c>
      <c r="G22" s="20">
        <v>518</v>
      </c>
      <c r="H22" s="216">
        <v>101</v>
      </c>
      <c r="I22" s="211">
        <v>0</v>
      </c>
      <c r="J22" s="46">
        <f t="shared" si="1"/>
        <v>0</v>
      </c>
      <c r="K22" s="239">
        <v>43</v>
      </c>
      <c r="L22" s="21">
        <v>6</v>
      </c>
      <c r="M22" s="49">
        <v>0</v>
      </c>
      <c r="N22" s="50">
        <f t="shared" si="2"/>
        <v>0</v>
      </c>
      <c r="O22" s="68">
        <v>172</v>
      </c>
      <c r="P22" s="52">
        <f t="shared" si="3"/>
        <v>7.166666666666667</v>
      </c>
      <c r="Q22" s="257">
        <v>38</v>
      </c>
      <c r="R22" s="53">
        <v>405</v>
      </c>
      <c r="S22" s="54">
        <v>243</v>
      </c>
      <c r="T22" s="223">
        <v>359</v>
      </c>
      <c r="U22" s="55">
        <f t="shared" si="7"/>
        <v>2550</v>
      </c>
      <c r="V22" s="231">
        <f t="shared" si="4"/>
        <v>106.25</v>
      </c>
      <c r="W22" s="236">
        <v>6.33</v>
      </c>
      <c r="X22" s="65">
        <v>17.829999999999998</v>
      </c>
      <c r="Y22" s="66">
        <v>24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174</v>
      </c>
      <c r="AL22" s="60">
        <f t="shared" si="5"/>
        <v>7.25</v>
      </c>
      <c r="AM22" s="6">
        <v>1440</v>
      </c>
      <c r="AO22" s="61"/>
      <c r="AP22" s="61">
        <f t="shared" si="6"/>
        <v>243</v>
      </c>
      <c r="AQ22"/>
    </row>
    <row r="23" spans="1:43" x14ac:dyDescent="0.3">
      <c r="A23" s="62">
        <v>17</v>
      </c>
      <c r="B23" s="67">
        <v>1619</v>
      </c>
      <c r="C23" s="42">
        <f t="shared" si="0"/>
        <v>67.458333333333329</v>
      </c>
      <c r="D23" s="256">
        <v>1133</v>
      </c>
      <c r="E23" s="44">
        <v>747</v>
      </c>
      <c r="F23" s="19">
        <v>1880</v>
      </c>
      <c r="G23" s="20">
        <v>459</v>
      </c>
      <c r="H23" s="216">
        <v>95</v>
      </c>
      <c r="I23" s="211">
        <v>0</v>
      </c>
      <c r="J23" s="46">
        <f t="shared" si="1"/>
        <v>0</v>
      </c>
      <c r="K23" s="239">
        <v>42</v>
      </c>
      <c r="L23" s="21">
        <v>2</v>
      </c>
      <c r="M23" s="49">
        <v>0</v>
      </c>
      <c r="N23" s="50">
        <f t="shared" si="2"/>
        <v>0</v>
      </c>
      <c r="O23" s="68">
        <v>197</v>
      </c>
      <c r="P23" s="52">
        <f t="shared" si="3"/>
        <v>8.2083333333333339</v>
      </c>
      <c r="Q23" s="257">
        <v>0</v>
      </c>
      <c r="R23" s="53">
        <v>333</v>
      </c>
      <c r="S23" s="54">
        <v>308</v>
      </c>
      <c r="T23" s="223">
        <v>490</v>
      </c>
      <c r="U23" s="55">
        <f t="shared" si="7"/>
        <v>2457</v>
      </c>
      <c r="V23" s="231">
        <f t="shared" si="4"/>
        <v>102.375</v>
      </c>
      <c r="W23" s="236">
        <v>0</v>
      </c>
      <c r="X23" s="65">
        <v>17.5</v>
      </c>
      <c r="Y23" s="66">
        <v>24</v>
      </c>
      <c r="Z23" s="6"/>
      <c r="AA23" s="348"/>
      <c r="AB23" s="348"/>
      <c r="AC23" s="348"/>
      <c r="AD23" s="349"/>
      <c r="AE23" s="360"/>
      <c r="AF23" s="351"/>
      <c r="AG23" s="351"/>
      <c r="AH23" s="352"/>
      <c r="AI23" s="58"/>
      <c r="AJ23" s="58"/>
      <c r="AK23" s="59">
        <v>133</v>
      </c>
      <c r="AL23" s="60">
        <f t="shared" si="5"/>
        <v>5.541666666666667</v>
      </c>
      <c r="AM23" s="6">
        <v>1440</v>
      </c>
      <c r="AO23" s="61"/>
      <c r="AP23" s="61">
        <f t="shared" si="6"/>
        <v>308</v>
      </c>
      <c r="AQ23"/>
    </row>
    <row r="24" spans="1:43" x14ac:dyDescent="0.3">
      <c r="A24" s="62">
        <v>18</v>
      </c>
      <c r="B24" s="67">
        <v>1680</v>
      </c>
      <c r="C24" s="42">
        <f t="shared" si="0"/>
        <v>70</v>
      </c>
      <c r="D24" s="256">
        <v>1176</v>
      </c>
      <c r="E24" s="44">
        <v>744</v>
      </c>
      <c r="F24" s="19">
        <v>1920</v>
      </c>
      <c r="G24" s="20">
        <v>341</v>
      </c>
      <c r="H24" s="216">
        <v>105</v>
      </c>
      <c r="I24" s="211">
        <v>0</v>
      </c>
      <c r="J24" s="46">
        <f t="shared" si="1"/>
        <v>0</v>
      </c>
      <c r="K24" s="239">
        <v>31</v>
      </c>
      <c r="L24" s="21">
        <v>5</v>
      </c>
      <c r="M24" s="49">
        <v>0</v>
      </c>
      <c r="N24" s="50">
        <f t="shared" si="2"/>
        <v>0</v>
      </c>
      <c r="O24" s="198">
        <v>326</v>
      </c>
      <c r="P24" s="52">
        <f t="shared" si="3"/>
        <v>13.583333333333334</v>
      </c>
      <c r="Q24" s="257">
        <v>0</v>
      </c>
      <c r="R24" s="53">
        <v>518</v>
      </c>
      <c r="S24" s="54">
        <v>408</v>
      </c>
      <c r="T24" s="223">
        <v>482</v>
      </c>
      <c r="U24" s="55">
        <f t="shared" si="7"/>
        <v>2932</v>
      </c>
      <c r="V24" s="231">
        <f t="shared" si="4"/>
        <v>122.16666666666667</v>
      </c>
      <c r="W24" s="236">
        <v>0</v>
      </c>
      <c r="X24" s="65">
        <v>24</v>
      </c>
      <c r="Y24" s="66">
        <v>24</v>
      </c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177</v>
      </c>
      <c r="AL24" s="60">
        <f t="shared" si="5"/>
        <v>7.375</v>
      </c>
      <c r="AM24" s="6">
        <v>1440</v>
      </c>
      <c r="AO24" s="61"/>
      <c r="AP24" s="61">
        <f t="shared" si="6"/>
        <v>408</v>
      </c>
      <c r="AQ24"/>
    </row>
    <row r="25" spans="1:43" x14ac:dyDescent="0.3">
      <c r="A25" s="62">
        <v>19</v>
      </c>
      <c r="B25" s="67">
        <v>1638</v>
      </c>
      <c r="C25" s="42">
        <f t="shared" si="0"/>
        <v>68.25</v>
      </c>
      <c r="D25" s="256">
        <v>1147</v>
      </c>
      <c r="E25" s="44">
        <v>723</v>
      </c>
      <c r="F25" s="19">
        <v>1870</v>
      </c>
      <c r="G25" s="20">
        <v>428</v>
      </c>
      <c r="H25" s="216">
        <v>106</v>
      </c>
      <c r="I25" s="211">
        <v>0</v>
      </c>
      <c r="J25" s="46">
        <f t="shared" si="1"/>
        <v>0</v>
      </c>
      <c r="K25" s="239">
        <v>12</v>
      </c>
      <c r="L25" s="21">
        <v>7</v>
      </c>
      <c r="M25" s="49">
        <v>36</v>
      </c>
      <c r="N25" s="50">
        <f t="shared" si="2"/>
        <v>1.5</v>
      </c>
      <c r="O25" s="198">
        <v>348</v>
      </c>
      <c r="P25" s="52">
        <f t="shared" si="3"/>
        <v>14.5</v>
      </c>
      <c r="Q25" s="257">
        <v>57</v>
      </c>
      <c r="R25" s="53">
        <v>167</v>
      </c>
      <c r="S25" s="54">
        <v>369</v>
      </c>
      <c r="T25" s="223">
        <v>472</v>
      </c>
      <c r="U25" s="55">
        <f t="shared" si="7"/>
        <v>2615</v>
      </c>
      <c r="V25" s="231">
        <f t="shared" si="4"/>
        <v>108.95833333333333</v>
      </c>
      <c r="W25" s="236">
        <v>5.83</v>
      </c>
      <c r="X25" s="65">
        <v>13</v>
      </c>
      <c r="Y25" s="66">
        <v>24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131</v>
      </c>
      <c r="AL25" s="60">
        <f t="shared" si="5"/>
        <v>5.458333333333333</v>
      </c>
      <c r="AM25" s="6">
        <v>1440</v>
      </c>
      <c r="AO25" s="61"/>
      <c r="AP25" s="61">
        <f t="shared" si="6"/>
        <v>369</v>
      </c>
      <c r="AQ25"/>
    </row>
    <row r="26" spans="1:43" x14ac:dyDescent="0.3">
      <c r="A26" s="62">
        <v>20</v>
      </c>
      <c r="B26" s="67">
        <v>1674</v>
      </c>
      <c r="C26" s="42">
        <f t="shared" si="0"/>
        <v>69.75</v>
      </c>
      <c r="D26" s="256">
        <v>1172</v>
      </c>
      <c r="E26" s="44">
        <v>698</v>
      </c>
      <c r="F26" s="19">
        <v>1870</v>
      </c>
      <c r="G26" s="20">
        <v>486</v>
      </c>
      <c r="H26" s="216">
        <v>106</v>
      </c>
      <c r="I26" s="211">
        <v>0</v>
      </c>
      <c r="J26" s="46">
        <f t="shared" si="1"/>
        <v>0</v>
      </c>
      <c r="K26" s="239">
        <v>9</v>
      </c>
      <c r="L26" s="21">
        <v>19</v>
      </c>
      <c r="M26" s="49">
        <v>269</v>
      </c>
      <c r="N26" s="50">
        <f t="shared" si="2"/>
        <v>11.208333333333334</v>
      </c>
      <c r="O26" s="198">
        <v>358</v>
      </c>
      <c r="P26" s="52">
        <f t="shared" si="3"/>
        <v>14.916666666666666</v>
      </c>
      <c r="Q26" s="257">
        <v>124</v>
      </c>
      <c r="R26" s="53">
        <v>0</v>
      </c>
      <c r="S26" s="54">
        <v>400</v>
      </c>
      <c r="T26" s="223">
        <v>487</v>
      </c>
      <c r="U26" s="55">
        <f t="shared" si="7"/>
        <v>2825</v>
      </c>
      <c r="V26" s="231">
        <f t="shared" si="4"/>
        <v>117.70833333333333</v>
      </c>
      <c r="W26" s="236">
        <v>19.829999999999998</v>
      </c>
      <c r="X26" s="65">
        <v>0</v>
      </c>
      <c r="Y26" s="66">
        <v>24</v>
      </c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>
        <v>137</v>
      </c>
      <c r="AL26" s="60">
        <f t="shared" si="5"/>
        <v>5.708333333333333</v>
      </c>
      <c r="AM26" s="6">
        <v>1440</v>
      </c>
      <c r="AO26" s="61"/>
      <c r="AP26" s="61">
        <f t="shared" si="6"/>
        <v>400</v>
      </c>
      <c r="AQ26"/>
    </row>
    <row r="27" spans="1:43" x14ac:dyDescent="0.3">
      <c r="A27" s="62">
        <v>21</v>
      </c>
      <c r="B27" s="67">
        <v>1683</v>
      </c>
      <c r="C27" s="42">
        <f t="shared" si="0"/>
        <v>70.125</v>
      </c>
      <c r="D27" s="256">
        <v>1178</v>
      </c>
      <c r="E27" s="44">
        <v>705</v>
      </c>
      <c r="F27" s="19">
        <v>1883</v>
      </c>
      <c r="G27" s="20">
        <v>550</v>
      </c>
      <c r="H27" s="216">
        <v>107</v>
      </c>
      <c r="I27" s="211">
        <v>0</v>
      </c>
      <c r="J27" s="46">
        <f t="shared" si="1"/>
        <v>0</v>
      </c>
      <c r="K27" s="239">
        <v>19</v>
      </c>
      <c r="L27" s="21">
        <v>4</v>
      </c>
      <c r="M27" s="49">
        <v>293</v>
      </c>
      <c r="N27" s="50">
        <f t="shared" si="2"/>
        <v>12.208333333333334</v>
      </c>
      <c r="O27" s="198">
        <v>362</v>
      </c>
      <c r="P27" s="52">
        <f t="shared" si="3"/>
        <v>15.083333333333334</v>
      </c>
      <c r="Q27" s="257">
        <v>199</v>
      </c>
      <c r="R27" s="53">
        <v>0</v>
      </c>
      <c r="S27" s="54">
        <v>412</v>
      </c>
      <c r="T27" s="223">
        <v>495</v>
      </c>
      <c r="U27" s="55">
        <f t="shared" si="7"/>
        <v>2949</v>
      </c>
      <c r="V27" s="231">
        <f t="shared" si="4"/>
        <v>122.875</v>
      </c>
      <c r="W27" s="236">
        <v>24</v>
      </c>
      <c r="X27" s="65">
        <v>0</v>
      </c>
      <c r="Y27" s="66">
        <v>24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168</v>
      </c>
      <c r="AL27" s="60">
        <f t="shared" si="5"/>
        <v>7</v>
      </c>
      <c r="AM27" s="6">
        <v>1440</v>
      </c>
      <c r="AO27" s="61"/>
      <c r="AP27" s="61">
        <f t="shared" si="6"/>
        <v>412</v>
      </c>
      <c r="AQ27"/>
    </row>
    <row r="28" spans="1:43" x14ac:dyDescent="0.3">
      <c r="A28" s="62">
        <v>22</v>
      </c>
      <c r="B28" s="67">
        <v>1649</v>
      </c>
      <c r="C28" s="42">
        <f t="shared" si="0"/>
        <v>68.708333333333329</v>
      </c>
      <c r="D28" s="256">
        <v>1154</v>
      </c>
      <c r="E28" s="44">
        <v>728</v>
      </c>
      <c r="F28" s="19">
        <v>1882</v>
      </c>
      <c r="G28" s="20">
        <v>521</v>
      </c>
      <c r="H28" s="216">
        <v>109</v>
      </c>
      <c r="I28" s="211">
        <v>0</v>
      </c>
      <c r="J28" s="46">
        <f t="shared" si="1"/>
        <v>0</v>
      </c>
      <c r="K28" s="239">
        <v>4</v>
      </c>
      <c r="L28" s="21">
        <v>6</v>
      </c>
      <c r="M28" s="49">
        <v>289</v>
      </c>
      <c r="N28" s="50">
        <f t="shared" si="2"/>
        <v>12.041666666666666</v>
      </c>
      <c r="O28" s="198">
        <v>354</v>
      </c>
      <c r="P28" s="52">
        <f t="shared" si="3"/>
        <v>14.75</v>
      </c>
      <c r="Q28" s="257">
        <v>128</v>
      </c>
      <c r="R28" s="53">
        <v>0</v>
      </c>
      <c r="S28" s="54">
        <v>394</v>
      </c>
      <c r="T28" s="223">
        <v>497</v>
      </c>
      <c r="U28" s="55">
        <f t="shared" si="7"/>
        <v>2814</v>
      </c>
      <c r="V28" s="231">
        <f t="shared" si="4"/>
        <v>117.25</v>
      </c>
      <c r="W28" s="236">
        <v>24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165</v>
      </c>
      <c r="AL28" s="60">
        <f t="shared" si="5"/>
        <v>6.875</v>
      </c>
      <c r="AM28" s="6">
        <v>1440</v>
      </c>
      <c r="AO28" s="61"/>
      <c r="AP28" s="61">
        <f t="shared" si="6"/>
        <v>394</v>
      </c>
      <c r="AQ28"/>
    </row>
    <row r="29" spans="1:43" x14ac:dyDescent="0.3">
      <c r="A29" s="62">
        <v>23</v>
      </c>
      <c r="B29" s="67">
        <v>1657</v>
      </c>
      <c r="C29" s="42">
        <f t="shared" si="0"/>
        <v>69.041666666666671</v>
      </c>
      <c r="D29" s="256">
        <v>1160</v>
      </c>
      <c r="E29" s="44">
        <v>723</v>
      </c>
      <c r="F29" s="19">
        <v>1883</v>
      </c>
      <c r="G29" s="20">
        <v>525</v>
      </c>
      <c r="H29" s="216">
        <v>118</v>
      </c>
      <c r="I29" s="211">
        <v>0</v>
      </c>
      <c r="J29" s="46">
        <f t="shared" si="1"/>
        <v>0</v>
      </c>
      <c r="K29" s="239">
        <v>46</v>
      </c>
      <c r="L29" s="21">
        <v>26</v>
      </c>
      <c r="M29" s="49">
        <v>254</v>
      </c>
      <c r="N29" s="50">
        <f t="shared" si="2"/>
        <v>10.583333333333334</v>
      </c>
      <c r="O29" s="198">
        <v>0</v>
      </c>
      <c r="P29" s="52">
        <f t="shared" si="3"/>
        <v>0</v>
      </c>
      <c r="Q29" s="257">
        <v>7</v>
      </c>
      <c r="R29" s="53">
        <v>414</v>
      </c>
      <c r="S29" s="54">
        <v>408</v>
      </c>
      <c r="T29" s="223">
        <v>493</v>
      </c>
      <c r="U29" s="55">
        <f t="shared" si="7"/>
        <v>2740</v>
      </c>
      <c r="V29" s="231">
        <f t="shared" si="4"/>
        <v>114.16666666666667</v>
      </c>
      <c r="W29" s="236">
        <v>1.83</v>
      </c>
      <c r="X29" s="65">
        <v>22.5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162</v>
      </c>
      <c r="AL29" s="60">
        <f t="shared" si="5"/>
        <v>6.75</v>
      </c>
      <c r="AM29" s="6">
        <v>1440</v>
      </c>
      <c r="AO29" s="61"/>
      <c r="AP29" s="61">
        <f t="shared" si="6"/>
        <v>408</v>
      </c>
      <c r="AQ29"/>
    </row>
    <row r="30" spans="1:43" x14ac:dyDescent="0.3">
      <c r="A30" s="62">
        <v>24</v>
      </c>
      <c r="B30" s="67">
        <v>857</v>
      </c>
      <c r="C30" s="42">
        <f t="shared" si="0"/>
        <v>35.708333333333336</v>
      </c>
      <c r="D30" s="256">
        <v>600</v>
      </c>
      <c r="E30" s="44">
        <v>467</v>
      </c>
      <c r="F30" s="19">
        <v>1067</v>
      </c>
      <c r="G30" s="20">
        <v>516</v>
      </c>
      <c r="H30" s="216">
        <v>71</v>
      </c>
      <c r="I30" s="211">
        <v>0</v>
      </c>
      <c r="J30" s="46">
        <f t="shared" si="1"/>
        <v>0</v>
      </c>
      <c r="K30" s="239">
        <v>8</v>
      </c>
      <c r="L30" s="21">
        <v>0</v>
      </c>
      <c r="M30" s="49">
        <v>257</v>
      </c>
      <c r="N30" s="50">
        <f t="shared" si="2"/>
        <v>10.708333333333334</v>
      </c>
      <c r="O30" s="198">
        <v>45</v>
      </c>
      <c r="P30" s="52">
        <f t="shared" si="3"/>
        <v>1.875</v>
      </c>
      <c r="Q30" s="257">
        <v>6</v>
      </c>
      <c r="R30" s="53">
        <v>24</v>
      </c>
      <c r="S30" s="54">
        <v>307</v>
      </c>
      <c r="T30" s="223">
        <v>472</v>
      </c>
      <c r="U30" s="55">
        <f t="shared" si="7"/>
        <v>1496</v>
      </c>
      <c r="V30" s="231">
        <f t="shared" si="4"/>
        <v>62.333333333333336</v>
      </c>
      <c r="W30" s="236">
        <v>1.5</v>
      </c>
      <c r="X30" s="65">
        <v>1</v>
      </c>
      <c r="Y30" s="66">
        <v>24</v>
      </c>
      <c r="Z30" s="6"/>
      <c r="AA30" s="359" t="s">
        <v>182</v>
      </c>
      <c r="AB30" s="348"/>
      <c r="AC30" s="348"/>
      <c r="AD30" s="349"/>
      <c r="AE30" s="350"/>
      <c r="AF30" s="351"/>
      <c r="AG30" s="351"/>
      <c r="AH30" s="352"/>
      <c r="AI30" s="58">
        <v>1370</v>
      </c>
      <c r="AJ30" s="58"/>
      <c r="AK30" s="59">
        <v>18</v>
      </c>
      <c r="AL30" s="60">
        <f t="shared" si="5"/>
        <v>0.75</v>
      </c>
      <c r="AM30" s="6">
        <v>210</v>
      </c>
      <c r="AO30" s="61"/>
      <c r="AP30" s="61">
        <f t="shared" si="6"/>
        <v>307</v>
      </c>
      <c r="AQ30"/>
    </row>
    <row r="31" spans="1:43" x14ac:dyDescent="0.3">
      <c r="A31" s="62">
        <v>25</v>
      </c>
      <c r="B31" s="67">
        <v>1176</v>
      </c>
      <c r="C31" s="42">
        <f t="shared" si="0"/>
        <v>49</v>
      </c>
      <c r="D31" s="256">
        <v>823</v>
      </c>
      <c r="E31" s="44">
        <v>550</v>
      </c>
      <c r="F31" s="19">
        <v>1373</v>
      </c>
      <c r="G31" s="20">
        <v>495</v>
      </c>
      <c r="H31" s="216">
        <v>77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279</v>
      </c>
      <c r="N31" s="50">
        <f t="shared" si="2"/>
        <v>11.625</v>
      </c>
      <c r="O31" s="198">
        <v>405</v>
      </c>
      <c r="P31" s="52">
        <f t="shared" si="3"/>
        <v>16.875</v>
      </c>
      <c r="Q31" s="257">
        <v>44</v>
      </c>
      <c r="R31" s="53">
        <v>5</v>
      </c>
      <c r="S31" s="54">
        <v>318</v>
      </c>
      <c r="T31" s="223">
        <v>484</v>
      </c>
      <c r="U31" s="55">
        <f t="shared" si="7"/>
        <v>2227</v>
      </c>
      <c r="V31" s="231">
        <f t="shared" si="4"/>
        <v>92.791666666666671</v>
      </c>
      <c r="W31" s="236">
        <v>10.83</v>
      </c>
      <c r="X31" s="65">
        <v>1</v>
      </c>
      <c r="Y31" s="66">
        <v>24</v>
      </c>
      <c r="Z31" s="6"/>
      <c r="AA31" s="348" t="s">
        <v>183</v>
      </c>
      <c r="AB31" s="348"/>
      <c r="AC31" s="348"/>
      <c r="AD31" s="349"/>
      <c r="AE31" s="350"/>
      <c r="AF31" s="351"/>
      <c r="AG31" s="351"/>
      <c r="AH31" s="352"/>
      <c r="AI31" s="58">
        <v>680</v>
      </c>
      <c r="AJ31" s="58"/>
      <c r="AK31" s="59">
        <v>86</v>
      </c>
      <c r="AL31" s="60">
        <f t="shared" si="5"/>
        <v>3.5833333333333335</v>
      </c>
      <c r="AM31" s="6">
        <v>480</v>
      </c>
      <c r="AO31" s="61"/>
      <c r="AP31" s="61">
        <f t="shared" si="6"/>
        <v>318</v>
      </c>
      <c r="AQ31"/>
    </row>
    <row r="32" spans="1:43" x14ac:dyDescent="0.3">
      <c r="A32" s="62">
        <v>26</v>
      </c>
      <c r="B32" s="67">
        <v>1513</v>
      </c>
      <c r="C32" s="42">
        <f t="shared" si="0"/>
        <v>63.041666666666664</v>
      </c>
      <c r="D32" s="256">
        <v>1059</v>
      </c>
      <c r="E32" s="44">
        <v>755</v>
      </c>
      <c r="F32" s="19">
        <v>1814</v>
      </c>
      <c r="G32" s="20">
        <v>490</v>
      </c>
      <c r="H32" s="216">
        <v>90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200">
        <v>278</v>
      </c>
      <c r="N32" s="50">
        <f t="shared" si="2"/>
        <v>11.583333333333334</v>
      </c>
      <c r="O32" s="198">
        <v>404</v>
      </c>
      <c r="P32" s="52">
        <f t="shared" si="3"/>
        <v>16.833333333333332</v>
      </c>
      <c r="Q32" s="257">
        <v>80</v>
      </c>
      <c r="R32" s="53">
        <v>0</v>
      </c>
      <c r="S32" s="54">
        <v>331</v>
      </c>
      <c r="T32" s="223">
        <v>482</v>
      </c>
      <c r="U32" s="55">
        <f t="shared" si="7"/>
        <v>2606</v>
      </c>
      <c r="V32" s="231">
        <f t="shared" si="4"/>
        <v>108.58333333333333</v>
      </c>
      <c r="W32" s="236">
        <v>12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142</v>
      </c>
      <c r="AL32" s="60">
        <f t="shared" si="5"/>
        <v>5.916666666666667</v>
      </c>
      <c r="AM32" s="6">
        <v>1440</v>
      </c>
      <c r="AO32" s="61"/>
      <c r="AP32" s="61">
        <f t="shared" si="6"/>
        <v>331</v>
      </c>
      <c r="AQ32"/>
    </row>
    <row r="33" spans="1:43" x14ac:dyDescent="0.3">
      <c r="A33" s="62">
        <v>27</v>
      </c>
      <c r="B33" s="67">
        <v>1661</v>
      </c>
      <c r="C33" s="42">
        <f t="shared" si="0"/>
        <v>69.208333333333329</v>
      </c>
      <c r="D33" s="256">
        <v>1163</v>
      </c>
      <c r="E33" s="44">
        <v>753</v>
      </c>
      <c r="F33" s="19">
        <v>1916</v>
      </c>
      <c r="G33" s="20">
        <v>484</v>
      </c>
      <c r="H33" s="216">
        <v>93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200">
        <v>282</v>
      </c>
      <c r="N33" s="50">
        <f t="shared" si="2"/>
        <v>11.75</v>
      </c>
      <c r="O33" s="198">
        <v>405</v>
      </c>
      <c r="P33" s="52">
        <f t="shared" si="3"/>
        <v>16.875</v>
      </c>
      <c r="Q33" s="257">
        <v>119</v>
      </c>
      <c r="R33" s="53">
        <v>0</v>
      </c>
      <c r="S33" s="54">
        <v>361</v>
      </c>
      <c r="T33" s="223">
        <v>466</v>
      </c>
      <c r="U33" s="55">
        <f t="shared" si="7"/>
        <v>2828</v>
      </c>
      <c r="V33" s="231">
        <f t="shared" si="4"/>
        <v>117.83333333333333</v>
      </c>
      <c r="W33" s="236">
        <v>24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163</v>
      </c>
      <c r="AL33" s="60">
        <f t="shared" si="5"/>
        <v>6.791666666666667</v>
      </c>
      <c r="AM33" s="6">
        <v>1440</v>
      </c>
      <c r="AO33" s="61"/>
      <c r="AP33" s="61">
        <f t="shared" si="6"/>
        <v>361</v>
      </c>
      <c r="AQ33"/>
    </row>
    <row r="34" spans="1:43" x14ac:dyDescent="0.3">
      <c r="A34" s="62">
        <v>28</v>
      </c>
      <c r="B34" s="67">
        <v>1669</v>
      </c>
      <c r="C34" s="42">
        <f t="shared" si="0"/>
        <v>69.541666666666671</v>
      </c>
      <c r="D34" s="256">
        <v>1168</v>
      </c>
      <c r="E34" s="44">
        <v>745</v>
      </c>
      <c r="F34" s="19">
        <v>1913</v>
      </c>
      <c r="G34" s="20">
        <v>510</v>
      </c>
      <c r="H34" s="216">
        <v>102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200">
        <v>292</v>
      </c>
      <c r="N34" s="50">
        <f t="shared" si="2"/>
        <v>12.166666666666666</v>
      </c>
      <c r="O34" s="198">
        <v>401</v>
      </c>
      <c r="P34" s="52">
        <f t="shared" si="3"/>
        <v>16.708333333333332</v>
      </c>
      <c r="Q34" s="257">
        <v>41</v>
      </c>
      <c r="R34" s="53">
        <v>0</v>
      </c>
      <c r="S34" s="54">
        <v>374</v>
      </c>
      <c r="T34" s="223">
        <v>468</v>
      </c>
      <c r="U34" s="55">
        <f t="shared" si="7"/>
        <v>2777</v>
      </c>
      <c r="V34" s="231">
        <f t="shared" si="4"/>
        <v>115.70833333333333</v>
      </c>
      <c r="W34" s="236">
        <v>9.83</v>
      </c>
      <c r="X34" s="65">
        <v>0</v>
      </c>
      <c r="Y34" s="66">
        <v>24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>
        <v>165</v>
      </c>
      <c r="AL34" s="60">
        <f t="shared" si="5"/>
        <v>6.875</v>
      </c>
      <c r="AM34" s="6">
        <v>1440</v>
      </c>
      <c r="AO34" s="61"/>
      <c r="AP34" s="61">
        <f t="shared" si="6"/>
        <v>374</v>
      </c>
      <c r="AQ34"/>
    </row>
    <row r="35" spans="1:43" x14ac:dyDescent="0.3">
      <c r="A35" s="62">
        <v>29</v>
      </c>
      <c r="B35" s="67"/>
      <c r="C35" s="42">
        <f t="shared" si="0"/>
        <v>0</v>
      </c>
      <c r="D35" s="256"/>
      <c r="E35" s="44"/>
      <c r="F35" s="19"/>
      <c r="G35" s="20"/>
      <c r="H35" s="216"/>
      <c r="I35" s="211"/>
      <c r="J35" s="46">
        <f t="shared" si="1"/>
        <v>0</v>
      </c>
      <c r="K35" s="239"/>
      <c r="L35" s="21"/>
      <c r="M35" s="200"/>
      <c r="N35" s="50">
        <f t="shared" si="2"/>
        <v>0</v>
      </c>
      <c r="O35" s="198"/>
      <c r="P35" s="52">
        <f t="shared" si="3"/>
        <v>0</v>
      </c>
      <c r="Q35" s="257"/>
      <c r="R35" s="53"/>
      <c r="S35" s="54"/>
      <c r="T35" s="223"/>
      <c r="U35" s="55">
        <f t="shared" si="7"/>
        <v>0</v>
      </c>
      <c r="V35" s="231">
        <f t="shared" si="4"/>
        <v>0</v>
      </c>
      <c r="W35" s="236"/>
      <c r="X35" s="65"/>
      <c r="Y35" s="66"/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/>
      <c r="AL35" s="60">
        <f t="shared" si="5"/>
        <v>0</v>
      </c>
      <c r="AO35" s="61"/>
      <c r="AP35" s="61">
        <f t="shared" si="6"/>
        <v>0</v>
      </c>
      <c r="AQ35"/>
    </row>
    <row r="36" spans="1:43" x14ac:dyDescent="0.3">
      <c r="A36" s="62">
        <v>30</v>
      </c>
      <c r="B36" s="67"/>
      <c r="C36" s="42">
        <f t="shared" si="0"/>
        <v>0</v>
      </c>
      <c r="D36" s="256"/>
      <c r="E36" s="44"/>
      <c r="F36" s="19"/>
      <c r="G36" s="20"/>
      <c r="H36" s="216"/>
      <c r="I36" s="211"/>
      <c r="J36" s="46">
        <f t="shared" si="1"/>
        <v>0</v>
      </c>
      <c r="K36" s="239"/>
      <c r="L36" s="21"/>
      <c r="M36" s="200"/>
      <c r="N36" s="50">
        <f t="shared" si="2"/>
        <v>0</v>
      </c>
      <c r="O36" s="198"/>
      <c r="P36" s="52">
        <f t="shared" si="3"/>
        <v>0</v>
      </c>
      <c r="Q36" s="257"/>
      <c r="R36" s="53"/>
      <c r="S36" s="54"/>
      <c r="T36" s="223"/>
      <c r="U36" s="55">
        <f t="shared" si="7"/>
        <v>0</v>
      </c>
      <c r="V36" s="231">
        <f t="shared" si="4"/>
        <v>0</v>
      </c>
      <c r="W36" s="236"/>
      <c r="X36" s="65"/>
      <c r="Y36" s="66"/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/>
      <c r="AL36" s="60">
        <f t="shared" si="5"/>
        <v>0</v>
      </c>
      <c r="AO36" s="61"/>
      <c r="AP36" s="61">
        <f t="shared" si="6"/>
        <v>0</v>
      </c>
      <c r="AQ36"/>
    </row>
    <row r="37" spans="1:43" ht="17.25" thickBot="1" x14ac:dyDescent="0.35">
      <c r="A37" s="62">
        <v>31</v>
      </c>
      <c r="B37" s="67"/>
      <c r="C37" s="42">
        <f t="shared" si="0"/>
        <v>0</v>
      </c>
      <c r="D37" s="76"/>
      <c r="E37" s="44"/>
      <c r="F37" s="77"/>
      <c r="G37" s="78"/>
      <c r="H37" s="220"/>
      <c r="I37" s="211"/>
      <c r="J37" s="46">
        <f t="shared" si="1"/>
        <v>0</v>
      </c>
      <c r="K37" s="79"/>
      <c r="L37" s="80"/>
      <c r="M37" s="201"/>
      <c r="N37" s="50">
        <f t="shared" si="2"/>
        <v>0</v>
      </c>
      <c r="O37" s="199"/>
      <c r="P37" s="81">
        <f t="shared" si="3"/>
        <v>0</v>
      </c>
      <c r="Q37" s="227"/>
      <c r="R37" s="82"/>
      <c r="S37" s="54"/>
      <c r="T37" s="223"/>
      <c r="U37" s="55">
        <f t="shared" si="7"/>
        <v>0</v>
      </c>
      <c r="V37" s="232">
        <f t="shared" si="4"/>
        <v>0</v>
      </c>
      <c r="W37" s="237"/>
      <c r="X37" s="83"/>
      <c r="Y37" s="84"/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/>
      <c r="AL37" s="60">
        <f t="shared" si="5"/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41608</v>
      </c>
      <c r="C38" s="88">
        <f t="shared" si="8"/>
        <v>1733.6666666666667</v>
      </c>
      <c r="D38" s="89">
        <f t="shared" si="8"/>
        <v>29124</v>
      </c>
      <c r="E38" s="89">
        <f t="shared" si="8"/>
        <v>19061</v>
      </c>
      <c r="F38" s="89">
        <f t="shared" si="8"/>
        <v>48185</v>
      </c>
      <c r="G38" s="90">
        <f t="shared" si="8"/>
        <v>13059</v>
      </c>
      <c r="H38" s="221">
        <f t="shared" si="8"/>
        <v>2650</v>
      </c>
      <c r="I38" s="212">
        <f t="shared" si="8"/>
        <v>1625</v>
      </c>
      <c r="J38" s="88"/>
      <c r="K38" s="89">
        <f>SUM(K7:K37)</f>
        <v>2729</v>
      </c>
      <c r="L38" s="91">
        <f>SUM(L7:L37)</f>
        <v>1216</v>
      </c>
      <c r="M38" s="92">
        <f>SUM(M7:M37)</f>
        <v>2529</v>
      </c>
      <c r="N38" s="89"/>
      <c r="O38" s="87">
        <f>SUM(O7:O37)</f>
        <v>7098</v>
      </c>
      <c r="P38" s="93"/>
      <c r="Q38" s="212">
        <f>SUM(Q7:Q37)</f>
        <v>1178</v>
      </c>
      <c r="R38" s="87">
        <f>SUM(R7:R37)</f>
        <v>4339</v>
      </c>
      <c r="S38" s="87">
        <f>SUM(S7:S37)</f>
        <v>8436</v>
      </c>
      <c r="T38" s="87">
        <f>SUM(T7:T37)</f>
        <v>11749</v>
      </c>
      <c r="U38" s="94">
        <f>SUM(U7:U37)</f>
        <v>66813</v>
      </c>
      <c r="V38" s="207"/>
      <c r="W38" s="238">
        <f>SUM(W7:W37)</f>
        <v>211.36000000000004</v>
      </c>
      <c r="X38" s="89">
        <f>SUM(X7:X37)</f>
        <v>244.65999999999997</v>
      </c>
      <c r="Y38" s="91">
        <f>SUM(Y7:Y37)</f>
        <v>572.82999999999993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34.166666666666664</v>
      </c>
      <c r="AJ38" s="243">
        <f>SUM(AJ7:AJ37)/60</f>
        <v>84.5</v>
      </c>
      <c r="AK38" s="244">
        <f>SUM(AK7:AK37)</f>
        <v>3340</v>
      </c>
      <c r="AL38" s="97">
        <f>SUM(AL7:AL37)/60</f>
        <v>2.3194444444444442</v>
      </c>
      <c r="AM38" s="240">
        <f>SUM(AM7:AM37)/60</f>
        <v>539.5</v>
      </c>
      <c r="AP38"/>
      <c r="AQ38"/>
    </row>
    <row r="39" spans="1:43" ht="17.25" thickBot="1" x14ac:dyDescent="0.35">
      <c r="A39" s="98" t="s">
        <v>37</v>
      </c>
      <c r="B39" s="99">
        <f>AVERAGE(B7:B37)</f>
        <v>1486</v>
      </c>
      <c r="C39" s="100">
        <f>B39/24</f>
        <v>61.916666666666664</v>
      </c>
      <c r="D39" s="101">
        <f t="shared" ref="D39:I39" si="9">AVERAGE(D7:D37)</f>
        <v>1040.1428571428571</v>
      </c>
      <c r="E39" s="101">
        <f t="shared" si="9"/>
        <v>680.75</v>
      </c>
      <c r="F39" s="101">
        <f t="shared" si="9"/>
        <v>1720.8928571428571</v>
      </c>
      <c r="G39" s="208">
        <f t="shared" si="9"/>
        <v>466.39285714285717</v>
      </c>
      <c r="H39" s="102">
        <f t="shared" si="9"/>
        <v>94.642857142857139</v>
      </c>
      <c r="I39" s="213">
        <f t="shared" si="9"/>
        <v>58.035714285714285</v>
      </c>
      <c r="J39" s="103">
        <f>I39/24</f>
        <v>2.4181547619047619</v>
      </c>
      <c r="K39" s="101">
        <f>AVERAGE(K7:K37)</f>
        <v>97.464285714285708</v>
      </c>
      <c r="L39" s="104">
        <f>AVERAGE(L7:L37)</f>
        <v>43.428571428571431</v>
      </c>
      <c r="M39" s="105">
        <f>AVERAGE(M7:M37)</f>
        <v>90.321428571428569</v>
      </c>
      <c r="N39" s="103">
        <f>M39/24</f>
        <v>3.7633928571428572</v>
      </c>
      <c r="O39" s="101">
        <f>AVERAGE(O7:O37)</f>
        <v>253.5</v>
      </c>
      <c r="P39" s="229">
        <f>O39/24</f>
        <v>10.5625</v>
      </c>
      <c r="Q39" s="228">
        <f>AVERAGE(Q7:Q37)</f>
        <v>42.071428571428569</v>
      </c>
      <c r="R39" s="106">
        <f>AVERAGE(R7:R37)</f>
        <v>154.96428571428572</v>
      </c>
      <c r="S39" s="102">
        <f>AVERAGE(S7:S37)</f>
        <v>301.28571428571428</v>
      </c>
      <c r="T39" s="102">
        <f>AVERAGE(T7:T37)</f>
        <v>419.60714285714283</v>
      </c>
      <c r="U39" s="107">
        <f>AVERAGE(U7:U37)</f>
        <v>2155.2580645161293</v>
      </c>
      <c r="V39" s="233">
        <f>U39/24</f>
        <v>89.802419354838719</v>
      </c>
      <c r="W39" s="105">
        <f>AVERAGE(W7:W37)</f>
        <v>7.5485714285714298</v>
      </c>
      <c r="X39" s="101">
        <f>AVERAGE(X7:X37)</f>
        <v>8.7378571428571412</v>
      </c>
      <c r="Y39" s="104">
        <f>AVERAGE(Y7:Y37)</f>
        <v>20.458214285714284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118.66666666666666</v>
      </c>
      <c r="AI39" s="354"/>
      <c r="AJ39" s="247">
        <f>AI39/24</f>
        <v>0</v>
      </c>
      <c r="AK39" s="245">
        <f>(AK38/31)/24</f>
        <v>4.489247311827957</v>
      </c>
      <c r="AP39"/>
      <c r="AQ39"/>
    </row>
    <row r="40" spans="1:43" ht="17.25" thickBot="1" x14ac:dyDescent="0.35">
      <c r="A40" s="7"/>
      <c r="M40" s="108">
        <f>M38+O38</f>
        <v>9627</v>
      </c>
      <c r="P40" s="109"/>
      <c r="Q40" s="110" t="s">
        <v>39</v>
      </c>
      <c r="R40" s="109">
        <f>Q38+R38</f>
        <v>5517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184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8.2098214285714288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12.553571428571429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61.916666666666664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14.325892857142858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2.4181547619047619</v>
      </c>
      <c r="E46" s="340"/>
      <c r="F46" s="114">
        <v>32000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99.424107142857139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58" t="s">
        <v>50</v>
      </c>
      <c r="E49" s="258" t="s">
        <v>160</v>
      </c>
      <c r="F49" s="140" t="s">
        <v>51</v>
      </c>
      <c r="G49" s="140" t="s">
        <v>52</v>
      </c>
      <c r="H49" s="258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552</v>
      </c>
      <c r="F50" s="148">
        <v>544</v>
      </c>
      <c r="G50" s="148">
        <v>458</v>
      </c>
      <c r="H50" s="148">
        <v>450</v>
      </c>
      <c r="I50" s="148">
        <v>473</v>
      </c>
      <c r="J50" s="148">
        <v>479</v>
      </c>
      <c r="K50" s="148">
        <v>335</v>
      </c>
      <c r="L50" s="148">
        <v>0</v>
      </c>
      <c r="M50" s="148">
        <v>0</v>
      </c>
      <c r="N50" s="148">
        <v>0</v>
      </c>
      <c r="O50" s="148">
        <v>78</v>
      </c>
      <c r="P50" s="148">
        <v>502</v>
      </c>
      <c r="Q50" s="148">
        <v>508</v>
      </c>
      <c r="R50" s="148">
        <v>493</v>
      </c>
      <c r="S50" s="148">
        <v>460</v>
      </c>
      <c r="T50" s="148">
        <v>319</v>
      </c>
      <c r="U50" s="148">
        <v>492</v>
      </c>
      <c r="V50" s="148">
        <v>494</v>
      </c>
      <c r="W50" s="148">
        <v>482</v>
      </c>
      <c r="X50" s="148">
        <v>497</v>
      </c>
      <c r="Y50" s="148">
        <v>508</v>
      </c>
      <c r="Z50" s="148">
        <v>511</v>
      </c>
      <c r="AA50" s="148">
        <v>509</v>
      </c>
      <c r="AB50" s="148">
        <v>481</v>
      </c>
      <c r="AC50" s="148">
        <v>489</v>
      </c>
      <c r="AD50" s="148">
        <v>488</v>
      </c>
      <c r="AE50" s="148">
        <v>468</v>
      </c>
      <c r="AF50" s="148">
        <v>478</v>
      </c>
      <c r="AG50" s="148"/>
      <c r="AH50" s="148"/>
      <c r="AI50" s="148"/>
      <c r="AJ50" s="149">
        <f>SUM(E50:AI50)</f>
        <v>11548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72</v>
      </c>
      <c r="I51" s="148">
        <v>72</v>
      </c>
      <c r="J51" s="148">
        <v>72</v>
      </c>
      <c r="K51" s="148">
        <v>48.989999999999995</v>
      </c>
      <c r="L51" s="148">
        <v>0</v>
      </c>
      <c r="M51" s="148">
        <v>0</v>
      </c>
      <c r="N51" s="148">
        <v>0</v>
      </c>
      <c r="O51" s="148">
        <v>13.5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72</v>
      </c>
      <c r="X51" s="148">
        <v>72</v>
      </c>
      <c r="Y51" s="148">
        <v>72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72</v>
      </c>
      <c r="AG51" s="148">
        <v>0</v>
      </c>
      <c r="AH51" s="148">
        <v>0</v>
      </c>
      <c r="AI51" s="148">
        <v>0</v>
      </c>
      <c r="AJ51" s="149">
        <f>SUM(E51:AI51)</f>
        <v>1718.49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415</v>
      </c>
      <c r="F52" s="148">
        <f>$S8</f>
        <v>368</v>
      </c>
      <c r="G52" s="148">
        <f>$S9</f>
        <v>290</v>
      </c>
      <c r="H52" s="148">
        <f>$S10</f>
        <v>290</v>
      </c>
      <c r="I52" s="148">
        <f>$S11</f>
        <v>319</v>
      </c>
      <c r="J52" s="148">
        <f>$S12</f>
        <v>327</v>
      </c>
      <c r="K52" s="148">
        <f>$S13</f>
        <v>270</v>
      </c>
      <c r="L52" s="148">
        <f>$S14</f>
        <v>0</v>
      </c>
      <c r="M52" s="148">
        <f>$S15</f>
        <v>0</v>
      </c>
      <c r="N52" s="148">
        <f>$S16</f>
        <v>0</v>
      </c>
      <c r="O52" s="148">
        <f>$S17</f>
        <v>26</v>
      </c>
      <c r="P52" s="148">
        <f>$S18</f>
        <v>341</v>
      </c>
      <c r="Q52" s="148">
        <f>$S19</f>
        <v>419</v>
      </c>
      <c r="R52" s="148">
        <f>$S20</f>
        <v>403</v>
      </c>
      <c r="S52" s="148">
        <f>$S21</f>
        <v>335</v>
      </c>
      <c r="T52" s="148">
        <f>$S22</f>
        <v>243</v>
      </c>
      <c r="U52" s="148">
        <f>$S23</f>
        <v>308</v>
      </c>
      <c r="V52" s="148">
        <f>$S24</f>
        <v>408</v>
      </c>
      <c r="W52" s="148">
        <f>$S25</f>
        <v>369</v>
      </c>
      <c r="X52" s="148">
        <f>$S26</f>
        <v>400</v>
      </c>
      <c r="Y52" s="148">
        <f>$S27</f>
        <v>412</v>
      </c>
      <c r="Z52" s="148">
        <f>$S28</f>
        <v>394</v>
      </c>
      <c r="AA52" s="148">
        <f>$S29</f>
        <v>408</v>
      </c>
      <c r="AB52" s="148">
        <f>$S30</f>
        <v>307</v>
      </c>
      <c r="AC52" s="148">
        <f>$S31</f>
        <v>318</v>
      </c>
      <c r="AD52" s="148">
        <f>$S32</f>
        <v>331</v>
      </c>
      <c r="AE52" s="148">
        <f>$S33</f>
        <v>361</v>
      </c>
      <c r="AF52" s="148">
        <f>$S34</f>
        <v>374</v>
      </c>
      <c r="AG52" s="148">
        <f>$S35</f>
        <v>0</v>
      </c>
      <c r="AH52" s="148">
        <f>$S36</f>
        <v>0</v>
      </c>
      <c r="AI52" s="148">
        <f>$S37</f>
        <v>0</v>
      </c>
      <c r="AJ52" s="154">
        <f>SUM(E52:AI52)</f>
        <v>8436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65</v>
      </c>
      <c r="F53" s="157">
        <f t="shared" si="10"/>
        <v>104</v>
      </c>
      <c r="G53" s="157">
        <f t="shared" si="10"/>
        <v>96</v>
      </c>
      <c r="H53" s="157">
        <f t="shared" si="10"/>
        <v>88</v>
      </c>
      <c r="I53" s="157">
        <f t="shared" si="10"/>
        <v>82</v>
      </c>
      <c r="J53" s="157">
        <f t="shared" si="10"/>
        <v>80</v>
      </c>
      <c r="K53" s="157">
        <f t="shared" si="10"/>
        <v>16.009999999999991</v>
      </c>
      <c r="L53" s="157">
        <f t="shared" si="10"/>
        <v>0</v>
      </c>
      <c r="M53" s="157">
        <f t="shared" si="10"/>
        <v>0</v>
      </c>
      <c r="N53" s="157">
        <f t="shared" si="10"/>
        <v>0</v>
      </c>
      <c r="O53" s="157">
        <f t="shared" si="10"/>
        <v>38.5</v>
      </c>
      <c r="P53" s="157">
        <f t="shared" si="10"/>
        <v>89</v>
      </c>
      <c r="Q53" s="157">
        <f t="shared" si="10"/>
        <v>17</v>
      </c>
      <c r="R53" s="157">
        <f t="shared" si="10"/>
        <v>18</v>
      </c>
      <c r="S53" s="157">
        <f t="shared" si="10"/>
        <v>53</v>
      </c>
      <c r="T53" s="157">
        <f t="shared" si="10"/>
        <v>4</v>
      </c>
      <c r="U53" s="157">
        <f t="shared" si="10"/>
        <v>112</v>
      </c>
      <c r="V53" s="157">
        <f t="shared" si="10"/>
        <v>14</v>
      </c>
      <c r="W53" s="157">
        <f t="shared" si="10"/>
        <v>41</v>
      </c>
      <c r="X53" s="157">
        <f t="shared" si="10"/>
        <v>25</v>
      </c>
      <c r="Y53" s="157">
        <f t="shared" si="10"/>
        <v>24</v>
      </c>
      <c r="Z53" s="157">
        <f t="shared" si="10"/>
        <v>45</v>
      </c>
      <c r="AA53" s="157">
        <f t="shared" si="10"/>
        <v>29</v>
      </c>
      <c r="AB53" s="157">
        <f t="shared" si="10"/>
        <v>102</v>
      </c>
      <c r="AC53" s="157">
        <f t="shared" si="10"/>
        <v>99</v>
      </c>
      <c r="AD53" s="157">
        <f t="shared" si="10"/>
        <v>85</v>
      </c>
      <c r="AE53" s="157">
        <f t="shared" si="10"/>
        <v>35</v>
      </c>
      <c r="AF53" s="157">
        <f t="shared" si="10"/>
        <v>32</v>
      </c>
      <c r="AG53" s="157">
        <f t="shared" si="10"/>
        <v>0</v>
      </c>
      <c r="AH53" s="157">
        <f t="shared" si="10"/>
        <v>0</v>
      </c>
      <c r="AI53" s="157">
        <f t="shared" si="10"/>
        <v>0</v>
      </c>
      <c r="AJ53" s="154">
        <f>SUM(E53:AI53)</f>
        <v>1393.51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1105</v>
      </c>
      <c r="F54" s="160">
        <f t="shared" si="11"/>
        <v>1768</v>
      </c>
      <c r="G54" s="160">
        <f t="shared" si="11"/>
        <v>1632</v>
      </c>
      <c r="H54" s="160">
        <f t="shared" si="11"/>
        <v>1496</v>
      </c>
      <c r="I54" s="160">
        <f t="shared" si="11"/>
        <v>1394</v>
      </c>
      <c r="J54" s="160">
        <f t="shared" si="11"/>
        <v>1360</v>
      </c>
      <c r="K54" s="160">
        <f t="shared" si="11"/>
        <v>272.16999999999985</v>
      </c>
      <c r="L54" s="160" t="str">
        <f t="shared" si="11"/>
        <v xml:space="preserve"> </v>
      </c>
      <c r="M54" s="160" t="str">
        <f t="shared" si="11"/>
        <v xml:space="preserve"> </v>
      </c>
      <c r="N54" s="160" t="str">
        <f t="shared" si="11"/>
        <v xml:space="preserve"> </v>
      </c>
      <c r="O54" s="160">
        <f t="shared" si="11"/>
        <v>654.5</v>
      </c>
      <c r="P54" s="160">
        <f t="shared" si="11"/>
        <v>1513</v>
      </c>
      <c r="Q54" s="160">
        <f t="shared" si="11"/>
        <v>289</v>
      </c>
      <c r="R54" s="160">
        <f t="shared" si="11"/>
        <v>306</v>
      </c>
      <c r="S54" s="160">
        <f t="shared" si="11"/>
        <v>901</v>
      </c>
      <c r="T54" s="160">
        <f t="shared" si="11"/>
        <v>68</v>
      </c>
      <c r="U54" s="160">
        <f t="shared" si="11"/>
        <v>1904</v>
      </c>
      <c r="V54" s="160">
        <f t="shared" si="11"/>
        <v>238</v>
      </c>
      <c r="W54" s="160">
        <f t="shared" si="11"/>
        <v>697</v>
      </c>
      <c r="X54" s="160">
        <f t="shared" si="11"/>
        <v>425</v>
      </c>
      <c r="Y54" s="160">
        <f t="shared" si="11"/>
        <v>408</v>
      </c>
      <c r="Z54" s="160">
        <f t="shared" si="11"/>
        <v>765</v>
      </c>
      <c r="AA54" s="160">
        <f t="shared" si="11"/>
        <v>493</v>
      </c>
      <c r="AB54" s="160">
        <f t="shared" si="11"/>
        <v>1734</v>
      </c>
      <c r="AC54" s="160">
        <f t="shared" si="11"/>
        <v>1683</v>
      </c>
      <c r="AD54" s="160">
        <f t="shared" si="11"/>
        <v>1445</v>
      </c>
      <c r="AE54" s="160">
        <f t="shared" si="11"/>
        <v>595</v>
      </c>
      <c r="AF54" s="160">
        <f t="shared" si="11"/>
        <v>544</v>
      </c>
      <c r="AG54" s="160" t="str">
        <f t="shared" si="11"/>
        <v xml:space="preserve"> </v>
      </c>
      <c r="AH54" s="160" t="str">
        <f t="shared" si="11"/>
        <v xml:space="preserve"> </v>
      </c>
      <c r="AI54" s="160" t="str">
        <f t="shared" si="11"/>
        <v xml:space="preserve"> </v>
      </c>
      <c r="AJ54" s="161">
        <f>SUM(E54:AI54)</f>
        <v>23689.67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163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164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45692</v>
      </c>
      <c r="B58" s="312" t="s">
        <v>161</v>
      </c>
      <c r="C58" s="312"/>
      <c r="D58" s="306" t="s">
        <v>162</v>
      </c>
      <c r="E58" s="307"/>
      <c r="F58" s="307"/>
      <c r="G58" s="307"/>
      <c r="H58" s="307"/>
      <c r="I58" s="307"/>
      <c r="J58" s="169">
        <v>60</v>
      </c>
      <c r="K58" s="169">
        <v>55</v>
      </c>
      <c r="L58" s="170">
        <v>20</v>
      </c>
      <c r="M58" s="171">
        <f t="shared" ref="M58:M83" si="12">J58-K58</f>
        <v>5</v>
      </c>
      <c r="N58" s="172">
        <f t="shared" ref="N58:N83" si="13">M58/60</f>
        <v>8.3333333333333329E-2</v>
      </c>
      <c r="O58" s="173">
        <f t="shared" ref="O58:O83" si="14">L58*N58</f>
        <v>1.6666666666666665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45695</v>
      </c>
      <c r="B59" s="312" t="s">
        <v>175</v>
      </c>
      <c r="C59" s="312"/>
      <c r="D59" s="306" t="s">
        <v>176</v>
      </c>
      <c r="E59" s="307"/>
      <c r="F59" s="307"/>
      <c r="G59" s="307"/>
      <c r="H59" s="307"/>
      <c r="I59" s="307"/>
      <c r="J59" s="169">
        <v>60</v>
      </c>
      <c r="K59" s="169">
        <v>63</v>
      </c>
      <c r="L59" s="170">
        <v>75</v>
      </c>
      <c r="M59" s="171">
        <f t="shared" si="12"/>
        <v>-3</v>
      </c>
      <c r="N59" s="172">
        <f t="shared" si="13"/>
        <v>-0.05</v>
      </c>
      <c r="O59" s="173">
        <f t="shared" si="14"/>
        <v>-3.75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45705</v>
      </c>
      <c r="B60" s="312" t="s">
        <v>180</v>
      </c>
      <c r="C60" s="312"/>
      <c r="D60" s="306" t="s">
        <v>179</v>
      </c>
      <c r="E60" s="307"/>
      <c r="F60" s="307"/>
      <c r="G60" s="307"/>
      <c r="H60" s="307"/>
      <c r="I60" s="307"/>
      <c r="J60" s="169">
        <v>60</v>
      </c>
      <c r="K60" s="169">
        <v>60</v>
      </c>
      <c r="L60" s="170">
        <v>370</v>
      </c>
      <c r="M60" s="171">
        <f t="shared" si="12"/>
        <v>0</v>
      </c>
      <c r="N60" s="172">
        <f t="shared" si="13"/>
        <v>0</v>
      </c>
      <c r="O60" s="173">
        <f t="shared" si="14"/>
        <v>0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>
        <v>45710</v>
      </c>
      <c r="B61" s="313" t="s">
        <v>181</v>
      </c>
      <c r="C61" s="314"/>
      <c r="D61" s="306" t="s">
        <v>162</v>
      </c>
      <c r="E61" s="307"/>
      <c r="F61" s="307"/>
      <c r="G61" s="307"/>
      <c r="H61" s="307"/>
      <c r="I61" s="307"/>
      <c r="J61" s="169">
        <v>60</v>
      </c>
      <c r="K61" s="169">
        <v>60</v>
      </c>
      <c r="L61" s="170">
        <v>120</v>
      </c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166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165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59">
        <f>SUM(Q38:R38)*65</f>
        <v>358605</v>
      </c>
      <c r="S73" s="259"/>
      <c r="T73" s="259"/>
      <c r="U73" s="259"/>
      <c r="V73" s="259"/>
      <c r="W73" s="259"/>
      <c r="X73" s="259"/>
      <c r="Y73" s="259"/>
      <c r="Z73" s="190"/>
      <c r="AA73" s="190"/>
      <c r="AB73" s="58"/>
      <c r="AC73" s="58"/>
      <c r="AD73" s="191">
        <f>SUM(R73:AC73)</f>
        <v>358605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59"/>
      <c r="S74" s="259"/>
      <c r="T74" s="259"/>
      <c r="U74" s="259"/>
      <c r="V74" s="259"/>
      <c r="W74" s="259"/>
      <c r="X74" s="259"/>
      <c r="Y74" s="259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358605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358605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-2.0833333333333335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topLeftCell="A7" zoomScale="96" zoomScaleNormal="96" workbookViewId="0">
      <selection activeCell="AN1" sqref="AN1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1.6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19" width="10.875" style="7" customWidth="1"/>
    <col min="20" max="20" width="11.875" style="7" customWidth="1"/>
    <col min="21" max="21" width="12.5" style="6" customWidth="1"/>
    <col min="22" max="22" width="12.25" style="6" customWidth="1"/>
    <col min="23" max="23" width="9.875" style="8" bestFit="1" customWidth="1"/>
    <col min="24" max="27" width="11.375" style="8" customWidth="1"/>
    <col min="28" max="28" width="11.75" style="8" customWidth="1"/>
    <col min="29" max="31" width="11.375" style="8" customWidth="1"/>
    <col min="32" max="32" width="10.5" style="8" bestFit="1" customWidth="1"/>
    <col min="33" max="33" width="9.75" style="8" bestFit="1" customWidth="1"/>
    <col min="34" max="34" width="8.5" style="6" customWidth="1"/>
    <col min="35" max="35" width="9.375" style="6" bestFit="1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bestFit="1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185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54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3</v>
      </c>
      <c r="AI5" s="354"/>
      <c r="AJ5" s="251" t="s">
        <v>169</v>
      </c>
      <c r="AK5" s="22" t="s">
        <v>19</v>
      </c>
      <c r="AL5" s="23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30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172</v>
      </c>
      <c r="AN6" s="7"/>
      <c r="AO6" s="7"/>
      <c r="AP6" s="7"/>
      <c r="AQ6"/>
    </row>
    <row r="7" spans="1:43" x14ac:dyDescent="0.3">
      <c r="A7" s="40">
        <v>1</v>
      </c>
      <c r="B7" s="41">
        <v>1677</v>
      </c>
      <c r="C7" s="214">
        <f t="shared" ref="C7:C37" si="0">B7/24</f>
        <v>69.875</v>
      </c>
      <c r="D7" s="43">
        <v>1174</v>
      </c>
      <c r="E7" s="44">
        <v>751</v>
      </c>
      <c r="F7" s="44">
        <v>1925</v>
      </c>
      <c r="G7" s="45">
        <v>529</v>
      </c>
      <c r="H7" s="218">
        <v>96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307</v>
      </c>
      <c r="N7" s="50">
        <f t="shared" ref="N7:N37" si="2">M7/24</f>
        <v>12.791666666666666</v>
      </c>
      <c r="O7" s="51">
        <v>403</v>
      </c>
      <c r="P7" s="52">
        <f t="shared" ref="P7:P37" si="3">O7/24</f>
        <v>16.791666666666668</v>
      </c>
      <c r="Q7" s="255">
        <v>21</v>
      </c>
      <c r="R7" s="53">
        <v>0</v>
      </c>
      <c r="S7" s="54">
        <v>349</v>
      </c>
      <c r="T7" s="223">
        <v>466</v>
      </c>
      <c r="U7" s="55">
        <f>SUM(B7,I7,M7,O7,Q7,R7,S7)</f>
        <v>2757</v>
      </c>
      <c r="V7" s="231">
        <f t="shared" ref="V7:V37" si="4">U7/24</f>
        <v>114.875</v>
      </c>
      <c r="W7" s="235">
        <v>8.33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>
        <v>174</v>
      </c>
      <c r="AL7" s="60">
        <f t="shared" ref="AL7:AL37" si="5">AK7/24</f>
        <v>7.25</v>
      </c>
      <c r="AM7" s="6">
        <v>1440</v>
      </c>
      <c r="AO7" s="61"/>
      <c r="AP7" s="61">
        <f t="shared" ref="AP7:AP37" si="6">S7-AO7</f>
        <v>349</v>
      </c>
      <c r="AQ7"/>
    </row>
    <row r="8" spans="1:43" x14ac:dyDescent="0.3">
      <c r="A8" s="62">
        <v>2</v>
      </c>
      <c r="B8" s="41">
        <v>1635</v>
      </c>
      <c r="C8" s="42">
        <f t="shared" si="0"/>
        <v>68.125</v>
      </c>
      <c r="D8" s="63">
        <v>1145</v>
      </c>
      <c r="E8" s="44">
        <v>736</v>
      </c>
      <c r="F8" s="64">
        <v>1880</v>
      </c>
      <c r="G8" s="20">
        <v>498</v>
      </c>
      <c r="H8" s="216">
        <v>94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410</v>
      </c>
      <c r="P8" s="52">
        <f t="shared" si="3"/>
        <v>17.083333333333332</v>
      </c>
      <c r="Q8" s="255">
        <v>102</v>
      </c>
      <c r="R8" s="53">
        <v>0</v>
      </c>
      <c r="S8" s="54">
        <v>376</v>
      </c>
      <c r="T8" s="223">
        <v>474</v>
      </c>
      <c r="U8" s="55">
        <f>SUM(B8,I8,M8,O8,Q8,R8,S8)</f>
        <v>2523</v>
      </c>
      <c r="V8" s="231">
        <f t="shared" si="4"/>
        <v>105.125</v>
      </c>
      <c r="W8" s="236">
        <v>22.83</v>
      </c>
      <c r="X8" s="65">
        <v>0</v>
      </c>
      <c r="Y8" s="66">
        <v>24</v>
      </c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/>
      <c r="AK8" s="59">
        <v>152</v>
      </c>
      <c r="AL8" s="60">
        <f t="shared" si="5"/>
        <v>6.333333333333333</v>
      </c>
      <c r="AM8" s="6">
        <v>1440</v>
      </c>
      <c r="AO8" s="61"/>
      <c r="AP8" s="61">
        <f t="shared" si="6"/>
        <v>376</v>
      </c>
      <c r="AQ8"/>
    </row>
    <row r="9" spans="1:43" x14ac:dyDescent="0.3">
      <c r="A9" s="62">
        <v>3</v>
      </c>
      <c r="B9" s="67">
        <v>814</v>
      </c>
      <c r="C9" s="42">
        <f t="shared" si="0"/>
        <v>33.916666666666664</v>
      </c>
      <c r="D9" s="63">
        <v>570</v>
      </c>
      <c r="E9" s="44">
        <v>454</v>
      </c>
      <c r="F9" s="64">
        <v>1024</v>
      </c>
      <c r="G9" s="20">
        <v>495</v>
      </c>
      <c r="H9" s="216">
        <v>62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416</v>
      </c>
      <c r="P9" s="52">
        <f t="shared" si="3"/>
        <v>17.333333333333332</v>
      </c>
      <c r="Q9" s="255">
        <v>0</v>
      </c>
      <c r="R9" s="53">
        <v>0</v>
      </c>
      <c r="S9" s="54">
        <v>202</v>
      </c>
      <c r="T9" s="223">
        <v>473</v>
      </c>
      <c r="U9" s="55">
        <f t="shared" ref="U9:U37" si="7">SUM(B9,I9,M9,O9,Q9,R9,S9)</f>
        <v>1432</v>
      </c>
      <c r="V9" s="231">
        <f t="shared" si="4"/>
        <v>59.666666666666664</v>
      </c>
      <c r="W9" s="236">
        <v>0</v>
      </c>
      <c r="X9" s="65">
        <v>0</v>
      </c>
      <c r="Y9" s="66">
        <v>24</v>
      </c>
      <c r="Z9" s="6"/>
      <c r="AA9" s="348" t="s">
        <v>188</v>
      </c>
      <c r="AB9" s="348"/>
      <c r="AC9" s="348"/>
      <c r="AD9" s="348"/>
      <c r="AE9" s="350"/>
      <c r="AF9" s="351"/>
      <c r="AG9" s="351"/>
      <c r="AH9" s="352"/>
      <c r="AI9" s="58">
        <v>1410</v>
      </c>
      <c r="AJ9" s="58"/>
      <c r="AK9" s="59">
        <v>33</v>
      </c>
      <c r="AL9" s="60">
        <f t="shared" si="5"/>
        <v>1.375</v>
      </c>
      <c r="AM9" s="6">
        <v>480</v>
      </c>
      <c r="AO9" s="61"/>
      <c r="AP9" s="61">
        <f t="shared" si="6"/>
        <v>202</v>
      </c>
      <c r="AQ9"/>
    </row>
    <row r="10" spans="1:43" x14ac:dyDescent="0.3">
      <c r="A10" s="62">
        <v>4</v>
      </c>
      <c r="B10" s="67">
        <v>821</v>
      </c>
      <c r="C10" s="42">
        <f t="shared" si="0"/>
        <v>34.208333333333336</v>
      </c>
      <c r="D10" s="63">
        <v>575</v>
      </c>
      <c r="E10" s="44">
        <v>389</v>
      </c>
      <c r="F10" s="64">
        <v>964</v>
      </c>
      <c r="G10" s="20">
        <v>425</v>
      </c>
      <c r="H10" s="216">
        <v>56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402</v>
      </c>
      <c r="P10" s="52">
        <f t="shared" si="3"/>
        <v>16.75</v>
      </c>
      <c r="Q10" s="255">
        <v>0</v>
      </c>
      <c r="R10" s="53">
        <v>0</v>
      </c>
      <c r="S10" s="54">
        <v>218</v>
      </c>
      <c r="T10" s="223">
        <v>489</v>
      </c>
      <c r="U10" s="55">
        <f t="shared" si="7"/>
        <v>1441</v>
      </c>
      <c r="V10" s="231">
        <f t="shared" si="4"/>
        <v>60.041666666666664</v>
      </c>
      <c r="W10" s="236">
        <v>0</v>
      </c>
      <c r="X10" s="65">
        <v>0</v>
      </c>
      <c r="Y10" s="66">
        <v>24</v>
      </c>
      <c r="Z10" s="6"/>
      <c r="AA10" s="348" t="s">
        <v>189</v>
      </c>
      <c r="AB10" s="348"/>
      <c r="AC10" s="348"/>
      <c r="AD10" s="348"/>
      <c r="AE10" s="350"/>
      <c r="AF10" s="351"/>
      <c r="AG10" s="351"/>
      <c r="AH10" s="352"/>
      <c r="AI10" s="58">
        <v>1360</v>
      </c>
      <c r="AJ10" s="58"/>
      <c r="AK10" s="59">
        <v>23</v>
      </c>
      <c r="AL10" s="60">
        <f t="shared" si="5"/>
        <v>0.95833333333333337</v>
      </c>
      <c r="AM10" s="6">
        <v>1440</v>
      </c>
      <c r="AO10" s="61"/>
      <c r="AP10" s="61">
        <f t="shared" si="6"/>
        <v>218</v>
      </c>
      <c r="AQ10"/>
    </row>
    <row r="11" spans="1:43" x14ac:dyDescent="0.3">
      <c r="A11" s="62">
        <v>5</v>
      </c>
      <c r="B11" s="67">
        <v>1645</v>
      </c>
      <c r="C11" s="42">
        <f t="shared" si="0"/>
        <v>68.541666666666671</v>
      </c>
      <c r="D11" s="69">
        <v>1152</v>
      </c>
      <c r="E11" s="44">
        <v>733</v>
      </c>
      <c r="F11" s="70">
        <v>1884</v>
      </c>
      <c r="G11" s="20">
        <v>397</v>
      </c>
      <c r="H11" s="216">
        <v>91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418</v>
      </c>
      <c r="P11" s="52">
        <f t="shared" si="3"/>
        <v>17.416666666666668</v>
      </c>
      <c r="Q11" s="255">
        <v>10</v>
      </c>
      <c r="R11" s="53">
        <v>310</v>
      </c>
      <c r="S11" s="54">
        <v>395</v>
      </c>
      <c r="T11" s="223">
        <v>503</v>
      </c>
      <c r="U11" s="55">
        <f t="shared" si="7"/>
        <v>2778</v>
      </c>
      <c r="V11" s="231">
        <f t="shared" si="4"/>
        <v>115.75</v>
      </c>
      <c r="W11" s="236">
        <v>1.5</v>
      </c>
      <c r="X11" s="65">
        <v>20.5</v>
      </c>
      <c r="Y11" s="66">
        <v>24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157</v>
      </c>
      <c r="AL11" s="60">
        <f t="shared" si="5"/>
        <v>6.541666666666667</v>
      </c>
      <c r="AM11" s="6">
        <v>1440</v>
      </c>
      <c r="AO11" s="61"/>
      <c r="AP11" s="61">
        <f t="shared" si="6"/>
        <v>395</v>
      </c>
      <c r="AQ11"/>
    </row>
    <row r="12" spans="1:43" x14ac:dyDescent="0.3">
      <c r="A12" s="62">
        <v>6</v>
      </c>
      <c r="B12" s="67">
        <v>1631</v>
      </c>
      <c r="C12" s="42">
        <f t="shared" si="0"/>
        <v>67.958333333333329</v>
      </c>
      <c r="D12" s="69">
        <v>1142</v>
      </c>
      <c r="E12" s="44">
        <v>767</v>
      </c>
      <c r="F12" s="70">
        <v>1909</v>
      </c>
      <c r="G12" s="75">
        <v>409</v>
      </c>
      <c r="H12" s="219">
        <v>103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461</v>
      </c>
      <c r="P12" s="52">
        <f t="shared" si="3"/>
        <v>19.208333333333332</v>
      </c>
      <c r="Q12" s="255">
        <v>0</v>
      </c>
      <c r="R12" s="53">
        <v>239</v>
      </c>
      <c r="S12" s="54">
        <v>287</v>
      </c>
      <c r="T12" s="223">
        <v>460</v>
      </c>
      <c r="U12" s="55">
        <f t="shared" si="7"/>
        <v>2618</v>
      </c>
      <c r="V12" s="231">
        <f t="shared" si="4"/>
        <v>109.08333333333333</v>
      </c>
      <c r="W12" s="236">
        <v>0</v>
      </c>
      <c r="X12" s="65">
        <v>16.170000000000002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135</v>
      </c>
      <c r="AL12" s="60">
        <f t="shared" si="5"/>
        <v>5.625</v>
      </c>
      <c r="AM12" s="6">
        <v>1440</v>
      </c>
      <c r="AO12" s="61"/>
      <c r="AP12" s="61">
        <f t="shared" si="6"/>
        <v>287</v>
      </c>
      <c r="AQ12"/>
    </row>
    <row r="13" spans="1:43" x14ac:dyDescent="0.3">
      <c r="A13" s="62">
        <v>7</v>
      </c>
      <c r="B13" s="67">
        <v>1648</v>
      </c>
      <c r="C13" s="42">
        <f t="shared" si="0"/>
        <v>68.666666666666671</v>
      </c>
      <c r="D13" s="69">
        <v>1154</v>
      </c>
      <c r="E13" s="44">
        <v>759</v>
      </c>
      <c r="F13" s="70">
        <v>1913</v>
      </c>
      <c r="G13" s="20">
        <v>394</v>
      </c>
      <c r="H13" s="216">
        <v>106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450</v>
      </c>
      <c r="P13" s="52">
        <f t="shared" si="3"/>
        <v>18.75</v>
      </c>
      <c r="Q13" s="255">
        <v>8</v>
      </c>
      <c r="R13" s="53">
        <v>343</v>
      </c>
      <c r="S13" s="54">
        <v>241</v>
      </c>
      <c r="T13" s="223">
        <v>426</v>
      </c>
      <c r="U13" s="55">
        <f t="shared" si="7"/>
        <v>2690</v>
      </c>
      <c r="V13" s="231">
        <f t="shared" si="4"/>
        <v>112.08333333333333</v>
      </c>
      <c r="W13" s="236">
        <v>1.33</v>
      </c>
      <c r="X13" s="65">
        <v>23.16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131</v>
      </c>
      <c r="AL13" s="60">
        <f t="shared" si="5"/>
        <v>5.458333333333333</v>
      </c>
      <c r="AM13" s="6">
        <v>1440</v>
      </c>
      <c r="AO13" s="61"/>
      <c r="AP13" s="61">
        <f t="shared" si="6"/>
        <v>241</v>
      </c>
      <c r="AQ13"/>
    </row>
    <row r="14" spans="1:43" x14ac:dyDescent="0.3">
      <c r="A14" s="62">
        <v>8</v>
      </c>
      <c r="B14" s="67">
        <v>1674</v>
      </c>
      <c r="C14" s="42">
        <f t="shared" si="0"/>
        <v>69.75</v>
      </c>
      <c r="D14" s="69">
        <v>1172</v>
      </c>
      <c r="E14" s="44">
        <v>743</v>
      </c>
      <c r="F14" s="70">
        <v>1915</v>
      </c>
      <c r="G14" s="20">
        <v>420</v>
      </c>
      <c r="H14" s="216">
        <v>104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424</v>
      </c>
      <c r="P14" s="52">
        <f t="shared" si="3"/>
        <v>17.666666666666668</v>
      </c>
      <c r="Q14" s="255">
        <v>96</v>
      </c>
      <c r="R14" s="53">
        <v>72</v>
      </c>
      <c r="S14" s="54">
        <v>252</v>
      </c>
      <c r="T14" s="223">
        <v>427</v>
      </c>
      <c r="U14" s="55">
        <f t="shared" si="7"/>
        <v>2518</v>
      </c>
      <c r="V14" s="231">
        <f t="shared" si="4"/>
        <v>104.91666666666667</v>
      </c>
      <c r="W14" s="236">
        <v>17.829999999999998</v>
      </c>
      <c r="X14" s="65">
        <v>6.33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>
        <v>132</v>
      </c>
      <c r="AL14" s="60">
        <f t="shared" si="5"/>
        <v>5.5</v>
      </c>
      <c r="AM14" s="6">
        <v>1440</v>
      </c>
      <c r="AO14" s="61"/>
      <c r="AP14" s="61">
        <f t="shared" si="6"/>
        <v>252</v>
      </c>
      <c r="AQ14"/>
    </row>
    <row r="15" spans="1:43" x14ac:dyDescent="0.3">
      <c r="A15" s="62">
        <v>9</v>
      </c>
      <c r="B15" s="67">
        <v>1660</v>
      </c>
      <c r="C15" s="42">
        <f t="shared" si="0"/>
        <v>69.166666666666671</v>
      </c>
      <c r="D15" s="69">
        <v>1162</v>
      </c>
      <c r="E15" s="44">
        <v>752</v>
      </c>
      <c r="F15" s="70">
        <v>1914</v>
      </c>
      <c r="G15" s="20">
        <v>433</v>
      </c>
      <c r="H15" s="216">
        <v>104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409</v>
      </c>
      <c r="P15" s="52">
        <f t="shared" si="3"/>
        <v>17.041666666666668</v>
      </c>
      <c r="Q15" s="255">
        <v>76</v>
      </c>
      <c r="R15" s="53">
        <v>163</v>
      </c>
      <c r="S15" s="54">
        <v>245</v>
      </c>
      <c r="T15" s="223">
        <v>450</v>
      </c>
      <c r="U15" s="55">
        <f t="shared" si="7"/>
        <v>2553</v>
      </c>
      <c r="V15" s="231">
        <f t="shared" si="4"/>
        <v>106.375</v>
      </c>
      <c r="W15" s="236">
        <v>9.33</v>
      </c>
      <c r="X15" s="65">
        <v>15.33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>
        <v>167</v>
      </c>
      <c r="AL15" s="60">
        <f t="shared" si="5"/>
        <v>6.958333333333333</v>
      </c>
      <c r="AM15" s="6">
        <v>1440</v>
      </c>
      <c r="AO15" s="61"/>
      <c r="AP15" s="61">
        <f t="shared" si="6"/>
        <v>245</v>
      </c>
      <c r="AQ15"/>
    </row>
    <row r="16" spans="1:43" x14ac:dyDescent="0.3">
      <c r="A16" s="62">
        <v>10</v>
      </c>
      <c r="B16" s="67">
        <v>1607</v>
      </c>
      <c r="C16" s="42">
        <f t="shared" si="0"/>
        <v>66.958333333333329</v>
      </c>
      <c r="D16" s="69">
        <v>1125</v>
      </c>
      <c r="E16" s="44">
        <v>779</v>
      </c>
      <c r="F16" s="70">
        <v>1904</v>
      </c>
      <c r="G16" s="20">
        <v>452</v>
      </c>
      <c r="H16" s="216">
        <v>103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402</v>
      </c>
      <c r="P16" s="52">
        <f t="shared" si="3"/>
        <v>16.75</v>
      </c>
      <c r="Q16" s="255">
        <v>86</v>
      </c>
      <c r="R16" s="53">
        <v>160</v>
      </c>
      <c r="S16" s="54">
        <v>312</v>
      </c>
      <c r="T16" s="223">
        <v>483</v>
      </c>
      <c r="U16" s="55">
        <f t="shared" si="7"/>
        <v>2567</v>
      </c>
      <c r="V16" s="231">
        <f t="shared" si="4"/>
        <v>106.95833333333333</v>
      </c>
      <c r="W16" s="236">
        <v>11</v>
      </c>
      <c r="X16" s="65">
        <v>11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156</v>
      </c>
      <c r="AL16" s="60">
        <f t="shared" si="5"/>
        <v>6.5</v>
      </c>
      <c r="AM16" s="6">
        <v>1200</v>
      </c>
      <c r="AO16" s="61"/>
      <c r="AP16" s="61">
        <f t="shared" si="6"/>
        <v>312</v>
      </c>
      <c r="AQ16"/>
    </row>
    <row r="17" spans="1:43" x14ac:dyDescent="0.3">
      <c r="A17" s="62">
        <v>11</v>
      </c>
      <c r="B17" s="67">
        <v>1511</v>
      </c>
      <c r="C17" s="42">
        <f t="shared" si="0"/>
        <v>62.958333333333336</v>
      </c>
      <c r="D17" s="69">
        <v>1058</v>
      </c>
      <c r="E17" s="44">
        <v>716</v>
      </c>
      <c r="F17" s="70">
        <v>1774</v>
      </c>
      <c r="G17" s="20">
        <v>449</v>
      </c>
      <c r="H17" s="216">
        <v>92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412</v>
      </c>
      <c r="P17" s="52">
        <f t="shared" si="3"/>
        <v>17.166666666666668</v>
      </c>
      <c r="Q17" s="255">
        <v>0</v>
      </c>
      <c r="R17" s="53">
        <v>97</v>
      </c>
      <c r="S17" s="54">
        <v>147</v>
      </c>
      <c r="T17" s="223">
        <v>483</v>
      </c>
      <c r="U17" s="55">
        <f t="shared" si="7"/>
        <v>2167</v>
      </c>
      <c r="V17" s="231">
        <f t="shared" si="4"/>
        <v>90.291666666666671</v>
      </c>
      <c r="W17" s="236">
        <v>0</v>
      </c>
      <c r="X17" s="65">
        <v>6.33</v>
      </c>
      <c r="Y17" s="66">
        <v>24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160</v>
      </c>
      <c r="AL17" s="60">
        <f t="shared" si="5"/>
        <v>6.666666666666667</v>
      </c>
      <c r="AM17" s="6">
        <v>1440</v>
      </c>
      <c r="AO17" s="61"/>
      <c r="AP17" s="61">
        <f t="shared" si="6"/>
        <v>147</v>
      </c>
      <c r="AQ17"/>
    </row>
    <row r="18" spans="1:43" x14ac:dyDescent="0.3">
      <c r="A18" s="62">
        <v>12</v>
      </c>
      <c r="B18" s="67">
        <v>1367</v>
      </c>
      <c r="C18" s="42">
        <f t="shared" si="0"/>
        <v>56.958333333333336</v>
      </c>
      <c r="D18" s="69">
        <v>957</v>
      </c>
      <c r="E18" s="44">
        <v>695</v>
      </c>
      <c r="F18" s="70">
        <v>1652</v>
      </c>
      <c r="G18" s="20">
        <v>423</v>
      </c>
      <c r="H18" s="216">
        <v>82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416</v>
      </c>
      <c r="P18" s="52">
        <f t="shared" si="3"/>
        <v>17.333333333333332</v>
      </c>
      <c r="Q18" s="255">
        <v>0</v>
      </c>
      <c r="R18" s="53">
        <v>50</v>
      </c>
      <c r="S18" s="54">
        <v>135</v>
      </c>
      <c r="T18" s="223">
        <v>482</v>
      </c>
      <c r="U18" s="55">
        <f t="shared" si="7"/>
        <v>1968</v>
      </c>
      <c r="V18" s="231">
        <f t="shared" si="4"/>
        <v>82</v>
      </c>
      <c r="W18" s="236">
        <v>0</v>
      </c>
      <c r="X18" s="65">
        <v>3.5</v>
      </c>
      <c r="Y18" s="66">
        <v>24</v>
      </c>
      <c r="Z18" s="6"/>
      <c r="AA18" s="348" t="s">
        <v>192</v>
      </c>
      <c r="AB18" s="348"/>
      <c r="AC18" s="348"/>
      <c r="AD18" s="349"/>
      <c r="AE18" s="350"/>
      <c r="AF18" s="351"/>
      <c r="AG18" s="351"/>
      <c r="AH18" s="352"/>
      <c r="AI18" s="58"/>
      <c r="AJ18" s="58">
        <v>140</v>
      </c>
      <c r="AK18" s="59">
        <v>134</v>
      </c>
      <c r="AL18" s="60">
        <f t="shared" si="5"/>
        <v>5.583333333333333</v>
      </c>
      <c r="AM18" s="6">
        <v>1440</v>
      </c>
      <c r="AO18" s="61"/>
      <c r="AP18" s="61">
        <f t="shared" si="6"/>
        <v>135</v>
      </c>
      <c r="AQ18"/>
    </row>
    <row r="19" spans="1:43" x14ac:dyDescent="0.3">
      <c r="A19" s="62">
        <v>13</v>
      </c>
      <c r="B19" s="67">
        <v>812</v>
      </c>
      <c r="C19" s="42">
        <f t="shared" si="0"/>
        <v>33.833333333333336</v>
      </c>
      <c r="D19" s="254">
        <v>568</v>
      </c>
      <c r="E19" s="44">
        <v>409</v>
      </c>
      <c r="F19" s="19">
        <v>977</v>
      </c>
      <c r="G19" s="20">
        <v>541</v>
      </c>
      <c r="H19" s="216">
        <v>61</v>
      </c>
      <c r="I19" s="210">
        <v>0</v>
      </c>
      <c r="J19" s="46">
        <f t="shared" si="1"/>
        <v>0</v>
      </c>
      <c r="K19" s="239">
        <v>0</v>
      </c>
      <c r="L19" s="21">
        <v>0</v>
      </c>
      <c r="M19" s="49">
        <v>73</v>
      </c>
      <c r="N19" s="50">
        <f t="shared" si="2"/>
        <v>3.0416666666666665</v>
      </c>
      <c r="O19" s="68">
        <v>402</v>
      </c>
      <c r="P19" s="52">
        <f t="shared" si="3"/>
        <v>16.75</v>
      </c>
      <c r="Q19" s="255">
        <v>13</v>
      </c>
      <c r="R19" s="53">
        <v>304</v>
      </c>
      <c r="S19" s="54">
        <v>377</v>
      </c>
      <c r="T19" s="223">
        <v>491</v>
      </c>
      <c r="U19" s="55">
        <f t="shared" si="7"/>
        <v>1981</v>
      </c>
      <c r="V19" s="231">
        <f t="shared" si="4"/>
        <v>82.541666666666671</v>
      </c>
      <c r="W19" s="236">
        <v>1.5</v>
      </c>
      <c r="X19" s="65">
        <v>22.5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>
        <v>1440</v>
      </c>
      <c r="AK19" s="59">
        <v>114</v>
      </c>
      <c r="AL19" s="60">
        <f t="shared" si="5"/>
        <v>4.75</v>
      </c>
      <c r="AM19" s="6">
        <v>1440</v>
      </c>
      <c r="AO19" s="61"/>
      <c r="AP19" s="61">
        <f t="shared" si="6"/>
        <v>377</v>
      </c>
      <c r="AQ19"/>
    </row>
    <row r="20" spans="1:43" x14ac:dyDescent="0.3">
      <c r="A20" s="62">
        <v>14</v>
      </c>
      <c r="B20" s="67">
        <v>940</v>
      </c>
      <c r="C20" s="42">
        <f t="shared" si="0"/>
        <v>39.166666666666664</v>
      </c>
      <c r="D20" s="254">
        <v>658</v>
      </c>
      <c r="E20" s="44">
        <v>439</v>
      </c>
      <c r="F20" s="19">
        <v>1097</v>
      </c>
      <c r="G20" s="20">
        <v>541</v>
      </c>
      <c r="H20" s="216">
        <v>68</v>
      </c>
      <c r="I20" s="211">
        <v>0</v>
      </c>
      <c r="J20" s="46">
        <f t="shared" si="1"/>
        <v>0</v>
      </c>
      <c r="K20" s="239">
        <v>0</v>
      </c>
      <c r="L20" s="21">
        <v>0</v>
      </c>
      <c r="M20" s="49">
        <v>219</v>
      </c>
      <c r="N20" s="50">
        <f t="shared" si="2"/>
        <v>9.125</v>
      </c>
      <c r="O20" s="51">
        <v>398</v>
      </c>
      <c r="P20" s="52">
        <f t="shared" si="3"/>
        <v>16.583333333333332</v>
      </c>
      <c r="Q20" s="255">
        <v>87</v>
      </c>
      <c r="R20" s="53">
        <v>628</v>
      </c>
      <c r="S20" s="54">
        <v>369</v>
      </c>
      <c r="T20" s="223">
        <v>490</v>
      </c>
      <c r="U20" s="55">
        <f t="shared" si="7"/>
        <v>2641</v>
      </c>
      <c r="V20" s="231">
        <f t="shared" si="4"/>
        <v>110.04166666666667</v>
      </c>
      <c r="W20" s="236">
        <v>13.17</v>
      </c>
      <c r="X20" s="65">
        <v>19.829999999999998</v>
      </c>
      <c r="Y20" s="66">
        <v>24</v>
      </c>
      <c r="Z20" s="6"/>
      <c r="AA20" s="348" t="s">
        <v>193</v>
      </c>
      <c r="AB20" s="348"/>
      <c r="AC20" s="348"/>
      <c r="AD20" s="349"/>
      <c r="AE20" s="350"/>
      <c r="AF20" s="351"/>
      <c r="AG20" s="351"/>
      <c r="AH20" s="352"/>
      <c r="AI20" s="58"/>
      <c r="AJ20" s="58">
        <v>1170</v>
      </c>
      <c r="AK20" s="59">
        <v>168</v>
      </c>
      <c r="AL20" s="60">
        <f t="shared" si="5"/>
        <v>7</v>
      </c>
      <c r="AM20" s="6">
        <v>1440</v>
      </c>
      <c r="AO20" s="61"/>
      <c r="AP20" s="61">
        <f t="shared" si="6"/>
        <v>369</v>
      </c>
      <c r="AQ20"/>
    </row>
    <row r="21" spans="1:43" x14ac:dyDescent="0.3">
      <c r="A21" s="62">
        <v>15</v>
      </c>
      <c r="B21" s="67">
        <v>1666</v>
      </c>
      <c r="C21" s="42">
        <f t="shared" si="0"/>
        <v>69.416666666666671</v>
      </c>
      <c r="D21" s="254">
        <v>1166</v>
      </c>
      <c r="E21" s="44">
        <v>760</v>
      </c>
      <c r="F21" s="19">
        <v>1926</v>
      </c>
      <c r="G21" s="20">
        <v>504</v>
      </c>
      <c r="H21" s="216">
        <v>84</v>
      </c>
      <c r="I21" s="211">
        <v>0</v>
      </c>
      <c r="J21" s="46">
        <f t="shared" si="1"/>
        <v>0</v>
      </c>
      <c r="K21" s="239">
        <v>0</v>
      </c>
      <c r="L21" s="21">
        <v>0</v>
      </c>
      <c r="M21" s="49">
        <v>234</v>
      </c>
      <c r="N21" s="50">
        <f t="shared" si="2"/>
        <v>9.75</v>
      </c>
      <c r="O21" s="51">
        <v>398</v>
      </c>
      <c r="P21" s="52">
        <f t="shared" si="3"/>
        <v>16.583333333333332</v>
      </c>
      <c r="Q21" s="255">
        <v>4</v>
      </c>
      <c r="R21" s="53">
        <v>0</v>
      </c>
      <c r="S21" s="54">
        <v>373</v>
      </c>
      <c r="T21" s="223">
        <v>498</v>
      </c>
      <c r="U21" s="55">
        <f t="shared" si="7"/>
        <v>2675</v>
      </c>
      <c r="V21" s="231">
        <f t="shared" si="4"/>
        <v>111.45833333333333</v>
      </c>
      <c r="W21" s="236">
        <v>1.17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177</v>
      </c>
      <c r="AL21" s="60">
        <f t="shared" si="5"/>
        <v>7.375</v>
      </c>
      <c r="AM21" s="6">
        <v>1440</v>
      </c>
      <c r="AO21" s="61"/>
      <c r="AP21" s="61">
        <f t="shared" si="6"/>
        <v>373</v>
      </c>
      <c r="AQ21"/>
    </row>
    <row r="22" spans="1:43" x14ac:dyDescent="0.3">
      <c r="A22" s="62">
        <v>16</v>
      </c>
      <c r="B22" s="67">
        <v>1673</v>
      </c>
      <c r="C22" s="42">
        <f t="shared" si="0"/>
        <v>69.708333333333329</v>
      </c>
      <c r="D22" s="254">
        <v>1171</v>
      </c>
      <c r="E22" s="44">
        <v>749</v>
      </c>
      <c r="F22" s="19">
        <v>1920</v>
      </c>
      <c r="G22" s="20">
        <v>514</v>
      </c>
      <c r="H22" s="216">
        <v>91</v>
      </c>
      <c r="I22" s="211">
        <v>0</v>
      </c>
      <c r="J22" s="46">
        <f t="shared" si="1"/>
        <v>0</v>
      </c>
      <c r="K22" s="239">
        <v>0</v>
      </c>
      <c r="L22" s="21">
        <v>0</v>
      </c>
      <c r="M22" s="49">
        <v>157</v>
      </c>
      <c r="N22" s="50">
        <f t="shared" si="2"/>
        <v>6.541666666666667</v>
      </c>
      <c r="O22" s="68">
        <v>64</v>
      </c>
      <c r="P22" s="52">
        <f t="shared" si="3"/>
        <v>2.6666666666666665</v>
      </c>
      <c r="Q22" s="255">
        <v>9</v>
      </c>
      <c r="R22" s="53">
        <v>358</v>
      </c>
      <c r="S22" s="54">
        <v>317</v>
      </c>
      <c r="T22" s="223">
        <v>470</v>
      </c>
      <c r="U22" s="55">
        <f t="shared" si="7"/>
        <v>2578</v>
      </c>
      <c r="V22" s="231">
        <f t="shared" si="4"/>
        <v>107.41666666666667</v>
      </c>
      <c r="W22" s="236">
        <v>1</v>
      </c>
      <c r="X22" s="65">
        <v>20.170000000000002</v>
      </c>
      <c r="Y22" s="66">
        <v>24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173</v>
      </c>
      <c r="AL22" s="60">
        <f t="shared" si="5"/>
        <v>7.208333333333333</v>
      </c>
      <c r="AM22" s="6">
        <v>1440</v>
      </c>
      <c r="AO22" s="61"/>
      <c r="AP22" s="61">
        <f t="shared" si="6"/>
        <v>317</v>
      </c>
      <c r="AQ22"/>
    </row>
    <row r="23" spans="1:43" x14ac:dyDescent="0.3">
      <c r="A23" s="62">
        <v>17</v>
      </c>
      <c r="B23" s="67">
        <v>884</v>
      </c>
      <c r="C23" s="42">
        <f t="shared" si="0"/>
        <v>36.833333333333336</v>
      </c>
      <c r="D23" s="254">
        <v>619</v>
      </c>
      <c r="E23" s="44">
        <v>497</v>
      </c>
      <c r="F23" s="19">
        <v>1116</v>
      </c>
      <c r="G23" s="20">
        <v>404</v>
      </c>
      <c r="H23" s="216">
        <v>71</v>
      </c>
      <c r="I23" s="211">
        <v>0</v>
      </c>
      <c r="J23" s="46">
        <f t="shared" si="1"/>
        <v>0</v>
      </c>
      <c r="K23" s="239">
        <v>0</v>
      </c>
      <c r="L23" s="21">
        <v>0</v>
      </c>
      <c r="M23" s="49">
        <v>59</v>
      </c>
      <c r="N23" s="50">
        <f t="shared" si="2"/>
        <v>2.4583333333333335</v>
      </c>
      <c r="O23" s="68">
        <v>161</v>
      </c>
      <c r="P23" s="52">
        <f t="shared" si="3"/>
        <v>6.708333333333333</v>
      </c>
      <c r="Q23" s="255">
        <v>29</v>
      </c>
      <c r="R23" s="53">
        <v>29</v>
      </c>
      <c r="S23" s="54">
        <v>240</v>
      </c>
      <c r="T23" s="223">
        <v>464</v>
      </c>
      <c r="U23" s="55">
        <f t="shared" si="7"/>
        <v>1402</v>
      </c>
      <c r="V23" s="231">
        <f t="shared" si="4"/>
        <v>58.416666666666664</v>
      </c>
      <c r="W23" s="236">
        <v>6.33</v>
      </c>
      <c r="X23" s="65">
        <v>1.17</v>
      </c>
      <c r="Y23" s="66">
        <v>24</v>
      </c>
      <c r="Z23" s="6"/>
      <c r="AA23" s="348" t="s">
        <v>194</v>
      </c>
      <c r="AB23" s="348"/>
      <c r="AC23" s="348"/>
      <c r="AD23" s="349"/>
      <c r="AE23" s="360"/>
      <c r="AF23" s="351"/>
      <c r="AG23" s="351"/>
      <c r="AH23" s="352"/>
      <c r="AI23" s="58"/>
      <c r="AJ23" s="58">
        <v>1345</v>
      </c>
      <c r="AK23" s="59">
        <v>45</v>
      </c>
      <c r="AL23" s="60">
        <f t="shared" si="5"/>
        <v>1.875</v>
      </c>
      <c r="AM23" s="6">
        <v>1440</v>
      </c>
      <c r="AO23" s="61"/>
      <c r="AP23" s="61">
        <f t="shared" si="6"/>
        <v>240</v>
      </c>
      <c r="AQ23"/>
    </row>
    <row r="24" spans="1:43" x14ac:dyDescent="0.3">
      <c r="A24" s="62">
        <v>18</v>
      </c>
      <c r="B24" s="67">
        <v>744</v>
      </c>
      <c r="C24" s="42">
        <f t="shared" si="0"/>
        <v>31</v>
      </c>
      <c r="D24" s="254">
        <v>521</v>
      </c>
      <c r="E24" s="44">
        <v>406</v>
      </c>
      <c r="F24" s="19">
        <v>927</v>
      </c>
      <c r="G24" s="20">
        <v>317</v>
      </c>
      <c r="H24" s="216">
        <v>63</v>
      </c>
      <c r="I24" s="211">
        <v>0</v>
      </c>
      <c r="J24" s="46">
        <f t="shared" si="1"/>
        <v>0</v>
      </c>
      <c r="K24" s="239">
        <v>0</v>
      </c>
      <c r="L24" s="21">
        <v>0</v>
      </c>
      <c r="M24" s="49">
        <v>0</v>
      </c>
      <c r="N24" s="50">
        <f t="shared" si="2"/>
        <v>0</v>
      </c>
      <c r="O24" s="198">
        <v>413</v>
      </c>
      <c r="P24" s="52">
        <f t="shared" si="3"/>
        <v>17.208333333333332</v>
      </c>
      <c r="Q24" s="255">
        <v>0</v>
      </c>
      <c r="R24" s="53">
        <v>0</v>
      </c>
      <c r="S24" s="54">
        <v>301</v>
      </c>
      <c r="T24" s="223">
        <v>496</v>
      </c>
      <c r="U24" s="55">
        <f t="shared" si="7"/>
        <v>1458</v>
      </c>
      <c r="V24" s="231">
        <f t="shared" si="4"/>
        <v>60.75</v>
      </c>
      <c r="W24" s="236">
        <v>0</v>
      </c>
      <c r="X24" s="65">
        <v>0</v>
      </c>
      <c r="Y24" s="66">
        <v>24</v>
      </c>
      <c r="Z24" s="6"/>
      <c r="AA24" s="348" t="s">
        <v>195</v>
      </c>
      <c r="AB24" s="348"/>
      <c r="AC24" s="348"/>
      <c r="AD24" s="349"/>
      <c r="AE24" s="350"/>
      <c r="AF24" s="351"/>
      <c r="AG24" s="351"/>
      <c r="AH24" s="352"/>
      <c r="AI24" s="58"/>
      <c r="AJ24" s="58">
        <v>1375</v>
      </c>
      <c r="AK24" s="59">
        <v>54</v>
      </c>
      <c r="AL24" s="60">
        <f t="shared" si="5"/>
        <v>2.25</v>
      </c>
      <c r="AM24" s="6">
        <v>1440</v>
      </c>
      <c r="AO24" s="61"/>
      <c r="AP24" s="61">
        <f t="shared" si="6"/>
        <v>301</v>
      </c>
      <c r="AQ24"/>
    </row>
    <row r="25" spans="1:43" x14ac:dyDescent="0.3">
      <c r="A25" s="62">
        <v>19</v>
      </c>
      <c r="B25" s="67">
        <v>1292</v>
      </c>
      <c r="C25" s="42">
        <f t="shared" si="0"/>
        <v>53.833333333333336</v>
      </c>
      <c r="D25" s="254">
        <v>904</v>
      </c>
      <c r="E25" s="44">
        <v>678</v>
      </c>
      <c r="F25" s="19">
        <v>1582</v>
      </c>
      <c r="G25" s="20">
        <v>361</v>
      </c>
      <c r="H25" s="216">
        <v>89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0</v>
      </c>
      <c r="N25" s="50">
        <f t="shared" si="2"/>
        <v>0</v>
      </c>
      <c r="O25" s="198">
        <v>416</v>
      </c>
      <c r="P25" s="52">
        <f t="shared" si="3"/>
        <v>17.333333333333332</v>
      </c>
      <c r="Q25" s="255">
        <v>65</v>
      </c>
      <c r="R25" s="53">
        <v>364</v>
      </c>
      <c r="S25" s="54">
        <v>275</v>
      </c>
      <c r="T25" s="223">
        <v>442</v>
      </c>
      <c r="U25" s="55">
        <f t="shared" si="7"/>
        <v>2412</v>
      </c>
      <c r="V25" s="231">
        <f t="shared" si="4"/>
        <v>100.5</v>
      </c>
      <c r="W25" s="236">
        <v>8</v>
      </c>
      <c r="X25" s="65">
        <v>10.67</v>
      </c>
      <c r="Y25" s="66">
        <v>20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>
        <v>1440</v>
      </c>
      <c r="AK25" s="59">
        <v>130</v>
      </c>
      <c r="AL25" s="60">
        <f t="shared" si="5"/>
        <v>5.416666666666667</v>
      </c>
      <c r="AM25" s="6">
        <v>1440</v>
      </c>
      <c r="AO25" s="61"/>
      <c r="AP25" s="61">
        <f t="shared" si="6"/>
        <v>275</v>
      </c>
      <c r="AQ25"/>
    </row>
    <row r="26" spans="1:43" x14ac:dyDescent="0.3">
      <c r="A26" s="62">
        <v>20</v>
      </c>
      <c r="B26" s="67">
        <v>1601</v>
      </c>
      <c r="C26" s="42">
        <f t="shared" si="0"/>
        <v>66.708333333333329</v>
      </c>
      <c r="D26" s="254">
        <v>1121</v>
      </c>
      <c r="E26" s="44">
        <v>703</v>
      </c>
      <c r="F26" s="19">
        <v>1824</v>
      </c>
      <c r="G26" s="20">
        <v>349</v>
      </c>
      <c r="H26" s="216">
        <v>83</v>
      </c>
      <c r="I26" s="211">
        <v>0</v>
      </c>
      <c r="J26" s="46">
        <f t="shared" si="1"/>
        <v>0</v>
      </c>
      <c r="K26" s="239">
        <v>0</v>
      </c>
      <c r="L26" s="21">
        <v>0</v>
      </c>
      <c r="M26" s="49">
        <v>0</v>
      </c>
      <c r="N26" s="50">
        <f t="shared" si="2"/>
        <v>0</v>
      </c>
      <c r="O26" s="198">
        <v>414</v>
      </c>
      <c r="P26" s="52">
        <f t="shared" si="3"/>
        <v>17.25</v>
      </c>
      <c r="Q26" s="255">
        <v>63</v>
      </c>
      <c r="R26" s="53">
        <v>235</v>
      </c>
      <c r="S26" s="54">
        <v>205</v>
      </c>
      <c r="T26" s="223">
        <v>316</v>
      </c>
      <c r="U26" s="55">
        <f t="shared" si="7"/>
        <v>2518</v>
      </c>
      <c r="V26" s="231">
        <f t="shared" si="4"/>
        <v>104.91666666666667</v>
      </c>
      <c r="W26" s="236">
        <v>13.67</v>
      </c>
      <c r="X26" s="65">
        <v>10.67</v>
      </c>
      <c r="Y26" s="66">
        <v>11</v>
      </c>
      <c r="Z26" s="6"/>
      <c r="AA26" s="348" t="s">
        <v>196</v>
      </c>
      <c r="AB26" s="348"/>
      <c r="AC26" s="348"/>
      <c r="AD26" s="349"/>
      <c r="AE26" s="350"/>
      <c r="AF26" s="351"/>
      <c r="AG26" s="351"/>
      <c r="AH26" s="352"/>
      <c r="AI26" s="58"/>
      <c r="AJ26" s="58">
        <v>60</v>
      </c>
      <c r="AK26" s="59">
        <v>152</v>
      </c>
      <c r="AL26" s="60">
        <f t="shared" si="5"/>
        <v>6.333333333333333</v>
      </c>
      <c r="AM26" s="6">
        <v>1440</v>
      </c>
      <c r="AO26" s="61"/>
      <c r="AP26" s="61">
        <f t="shared" si="6"/>
        <v>205</v>
      </c>
      <c r="AQ26"/>
    </row>
    <row r="27" spans="1:43" x14ac:dyDescent="0.3">
      <c r="A27" s="62">
        <v>21</v>
      </c>
      <c r="B27" s="67">
        <v>1642</v>
      </c>
      <c r="C27" s="42">
        <f t="shared" si="0"/>
        <v>68.416666666666671</v>
      </c>
      <c r="D27" s="254">
        <v>1149</v>
      </c>
      <c r="E27" s="44">
        <v>750</v>
      </c>
      <c r="F27" s="19">
        <v>1899</v>
      </c>
      <c r="G27" s="20">
        <v>379</v>
      </c>
      <c r="H27" s="216">
        <v>92</v>
      </c>
      <c r="I27" s="211">
        <v>0</v>
      </c>
      <c r="J27" s="46">
        <f t="shared" si="1"/>
        <v>0</v>
      </c>
      <c r="K27" s="239">
        <v>0</v>
      </c>
      <c r="L27" s="21">
        <v>0</v>
      </c>
      <c r="M27" s="49">
        <v>0</v>
      </c>
      <c r="N27" s="50">
        <f t="shared" si="2"/>
        <v>0</v>
      </c>
      <c r="O27" s="198">
        <v>404</v>
      </c>
      <c r="P27" s="52">
        <f t="shared" si="3"/>
        <v>16.833333333333332</v>
      </c>
      <c r="Q27" s="255">
        <v>67</v>
      </c>
      <c r="R27" s="53">
        <v>0</v>
      </c>
      <c r="S27" s="54">
        <v>319</v>
      </c>
      <c r="T27" s="223">
        <v>486</v>
      </c>
      <c r="U27" s="55">
        <f t="shared" si="7"/>
        <v>2432</v>
      </c>
      <c r="V27" s="231">
        <f t="shared" si="4"/>
        <v>101.33333333333333</v>
      </c>
      <c r="W27" s="236">
        <v>15.33</v>
      </c>
      <c r="X27" s="65">
        <v>0</v>
      </c>
      <c r="Y27" s="66">
        <v>24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144</v>
      </c>
      <c r="AL27" s="60">
        <f t="shared" si="5"/>
        <v>6</v>
      </c>
      <c r="AM27" s="6">
        <v>1440</v>
      </c>
      <c r="AO27" s="61"/>
      <c r="AP27" s="61">
        <f t="shared" si="6"/>
        <v>319</v>
      </c>
      <c r="AQ27"/>
    </row>
    <row r="28" spans="1:43" x14ac:dyDescent="0.3">
      <c r="A28" s="62">
        <v>22</v>
      </c>
      <c r="B28" s="67">
        <v>1590</v>
      </c>
      <c r="C28" s="42">
        <f t="shared" si="0"/>
        <v>66.25</v>
      </c>
      <c r="D28" s="254">
        <v>1113</v>
      </c>
      <c r="E28" s="44">
        <v>785</v>
      </c>
      <c r="F28" s="19">
        <v>1898</v>
      </c>
      <c r="G28" s="20">
        <v>366</v>
      </c>
      <c r="H28" s="216">
        <v>92</v>
      </c>
      <c r="I28" s="211">
        <v>0</v>
      </c>
      <c r="J28" s="46">
        <f t="shared" si="1"/>
        <v>0</v>
      </c>
      <c r="K28" s="239">
        <v>0</v>
      </c>
      <c r="L28" s="21">
        <v>0</v>
      </c>
      <c r="M28" s="49">
        <v>0</v>
      </c>
      <c r="N28" s="50">
        <f t="shared" si="2"/>
        <v>0</v>
      </c>
      <c r="O28" s="198">
        <v>401</v>
      </c>
      <c r="P28" s="52">
        <f t="shared" si="3"/>
        <v>16.708333333333332</v>
      </c>
      <c r="Q28" s="255">
        <v>1</v>
      </c>
      <c r="R28" s="53">
        <v>0</v>
      </c>
      <c r="S28" s="54">
        <v>262</v>
      </c>
      <c r="T28" s="223">
        <v>470</v>
      </c>
      <c r="U28" s="55">
        <f t="shared" si="7"/>
        <v>2254</v>
      </c>
      <c r="V28" s="231">
        <f t="shared" si="4"/>
        <v>93.916666666666671</v>
      </c>
      <c r="W28" s="236">
        <v>0.33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112</v>
      </c>
      <c r="AL28" s="60">
        <f t="shared" si="5"/>
        <v>4.666666666666667</v>
      </c>
      <c r="AM28" s="6">
        <v>1440</v>
      </c>
      <c r="AO28" s="61"/>
      <c r="AP28" s="61">
        <f t="shared" si="6"/>
        <v>262</v>
      </c>
      <c r="AQ28"/>
    </row>
    <row r="29" spans="1:43" x14ac:dyDescent="0.3">
      <c r="A29" s="62">
        <v>23</v>
      </c>
      <c r="B29" s="67">
        <v>1662</v>
      </c>
      <c r="C29" s="42">
        <f t="shared" si="0"/>
        <v>69.25</v>
      </c>
      <c r="D29" s="254">
        <v>1163</v>
      </c>
      <c r="E29" s="44">
        <v>764</v>
      </c>
      <c r="F29" s="19">
        <v>1927</v>
      </c>
      <c r="G29" s="20">
        <v>352</v>
      </c>
      <c r="H29" s="216">
        <v>101</v>
      </c>
      <c r="I29" s="211">
        <v>0</v>
      </c>
      <c r="J29" s="46">
        <f t="shared" si="1"/>
        <v>0</v>
      </c>
      <c r="K29" s="239">
        <v>0</v>
      </c>
      <c r="L29" s="21">
        <v>0</v>
      </c>
      <c r="M29" s="49">
        <v>0</v>
      </c>
      <c r="N29" s="50">
        <f t="shared" si="2"/>
        <v>0</v>
      </c>
      <c r="O29" s="198">
        <v>403</v>
      </c>
      <c r="P29" s="52">
        <f t="shared" si="3"/>
        <v>16.791666666666668</v>
      </c>
      <c r="Q29" s="255">
        <v>33</v>
      </c>
      <c r="R29" s="53">
        <v>0</v>
      </c>
      <c r="S29" s="54">
        <v>333</v>
      </c>
      <c r="T29" s="223">
        <v>464</v>
      </c>
      <c r="U29" s="55">
        <f t="shared" si="7"/>
        <v>2431</v>
      </c>
      <c r="V29" s="231">
        <f t="shared" si="4"/>
        <v>101.29166666666667</v>
      </c>
      <c r="W29" s="236">
        <v>11.83</v>
      </c>
      <c r="X29" s="65">
        <v>0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160</v>
      </c>
      <c r="AL29" s="60">
        <f t="shared" si="5"/>
        <v>6.666666666666667</v>
      </c>
      <c r="AM29" s="6">
        <v>1440</v>
      </c>
      <c r="AO29" s="61"/>
      <c r="AP29" s="61">
        <f t="shared" si="6"/>
        <v>333</v>
      </c>
      <c r="AQ29"/>
    </row>
    <row r="30" spans="1:43" x14ac:dyDescent="0.3">
      <c r="A30" s="62">
        <v>24</v>
      </c>
      <c r="B30" s="67">
        <v>1650</v>
      </c>
      <c r="C30" s="42">
        <f t="shared" si="0"/>
        <v>68.75</v>
      </c>
      <c r="D30" s="254">
        <v>1155</v>
      </c>
      <c r="E30" s="44">
        <v>748</v>
      </c>
      <c r="F30" s="19">
        <v>1903</v>
      </c>
      <c r="G30" s="20">
        <v>346</v>
      </c>
      <c r="H30" s="216">
        <v>92</v>
      </c>
      <c r="I30" s="211">
        <v>0</v>
      </c>
      <c r="J30" s="46">
        <f t="shared" si="1"/>
        <v>0</v>
      </c>
      <c r="K30" s="239">
        <v>0</v>
      </c>
      <c r="L30" s="21">
        <v>0</v>
      </c>
      <c r="M30" s="49">
        <v>0</v>
      </c>
      <c r="N30" s="50">
        <f t="shared" si="2"/>
        <v>0</v>
      </c>
      <c r="O30" s="198">
        <v>408</v>
      </c>
      <c r="P30" s="52">
        <f t="shared" si="3"/>
        <v>17</v>
      </c>
      <c r="Q30" s="255">
        <v>82</v>
      </c>
      <c r="R30" s="53">
        <v>0</v>
      </c>
      <c r="S30" s="54">
        <v>270</v>
      </c>
      <c r="T30" s="223">
        <v>490</v>
      </c>
      <c r="U30" s="55">
        <f t="shared" si="7"/>
        <v>2410</v>
      </c>
      <c r="V30" s="231">
        <f t="shared" si="4"/>
        <v>100.41666666666667</v>
      </c>
      <c r="W30" s="236">
        <v>19.329999999999998</v>
      </c>
      <c r="X30" s="65">
        <v>0</v>
      </c>
      <c r="Y30" s="66">
        <v>24</v>
      </c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>
        <v>163</v>
      </c>
      <c r="AL30" s="60">
        <f t="shared" si="5"/>
        <v>6.791666666666667</v>
      </c>
      <c r="AM30" s="6">
        <v>1440</v>
      </c>
      <c r="AO30" s="61"/>
      <c r="AP30" s="61">
        <f t="shared" si="6"/>
        <v>270</v>
      </c>
      <c r="AQ30"/>
    </row>
    <row r="31" spans="1:43" x14ac:dyDescent="0.3">
      <c r="A31" s="62">
        <v>25</v>
      </c>
      <c r="B31" s="67">
        <v>1649</v>
      </c>
      <c r="C31" s="42">
        <f t="shared" si="0"/>
        <v>68.708333333333329</v>
      </c>
      <c r="D31" s="254">
        <v>1154</v>
      </c>
      <c r="E31" s="44">
        <v>769</v>
      </c>
      <c r="F31" s="19">
        <v>1923</v>
      </c>
      <c r="G31" s="20">
        <v>352</v>
      </c>
      <c r="H31" s="216">
        <v>102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0</v>
      </c>
      <c r="N31" s="50">
        <f t="shared" si="2"/>
        <v>0</v>
      </c>
      <c r="O31" s="198">
        <v>399</v>
      </c>
      <c r="P31" s="52">
        <f t="shared" si="3"/>
        <v>16.625</v>
      </c>
      <c r="Q31" s="255">
        <v>51</v>
      </c>
      <c r="R31" s="53">
        <v>2</v>
      </c>
      <c r="S31" s="54">
        <v>363</v>
      </c>
      <c r="T31" s="223">
        <v>440</v>
      </c>
      <c r="U31" s="55">
        <f t="shared" si="7"/>
        <v>2464</v>
      </c>
      <c r="V31" s="231">
        <f t="shared" si="4"/>
        <v>102.66666666666667</v>
      </c>
      <c r="W31" s="236">
        <v>18.670000000000002</v>
      </c>
      <c r="X31" s="65">
        <v>1.17</v>
      </c>
      <c r="Y31" s="66">
        <v>24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>
        <v>169</v>
      </c>
      <c r="AL31" s="60">
        <f t="shared" si="5"/>
        <v>7.041666666666667</v>
      </c>
      <c r="AM31" s="6">
        <v>1440</v>
      </c>
      <c r="AO31" s="61"/>
      <c r="AP31" s="61">
        <f t="shared" si="6"/>
        <v>363</v>
      </c>
      <c r="AQ31"/>
    </row>
    <row r="32" spans="1:43" x14ac:dyDescent="0.3">
      <c r="A32" s="62">
        <v>26</v>
      </c>
      <c r="B32" s="67">
        <v>1669</v>
      </c>
      <c r="C32" s="42">
        <f t="shared" si="0"/>
        <v>69.541666666666671</v>
      </c>
      <c r="D32" s="254">
        <v>1168</v>
      </c>
      <c r="E32" s="44">
        <v>782</v>
      </c>
      <c r="F32" s="19">
        <v>1950</v>
      </c>
      <c r="G32" s="20">
        <v>365</v>
      </c>
      <c r="H32" s="216">
        <v>103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200">
        <v>0</v>
      </c>
      <c r="N32" s="50">
        <f t="shared" si="2"/>
        <v>0</v>
      </c>
      <c r="O32" s="198">
        <v>413</v>
      </c>
      <c r="P32" s="52">
        <f t="shared" si="3"/>
        <v>17.208333333333332</v>
      </c>
      <c r="Q32" s="255">
        <v>79</v>
      </c>
      <c r="R32" s="53">
        <v>0</v>
      </c>
      <c r="S32" s="54">
        <v>327</v>
      </c>
      <c r="T32" s="223">
        <v>421</v>
      </c>
      <c r="U32" s="55">
        <f t="shared" si="7"/>
        <v>2488</v>
      </c>
      <c r="V32" s="231">
        <f t="shared" si="4"/>
        <v>103.66666666666667</v>
      </c>
      <c r="W32" s="236">
        <v>23.5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165</v>
      </c>
      <c r="AL32" s="60">
        <f t="shared" si="5"/>
        <v>6.875</v>
      </c>
      <c r="AM32" s="6">
        <v>1440</v>
      </c>
      <c r="AO32" s="61"/>
      <c r="AP32" s="61">
        <f t="shared" si="6"/>
        <v>327</v>
      </c>
      <c r="AQ32"/>
    </row>
    <row r="33" spans="1:43" x14ac:dyDescent="0.3">
      <c r="A33" s="62">
        <v>27</v>
      </c>
      <c r="B33" s="67">
        <v>1622</v>
      </c>
      <c r="C33" s="42">
        <f t="shared" si="0"/>
        <v>67.583333333333329</v>
      </c>
      <c r="D33" s="254">
        <v>1135</v>
      </c>
      <c r="E33" s="44">
        <v>796</v>
      </c>
      <c r="F33" s="19">
        <v>1931</v>
      </c>
      <c r="G33" s="20">
        <v>355</v>
      </c>
      <c r="H33" s="216">
        <v>104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200">
        <v>0</v>
      </c>
      <c r="N33" s="50">
        <f t="shared" si="2"/>
        <v>0</v>
      </c>
      <c r="O33" s="198">
        <v>394</v>
      </c>
      <c r="P33" s="52">
        <f t="shared" si="3"/>
        <v>16.416666666666668</v>
      </c>
      <c r="Q33" s="255">
        <v>37</v>
      </c>
      <c r="R33" s="53">
        <v>0</v>
      </c>
      <c r="S33" s="54">
        <v>156</v>
      </c>
      <c r="T33" s="223">
        <v>279</v>
      </c>
      <c r="U33" s="55">
        <f t="shared" si="7"/>
        <v>2209</v>
      </c>
      <c r="V33" s="231">
        <f t="shared" si="4"/>
        <v>92.041666666666671</v>
      </c>
      <c r="W33" s="236">
        <v>10.83</v>
      </c>
      <c r="X33" s="65">
        <v>0</v>
      </c>
      <c r="Y33" s="66">
        <v>14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139</v>
      </c>
      <c r="AL33" s="60">
        <f t="shared" si="5"/>
        <v>5.791666666666667</v>
      </c>
      <c r="AM33" s="6">
        <v>1440</v>
      </c>
      <c r="AO33" s="61"/>
      <c r="AP33" s="61">
        <f t="shared" si="6"/>
        <v>156</v>
      </c>
      <c r="AQ33"/>
    </row>
    <row r="34" spans="1:43" x14ac:dyDescent="0.3">
      <c r="A34" s="62">
        <v>28</v>
      </c>
      <c r="B34" s="67">
        <v>1650</v>
      </c>
      <c r="C34" s="42">
        <f t="shared" si="0"/>
        <v>68.75</v>
      </c>
      <c r="D34" s="254">
        <v>1155</v>
      </c>
      <c r="E34" s="44">
        <v>774</v>
      </c>
      <c r="F34" s="19">
        <v>1929</v>
      </c>
      <c r="G34" s="20">
        <v>410</v>
      </c>
      <c r="H34" s="216">
        <v>106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200">
        <v>0</v>
      </c>
      <c r="N34" s="50">
        <f t="shared" si="2"/>
        <v>0</v>
      </c>
      <c r="O34" s="198">
        <v>383</v>
      </c>
      <c r="P34" s="52">
        <f t="shared" si="3"/>
        <v>15.958333333333334</v>
      </c>
      <c r="Q34" s="255">
        <v>4</v>
      </c>
      <c r="R34" s="53">
        <v>0</v>
      </c>
      <c r="S34" s="54">
        <v>0</v>
      </c>
      <c r="T34" s="223">
        <v>0</v>
      </c>
      <c r="U34" s="55">
        <f t="shared" si="7"/>
        <v>2037</v>
      </c>
      <c r="V34" s="231">
        <f t="shared" si="4"/>
        <v>84.875</v>
      </c>
      <c r="W34" s="236">
        <v>1.1599999999999999</v>
      </c>
      <c r="X34" s="65">
        <v>0</v>
      </c>
      <c r="Y34" s="66">
        <v>0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>
        <v>143</v>
      </c>
      <c r="AL34" s="60">
        <f t="shared" si="5"/>
        <v>5.958333333333333</v>
      </c>
      <c r="AM34" s="6">
        <v>1440</v>
      </c>
      <c r="AO34" s="61"/>
      <c r="AP34" s="61">
        <f t="shared" si="6"/>
        <v>0</v>
      </c>
      <c r="AQ34"/>
    </row>
    <row r="35" spans="1:43" x14ac:dyDescent="0.3">
      <c r="A35" s="62">
        <v>29</v>
      </c>
      <c r="B35" s="67">
        <v>1628</v>
      </c>
      <c r="C35" s="42">
        <f t="shared" si="0"/>
        <v>67.833333333333329</v>
      </c>
      <c r="D35" s="254">
        <v>1140</v>
      </c>
      <c r="E35" s="44">
        <v>740</v>
      </c>
      <c r="F35" s="19">
        <v>1880</v>
      </c>
      <c r="G35" s="20">
        <v>414</v>
      </c>
      <c r="H35" s="216">
        <v>117</v>
      </c>
      <c r="I35" s="211">
        <v>0</v>
      </c>
      <c r="J35" s="46">
        <f t="shared" si="1"/>
        <v>0</v>
      </c>
      <c r="K35" s="239">
        <v>0</v>
      </c>
      <c r="L35" s="21">
        <v>0</v>
      </c>
      <c r="M35" s="200">
        <v>0</v>
      </c>
      <c r="N35" s="50">
        <f t="shared" si="2"/>
        <v>0</v>
      </c>
      <c r="O35" s="198">
        <v>394</v>
      </c>
      <c r="P35" s="52">
        <f t="shared" si="3"/>
        <v>16.416666666666668</v>
      </c>
      <c r="Q35" s="255">
        <v>1</v>
      </c>
      <c r="R35" s="53">
        <v>1</v>
      </c>
      <c r="S35" s="54">
        <v>0</v>
      </c>
      <c r="T35" s="223">
        <v>0</v>
      </c>
      <c r="U35" s="55">
        <f t="shared" si="7"/>
        <v>2024</v>
      </c>
      <c r="V35" s="231">
        <f t="shared" si="4"/>
        <v>84.333333333333329</v>
      </c>
      <c r="W35" s="236">
        <v>1</v>
      </c>
      <c r="X35" s="65">
        <v>0.5</v>
      </c>
      <c r="Y35" s="66">
        <v>0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>
        <v>147</v>
      </c>
      <c r="AL35" s="60">
        <f t="shared" si="5"/>
        <v>6.125</v>
      </c>
      <c r="AM35" s="6">
        <v>1440</v>
      </c>
      <c r="AO35" s="61"/>
      <c r="AP35" s="61">
        <f t="shared" si="6"/>
        <v>0</v>
      </c>
      <c r="AQ35"/>
    </row>
    <row r="36" spans="1:43" x14ac:dyDescent="0.3">
      <c r="A36" s="62">
        <v>30</v>
      </c>
      <c r="B36" s="67">
        <v>822</v>
      </c>
      <c r="C36" s="42">
        <f t="shared" si="0"/>
        <v>34.25</v>
      </c>
      <c r="D36" s="254">
        <v>575</v>
      </c>
      <c r="E36" s="44">
        <v>548</v>
      </c>
      <c r="F36" s="19">
        <v>1123</v>
      </c>
      <c r="G36" s="20">
        <v>383</v>
      </c>
      <c r="H36" s="216">
        <v>74</v>
      </c>
      <c r="I36" s="211">
        <v>0</v>
      </c>
      <c r="J36" s="46">
        <f t="shared" si="1"/>
        <v>0</v>
      </c>
      <c r="K36" s="239">
        <v>0</v>
      </c>
      <c r="L36" s="21">
        <v>0</v>
      </c>
      <c r="M36" s="200">
        <v>0</v>
      </c>
      <c r="N36" s="50">
        <f t="shared" si="2"/>
        <v>0</v>
      </c>
      <c r="O36" s="198">
        <v>375</v>
      </c>
      <c r="P36" s="52">
        <f t="shared" si="3"/>
        <v>15.625</v>
      </c>
      <c r="Q36" s="255">
        <v>61</v>
      </c>
      <c r="R36" s="53">
        <v>0</v>
      </c>
      <c r="S36" s="54">
        <v>0</v>
      </c>
      <c r="T36" s="223">
        <v>0</v>
      </c>
      <c r="U36" s="55">
        <f t="shared" si="7"/>
        <v>1258</v>
      </c>
      <c r="V36" s="231">
        <f t="shared" si="4"/>
        <v>52.416666666666664</v>
      </c>
      <c r="W36" s="236">
        <v>9.83</v>
      </c>
      <c r="X36" s="65">
        <v>0</v>
      </c>
      <c r="Y36" s="66">
        <v>0</v>
      </c>
      <c r="Z36" s="6"/>
      <c r="AA36" s="348" t="s">
        <v>202</v>
      </c>
      <c r="AB36" s="348"/>
      <c r="AC36" s="348"/>
      <c r="AD36" s="349"/>
      <c r="AE36" s="350"/>
      <c r="AF36" s="351"/>
      <c r="AG36" s="351"/>
      <c r="AH36" s="352"/>
      <c r="AI36" s="58">
        <v>630</v>
      </c>
      <c r="AJ36" s="58">
        <v>575</v>
      </c>
      <c r="AK36" s="59">
        <v>71</v>
      </c>
      <c r="AL36" s="60">
        <f t="shared" si="5"/>
        <v>2.9583333333333335</v>
      </c>
      <c r="AM36" s="6">
        <v>720</v>
      </c>
      <c r="AO36" s="61"/>
      <c r="AP36" s="61">
        <f t="shared" si="6"/>
        <v>0</v>
      </c>
      <c r="AQ36"/>
    </row>
    <row r="37" spans="1:43" ht="17.25" thickBot="1" x14ac:dyDescent="0.35">
      <c r="A37" s="62">
        <v>31</v>
      </c>
      <c r="B37" s="67">
        <v>636</v>
      </c>
      <c r="C37" s="42">
        <f t="shared" si="0"/>
        <v>26.5</v>
      </c>
      <c r="D37" s="76">
        <v>445</v>
      </c>
      <c r="E37" s="44">
        <v>424</v>
      </c>
      <c r="F37" s="77">
        <v>869</v>
      </c>
      <c r="G37" s="78">
        <v>345</v>
      </c>
      <c r="H37" s="220">
        <v>31</v>
      </c>
      <c r="I37" s="211">
        <v>0</v>
      </c>
      <c r="J37" s="46">
        <f t="shared" si="1"/>
        <v>0</v>
      </c>
      <c r="K37" s="79">
        <v>0</v>
      </c>
      <c r="L37" s="80">
        <v>0</v>
      </c>
      <c r="M37" s="201">
        <v>0</v>
      </c>
      <c r="N37" s="50">
        <f t="shared" si="2"/>
        <v>0</v>
      </c>
      <c r="O37" s="199">
        <v>0</v>
      </c>
      <c r="P37" s="81">
        <f t="shared" si="3"/>
        <v>0</v>
      </c>
      <c r="Q37" s="227">
        <v>0</v>
      </c>
      <c r="R37" s="82">
        <v>0</v>
      </c>
      <c r="S37" s="54">
        <v>0</v>
      </c>
      <c r="T37" s="223">
        <v>0</v>
      </c>
      <c r="U37" s="55">
        <f t="shared" si="7"/>
        <v>636</v>
      </c>
      <c r="V37" s="232">
        <f t="shared" si="4"/>
        <v>26.5</v>
      </c>
      <c r="W37" s="237">
        <v>0</v>
      </c>
      <c r="X37" s="83">
        <v>0</v>
      </c>
      <c r="Y37" s="84">
        <v>0</v>
      </c>
      <c r="Z37" s="85"/>
      <c r="AA37" s="348"/>
      <c r="AB37" s="348"/>
      <c r="AC37" s="348"/>
      <c r="AD37" s="349"/>
      <c r="AE37" s="350"/>
      <c r="AF37" s="351"/>
      <c r="AG37" s="351"/>
      <c r="AH37" s="352"/>
      <c r="AI37" s="58">
        <v>1440</v>
      </c>
      <c r="AJ37" s="58"/>
      <c r="AK37" s="59">
        <v>0</v>
      </c>
      <c r="AL37" s="60">
        <f t="shared" si="5"/>
        <v>0</v>
      </c>
      <c r="AM37" s="6"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43522</v>
      </c>
      <c r="C38" s="88">
        <f t="shared" si="8"/>
        <v>1813.4166666666667</v>
      </c>
      <c r="D38" s="89">
        <f t="shared" si="8"/>
        <v>30466</v>
      </c>
      <c r="E38" s="89">
        <f t="shared" si="8"/>
        <v>20795</v>
      </c>
      <c r="F38" s="89">
        <f t="shared" si="8"/>
        <v>51259</v>
      </c>
      <c r="G38" s="90">
        <f t="shared" si="8"/>
        <v>12922</v>
      </c>
      <c r="H38" s="221">
        <f t="shared" si="8"/>
        <v>2717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1049</v>
      </c>
      <c r="N38" s="89"/>
      <c r="O38" s="87">
        <f>SUM(O7:O37)</f>
        <v>11663</v>
      </c>
      <c r="P38" s="93"/>
      <c r="Q38" s="212">
        <f>SUM(Q7:Q37)</f>
        <v>1085</v>
      </c>
      <c r="R38" s="87">
        <f>SUM(R7:R37)</f>
        <v>3355</v>
      </c>
      <c r="S38" s="87">
        <f>SUM(S7:S37)</f>
        <v>7646</v>
      </c>
      <c r="T38" s="87">
        <f>SUM(T7:T37)</f>
        <v>12333</v>
      </c>
      <c r="U38" s="94">
        <f>SUM(U7:U37)</f>
        <v>68320</v>
      </c>
      <c r="V38" s="207"/>
      <c r="W38" s="238">
        <f>SUM(W7:W37)</f>
        <v>228.80000000000004</v>
      </c>
      <c r="X38" s="89">
        <f>SUM(X7:X37)</f>
        <v>188.99999999999994</v>
      </c>
      <c r="Y38" s="91">
        <f>SUM(Y7:Y37)</f>
        <v>621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80.666666666666671</v>
      </c>
      <c r="AJ38" s="243">
        <f>SUM(AJ7:AJ37)/60</f>
        <v>125.75</v>
      </c>
      <c r="AK38" s="244">
        <f>SUM(AK7:AK37)</f>
        <v>3980</v>
      </c>
      <c r="AL38" s="97">
        <f>SUM(AL7:AL37)/60</f>
        <v>2.7638888888888888</v>
      </c>
      <c r="AM38" s="240">
        <f>SUM(AM7:AM37)/60</f>
        <v>688</v>
      </c>
      <c r="AP38"/>
      <c r="AQ38"/>
    </row>
    <row r="39" spans="1:43" ht="17.25" thickBot="1" x14ac:dyDescent="0.35">
      <c r="A39" s="98" t="s">
        <v>37</v>
      </c>
      <c r="B39" s="99">
        <f>AVERAGE(B7:B37)</f>
        <v>1403.9354838709678</v>
      </c>
      <c r="C39" s="100">
        <f>B39/24</f>
        <v>58.497311827956992</v>
      </c>
      <c r="D39" s="101">
        <f t="shared" ref="D39:I39" si="9">AVERAGE(D7:D37)</f>
        <v>982.77419354838707</v>
      </c>
      <c r="E39" s="101">
        <f t="shared" si="9"/>
        <v>670.80645161290317</v>
      </c>
      <c r="F39" s="101">
        <f t="shared" si="9"/>
        <v>1653.516129032258</v>
      </c>
      <c r="G39" s="208">
        <f t="shared" si="9"/>
        <v>416.83870967741933</v>
      </c>
      <c r="H39" s="102">
        <f t="shared" si="9"/>
        <v>87.645161290322577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33.838709677419352</v>
      </c>
      <c r="N39" s="103">
        <f>M39/24</f>
        <v>1.4099462365591398</v>
      </c>
      <c r="O39" s="101">
        <f>AVERAGE(O7:O37)</f>
        <v>376.22580645161293</v>
      </c>
      <c r="P39" s="229">
        <f>O39/24</f>
        <v>15.676075268817206</v>
      </c>
      <c r="Q39" s="228">
        <f>AVERAGE(Q7:Q37)</f>
        <v>35</v>
      </c>
      <c r="R39" s="106">
        <f>AVERAGE(R7:R37)</f>
        <v>108.2258064516129</v>
      </c>
      <c r="S39" s="102">
        <f>AVERAGE(S7:S37)</f>
        <v>246.64516129032259</v>
      </c>
      <c r="T39" s="102">
        <f>AVERAGE(T7:T37)</f>
        <v>397.83870967741933</v>
      </c>
      <c r="U39" s="107">
        <f>AVERAGE(U7:U37)</f>
        <v>2203.8709677419356</v>
      </c>
      <c r="V39" s="233">
        <f>U39/24</f>
        <v>91.827956989247312</v>
      </c>
      <c r="W39" s="105">
        <f>AVERAGE(W7:W37)</f>
        <v>7.3806451612903237</v>
      </c>
      <c r="X39" s="101">
        <f>AVERAGE(X7:X37)</f>
        <v>6.0967741935483852</v>
      </c>
      <c r="Y39" s="104">
        <f>AVERAGE(Y7:Y37)</f>
        <v>20.032258064516128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206.41666666666669</v>
      </c>
      <c r="AI39" s="354"/>
      <c r="AJ39" s="247">
        <f>AI39/24</f>
        <v>0</v>
      </c>
      <c r="AK39" s="245">
        <f>(AK38/31)/24</f>
        <v>5.3494623655913971</v>
      </c>
      <c r="AP39"/>
      <c r="AQ39"/>
    </row>
    <row r="40" spans="1:43" ht="17.25" thickBot="1" x14ac:dyDescent="0.35">
      <c r="A40" s="7"/>
      <c r="M40" s="108">
        <f>M38+O38</f>
        <v>12712</v>
      </c>
      <c r="P40" s="109"/>
      <c r="Q40" s="110" t="s">
        <v>39</v>
      </c>
      <c r="R40" s="109">
        <f>Q38+R38</f>
        <v>4440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186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5.967741935483871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10.276881720430108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58.497311827956992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17.086021505376344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32000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91.827956989247326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52" t="s">
        <v>50</v>
      </c>
      <c r="E49" s="252" t="s">
        <v>187</v>
      </c>
      <c r="F49" s="140" t="s">
        <v>51</v>
      </c>
      <c r="G49" s="140" t="s">
        <v>52</v>
      </c>
      <c r="H49" s="252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471</v>
      </c>
      <c r="F50" s="148">
        <v>488</v>
      </c>
      <c r="G50" s="148">
        <v>478</v>
      </c>
      <c r="H50" s="148">
        <v>491</v>
      </c>
      <c r="I50" s="148">
        <v>515</v>
      </c>
      <c r="J50" s="148">
        <v>467</v>
      </c>
      <c r="K50" s="148">
        <v>442</v>
      </c>
      <c r="L50" s="148">
        <v>451</v>
      </c>
      <c r="M50" s="148">
        <v>444</v>
      </c>
      <c r="N50" s="148">
        <v>489</v>
      </c>
      <c r="O50" s="148">
        <v>509</v>
      </c>
      <c r="P50" s="148">
        <v>506</v>
      </c>
      <c r="Q50" s="148">
        <v>507</v>
      </c>
      <c r="R50" s="148">
        <v>504</v>
      </c>
      <c r="S50" s="148">
        <v>511</v>
      </c>
      <c r="T50" s="148">
        <v>488</v>
      </c>
      <c r="U50" s="148">
        <v>476</v>
      </c>
      <c r="V50" s="148">
        <v>497</v>
      </c>
      <c r="W50" s="148">
        <v>419</v>
      </c>
      <c r="X50" s="148">
        <v>287</v>
      </c>
      <c r="Y50" s="148">
        <v>480</v>
      </c>
      <c r="Z50" s="148">
        <v>464</v>
      </c>
      <c r="AA50" s="148">
        <v>480</v>
      </c>
      <c r="AB50" s="148">
        <v>469</v>
      </c>
      <c r="AC50" s="148">
        <v>489</v>
      </c>
      <c r="AD50" s="148">
        <v>470</v>
      </c>
      <c r="AE50" s="148">
        <v>286</v>
      </c>
      <c r="AF50" s="148">
        <v>0</v>
      </c>
      <c r="AG50" s="148">
        <v>0</v>
      </c>
      <c r="AH50" s="148">
        <v>0</v>
      </c>
      <c r="AI50" s="148">
        <v>0</v>
      </c>
      <c r="AJ50" s="149">
        <f>SUM(E50:AI50)</f>
        <v>12578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72</v>
      </c>
      <c r="I51" s="148">
        <v>72</v>
      </c>
      <c r="J51" s="148">
        <v>72</v>
      </c>
      <c r="K51" s="148">
        <v>72</v>
      </c>
      <c r="L51" s="148">
        <v>72</v>
      </c>
      <c r="M51" s="148">
        <v>72</v>
      </c>
      <c r="N51" s="148">
        <v>72</v>
      </c>
      <c r="O51" s="148">
        <v>72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60</v>
      </c>
      <c r="X51" s="148">
        <v>33</v>
      </c>
      <c r="Y51" s="148">
        <v>72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42</v>
      </c>
      <c r="AF51" s="148">
        <v>0</v>
      </c>
      <c r="AG51" s="148">
        <v>0</v>
      </c>
      <c r="AH51" s="148">
        <v>0</v>
      </c>
      <c r="AI51" s="148">
        <v>0</v>
      </c>
      <c r="AJ51" s="149">
        <f>SUM(E51:AI51)</f>
        <v>1863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349</v>
      </c>
      <c r="F52" s="148">
        <f>$S8</f>
        <v>376</v>
      </c>
      <c r="G52" s="148">
        <f>$S9</f>
        <v>202</v>
      </c>
      <c r="H52" s="148">
        <f>$S10</f>
        <v>218</v>
      </c>
      <c r="I52" s="148">
        <f>$S11</f>
        <v>395</v>
      </c>
      <c r="J52" s="148">
        <f>$S12</f>
        <v>287</v>
      </c>
      <c r="K52" s="148">
        <f>$S13</f>
        <v>241</v>
      </c>
      <c r="L52" s="148">
        <f>$S14</f>
        <v>252</v>
      </c>
      <c r="M52" s="148">
        <f>$S15</f>
        <v>245</v>
      </c>
      <c r="N52" s="148">
        <f>$S16</f>
        <v>312</v>
      </c>
      <c r="O52" s="148">
        <f>$S17</f>
        <v>147</v>
      </c>
      <c r="P52" s="148">
        <f>$S18</f>
        <v>135</v>
      </c>
      <c r="Q52" s="148">
        <f>$S19</f>
        <v>377</v>
      </c>
      <c r="R52" s="148">
        <f>$S20</f>
        <v>369</v>
      </c>
      <c r="S52" s="148">
        <f>$S21</f>
        <v>373</v>
      </c>
      <c r="T52" s="148">
        <f>$S22</f>
        <v>317</v>
      </c>
      <c r="U52" s="148">
        <f>$S23</f>
        <v>240</v>
      </c>
      <c r="V52" s="148">
        <f>$S24</f>
        <v>301</v>
      </c>
      <c r="W52" s="148">
        <f>$S25</f>
        <v>275</v>
      </c>
      <c r="X52" s="148">
        <f>$S26</f>
        <v>205</v>
      </c>
      <c r="Y52" s="148">
        <f>$S27</f>
        <v>319</v>
      </c>
      <c r="Z52" s="148">
        <f>$S28</f>
        <v>262</v>
      </c>
      <c r="AA52" s="148">
        <f>$S29</f>
        <v>333</v>
      </c>
      <c r="AB52" s="148">
        <f>$S30</f>
        <v>270</v>
      </c>
      <c r="AC52" s="148">
        <f>$S31</f>
        <v>363</v>
      </c>
      <c r="AD52" s="148">
        <f>$S32</f>
        <v>327</v>
      </c>
      <c r="AE52" s="148">
        <f>$S33</f>
        <v>156</v>
      </c>
      <c r="AF52" s="148">
        <f>$S34</f>
        <v>0</v>
      </c>
      <c r="AG52" s="148">
        <f>$S35</f>
        <v>0</v>
      </c>
      <c r="AH52" s="148">
        <f>$S36</f>
        <v>0</v>
      </c>
      <c r="AI52" s="148">
        <f>$S37</f>
        <v>0</v>
      </c>
      <c r="AJ52" s="154">
        <f>SUM(E52:AI52)</f>
        <v>7646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50</v>
      </c>
      <c r="F53" s="157">
        <f t="shared" si="10"/>
        <v>40</v>
      </c>
      <c r="G53" s="157">
        <f t="shared" si="10"/>
        <v>204</v>
      </c>
      <c r="H53" s="157">
        <f t="shared" si="10"/>
        <v>201</v>
      </c>
      <c r="I53" s="157">
        <f t="shared" si="10"/>
        <v>48</v>
      </c>
      <c r="J53" s="157">
        <f t="shared" si="10"/>
        <v>108</v>
      </c>
      <c r="K53" s="157">
        <f t="shared" si="10"/>
        <v>129</v>
      </c>
      <c r="L53" s="157">
        <f t="shared" si="10"/>
        <v>127</v>
      </c>
      <c r="M53" s="157">
        <f t="shared" si="10"/>
        <v>127</v>
      </c>
      <c r="N53" s="157">
        <f t="shared" si="10"/>
        <v>105</v>
      </c>
      <c r="O53" s="157">
        <f t="shared" si="10"/>
        <v>290</v>
      </c>
      <c r="P53" s="157">
        <f t="shared" si="10"/>
        <v>299</v>
      </c>
      <c r="Q53" s="157">
        <f t="shared" si="10"/>
        <v>58</v>
      </c>
      <c r="R53" s="157">
        <f t="shared" si="10"/>
        <v>63</v>
      </c>
      <c r="S53" s="157">
        <f t="shared" si="10"/>
        <v>66</v>
      </c>
      <c r="T53" s="157">
        <f t="shared" si="10"/>
        <v>99</v>
      </c>
      <c r="U53" s="157">
        <f t="shared" si="10"/>
        <v>164</v>
      </c>
      <c r="V53" s="157">
        <f t="shared" si="10"/>
        <v>124</v>
      </c>
      <c r="W53" s="157">
        <f t="shared" si="10"/>
        <v>84</v>
      </c>
      <c r="X53" s="157">
        <f t="shared" si="10"/>
        <v>49</v>
      </c>
      <c r="Y53" s="157">
        <f t="shared" si="10"/>
        <v>89</v>
      </c>
      <c r="Z53" s="157">
        <f t="shared" si="10"/>
        <v>130</v>
      </c>
      <c r="AA53" s="157">
        <f t="shared" si="10"/>
        <v>75</v>
      </c>
      <c r="AB53" s="157">
        <f t="shared" si="10"/>
        <v>127</v>
      </c>
      <c r="AC53" s="157">
        <f t="shared" si="10"/>
        <v>54</v>
      </c>
      <c r="AD53" s="157">
        <f t="shared" si="10"/>
        <v>71</v>
      </c>
      <c r="AE53" s="157">
        <f t="shared" si="10"/>
        <v>88</v>
      </c>
      <c r="AF53" s="157">
        <f t="shared" si="10"/>
        <v>0</v>
      </c>
      <c r="AG53" s="157">
        <f t="shared" si="10"/>
        <v>0</v>
      </c>
      <c r="AH53" s="157">
        <f t="shared" si="10"/>
        <v>0</v>
      </c>
      <c r="AI53" s="157">
        <f t="shared" si="10"/>
        <v>0</v>
      </c>
      <c r="AJ53" s="154">
        <f>SUM(E53:AI53)</f>
        <v>3069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850</v>
      </c>
      <c r="F54" s="160">
        <f t="shared" si="11"/>
        <v>680</v>
      </c>
      <c r="G54" s="160">
        <f t="shared" si="11"/>
        <v>3468</v>
      </c>
      <c r="H54" s="160">
        <f t="shared" si="11"/>
        <v>3417</v>
      </c>
      <c r="I54" s="160">
        <f t="shared" si="11"/>
        <v>816</v>
      </c>
      <c r="J54" s="160">
        <f t="shared" si="11"/>
        <v>1836</v>
      </c>
      <c r="K54" s="160">
        <f t="shared" si="11"/>
        <v>2193</v>
      </c>
      <c r="L54" s="160">
        <f t="shared" si="11"/>
        <v>2159</v>
      </c>
      <c r="M54" s="160">
        <f t="shared" si="11"/>
        <v>2159</v>
      </c>
      <c r="N54" s="160">
        <f t="shared" si="11"/>
        <v>1785</v>
      </c>
      <c r="O54" s="160">
        <f t="shared" si="11"/>
        <v>4930</v>
      </c>
      <c r="P54" s="160">
        <f t="shared" si="11"/>
        <v>5083</v>
      </c>
      <c r="Q54" s="160">
        <f t="shared" si="11"/>
        <v>986</v>
      </c>
      <c r="R54" s="160">
        <f t="shared" si="11"/>
        <v>1071</v>
      </c>
      <c r="S54" s="160">
        <f t="shared" si="11"/>
        <v>1122</v>
      </c>
      <c r="T54" s="160">
        <f t="shared" si="11"/>
        <v>1683</v>
      </c>
      <c r="U54" s="160">
        <f t="shared" si="11"/>
        <v>2788</v>
      </c>
      <c r="V54" s="160">
        <f t="shared" si="11"/>
        <v>2108</v>
      </c>
      <c r="W54" s="160">
        <f t="shared" si="11"/>
        <v>1428</v>
      </c>
      <c r="X54" s="160">
        <f t="shared" si="11"/>
        <v>833</v>
      </c>
      <c r="Y54" s="160">
        <f t="shared" si="11"/>
        <v>1513</v>
      </c>
      <c r="Z54" s="160">
        <f t="shared" si="11"/>
        <v>2210</v>
      </c>
      <c r="AA54" s="160">
        <f t="shared" si="11"/>
        <v>1275</v>
      </c>
      <c r="AB54" s="160">
        <f t="shared" si="11"/>
        <v>2159</v>
      </c>
      <c r="AC54" s="160">
        <f t="shared" si="11"/>
        <v>918</v>
      </c>
      <c r="AD54" s="160">
        <f t="shared" si="11"/>
        <v>1207</v>
      </c>
      <c r="AE54" s="160">
        <f t="shared" si="11"/>
        <v>1496</v>
      </c>
      <c r="AF54" s="160" t="str">
        <f t="shared" si="11"/>
        <v xml:space="preserve"> </v>
      </c>
      <c r="AG54" s="160" t="str">
        <f t="shared" si="11"/>
        <v xml:space="preserve"> </v>
      </c>
      <c r="AH54" s="160" t="str">
        <f t="shared" si="11"/>
        <v xml:space="preserve"> </v>
      </c>
      <c r="AI54" s="160" t="str">
        <f t="shared" si="11"/>
        <v xml:space="preserve"> </v>
      </c>
      <c r="AJ54" s="161">
        <f>SUM(E54:AI54)</f>
        <v>52173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163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164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45726</v>
      </c>
      <c r="B58" s="312" t="s">
        <v>190</v>
      </c>
      <c r="C58" s="312"/>
      <c r="D58" s="306" t="s">
        <v>191</v>
      </c>
      <c r="E58" s="307"/>
      <c r="F58" s="307"/>
      <c r="G58" s="307"/>
      <c r="H58" s="307"/>
      <c r="I58" s="307"/>
      <c r="J58" s="169">
        <v>60</v>
      </c>
      <c r="K58" s="169">
        <v>49</v>
      </c>
      <c r="L58" s="170">
        <v>150</v>
      </c>
      <c r="M58" s="171">
        <f t="shared" ref="M58:M83" si="12">J58-K58</f>
        <v>11</v>
      </c>
      <c r="N58" s="172">
        <f t="shared" ref="N58:N83" si="13">M58/60</f>
        <v>0.18333333333333332</v>
      </c>
      <c r="O58" s="173">
        <f t="shared" ref="O58:O83" si="14">L58*N58</f>
        <v>27.499999999999996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45739</v>
      </c>
      <c r="B59" s="312" t="s">
        <v>197</v>
      </c>
      <c r="C59" s="312"/>
      <c r="D59" s="306" t="s">
        <v>200</v>
      </c>
      <c r="E59" s="307"/>
      <c r="F59" s="307"/>
      <c r="G59" s="307"/>
      <c r="H59" s="307"/>
      <c r="I59" s="307"/>
      <c r="J59" s="169">
        <v>60</v>
      </c>
      <c r="K59" s="169">
        <v>56</v>
      </c>
      <c r="L59" s="170">
        <v>110</v>
      </c>
      <c r="M59" s="171">
        <f t="shared" si="12"/>
        <v>4</v>
      </c>
      <c r="N59" s="172">
        <f t="shared" si="13"/>
        <v>6.6666666666666666E-2</v>
      </c>
      <c r="O59" s="173">
        <f t="shared" si="14"/>
        <v>7.333333333333333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 t="s">
        <v>199</v>
      </c>
      <c r="B60" s="312" t="s">
        <v>198</v>
      </c>
      <c r="C60" s="312"/>
      <c r="D60" s="306" t="s">
        <v>201</v>
      </c>
      <c r="E60" s="307"/>
      <c r="F60" s="307"/>
      <c r="G60" s="307"/>
      <c r="H60" s="307"/>
      <c r="I60" s="307"/>
      <c r="J60" s="169">
        <v>60</v>
      </c>
      <c r="K60" s="169">
        <v>48</v>
      </c>
      <c r="L60" s="170">
        <v>92</v>
      </c>
      <c r="M60" s="171">
        <f t="shared" si="12"/>
        <v>12</v>
      </c>
      <c r="N60" s="172">
        <f t="shared" si="13"/>
        <v>0.2</v>
      </c>
      <c r="O60" s="173">
        <f t="shared" si="14"/>
        <v>18.400000000000002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/>
      <c r="B61" s="313"/>
      <c r="C61" s="314"/>
      <c r="D61" s="306"/>
      <c r="E61" s="307"/>
      <c r="F61" s="307"/>
      <c r="G61" s="307"/>
      <c r="H61" s="307"/>
      <c r="I61" s="307"/>
      <c r="J61" s="169"/>
      <c r="K61" s="169"/>
      <c r="L61" s="170"/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166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164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53"/>
      <c r="S67" s="253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53"/>
      <c r="S68" s="253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53">
        <f>SUM(Q38:R38)*65</f>
        <v>288600</v>
      </c>
      <c r="S73" s="253"/>
      <c r="T73" s="253"/>
      <c r="U73" s="253"/>
      <c r="V73" s="253"/>
      <c r="W73" s="253"/>
      <c r="X73" s="253"/>
      <c r="Y73" s="253"/>
      <c r="Z73" s="190"/>
      <c r="AA73" s="190"/>
      <c r="AB73" s="58"/>
      <c r="AC73" s="58"/>
      <c r="AD73" s="191">
        <f>SUM(R73:AC73)</f>
        <v>288600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53"/>
      <c r="S74" s="253"/>
      <c r="T74" s="253"/>
      <c r="U74" s="253"/>
      <c r="V74" s="253"/>
      <c r="W74" s="253"/>
      <c r="X74" s="253"/>
      <c r="Y74" s="253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288600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288600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53.233333333333334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zoomScale="90" zoomScaleNormal="90" workbookViewId="0">
      <pane ySplit="6" topLeftCell="A7" activePane="bottomLeft" state="frozen"/>
      <selection pane="bottomLeft" activeCell="Y11" sqref="Y11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1.6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19" width="10.875" style="7" customWidth="1"/>
    <col min="20" max="20" width="11.875" style="7" customWidth="1"/>
    <col min="21" max="21" width="12.5" style="6" customWidth="1"/>
    <col min="22" max="22" width="12.25" style="6" customWidth="1"/>
    <col min="23" max="23" width="9.875" style="8" bestFit="1" customWidth="1"/>
    <col min="24" max="27" width="11.375" style="8" customWidth="1"/>
    <col min="28" max="28" width="11.75" style="8" customWidth="1"/>
    <col min="29" max="31" width="11.375" style="8" customWidth="1"/>
    <col min="32" max="32" width="10.5" style="8" bestFit="1" customWidth="1"/>
    <col min="33" max="33" width="9.75" style="8" bestFit="1" customWidth="1"/>
    <col min="34" max="34" width="8.5" style="6" customWidth="1"/>
    <col min="35" max="35" width="9.375" style="6" bestFit="1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bestFit="1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203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62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3</v>
      </c>
      <c r="AI5" s="354"/>
      <c r="AJ5" s="251" t="s">
        <v>169</v>
      </c>
      <c r="AK5" s="22" t="s">
        <v>19</v>
      </c>
      <c r="AL5" s="23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30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172</v>
      </c>
      <c r="AN6" s="7"/>
      <c r="AO6" s="7"/>
      <c r="AP6" s="7"/>
      <c r="AQ6"/>
    </row>
    <row r="7" spans="1:43" x14ac:dyDescent="0.3">
      <c r="A7" s="40">
        <v>1</v>
      </c>
      <c r="B7" s="41">
        <v>586</v>
      </c>
      <c r="C7" s="214">
        <f t="shared" ref="C7:C37" si="0">B7/24</f>
        <v>24.416666666666668</v>
      </c>
      <c r="D7" s="43">
        <v>410</v>
      </c>
      <c r="E7" s="44">
        <v>449</v>
      </c>
      <c r="F7" s="44">
        <v>859</v>
      </c>
      <c r="G7" s="45">
        <v>334</v>
      </c>
      <c r="H7" s="218">
        <v>39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0</v>
      </c>
      <c r="P7" s="52">
        <f t="shared" ref="P7:P37" si="3">O7/24</f>
        <v>0</v>
      </c>
      <c r="Q7" s="263">
        <v>0</v>
      </c>
      <c r="R7" s="53">
        <v>0</v>
      </c>
      <c r="S7" s="54">
        <v>0</v>
      </c>
      <c r="T7" s="223">
        <v>0</v>
      </c>
      <c r="U7" s="55">
        <f>SUM(B7,I7,M7,O7,Q7,R7,S7)</f>
        <v>586</v>
      </c>
      <c r="V7" s="231">
        <f t="shared" ref="V7:V37" si="4">U7/24</f>
        <v>24.416666666666668</v>
      </c>
      <c r="W7" s="235">
        <v>0</v>
      </c>
      <c r="X7" s="56">
        <v>0</v>
      </c>
      <c r="Y7" s="57">
        <v>0</v>
      </c>
      <c r="Z7" s="6"/>
      <c r="AA7" s="348"/>
      <c r="AB7" s="348"/>
      <c r="AC7" s="348"/>
      <c r="AD7" s="348"/>
      <c r="AE7" s="350"/>
      <c r="AF7" s="351"/>
      <c r="AG7" s="351"/>
      <c r="AH7" s="352"/>
      <c r="AI7" s="58">
        <v>1440</v>
      </c>
      <c r="AJ7" s="58"/>
      <c r="AK7" s="59">
        <v>0</v>
      </c>
      <c r="AL7" s="60">
        <f t="shared" ref="AL7:AL37" si="5">AK7/24</f>
        <v>0</v>
      </c>
      <c r="AM7" s="6">
        <v>0</v>
      </c>
      <c r="AO7" s="61"/>
      <c r="AP7" s="61">
        <f t="shared" ref="AP7:AP37" si="6">S7-AO7</f>
        <v>0</v>
      </c>
      <c r="AQ7"/>
    </row>
    <row r="8" spans="1:43" x14ac:dyDescent="0.3">
      <c r="A8" s="62">
        <v>2</v>
      </c>
      <c r="B8" s="41">
        <v>555</v>
      </c>
      <c r="C8" s="42">
        <f t="shared" si="0"/>
        <v>23.125</v>
      </c>
      <c r="D8" s="63">
        <v>389</v>
      </c>
      <c r="E8" s="44">
        <v>418</v>
      </c>
      <c r="F8" s="64">
        <v>806</v>
      </c>
      <c r="G8" s="20">
        <v>336</v>
      </c>
      <c r="H8" s="216">
        <v>31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0</v>
      </c>
      <c r="P8" s="52">
        <f t="shared" si="3"/>
        <v>0</v>
      </c>
      <c r="Q8" s="263">
        <v>23</v>
      </c>
      <c r="R8" s="53">
        <v>0</v>
      </c>
      <c r="S8" s="54">
        <v>0</v>
      </c>
      <c r="T8" s="223">
        <v>0</v>
      </c>
      <c r="U8" s="55">
        <f>SUM(B8,I8,M8,O8,Q8,R8,S8)</f>
        <v>578</v>
      </c>
      <c r="V8" s="231">
        <f t="shared" si="4"/>
        <v>24.083333333333332</v>
      </c>
      <c r="W8" s="236">
        <v>1.83</v>
      </c>
      <c r="X8" s="65">
        <v>0</v>
      </c>
      <c r="Y8" s="66">
        <v>0</v>
      </c>
      <c r="Z8" s="6"/>
      <c r="AA8" s="359"/>
      <c r="AB8" s="348"/>
      <c r="AC8" s="348"/>
      <c r="AD8" s="348"/>
      <c r="AE8" s="350"/>
      <c r="AF8" s="351"/>
      <c r="AG8" s="351"/>
      <c r="AH8" s="352"/>
      <c r="AI8" s="58">
        <v>1440</v>
      </c>
      <c r="AJ8" s="58"/>
      <c r="AK8" s="59">
        <v>0</v>
      </c>
      <c r="AL8" s="60">
        <f t="shared" si="5"/>
        <v>0</v>
      </c>
      <c r="AM8" s="6">
        <v>0</v>
      </c>
      <c r="AO8" s="61"/>
      <c r="AP8" s="61">
        <f t="shared" si="6"/>
        <v>0</v>
      </c>
      <c r="AQ8"/>
    </row>
    <row r="9" spans="1:43" x14ac:dyDescent="0.3">
      <c r="A9" s="62">
        <v>3</v>
      </c>
      <c r="B9" s="67">
        <v>561</v>
      </c>
      <c r="C9" s="42">
        <f t="shared" si="0"/>
        <v>23.375</v>
      </c>
      <c r="D9" s="63">
        <v>393</v>
      </c>
      <c r="E9" s="44">
        <v>528</v>
      </c>
      <c r="F9" s="64">
        <v>921</v>
      </c>
      <c r="G9" s="20">
        <v>318</v>
      </c>
      <c r="H9" s="216">
        <v>42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0</v>
      </c>
      <c r="P9" s="52">
        <f t="shared" si="3"/>
        <v>0</v>
      </c>
      <c r="Q9" s="263">
        <v>1</v>
      </c>
      <c r="R9" s="53">
        <v>4</v>
      </c>
      <c r="S9" s="54">
        <v>0</v>
      </c>
      <c r="T9" s="223">
        <v>0</v>
      </c>
      <c r="U9" s="55">
        <f t="shared" ref="U9:U37" si="7">SUM(B9,I9,M9,O9,Q9,R9,S9)</f>
        <v>566</v>
      </c>
      <c r="V9" s="231">
        <f t="shared" si="4"/>
        <v>23.583333333333332</v>
      </c>
      <c r="W9" s="236">
        <v>0.33</v>
      </c>
      <c r="X9" s="65">
        <v>0.83</v>
      </c>
      <c r="Y9" s="66">
        <v>0</v>
      </c>
      <c r="Z9" s="6"/>
      <c r="AA9" s="348" t="s">
        <v>205</v>
      </c>
      <c r="AB9" s="348"/>
      <c r="AC9" s="348"/>
      <c r="AD9" s="348"/>
      <c r="AE9" s="350"/>
      <c r="AF9" s="351"/>
      <c r="AG9" s="351"/>
      <c r="AH9" s="352"/>
      <c r="AI9" s="58">
        <v>1040</v>
      </c>
      <c r="AJ9" s="58">
        <v>340</v>
      </c>
      <c r="AK9" s="59">
        <v>0</v>
      </c>
      <c r="AL9" s="60">
        <f t="shared" si="5"/>
        <v>0</v>
      </c>
      <c r="AM9" s="6">
        <v>0</v>
      </c>
      <c r="AO9" s="61"/>
      <c r="AP9" s="61">
        <f t="shared" si="6"/>
        <v>0</v>
      </c>
      <c r="AQ9"/>
    </row>
    <row r="10" spans="1:43" x14ac:dyDescent="0.3">
      <c r="A10" s="62">
        <v>4</v>
      </c>
      <c r="B10" s="67">
        <v>614</v>
      </c>
      <c r="C10" s="42">
        <f t="shared" si="0"/>
        <v>25.583333333333332</v>
      </c>
      <c r="D10" s="63">
        <v>430</v>
      </c>
      <c r="E10" s="44">
        <v>450</v>
      </c>
      <c r="F10" s="64">
        <v>880</v>
      </c>
      <c r="G10" s="20">
        <v>403</v>
      </c>
      <c r="H10" s="216">
        <v>42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53</v>
      </c>
      <c r="P10" s="52">
        <f t="shared" si="3"/>
        <v>2.2083333333333335</v>
      </c>
      <c r="Q10" s="263">
        <v>0</v>
      </c>
      <c r="R10" s="53">
        <v>0</v>
      </c>
      <c r="S10" s="54">
        <v>0</v>
      </c>
      <c r="T10" s="223">
        <v>0</v>
      </c>
      <c r="U10" s="55">
        <f t="shared" si="7"/>
        <v>667</v>
      </c>
      <c r="V10" s="231">
        <f t="shared" si="4"/>
        <v>27.791666666666668</v>
      </c>
      <c r="W10" s="236">
        <v>0</v>
      </c>
      <c r="X10" s="65">
        <v>0</v>
      </c>
      <c r="Y10" s="66">
        <v>0</v>
      </c>
      <c r="Z10" s="6"/>
      <c r="AA10" s="348" t="s">
        <v>206</v>
      </c>
      <c r="AB10" s="348"/>
      <c r="AC10" s="348"/>
      <c r="AD10" s="348"/>
      <c r="AE10" s="350"/>
      <c r="AF10" s="351"/>
      <c r="AG10" s="351"/>
      <c r="AH10" s="352"/>
      <c r="AI10" s="58"/>
      <c r="AJ10" s="58">
        <v>1370</v>
      </c>
      <c r="AK10" s="59">
        <v>0</v>
      </c>
      <c r="AL10" s="60">
        <f t="shared" si="5"/>
        <v>0</v>
      </c>
      <c r="AM10" s="6">
        <v>0</v>
      </c>
      <c r="AO10" s="61"/>
      <c r="AP10" s="61">
        <f t="shared" si="6"/>
        <v>0</v>
      </c>
      <c r="AQ10"/>
    </row>
    <row r="11" spans="1:43" x14ac:dyDescent="0.3">
      <c r="A11" s="62">
        <v>5</v>
      </c>
      <c r="B11" s="67">
        <v>1634</v>
      </c>
      <c r="C11" s="42">
        <f t="shared" si="0"/>
        <v>68.083333333333329</v>
      </c>
      <c r="D11" s="69">
        <v>1144</v>
      </c>
      <c r="E11" s="44">
        <v>787</v>
      </c>
      <c r="F11" s="70">
        <v>1931</v>
      </c>
      <c r="G11" s="20">
        <v>418</v>
      </c>
      <c r="H11" s="216">
        <v>70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383</v>
      </c>
      <c r="P11" s="52">
        <f t="shared" si="3"/>
        <v>15.958333333333334</v>
      </c>
      <c r="Q11" s="263">
        <v>0</v>
      </c>
      <c r="R11" s="53">
        <v>416</v>
      </c>
      <c r="S11" s="54">
        <v>0</v>
      </c>
      <c r="T11" s="223">
        <v>28</v>
      </c>
      <c r="U11" s="55">
        <f t="shared" si="7"/>
        <v>2433</v>
      </c>
      <c r="V11" s="231">
        <f t="shared" si="4"/>
        <v>101.375</v>
      </c>
      <c r="W11" s="236">
        <v>0</v>
      </c>
      <c r="X11" s="65">
        <v>21.5</v>
      </c>
      <c r="Y11" s="66">
        <v>0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137</v>
      </c>
      <c r="AL11" s="60">
        <f t="shared" si="5"/>
        <v>5.708333333333333</v>
      </c>
      <c r="AM11" s="6">
        <v>1260</v>
      </c>
      <c r="AO11" s="61"/>
      <c r="AP11" s="61">
        <f t="shared" si="6"/>
        <v>0</v>
      </c>
      <c r="AQ11"/>
    </row>
    <row r="12" spans="1:43" x14ac:dyDescent="0.3">
      <c r="A12" s="62">
        <v>6</v>
      </c>
      <c r="B12" s="67">
        <v>1644</v>
      </c>
      <c r="C12" s="42">
        <f t="shared" si="0"/>
        <v>68.5</v>
      </c>
      <c r="D12" s="69">
        <v>1151</v>
      </c>
      <c r="E12" s="44">
        <v>803</v>
      </c>
      <c r="F12" s="70">
        <v>1954</v>
      </c>
      <c r="G12" s="75">
        <v>424</v>
      </c>
      <c r="H12" s="219">
        <v>62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376</v>
      </c>
      <c r="P12" s="52">
        <f t="shared" si="3"/>
        <v>15.666666666666666</v>
      </c>
      <c r="Q12" s="263">
        <v>86</v>
      </c>
      <c r="R12" s="53">
        <v>53</v>
      </c>
      <c r="S12" s="54">
        <v>339</v>
      </c>
      <c r="T12" s="223">
        <v>448</v>
      </c>
      <c r="U12" s="55">
        <f t="shared" si="7"/>
        <v>2498</v>
      </c>
      <c r="V12" s="231">
        <f t="shared" si="4"/>
        <v>104.08333333333333</v>
      </c>
      <c r="W12" s="236">
        <v>13.33</v>
      </c>
      <c r="X12" s="65">
        <v>3.67</v>
      </c>
      <c r="Y12" s="66">
        <v>22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169</v>
      </c>
      <c r="AL12" s="60">
        <f t="shared" si="5"/>
        <v>7.041666666666667</v>
      </c>
      <c r="AM12" s="6">
        <v>1440</v>
      </c>
      <c r="AO12" s="61"/>
      <c r="AP12" s="61">
        <f t="shared" si="6"/>
        <v>339</v>
      </c>
      <c r="AQ12"/>
    </row>
    <row r="13" spans="1:43" x14ac:dyDescent="0.3">
      <c r="A13" s="62">
        <v>7</v>
      </c>
      <c r="B13" s="67">
        <v>1673</v>
      </c>
      <c r="C13" s="42">
        <f t="shared" si="0"/>
        <v>69.708333333333329</v>
      </c>
      <c r="D13" s="69">
        <v>1171</v>
      </c>
      <c r="E13" s="44">
        <v>781</v>
      </c>
      <c r="F13" s="70">
        <v>1952</v>
      </c>
      <c r="G13" s="20">
        <v>397</v>
      </c>
      <c r="H13" s="216">
        <v>71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384</v>
      </c>
      <c r="P13" s="52">
        <f t="shared" si="3"/>
        <v>16</v>
      </c>
      <c r="Q13" s="263">
        <v>102</v>
      </c>
      <c r="R13" s="53">
        <v>0</v>
      </c>
      <c r="S13" s="54">
        <v>442</v>
      </c>
      <c r="T13" s="223">
        <v>513</v>
      </c>
      <c r="U13" s="55">
        <f t="shared" si="7"/>
        <v>2601</v>
      </c>
      <c r="V13" s="231">
        <f t="shared" si="4"/>
        <v>108.375</v>
      </c>
      <c r="W13" s="236">
        <v>23.5</v>
      </c>
      <c r="X13" s="65">
        <v>0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150</v>
      </c>
      <c r="AL13" s="60">
        <f t="shared" si="5"/>
        <v>6.25</v>
      </c>
      <c r="AM13" s="6">
        <v>1440</v>
      </c>
      <c r="AO13" s="61"/>
      <c r="AP13" s="61">
        <f t="shared" si="6"/>
        <v>442</v>
      </c>
      <c r="AQ13"/>
    </row>
    <row r="14" spans="1:43" x14ac:dyDescent="0.3">
      <c r="A14" s="62">
        <v>8</v>
      </c>
      <c r="B14" s="67">
        <v>1627</v>
      </c>
      <c r="C14" s="42">
        <f t="shared" si="0"/>
        <v>67.791666666666671</v>
      </c>
      <c r="D14" s="69">
        <v>1139</v>
      </c>
      <c r="E14" s="44">
        <v>759</v>
      </c>
      <c r="F14" s="70">
        <v>1898</v>
      </c>
      <c r="G14" s="20">
        <v>356</v>
      </c>
      <c r="H14" s="216">
        <v>71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396</v>
      </c>
      <c r="P14" s="52">
        <f t="shared" si="3"/>
        <v>16.5</v>
      </c>
      <c r="Q14" s="263">
        <v>25</v>
      </c>
      <c r="R14" s="53">
        <v>0</v>
      </c>
      <c r="S14" s="54">
        <v>429</v>
      </c>
      <c r="T14" s="223">
        <v>516</v>
      </c>
      <c r="U14" s="55">
        <f t="shared" si="7"/>
        <v>2477</v>
      </c>
      <c r="V14" s="231">
        <f t="shared" si="4"/>
        <v>103.20833333333333</v>
      </c>
      <c r="W14" s="236">
        <v>6</v>
      </c>
      <c r="X14" s="65">
        <v>0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>
        <v>131</v>
      </c>
      <c r="AL14" s="60">
        <f t="shared" si="5"/>
        <v>5.458333333333333</v>
      </c>
      <c r="AM14" s="6">
        <v>1440</v>
      </c>
      <c r="AO14" s="61"/>
      <c r="AP14" s="61">
        <f t="shared" si="6"/>
        <v>429</v>
      </c>
      <c r="AQ14"/>
    </row>
    <row r="15" spans="1:43" x14ac:dyDescent="0.3">
      <c r="A15" s="62">
        <v>9</v>
      </c>
      <c r="B15" s="67">
        <v>1592</v>
      </c>
      <c r="C15" s="42">
        <f t="shared" si="0"/>
        <v>66.333333333333329</v>
      </c>
      <c r="D15" s="69">
        <v>1114</v>
      </c>
      <c r="E15" s="44">
        <v>756</v>
      </c>
      <c r="F15" s="70">
        <v>1870</v>
      </c>
      <c r="G15" s="20">
        <v>420</v>
      </c>
      <c r="H15" s="216">
        <v>71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391</v>
      </c>
      <c r="P15" s="52">
        <f t="shared" si="3"/>
        <v>16.291666666666668</v>
      </c>
      <c r="Q15" s="263">
        <v>0</v>
      </c>
      <c r="R15" s="53">
        <v>0</v>
      </c>
      <c r="S15" s="54">
        <v>406</v>
      </c>
      <c r="T15" s="223">
        <v>474</v>
      </c>
      <c r="U15" s="55">
        <f t="shared" si="7"/>
        <v>2389</v>
      </c>
      <c r="V15" s="231">
        <f t="shared" si="4"/>
        <v>99.541666666666671</v>
      </c>
      <c r="W15" s="236">
        <v>0</v>
      </c>
      <c r="X15" s="65">
        <v>0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>
        <v>130</v>
      </c>
      <c r="AL15" s="60">
        <f t="shared" si="5"/>
        <v>5.416666666666667</v>
      </c>
      <c r="AM15" s="6">
        <v>1440</v>
      </c>
      <c r="AO15" s="61"/>
      <c r="AP15" s="61">
        <f t="shared" si="6"/>
        <v>406</v>
      </c>
      <c r="AQ15"/>
    </row>
    <row r="16" spans="1:43" x14ac:dyDescent="0.3">
      <c r="A16" s="62">
        <v>10</v>
      </c>
      <c r="B16" s="67">
        <v>1610</v>
      </c>
      <c r="C16" s="42">
        <f t="shared" si="0"/>
        <v>67.083333333333329</v>
      </c>
      <c r="D16" s="69">
        <v>1127</v>
      </c>
      <c r="E16" s="44">
        <v>758</v>
      </c>
      <c r="F16" s="70">
        <v>1885</v>
      </c>
      <c r="G16" s="20">
        <v>391</v>
      </c>
      <c r="H16" s="216">
        <v>77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401</v>
      </c>
      <c r="P16" s="52">
        <f t="shared" si="3"/>
        <v>16.708333333333332</v>
      </c>
      <c r="Q16" s="263">
        <v>4</v>
      </c>
      <c r="R16" s="53">
        <v>0</v>
      </c>
      <c r="S16" s="54">
        <v>412</v>
      </c>
      <c r="T16" s="223">
        <v>467</v>
      </c>
      <c r="U16" s="55">
        <f t="shared" si="7"/>
        <v>2427</v>
      </c>
      <c r="V16" s="231">
        <f t="shared" si="4"/>
        <v>101.125</v>
      </c>
      <c r="W16" s="236">
        <v>1.33</v>
      </c>
      <c r="X16" s="65">
        <v>0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139</v>
      </c>
      <c r="AL16" s="60">
        <f t="shared" si="5"/>
        <v>5.791666666666667</v>
      </c>
      <c r="AM16" s="6">
        <v>1440</v>
      </c>
      <c r="AO16" s="61"/>
      <c r="AP16" s="61">
        <f t="shared" si="6"/>
        <v>412</v>
      </c>
      <c r="AQ16"/>
    </row>
    <row r="17" spans="1:43" x14ac:dyDescent="0.3">
      <c r="A17" s="62">
        <v>11</v>
      </c>
      <c r="B17" s="67">
        <v>1592</v>
      </c>
      <c r="C17" s="42">
        <f t="shared" si="0"/>
        <v>66.333333333333329</v>
      </c>
      <c r="D17" s="69">
        <v>1114</v>
      </c>
      <c r="E17" s="44">
        <v>748</v>
      </c>
      <c r="F17" s="70">
        <v>1862</v>
      </c>
      <c r="G17" s="20">
        <v>455</v>
      </c>
      <c r="H17" s="216">
        <v>73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376</v>
      </c>
      <c r="P17" s="52">
        <f t="shared" si="3"/>
        <v>15.666666666666666</v>
      </c>
      <c r="Q17" s="263">
        <v>5</v>
      </c>
      <c r="R17" s="53">
        <v>0</v>
      </c>
      <c r="S17" s="54">
        <v>440</v>
      </c>
      <c r="T17" s="223">
        <v>465</v>
      </c>
      <c r="U17" s="55">
        <f t="shared" si="7"/>
        <v>2413</v>
      </c>
      <c r="V17" s="231">
        <f t="shared" si="4"/>
        <v>100.54166666666667</v>
      </c>
      <c r="W17" s="236">
        <v>2.33</v>
      </c>
      <c r="X17" s="65">
        <v>0</v>
      </c>
      <c r="Y17" s="66">
        <v>24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160</v>
      </c>
      <c r="AL17" s="60">
        <f t="shared" si="5"/>
        <v>6.666666666666667</v>
      </c>
      <c r="AM17" s="6">
        <v>1440</v>
      </c>
      <c r="AO17" s="61"/>
      <c r="AP17" s="61">
        <f t="shared" si="6"/>
        <v>440</v>
      </c>
      <c r="AQ17"/>
    </row>
    <row r="18" spans="1:43" x14ac:dyDescent="0.3">
      <c r="A18" s="62">
        <v>12</v>
      </c>
      <c r="B18" s="67">
        <v>1522</v>
      </c>
      <c r="C18" s="42">
        <f t="shared" si="0"/>
        <v>63.416666666666664</v>
      </c>
      <c r="D18" s="69">
        <v>1065</v>
      </c>
      <c r="E18" s="44">
        <v>743</v>
      </c>
      <c r="F18" s="70">
        <v>1808</v>
      </c>
      <c r="G18" s="20">
        <v>445</v>
      </c>
      <c r="H18" s="216">
        <v>71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388</v>
      </c>
      <c r="P18" s="52">
        <f t="shared" si="3"/>
        <v>16.166666666666668</v>
      </c>
      <c r="Q18" s="263">
        <v>1</v>
      </c>
      <c r="R18" s="53">
        <v>0</v>
      </c>
      <c r="S18" s="54">
        <v>387</v>
      </c>
      <c r="T18" s="223">
        <v>457</v>
      </c>
      <c r="U18" s="55">
        <f t="shared" si="7"/>
        <v>2298</v>
      </c>
      <c r="V18" s="231">
        <f t="shared" si="4"/>
        <v>95.75</v>
      </c>
      <c r="W18" s="236">
        <v>0.33</v>
      </c>
      <c r="X18" s="65">
        <v>0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158</v>
      </c>
      <c r="AL18" s="60">
        <f t="shared" si="5"/>
        <v>6.583333333333333</v>
      </c>
      <c r="AM18" s="6">
        <v>1440</v>
      </c>
      <c r="AO18" s="61"/>
      <c r="AP18" s="61">
        <f t="shared" si="6"/>
        <v>387</v>
      </c>
      <c r="AQ18"/>
    </row>
    <row r="19" spans="1:43" x14ac:dyDescent="0.3">
      <c r="A19" s="62">
        <v>13</v>
      </c>
      <c r="B19" s="67">
        <v>1531</v>
      </c>
      <c r="C19" s="42">
        <f t="shared" si="0"/>
        <v>63.791666666666664</v>
      </c>
      <c r="D19" s="262">
        <v>1072</v>
      </c>
      <c r="E19" s="44">
        <v>726</v>
      </c>
      <c r="F19" s="19">
        <v>1798</v>
      </c>
      <c r="G19" s="20">
        <v>440</v>
      </c>
      <c r="H19" s="216">
        <v>76</v>
      </c>
      <c r="I19" s="210">
        <v>0</v>
      </c>
      <c r="J19" s="46">
        <f t="shared" si="1"/>
        <v>0</v>
      </c>
      <c r="K19" s="239">
        <v>0</v>
      </c>
      <c r="L19" s="21">
        <v>0</v>
      </c>
      <c r="M19" s="49">
        <v>0</v>
      </c>
      <c r="N19" s="50">
        <f t="shared" si="2"/>
        <v>0</v>
      </c>
      <c r="O19" s="68">
        <v>394</v>
      </c>
      <c r="P19" s="52">
        <f t="shared" si="3"/>
        <v>16.416666666666668</v>
      </c>
      <c r="Q19" s="263">
        <v>0</v>
      </c>
      <c r="R19" s="53">
        <v>0</v>
      </c>
      <c r="S19" s="54">
        <v>419</v>
      </c>
      <c r="T19" s="223">
        <v>464</v>
      </c>
      <c r="U19" s="55">
        <f t="shared" si="7"/>
        <v>2344</v>
      </c>
      <c r="V19" s="231">
        <f t="shared" si="4"/>
        <v>97.666666666666671</v>
      </c>
      <c r="W19" s="236">
        <v>0</v>
      </c>
      <c r="X19" s="65">
        <v>0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>
        <v>168</v>
      </c>
      <c r="AL19" s="60">
        <f t="shared" si="5"/>
        <v>7</v>
      </c>
      <c r="AM19" s="6">
        <v>1440</v>
      </c>
      <c r="AO19" s="61"/>
      <c r="AP19" s="61">
        <f t="shared" si="6"/>
        <v>419</v>
      </c>
      <c r="AQ19"/>
    </row>
    <row r="20" spans="1:43" x14ac:dyDescent="0.3">
      <c r="A20" s="62">
        <v>14</v>
      </c>
      <c r="B20" s="67">
        <v>1657</v>
      </c>
      <c r="C20" s="42">
        <f t="shared" si="0"/>
        <v>69.041666666666671</v>
      </c>
      <c r="D20" s="262">
        <v>1160</v>
      </c>
      <c r="E20" s="44">
        <v>743</v>
      </c>
      <c r="F20" s="19">
        <v>1903</v>
      </c>
      <c r="G20" s="20">
        <v>318</v>
      </c>
      <c r="H20" s="216">
        <v>84</v>
      </c>
      <c r="I20" s="211">
        <v>0</v>
      </c>
      <c r="J20" s="46">
        <f t="shared" si="1"/>
        <v>0</v>
      </c>
      <c r="K20" s="239">
        <v>0</v>
      </c>
      <c r="L20" s="21">
        <v>0</v>
      </c>
      <c r="M20" s="49">
        <v>0</v>
      </c>
      <c r="N20" s="50">
        <f t="shared" si="2"/>
        <v>0</v>
      </c>
      <c r="O20" s="51">
        <v>388</v>
      </c>
      <c r="P20" s="52">
        <f t="shared" si="3"/>
        <v>16.166666666666668</v>
      </c>
      <c r="Q20" s="263">
        <v>94</v>
      </c>
      <c r="R20" s="53">
        <v>0</v>
      </c>
      <c r="S20" s="54">
        <v>441</v>
      </c>
      <c r="T20" s="223">
        <v>463</v>
      </c>
      <c r="U20" s="55">
        <f t="shared" si="7"/>
        <v>2580</v>
      </c>
      <c r="V20" s="231">
        <f t="shared" si="4"/>
        <v>107.5</v>
      </c>
      <c r="W20" s="236">
        <v>20.83</v>
      </c>
      <c r="X20" s="65">
        <v>0</v>
      </c>
      <c r="Y20" s="66">
        <v>24</v>
      </c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>
        <v>183</v>
      </c>
      <c r="AL20" s="60">
        <f t="shared" si="5"/>
        <v>7.625</v>
      </c>
      <c r="AM20" s="6">
        <v>1440</v>
      </c>
      <c r="AO20" s="61"/>
      <c r="AP20" s="61">
        <f t="shared" si="6"/>
        <v>441</v>
      </c>
      <c r="AQ20"/>
    </row>
    <row r="21" spans="1:43" x14ac:dyDescent="0.3">
      <c r="A21" s="62">
        <v>15</v>
      </c>
      <c r="B21" s="67">
        <v>1675</v>
      </c>
      <c r="C21" s="42">
        <f t="shared" si="0"/>
        <v>69.791666666666671</v>
      </c>
      <c r="D21" s="262">
        <v>1173</v>
      </c>
      <c r="E21" s="44">
        <v>775</v>
      </c>
      <c r="F21" s="19">
        <v>1947</v>
      </c>
      <c r="G21" s="20">
        <v>272</v>
      </c>
      <c r="H21" s="216">
        <v>82</v>
      </c>
      <c r="I21" s="211">
        <v>0</v>
      </c>
      <c r="J21" s="46">
        <f t="shared" si="1"/>
        <v>0</v>
      </c>
      <c r="K21" s="239">
        <v>0</v>
      </c>
      <c r="L21" s="21">
        <v>0</v>
      </c>
      <c r="M21" s="49">
        <v>0</v>
      </c>
      <c r="N21" s="50">
        <f t="shared" si="2"/>
        <v>0</v>
      </c>
      <c r="O21" s="51">
        <v>369</v>
      </c>
      <c r="P21" s="52">
        <f t="shared" si="3"/>
        <v>15.375</v>
      </c>
      <c r="Q21" s="263">
        <v>68</v>
      </c>
      <c r="R21" s="53">
        <v>0</v>
      </c>
      <c r="S21" s="54">
        <v>434</v>
      </c>
      <c r="T21" s="223">
        <v>466</v>
      </c>
      <c r="U21" s="55">
        <f t="shared" si="7"/>
        <v>2546</v>
      </c>
      <c r="V21" s="231">
        <f t="shared" si="4"/>
        <v>106.08333333333333</v>
      </c>
      <c r="W21" s="236">
        <v>19.829999999999998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174</v>
      </c>
      <c r="AL21" s="60">
        <f t="shared" si="5"/>
        <v>7.25</v>
      </c>
      <c r="AM21" s="6">
        <v>1440</v>
      </c>
      <c r="AO21" s="61"/>
      <c r="AP21" s="61">
        <f t="shared" si="6"/>
        <v>434</v>
      </c>
      <c r="AQ21"/>
    </row>
    <row r="22" spans="1:43" x14ac:dyDescent="0.3">
      <c r="A22" s="62">
        <v>16</v>
      </c>
      <c r="B22" s="67">
        <v>1652</v>
      </c>
      <c r="C22" s="42">
        <f t="shared" si="0"/>
        <v>68.833333333333329</v>
      </c>
      <c r="D22" s="262">
        <v>1156</v>
      </c>
      <c r="E22" s="44">
        <v>751</v>
      </c>
      <c r="F22" s="19">
        <v>1907</v>
      </c>
      <c r="G22" s="20">
        <v>342</v>
      </c>
      <c r="H22" s="216">
        <v>83</v>
      </c>
      <c r="I22" s="211">
        <v>0</v>
      </c>
      <c r="J22" s="46">
        <f t="shared" si="1"/>
        <v>0</v>
      </c>
      <c r="K22" s="239">
        <v>0</v>
      </c>
      <c r="L22" s="21">
        <v>0</v>
      </c>
      <c r="M22" s="49">
        <v>0</v>
      </c>
      <c r="N22" s="50">
        <f t="shared" si="2"/>
        <v>0</v>
      </c>
      <c r="O22" s="68">
        <v>347</v>
      </c>
      <c r="P22" s="52">
        <f t="shared" si="3"/>
        <v>14.458333333333334</v>
      </c>
      <c r="Q22" s="263">
        <v>88</v>
      </c>
      <c r="R22" s="53">
        <v>0</v>
      </c>
      <c r="S22" s="54">
        <v>437</v>
      </c>
      <c r="T22" s="223">
        <v>466</v>
      </c>
      <c r="U22" s="55">
        <f t="shared" si="7"/>
        <v>2524</v>
      </c>
      <c r="V22" s="231">
        <f t="shared" si="4"/>
        <v>105.16666666666667</v>
      </c>
      <c r="W22" s="236">
        <v>24</v>
      </c>
      <c r="X22" s="65">
        <v>0</v>
      </c>
      <c r="Y22" s="66">
        <v>24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172</v>
      </c>
      <c r="AL22" s="60">
        <f t="shared" si="5"/>
        <v>7.166666666666667</v>
      </c>
      <c r="AM22" s="6">
        <v>1440</v>
      </c>
      <c r="AO22" s="61"/>
      <c r="AP22" s="61">
        <f t="shared" si="6"/>
        <v>437</v>
      </c>
      <c r="AQ22"/>
    </row>
    <row r="23" spans="1:43" x14ac:dyDescent="0.3">
      <c r="A23" s="62">
        <v>17</v>
      </c>
      <c r="B23" s="67">
        <v>1084</v>
      </c>
      <c r="C23" s="42">
        <f t="shared" si="0"/>
        <v>45.166666666666664</v>
      </c>
      <c r="D23" s="262">
        <v>759</v>
      </c>
      <c r="E23" s="44">
        <v>606</v>
      </c>
      <c r="F23" s="19">
        <v>1365</v>
      </c>
      <c r="G23" s="20">
        <v>410</v>
      </c>
      <c r="H23" s="216">
        <v>69</v>
      </c>
      <c r="I23" s="211">
        <v>0</v>
      </c>
      <c r="J23" s="46">
        <f t="shared" si="1"/>
        <v>0</v>
      </c>
      <c r="K23" s="239">
        <v>0</v>
      </c>
      <c r="L23" s="21">
        <v>0</v>
      </c>
      <c r="M23" s="49">
        <v>0</v>
      </c>
      <c r="N23" s="50">
        <f t="shared" si="2"/>
        <v>0</v>
      </c>
      <c r="O23" s="68">
        <v>74</v>
      </c>
      <c r="P23" s="52">
        <f t="shared" si="3"/>
        <v>3.0833333333333335</v>
      </c>
      <c r="Q23" s="263">
        <v>2</v>
      </c>
      <c r="R23" s="53">
        <v>0</v>
      </c>
      <c r="S23" s="54">
        <v>225</v>
      </c>
      <c r="T23" s="223">
        <v>462</v>
      </c>
      <c r="U23" s="55">
        <f t="shared" si="7"/>
        <v>1385</v>
      </c>
      <c r="V23" s="231">
        <f t="shared" si="4"/>
        <v>57.708333333333336</v>
      </c>
      <c r="W23" s="236">
        <v>0.67</v>
      </c>
      <c r="X23" s="65">
        <v>0</v>
      </c>
      <c r="Y23" s="66">
        <v>24</v>
      </c>
      <c r="Z23" s="6"/>
      <c r="AA23" s="348" t="s">
        <v>209</v>
      </c>
      <c r="AB23" s="348"/>
      <c r="AC23" s="348"/>
      <c r="AD23" s="349"/>
      <c r="AE23" s="360"/>
      <c r="AF23" s="351"/>
      <c r="AG23" s="351"/>
      <c r="AH23" s="352"/>
      <c r="AI23" s="58"/>
      <c r="AJ23" s="58">
        <v>840</v>
      </c>
      <c r="AK23" s="59">
        <v>53</v>
      </c>
      <c r="AL23" s="60">
        <f t="shared" si="5"/>
        <v>2.2083333333333335</v>
      </c>
      <c r="AM23" s="6">
        <v>600</v>
      </c>
      <c r="AO23" s="61"/>
      <c r="AP23" s="61">
        <f t="shared" si="6"/>
        <v>225</v>
      </c>
      <c r="AQ23"/>
    </row>
    <row r="24" spans="1:43" x14ac:dyDescent="0.3">
      <c r="A24" s="62">
        <v>18</v>
      </c>
      <c r="B24" s="67">
        <v>1646</v>
      </c>
      <c r="C24" s="42">
        <f t="shared" si="0"/>
        <v>68.583333333333329</v>
      </c>
      <c r="D24" s="262">
        <v>1152</v>
      </c>
      <c r="E24" s="44">
        <v>744</v>
      </c>
      <c r="F24" s="19">
        <v>1896</v>
      </c>
      <c r="G24" s="20">
        <v>385</v>
      </c>
      <c r="H24" s="216">
        <v>71</v>
      </c>
      <c r="I24" s="211">
        <v>0</v>
      </c>
      <c r="J24" s="46">
        <f t="shared" si="1"/>
        <v>0</v>
      </c>
      <c r="K24" s="239">
        <v>0</v>
      </c>
      <c r="L24" s="21">
        <v>0</v>
      </c>
      <c r="M24" s="49">
        <v>0</v>
      </c>
      <c r="N24" s="50">
        <f t="shared" si="2"/>
        <v>0</v>
      </c>
      <c r="O24" s="198">
        <v>155</v>
      </c>
      <c r="P24" s="52">
        <f t="shared" si="3"/>
        <v>6.458333333333333</v>
      </c>
      <c r="Q24" s="263">
        <v>33</v>
      </c>
      <c r="R24" s="53">
        <v>94</v>
      </c>
      <c r="S24" s="54">
        <v>418</v>
      </c>
      <c r="T24" s="223">
        <v>470</v>
      </c>
      <c r="U24" s="55">
        <f t="shared" si="7"/>
        <v>2346</v>
      </c>
      <c r="V24" s="231">
        <f t="shared" si="4"/>
        <v>97.75</v>
      </c>
      <c r="W24" s="236">
        <v>8.5</v>
      </c>
      <c r="X24" s="65">
        <v>8</v>
      </c>
      <c r="Y24" s="66">
        <v>24</v>
      </c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155</v>
      </c>
      <c r="AL24" s="60">
        <f t="shared" si="5"/>
        <v>6.458333333333333</v>
      </c>
      <c r="AM24" s="6">
        <v>1440</v>
      </c>
      <c r="AO24" s="61"/>
      <c r="AP24" s="61">
        <f t="shared" si="6"/>
        <v>418</v>
      </c>
      <c r="AQ24"/>
    </row>
    <row r="25" spans="1:43" x14ac:dyDescent="0.3">
      <c r="A25" s="62">
        <v>19</v>
      </c>
      <c r="B25" s="67">
        <v>1640</v>
      </c>
      <c r="C25" s="42">
        <f t="shared" si="0"/>
        <v>68.333333333333329</v>
      </c>
      <c r="D25" s="262">
        <v>1148</v>
      </c>
      <c r="E25" s="44">
        <v>774</v>
      </c>
      <c r="F25" s="19">
        <v>1922</v>
      </c>
      <c r="G25" s="20">
        <v>374</v>
      </c>
      <c r="H25" s="216">
        <v>83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0</v>
      </c>
      <c r="N25" s="50">
        <f t="shared" si="2"/>
        <v>0</v>
      </c>
      <c r="O25" s="198">
        <v>0</v>
      </c>
      <c r="P25" s="52">
        <f t="shared" si="3"/>
        <v>0</v>
      </c>
      <c r="Q25" s="263">
        <v>39</v>
      </c>
      <c r="R25" s="53">
        <v>224</v>
      </c>
      <c r="S25" s="54">
        <v>417</v>
      </c>
      <c r="T25" s="223">
        <v>455</v>
      </c>
      <c r="U25" s="55">
        <f t="shared" si="7"/>
        <v>2320</v>
      </c>
      <c r="V25" s="231">
        <f t="shared" si="4"/>
        <v>96.666666666666671</v>
      </c>
      <c r="W25" s="236">
        <v>3.33</v>
      </c>
      <c r="X25" s="65">
        <v>19</v>
      </c>
      <c r="Y25" s="66">
        <v>24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155</v>
      </c>
      <c r="AL25" s="60">
        <f t="shared" si="5"/>
        <v>6.458333333333333</v>
      </c>
      <c r="AM25" s="6">
        <v>1440</v>
      </c>
      <c r="AO25" s="61"/>
      <c r="AP25" s="61">
        <f t="shared" si="6"/>
        <v>417</v>
      </c>
      <c r="AQ25"/>
    </row>
    <row r="26" spans="1:43" x14ac:dyDescent="0.3">
      <c r="A26" s="62">
        <v>20</v>
      </c>
      <c r="B26" s="67">
        <v>1649</v>
      </c>
      <c r="C26" s="42">
        <f t="shared" si="0"/>
        <v>68.708333333333329</v>
      </c>
      <c r="D26" s="262">
        <v>1154</v>
      </c>
      <c r="E26" s="44">
        <v>773</v>
      </c>
      <c r="F26" s="19">
        <v>1927</v>
      </c>
      <c r="G26" s="20">
        <v>490</v>
      </c>
      <c r="H26" s="216">
        <v>87</v>
      </c>
      <c r="I26" s="211">
        <v>0</v>
      </c>
      <c r="J26" s="46">
        <f t="shared" si="1"/>
        <v>0</v>
      </c>
      <c r="K26" s="239">
        <v>0</v>
      </c>
      <c r="L26" s="21">
        <v>0</v>
      </c>
      <c r="M26" s="49">
        <v>0</v>
      </c>
      <c r="N26" s="50">
        <f t="shared" si="2"/>
        <v>0</v>
      </c>
      <c r="O26" s="198">
        <v>0</v>
      </c>
      <c r="P26" s="52">
        <f t="shared" si="3"/>
        <v>0</v>
      </c>
      <c r="Q26" s="263">
        <v>135</v>
      </c>
      <c r="R26" s="53">
        <v>52</v>
      </c>
      <c r="S26" s="54">
        <v>444</v>
      </c>
      <c r="T26" s="223">
        <v>467</v>
      </c>
      <c r="U26" s="55">
        <f t="shared" si="7"/>
        <v>2280</v>
      </c>
      <c r="V26" s="231">
        <f t="shared" si="4"/>
        <v>95</v>
      </c>
      <c r="W26" s="236">
        <v>19.170000000000002</v>
      </c>
      <c r="X26" s="65">
        <v>5.17</v>
      </c>
      <c r="Y26" s="66">
        <v>24</v>
      </c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>
        <v>148</v>
      </c>
      <c r="AL26" s="60">
        <f t="shared" si="5"/>
        <v>6.166666666666667</v>
      </c>
      <c r="AM26" s="6">
        <v>1440</v>
      </c>
      <c r="AO26" s="61"/>
      <c r="AP26" s="61">
        <f t="shared" si="6"/>
        <v>444</v>
      </c>
      <c r="AQ26"/>
    </row>
    <row r="27" spans="1:43" x14ac:dyDescent="0.3">
      <c r="A27" s="62">
        <v>21</v>
      </c>
      <c r="B27" s="67">
        <v>1621</v>
      </c>
      <c r="C27" s="42">
        <f t="shared" si="0"/>
        <v>67.541666666666671</v>
      </c>
      <c r="D27" s="262">
        <v>1135</v>
      </c>
      <c r="E27" s="44">
        <v>755</v>
      </c>
      <c r="F27" s="19">
        <v>1890</v>
      </c>
      <c r="G27" s="20">
        <v>467</v>
      </c>
      <c r="H27" s="216">
        <v>81</v>
      </c>
      <c r="I27" s="211">
        <v>0</v>
      </c>
      <c r="J27" s="46">
        <f t="shared" si="1"/>
        <v>0</v>
      </c>
      <c r="K27" s="239">
        <v>0</v>
      </c>
      <c r="L27" s="21">
        <v>0</v>
      </c>
      <c r="M27" s="49">
        <v>0</v>
      </c>
      <c r="N27" s="50">
        <f t="shared" si="2"/>
        <v>0</v>
      </c>
      <c r="O27" s="198">
        <v>216</v>
      </c>
      <c r="P27" s="52">
        <f t="shared" si="3"/>
        <v>9</v>
      </c>
      <c r="Q27" s="263">
        <v>64</v>
      </c>
      <c r="R27" s="53">
        <v>0</v>
      </c>
      <c r="S27" s="54">
        <v>356</v>
      </c>
      <c r="T27" s="223">
        <v>478</v>
      </c>
      <c r="U27" s="55">
        <f t="shared" si="7"/>
        <v>2257</v>
      </c>
      <c r="V27" s="231">
        <f t="shared" si="4"/>
        <v>94.041666666666671</v>
      </c>
      <c r="W27" s="236">
        <v>10.83</v>
      </c>
      <c r="X27" s="65">
        <v>0</v>
      </c>
      <c r="Y27" s="66">
        <v>24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113</v>
      </c>
      <c r="AL27" s="60">
        <f t="shared" si="5"/>
        <v>4.708333333333333</v>
      </c>
      <c r="AM27" s="6">
        <v>1440</v>
      </c>
      <c r="AO27" s="61"/>
      <c r="AP27" s="61">
        <f t="shared" si="6"/>
        <v>356</v>
      </c>
      <c r="AQ27"/>
    </row>
    <row r="28" spans="1:43" x14ac:dyDescent="0.3">
      <c r="A28" s="62">
        <v>22</v>
      </c>
      <c r="B28" s="67">
        <v>1633</v>
      </c>
      <c r="C28" s="42">
        <f t="shared" si="0"/>
        <v>68.041666666666671</v>
      </c>
      <c r="D28" s="262">
        <v>1143</v>
      </c>
      <c r="E28" s="44">
        <v>774</v>
      </c>
      <c r="F28" s="19">
        <v>1917</v>
      </c>
      <c r="G28" s="20">
        <v>478</v>
      </c>
      <c r="H28" s="216">
        <v>90</v>
      </c>
      <c r="I28" s="211">
        <v>0</v>
      </c>
      <c r="J28" s="46">
        <f t="shared" si="1"/>
        <v>0</v>
      </c>
      <c r="K28" s="239">
        <v>0</v>
      </c>
      <c r="L28" s="21">
        <v>0</v>
      </c>
      <c r="M28" s="49">
        <v>0</v>
      </c>
      <c r="N28" s="50">
        <f t="shared" si="2"/>
        <v>0</v>
      </c>
      <c r="O28" s="198">
        <v>381</v>
      </c>
      <c r="P28" s="52">
        <f t="shared" si="3"/>
        <v>15.875</v>
      </c>
      <c r="Q28" s="263">
        <v>32</v>
      </c>
      <c r="R28" s="53">
        <v>0</v>
      </c>
      <c r="S28" s="54">
        <v>448</v>
      </c>
      <c r="T28" s="223">
        <v>488</v>
      </c>
      <c r="U28" s="55">
        <f t="shared" si="7"/>
        <v>2494</v>
      </c>
      <c r="V28" s="231">
        <f t="shared" si="4"/>
        <v>103.91666666666667</v>
      </c>
      <c r="W28" s="236">
        <v>10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166</v>
      </c>
      <c r="AL28" s="60">
        <f t="shared" si="5"/>
        <v>6.916666666666667</v>
      </c>
      <c r="AM28" s="6">
        <v>1440</v>
      </c>
      <c r="AO28" s="61"/>
      <c r="AP28" s="61">
        <f t="shared" si="6"/>
        <v>448</v>
      </c>
      <c r="AQ28"/>
    </row>
    <row r="29" spans="1:43" x14ac:dyDescent="0.3">
      <c r="A29" s="62">
        <v>23</v>
      </c>
      <c r="B29" s="67">
        <v>1627</v>
      </c>
      <c r="C29" s="42">
        <f t="shared" si="0"/>
        <v>67.791666666666671</v>
      </c>
      <c r="D29" s="262">
        <v>1139</v>
      </c>
      <c r="E29" s="44">
        <v>762</v>
      </c>
      <c r="F29" s="19">
        <v>1901</v>
      </c>
      <c r="G29" s="20">
        <v>444</v>
      </c>
      <c r="H29" s="216">
        <v>91</v>
      </c>
      <c r="I29" s="211">
        <v>0</v>
      </c>
      <c r="J29" s="46">
        <f t="shared" si="1"/>
        <v>0</v>
      </c>
      <c r="K29" s="239">
        <v>0</v>
      </c>
      <c r="L29" s="21">
        <v>0</v>
      </c>
      <c r="M29" s="49">
        <v>0</v>
      </c>
      <c r="N29" s="50">
        <f t="shared" si="2"/>
        <v>0</v>
      </c>
      <c r="O29" s="198">
        <v>383</v>
      </c>
      <c r="P29" s="52">
        <f t="shared" si="3"/>
        <v>15.958333333333334</v>
      </c>
      <c r="Q29" s="263">
        <v>12</v>
      </c>
      <c r="R29" s="53">
        <v>0</v>
      </c>
      <c r="S29" s="54">
        <v>442</v>
      </c>
      <c r="T29" s="223">
        <v>487</v>
      </c>
      <c r="U29" s="55">
        <f t="shared" si="7"/>
        <v>2464</v>
      </c>
      <c r="V29" s="231">
        <f t="shared" si="4"/>
        <v>102.66666666666667</v>
      </c>
      <c r="W29" s="236">
        <v>5.33</v>
      </c>
      <c r="X29" s="65">
        <v>0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171</v>
      </c>
      <c r="AL29" s="60">
        <f t="shared" si="5"/>
        <v>7.125</v>
      </c>
      <c r="AM29" s="6">
        <v>1440</v>
      </c>
      <c r="AO29" s="61"/>
      <c r="AP29" s="61">
        <f t="shared" si="6"/>
        <v>442</v>
      </c>
      <c r="AQ29"/>
    </row>
    <row r="30" spans="1:43" x14ac:dyDescent="0.3">
      <c r="A30" s="62">
        <v>24</v>
      </c>
      <c r="B30" s="67">
        <v>1620</v>
      </c>
      <c r="C30" s="42">
        <f t="shared" si="0"/>
        <v>67.5</v>
      </c>
      <c r="D30" s="262">
        <v>1134</v>
      </c>
      <c r="E30" s="44">
        <v>747</v>
      </c>
      <c r="F30" s="19">
        <v>1881</v>
      </c>
      <c r="G30" s="20">
        <v>450</v>
      </c>
      <c r="H30" s="216">
        <v>92</v>
      </c>
      <c r="I30" s="211">
        <v>0</v>
      </c>
      <c r="J30" s="46">
        <f t="shared" si="1"/>
        <v>0</v>
      </c>
      <c r="K30" s="239">
        <v>0</v>
      </c>
      <c r="L30" s="21">
        <v>0</v>
      </c>
      <c r="M30" s="49">
        <v>0</v>
      </c>
      <c r="N30" s="50">
        <f t="shared" si="2"/>
        <v>0</v>
      </c>
      <c r="O30" s="198">
        <v>389</v>
      </c>
      <c r="P30" s="52">
        <f t="shared" si="3"/>
        <v>16.208333333333332</v>
      </c>
      <c r="Q30" s="263">
        <v>6</v>
      </c>
      <c r="R30" s="53">
        <v>0</v>
      </c>
      <c r="S30" s="54">
        <v>447</v>
      </c>
      <c r="T30" s="223">
        <v>484</v>
      </c>
      <c r="U30" s="55">
        <f t="shared" si="7"/>
        <v>2462</v>
      </c>
      <c r="V30" s="231">
        <f t="shared" si="4"/>
        <v>102.58333333333333</v>
      </c>
      <c r="W30" s="236">
        <v>2</v>
      </c>
      <c r="X30" s="65">
        <v>0</v>
      </c>
      <c r="Y30" s="66">
        <v>24</v>
      </c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>
        <v>157</v>
      </c>
      <c r="AL30" s="60">
        <f t="shared" si="5"/>
        <v>6.541666666666667</v>
      </c>
      <c r="AM30" s="6">
        <v>1440</v>
      </c>
      <c r="AO30" s="61"/>
      <c r="AP30" s="61">
        <f t="shared" si="6"/>
        <v>447</v>
      </c>
      <c r="AQ30"/>
    </row>
    <row r="31" spans="1:43" x14ac:dyDescent="0.3">
      <c r="A31" s="62">
        <v>25</v>
      </c>
      <c r="B31" s="67">
        <v>1630</v>
      </c>
      <c r="C31" s="42">
        <f t="shared" si="0"/>
        <v>67.916666666666671</v>
      </c>
      <c r="D31" s="262">
        <v>1141</v>
      </c>
      <c r="E31" s="44">
        <v>744</v>
      </c>
      <c r="F31" s="19">
        <v>1885</v>
      </c>
      <c r="G31" s="20">
        <v>438</v>
      </c>
      <c r="H31" s="216">
        <v>96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0</v>
      </c>
      <c r="N31" s="50">
        <f t="shared" si="2"/>
        <v>0</v>
      </c>
      <c r="O31" s="198">
        <v>399</v>
      </c>
      <c r="P31" s="52">
        <f t="shared" si="3"/>
        <v>16.625</v>
      </c>
      <c r="Q31" s="263">
        <v>122</v>
      </c>
      <c r="R31" s="53">
        <v>0</v>
      </c>
      <c r="S31" s="54">
        <v>454</v>
      </c>
      <c r="T31" s="223">
        <v>474</v>
      </c>
      <c r="U31" s="55">
        <f t="shared" si="7"/>
        <v>2605</v>
      </c>
      <c r="V31" s="231">
        <f t="shared" si="4"/>
        <v>108.54166666666667</v>
      </c>
      <c r="W31" s="236">
        <v>21</v>
      </c>
      <c r="X31" s="65">
        <v>0</v>
      </c>
      <c r="Y31" s="66">
        <v>24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>
        <v>161</v>
      </c>
      <c r="AL31" s="60">
        <f t="shared" si="5"/>
        <v>6.708333333333333</v>
      </c>
      <c r="AM31" s="6">
        <v>1440</v>
      </c>
      <c r="AO31" s="61"/>
      <c r="AP31" s="61">
        <f t="shared" si="6"/>
        <v>454</v>
      </c>
      <c r="AQ31"/>
    </row>
    <row r="32" spans="1:43" x14ac:dyDescent="0.3">
      <c r="A32" s="62">
        <v>26</v>
      </c>
      <c r="B32" s="67">
        <v>1669</v>
      </c>
      <c r="C32" s="42">
        <f t="shared" si="0"/>
        <v>69.541666666666671</v>
      </c>
      <c r="D32" s="262">
        <v>1168</v>
      </c>
      <c r="E32" s="44">
        <v>754</v>
      </c>
      <c r="F32" s="19">
        <v>1922</v>
      </c>
      <c r="G32" s="20">
        <v>427</v>
      </c>
      <c r="H32" s="216">
        <v>96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200">
        <v>0</v>
      </c>
      <c r="N32" s="50">
        <f t="shared" si="2"/>
        <v>0</v>
      </c>
      <c r="O32" s="198">
        <v>400</v>
      </c>
      <c r="P32" s="52">
        <f t="shared" si="3"/>
        <v>16.666666666666668</v>
      </c>
      <c r="Q32" s="263">
        <v>6</v>
      </c>
      <c r="R32" s="53">
        <v>0</v>
      </c>
      <c r="S32" s="54">
        <v>448</v>
      </c>
      <c r="T32" s="223">
        <v>468</v>
      </c>
      <c r="U32" s="55">
        <f t="shared" si="7"/>
        <v>2523</v>
      </c>
      <c r="V32" s="231">
        <f t="shared" si="4"/>
        <v>105.125</v>
      </c>
      <c r="W32" s="236">
        <v>2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168</v>
      </c>
      <c r="AL32" s="60">
        <f t="shared" si="5"/>
        <v>7</v>
      </c>
      <c r="AM32" s="6">
        <v>1440</v>
      </c>
      <c r="AO32" s="61"/>
      <c r="AP32" s="61">
        <f t="shared" si="6"/>
        <v>448</v>
      </c>
      <c r="AQ32"/>
    </row>
    <row r="33" spans="1:43" x14ac:dyDescent="0.3">
      <c r="A33" s="62">
        <v>27</v>
      </c>
      <c r="B33" s="67">
        <v>1608</v>
      </c>
      <c r="C33" s="42">
        <f t="shared" si="0"/>
        <v>67</v>
      </c>
      <c r="D33" s="262">
        <v>1126</v>
      </c>
      <c r="E33" s="44">
        <v>755</v>
      </c>
      <c r="F33" s="19">
        <v>1881</v>
      </c>
      <c r="G33" s="20">
        <v>456</v>
      </c>
      <c r="H33" s="216">
        <v>102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200">
        <v>0</v>
      </c>
      <c r="N33" s="50">
        <f t="shared" si="2"/>
        <v>0</v>
      </c>
      <c r="O33" s="198">
        <v>407</v>
      </c>
      <c r="P33" s="52">
        <f t="shared" si="3"/>
        <v>16.958333333333332</v>
      </c>
      <c r="Q33" s="263">
        <v>1</v>
      </c>
      <c r="R33" s="53">
        <v>0</v>
      </c>
      <c r="S33" s="54">
        <v>442</v>
      </c>
      <c r="T33" s="223">
        <v>470</v>
      </c>
      <c r="U33" s="55">
        <f t="shared" si="7"/>
        <v>2458</v>
      </c>
      <c r="V33" s="231">
        <f t="shared" si="4"/>
        <v>102.41666666666667</v>
      </c>
      <c r="W33" s="236">
        <v>0.33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166</v>
      </c>
      <c r="AL33" s="60">
        <f t="shared" si="5"/>
        <v>6.916666666666667</v>
      </c>
      <c r="AM33" s="6">
        <v>1440</v>
      </c>
      <c r="AO33" s="61"/>
      <c r="AP33" s="61">
        <f t="shared" si="6"/>
        <v>442</v>
      </c>
      <c r="AQ33"/>
    </row>
    <row r="34" spans="1:43" x14ac:dyDescent="0.3">
      <c r="A34" s="62">
        <v>28</v>
      </c>
      <c r="B34" s="67">
        <v>1293</v>
      </c>
      <c r="C34" s="42">
        <f t="shared" si="0"/>
        <v>53.875</v>
      </c>
      <c r="D34" s="262">
        <v>905</v>
      </c>
      <c r="E34" s="44">
        <v>694</v>
      </c>
      <c r="F34" s="19">
        <v>1599</v>
      </c>
      <c r="G34" s="20">
        <v>452</v>
      </c>
      <c r="H34" s="216">
        <v>101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200">
        <v>0</v>
      </c>
      <c r="N34" s="50">
        <f t="shared" si="2"/>
        <v>0</v>
      </c>
      <c r="O34" s="198">
        <v>228</v>
      </c>
      <c r="P34" s="52">
        <f t="shared" si="3"/>
        <v>9.5</v>
      </c>
      <c r="Q34" s="263">
        <v>0</v>
      </c>
      <c r="R34" s="53">
        <v>0</v>
      </c>
      <c r="S34" s="54">
        <v>270</v>
      </c>
      <c r="T34" s="223">
        <v>348</v>
      </c>
      <c r="U34" s="55">
        <f t="shared" si="7"/>
        <v>1791</v>
      </c>
      <c r="V34" s="231">
        <f t="shared" si="4"/>
        <v>74.625</v>
      </c>
      <c r="W34" s="236">
        <v>0</v>
      </c>
      <c r="X34" s="65">
        <v>0</v>
      </c>
      <c r="Y34" s="66">
        <v>17</v>
      </c>
      <c r="Z34" s="6"/>
      <c r="AA34" s="348" t="s">
        <v>214</v>
      </c>
      <c r="AB34" s="348"/>
      <c r="AC34" s="348"/>
      <c r="AD34" s="349"/>
      <c r="AE34" s="350"/>
      <c r="AF34" s="351"/>
      <c r="AG34" s="351"/>
      <c r="AH34" s="352"/>
      <c r="AI34" s="58">
        <v>390</v>
      </c>
      <c r="AJ34" s="58"/>
      <c r="AK34" s="59">
        <v>111</v>
      </c>
      <c r="AL34" s="60">
        <f t="shared" si="5"/>
        <v>4.625</v>
      </c>
      <c r="AM34" s="6">
        <v>1020</v>
      </c>
      <c r="AO34" s="61"/>
      <c r="AP34" s="61">
        <f t="shared" si="6"/>
        <v>270</v>
      </c>
      <c r="AQ34"/>
    </row>
    <row r="35" spans="1:43" x14ac:dyDescent="0.3">
      <c r="A35" s="62">
        <v>29</v>
      </c>
      <c r="B35" s="67">
        <v>562</v>
      </c>
      <c r="C35" s="42">
        <f t="shared" si="0"/>
        <v>23.416666666666668</v>
      </c>
      <c r="D35" s="262">
        <v>393</v>
      </c>
      <c r="E35" s="44">
        <v>467</v>
      </c>
      <c r="F35" s="19">
        <v>860</v>
      </c>
      <c r="G35" s="20">
        <v>322</v>
      </c>
      <c r="H35" s="216">
        <v>57</v>
      </c>
      <c r="I35" s="211">
        <v>0</v>
      </c>
      <c r="J35" s="46">
        <f t="shared" si="1"/>
        <v>0</v>
      </c>
      <c r="K35" s="239">
        <v>0</v>
      </c>
      <c r="L35" s="21">
        <v>0</v>
      </c>
      <c r="M35" s="200">
        <v>0</v>
      </c>
      <c r="N35" s="50">
        <f t="shared" si="2"/>
        <v>0</v>
      </c>
      <c r="O35" s="198">
        <v>0</v>
      </c>
      <c r="P35" s="52">
        <f t="shared" si="3"/>
        <v>0</v>
      </c>
      <c r="Q35" s="263">
        <v>0</v>
      </c>
      <c r="R35" s="53">
        <v>0</v>
      </c>
      <c r="S35" s="54">
        <v>0</v>
      </c>
      <c r="T35" s="223">
        <v>0</v>
      </c>
      <c r="U35" s="55">
        <f t="shared" si="7"/>
        <v>562</v>
      </c>
      <c r="V35" s="231">
        <f t="shared" si="4"/>
        <v>23.416666666666668</v>
      </c>
      <c r="W35" s="236">
        <v>0</v>
      </c>
      <c r="X35" s="65">
        <v>0</v>
      </c>
      <c r="Y35" s="66">
        <v>0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>
        <v>1440</v>
      </c>
      <c r="AJ35" s="58"/>
      <c r="AK35" s="59">
        <v>0</v>
      </c>
      <c r="AL35" s="60">
        <f t="shared" si="5"/>
        <v>0</v>
      </c>
      <c r="AM35" s="6">
        <v>0</v>
      </c>
      <c r="AO35" s="61"/>
      <c r="AP35" s="61">
        <f t="shared" si="6"/>
        <v>0</v>
      </c>
      <c r="AQ35"/>
    </row>
    <row r="36" spans="1:43" x14ac:dyDescent="0.3">
      <c r="A36" s="62">
        <v>30</v>
      </c>
      <c r="B36" s="67">
        <v>536</v>
      </c>
      <c r="C36" s="42">
        <f t="shared" si="0"/>
        <v>22.333333333333332</v>
      </c>
      <c r="D36" s="262">
        <v>375</v>
      </c>
      <c r="E36" s="44">
        <v>448</v>
      </c>
      <c r="F36" s="19">
        <v>823</v>
      </c>
      <c r="G36" s="20">
        <v>276</v>
      </c>
      <c r="H36" s="216">
        <v>49</v>
      </c>
      <c r="I36" s="211">
        <v>0</v>
      </c>
      <c r="J36" s="46">
        <f t="shared" si="1"/>
        <v>0</v>
      </c>
      <c r="K36" s="239">
        <v>0</v>
      </c>
      <c r="L36" s="21">
        <v>0</v>
      </c>
      <c r="M36" s="200">
        <v>0</v>
      </c>
      <c r="N36" s="50">
        <f t="shared" si="2"/>
        <v>0</v>
      </c>
      <c r="O36" s="198">
        <v>0</v>
      </c>
      <c r="P36" s="52">
        <f t="shared" si="3"/>
        <v>0</v>
      </c>
      <c r="Q36" s="263">
        <v>0</v>
      </c>
      <c r="R36" s="53">
        <v>0</v>
      </c>
      <c r="S36" s="54">
        <v>0</v>
      </c>
      <c r="T36" s="223">
        <v>0</v>
      </c>
      <c r="U36" s="55">
        <f t="shared" si="7"/>
        <v>536</v>
      </c>
      <c r="V36" s="231">
        <f t="shared" si="4"/>
        <v>22.333333333333332</v>
      </c>
      <c r="W36" s="236">
        <v>0</v>
      </c>
      <c r="X36" s="65">
        <v>0</v>
      </c>
      <c r="Y36" s="66">
        <v>0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>
        <v>1440</v>
      </c>
      <c r="AJ36" s="58"/>
      <c r="AK36" s="59">
        <v>0</v>
      </c>
      <c r="AL36" s="60">
        <f t="shared" si="5"/>
        <v>0</v>
      </c>
      <c r="AM36" s="6">
        <v>0</v>
      </c>
      <c r="AO36" s="61"/>
      <c r="AP36" s="61">
        <f t="shared" si="6"/>
        <v>0</v>
      </c>
      <c r="AQ36"/>
    </row>
    <row r="37" spans="1:43" ht="17.25" thickBot="1" x14ac:dyDescent="0.35">
      <c r="A37" s="62">
        <v>31</v>
      </c>
      <c r="B37" s="67"/>
      <c r="C37" s="42">
        <f t="shared" si="0"/>
        <v>0</v>
      </c>
      <c r="D37" s="76"/>
      <c r="E37" s="44"/>
      <c r="F37" s="77"/>
      <c r="G37" s="78"/>
      <c r="H37" s="220"/>
      <c r="I37" s="211">
        <v>0</v>
      </c>
      <c r="J37" s="46">
        <f t="shared" si="1"/>
        <v>0</v>
      </c>
      <c r="K37" s="79">
        <v>0</v>
      </c>
      <c r="L37" s="80">
        <v>0</v>
      </c>
      <c r="M37" s="201"/>
      <c r="N37" s="50">
        <f t="shared" si="2"/>
        <v>0</v>
      </c>
      <c r="O37" s="199"/>
      <c r="P37" s="81">
        <f t="shared" si="3"/>
        <v>0</v>
      </c>
      <c r="Q37" s="227"/>
      <c r="R37" s="82"/>
      <c r="S37" s="54"/>
      <c r="T37" s="223"/>
      <c r="U37" s="55">
        <f t="shared" si="7"/>
        <v>0</v>
      </c>
      <c r="V37" s="232">
        <f t="shared" si="4"/>
        <v>0</v>
      </c>
      <c r="W37" s="237"/>
      <c r="X37" s="83"/>
      <c r="Y37" s="84"/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/>
      <c r="AL37" s="60">
        <f t="shared" si="5"/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41543</v>
      </c>
      <c r="C38" s="88">
        <f t="shared" si="8"/>
        <v>1730.9583333333335</v>
      </c>
      <c r="D38" s="89">
        <f t="shared" si="8"/>
        <v>29080</v>
      </c>
      <c r="E38" s="89">
        <f t="shared" si="8"/>
        <v>20772</v>
      </c>
      <c r="F38" s="89">
        <f t="shared" si="8"/>
        <v>49850</v>
      </c>
      <c r="G38" s="90">
        <f t="shared" si="8"/>
        <v>11938</v>
      </c>
      <c r="H38" s="221">
        <f t="shared" si="8"/>
        <v>2210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7678</v>
      </c>
      <c r="P38" s="93">
        <f>SUM(P7:P32)</f>
        <v>293.45833333333337</v>
      </c>
      <c r="Q38" s="212">
        <f>SUM(Q7:Q37)</f>
        <v>949</v>
      </c>
      <c r="R38" s="87">
        <f>SUM(R7:R37)</f>
        <v>843</v>
      </c>
      <c r="S38" s="87">
        <f>SUM(S7:S37)</f>
        <v>9397</v>
      </c>
      <c r="T38" s="87">
        <f>SUM(T7:T37)</f>
        <v>10778</v>
      </c>
      <c r="U38" s="94">
        <f>SUM(U7:U37)</f>
        <v>60410</v>
      </c>
      <c r="V38" s="207"/>
      <c r="W38" s="238">
        <f>SUM(W7:W37)</f>
        <v>196.80000000000004</v>
      </c>
      <c r="X38" s="89">
        <f>SUM(X7:X37)</f>
        <v>58.17</v>
      </c>
      <c r="Y38" s="91">
        <f>SUM(Y7:Y37)</f>
        <v>543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119.83333333333333</v>
      </c>
      <c r="AJ38" s="243">
        <f>SUM(AJ7:AJ37)/60</f>
        <v>42.5</v>
      </c>
      <c r="AK38" s="244">
        <f>SUM(AK7:AK37)</f>
        <v>3595</v>
      </c>
      <c r="AL38" s="97">
        <f>SUM(AL7:AL37)/60</f>
        <v>2.4965277777777777</v>
      </c>
      <c r="AM38" s="240">
        <f>SUM(AM7:AM37)/60</f>
        <v>552</v>
      </c>
      <c r="AP38"/>
      <c r="AQ38"/>
    </row>
    <row r="39" spans="1:43" ht="17.25" thickBot="1" x14ac:dyDescent="0.35">
      <c r="A39" s="98" t="s">
        <v>37</v>
      </c>
      <c r="B39" s="99">
        <f>AVERAGE(B7:B37)</f>
        <v>1384.7666666666667</v>
      </c>
      <c r="C39" s="100">
        <f>B39/24</f>
        <v>57.698611111111113</v>
      </c>
      <c r="D39" s="101">
        <f t="shared" ref="D39:I39" si="9">AVERAGE(D7:D37)</f>
        <v>969.33333333333337</v>
      </c>
      <c r="E39" s="101">
        <f t="shared" si="9"/>
        <v>692.4</v>
      </c>
      <c r="F39" s="101">
        <f t="shared" si="9"/>
        <v>1661.6666666666667</v>
      </c>
      <c r="G39" s="208">
        <f t="shared" si="9"/>
        <v>397.93333333333334</v>
      </c>
      <c r="H39" s="102">
        <f t="shared" si="9"/>
        <v>73.666666666666671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255.93333333333334</v>
      </c>
      <c r="P39" s="229">
        <f>O39/24</f>
        <v>10.66388888888889</v>
      </c>
      <c r="Q39" s="228">
        <f>AVERAGE(Q7:Q37)</f>
        <v>31.633333333333333</v>
      </c>
      <c r="R39" s="106">
        <f>AVERAGE(R7:R37)</f>
        <v>28.1</v>
      </c>
      <c r="S39" s="102">
        <f>AVERAGE(S7:S37)</f>
        <v>313.23333333333335</v>
      </c>
      <c r="T39" s="102">
        <f>AVERAGE(T7:T37)</f>
        <v>359.26666666666665</v>
      </c>
      <c r="U39" s="107">
        <f>AVERAGE(U7:U37)</f>
        <v>1948.7096774193549</v>
      </c>
      <c r="V39" s="233">
        <f>U39/24</f>
        <v>81.196236559139791</v>
      </c>
      <c r="W39" s="105">
        <f>AVERAGE(W7:W37)</f>
        <v>6.5600000000000014</v>
      </c>
      <c r="X39" s="101">
        <f>AVERAGE(X7:X37)</f>
        <v>1.9390000000000001</v>
      </c>
      <c r="Y39" s="104">
        <f>AVERAGE(Y7:Y37)</f>
        <v>18.100000000000001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162.33333333333331</v>
      </c>
      <c r="AI39" s="354"/>
      <c r="AJ39" s="247">
        <f>AI39/24</f>
        <v>0</v>
      </c>
      <c r="AK39" s="245">
        <f>(AK38/31)/24</f>
        <v>4.831989247311828</v>
      </c>
      <c r="AP39"/>
      <c r="AQ39"/>
    </row>
    <row r="40" spans="1:43" ht="17.25" thickBot="1" x14ac:dyDescent="0.35">
      <c r="A40" s="7"/>
      <c r="M40" s="108">
        <f>M38+O38</f>
        <v>7678</v>
      </c>
      <c r="P40" s="109"/>
      <c r="Q40" s="110" t="s">
        <v>39</v>
      </c>
      <c r="R40" s="109">
        <f>Q38+R38</f>
        <v>1792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186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2.4888888888888889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13.051388888888889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57.698611111111113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10.66388888888889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32000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83.902777777777786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60" t="s">
        <v>50</v>
      </c>
      <c r="E49" s="260" t="s">
        <v>204</v>
      </c>
      <c r="F49" s="140" t="s">
        <v>51</v>
      </c>
      <c r="G49" s="140" t="s">
        <v>52</v>
      </c>
      <c r="H49" s="260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0</v>
      </c>
      <c r="F50" s="148">
        <v>0</v>
      </c>
      <c r="G50" s="148">
        <v>0</v>
      </c>
      <c r="H50" s="148">
        <v>0</v>
      </c>
      <c r="I50" s="148">
        <v>0</v>
      </c>
      <c r="J50" s="148">
        <v>440</v>
      </c>
      <c r="K50" s="148">
        <v>518</v>
      </c>
      <c r="L50" s="148">
        <v>510</v>
      </c>
      <c r="M50" s="148">
        <v>509</v>
      </c>
      <c r="N50" s="148">
        <v>526</v>
      </c>
      <c r="O50" s="148">
        <v>523</v>
      </c>
      <c r="P50" s="148">
        <v>511</v>
      </c>
      <c r="Q50" s="148">
        <v>517</v>
      </c>
      <c r="R50" s="148">
        <v>512</v>
      </c>
      <c r="S50" s="148">
        <v>506</v>
      </c>
      <c r="T50" s="148">
        <v>506</v>
      </c>
      <c r="U50" s="148">
        <v>490</v>
      </c>
      <c r="V50" s="148">
        <v>493</v>
      </c>
      <c r="W50" s="148">
        <v>502</v>
      </c>
      <c r="X50" s="148">
        <v>515</v>
      </c>
      <c r="Y50" s="148">
        <v>504</v>
      </c>
      <c r="Z50" s="148">
        <v>517</v>
      </c>
      <c r="AA50" s="148">
        <v>515</v>
      </c>
      <c r="AB50" s="148">
        <v>530</v>
      </c>
      <c r="AC50" s="148">
        <v>524</v>
      </c>
      <c r="AD50" s="148">
        <v>519</v>
      </c>
      <c r="AE50" s="148">
        <v>518</v>
      </c>
      <c r="AF50" s="148">
        <v>355</v>
      </c>
      <c r="AG50" s="148">
        <v>0</v>
      </c>
      <c r="AH50" s="148">
        <v>0</v>
      </c>
      <c r="AI50" s="148"/>
      <c r="AJ50" s="149">
        <f>SUM(E50:AI50)</f>
        <v>11560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0</v>
      </c>
      <c r="F51" s="148">
        <v>0</v>
      </c>
      <c r="G51" s="148">
        <v>0</v>
      </c>
      <c r="H51" s="148">
        <v>0</v>
      </c>
      <c r="I51" s="148">
        <v>0</v>
      </c>
      <c r="J51" s="148">
        <v>66</v>
      </c>
      <c r="K51" s="148">
        <v>72</v>
      </c>
      <c r="L51" s="148">
        <v>72</v>
      </c>
      <c r="M51" s="148">
        <v>72</v>
      </c>
      <c r="N51" s="148">
        <v>72</v>
      </c>
      <c r="O51" s="148">
        <v>72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72</v>
      </c>
      <c r="X51" s="148">
        <v>72</v>
      </c>
      <c r="Y51" s="148">
        <v>72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51</v>
      </c>
      <c r="AG51" s="148">
        <v>0</v>
      </c>
      <c r="AH51" s="148">
        <v>0</v>
      </c>
      <c r="AI51" s="148">
        <v>0</v>
      </c>
      <c r="AJ51" s="149">
        <f>SUM(E51:AI51)</f>
        <v>1629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0</v>
      </c>
      <c r="F52" s="148">
        <f>$S8</f>
        <v>0</v>
      </c>
      <c r="G52" s="148">
        <f>$S9</f>
        <v>0</v>
      </c>
      <c r="H52" s="148">
        <f>$S10</f>
        <v>0</v>
      </c>
      <c r="I52" s="148">
        <f>$S11</f>
        <v>0</v>
      </c>
      <c r="J52" s="148">
        <f>$S12</f>
        <v>339</v>
      </c>
      <c r="K52" s="148">
        <f>$S13</f>
        <v>442</v>
      </c>
      <c r="L52" s="148">
        <f>$S14</f>
        <v>429</v>
      </c>
      <c r="M52" s="148">
        <f>$S15</f>
        <v>406</v>
      </c>
      <c r="N52" s="148">
        <f>$S16</f>
        <v>412</v>
      </c>
      <c r="O52" s="148">
        <f>$S17</f>
        <v>440</v>
      </c>
      <c r="P52" s="148">
        <f>$S18</f>
        <v>387</v>
      </c>
      <c r="Q52" s="148">
        <f>$S19</f>
        <v>419</v>
      </c>
      <c r="R52" s="148">
        <f>$S20</f>
        <v>441</v>
      </c>
      <c r="S52" s="148">
        <f>$S21</f>
        <v>434</v>
      </c>
      <c r="T52" s="148">
        <f>$S22</f>
        <v>437</v>
      </c>
      <c r="U52" s="148">
        <f>$S23</f>
        <v>225</v>
      </c>
      <c r="V52" s="148">
        <f>$S24</f>
        <v>418</v>
      </c>
      <c r="W52" s="148">
        <f>$S25</f>
        <v>417</v>
      </c>
      <c r="X52" s="148">
        <f>$S26</f>
        <v>444</v>
      </c>
      <c r="Y52" s="148">
        <f>$S27</f>
        <v>356</v>
      </c>
      <c r="Z52" s="148">
        <f>$S28</f>
        <v>448</v>
      </c>
      <c r="AA52" s="148">
        <f>$S29</f>
        <v>442</v>
      </c>
      <c r="AB52" s="148">
        <f>$S30</f>
        <v>447</v>
      </c>
      <c r="AC52" s="148">
        <f>$S31</f>
        <v>454</v>
      </c>
      <c r="AD52" s="148">
        <f>$S32</f>
        <v>448</v>
      </c>
      <c r="AE52" s="148">
        <f>$S33</f>
        <v>442</v>
      </c>
      <c r="AF52" s="148">
        <f>$S34</f>
        <v>270</v>
      </c>
      <c r="AG52" s="148">
        <f>$S35</f>
        <v>0</v>
      </c>
      <c r="AH52" s="148">
        <f>$S36</f>
        <v>0</v>
      </c>
      <c r="AI52" s="148">
        <f>$S37</f>
        <v>0</v>
      </c>
      <c r="AJ52" s="154">
        <f>SUM(E52:AI52)</f>
        <v>9397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0</v>
      </c>
      <c r="F53" s="157">
        <f t="shared" si="10"/>
        <v>0</v>
      </c>
      <c r="G53" s="157">
        <f t="shared" si="10"/>
        <v>0</v>
      </c>
      <c r="H53" s="157">
        <f t="shared" si="10"/>
        <v>0</v>
      </c>
      <c r="I53" s="157">
        <f t="shared" si="10"/>
        <v>0</v>
      </c>
      <c r="J53" s="157">
        <f t="shared" si="10"/>
        <v>35</v>
      </c>
      <c r="K53" s="157">
        <f t="shared" si="10"/>
        <v>4</v>
      </c>
      <c r="L53" s="157">
        <f t="shared" si="10"/>
        <v>9</v>
      </c>
      <c r="M53" s="157">
        <f t="shared" si="10"/>
        <v>31</v>
      </c>
      <c r="N53" s="157">
        <f t="shared" si="10"/>
        <v>42</v>
      </c>
      <c r="O53" s="157">
        <f t="shared" si="10"/>
        <v>11</v>
      </c>
      <c r="P53" s="157">
        <f t="shared" si="10"/>
        <v>52</v>
      </c>
      <c r="Q53" s="157">
        <f t="shared" si="10"/>
        <v>26</v>
      </c>
      <c r="R53" s="157">
        <f t="shared" si="10"/>
        <v>0</v>
      </c>
      <c r="S53" s="157">
        <f t="shared" si="10"/>
        <v>0</v>
      </c>
      <c r="T53" s="157">
        <f t="shared" si="10"/>
        <v>0</v>
      </c>
      <c r="U53" s="157">
        <f t="shared" si="10"/>
        <v>193</v>
      </c>
      <c r="V53" s="157">
        <f t="shared" si="10"/>
        <v>3</v>
      </c>
      <c r="W53" s="157">
        <f t="shared" si="10"/>
        <v>13</v>
      </c>
      <c r="X53" s="157">
        <f t="shared" si="10"/>
        <v>0</v>
      </c>
      <c r="Y53" s="157">
        <f t="shared" si="10"/>
        <v>76</v>
      </c>
      <c r="Z53" s="157">
        <f t="shared" si="10"/>
        <v>0</v>
      </c>
      <c r="AA53" s="157">
        <f t="shared" si="10"/>
        <v>1</v>
      </c>
      <c r="AB53" s="157">
        <f t="shared" si="10"/>
        <v>11</v>
      </c>
      <c r="AC53" s="157">
        <f t="shared" si="10"/>
        <v>0</v>
      </c>
      <c r="AD53" s="157">
        <f t="shared" si="10"/>
        <v>0</v>
      </c>
      <c r="AE53" s="157">
        <f t="shared" si="10"/>
        <v>4</v>
      </c>
      <c r="AF53" s="157">
        <f t="shared" si="10"/>
        <v>34</v>
      </c>
      <c r="AG53" s="157">
        <f t="shared" si="10"/>
        <v>0</v>
      </c>
      <c r="AH53" s="157">
        <f t="shared" si="10"/>
        <v>0</v>
      </c>
      <c r="AI53" s="157">
        <f t="shared" si="10"/>
        <v>0</v>
      </c>
      <c r="AJ53" s="154">
        <f>SUM(E53:AI53)</f>
        <v>545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 t="str">
        <f t="shared" ref="E54:AI54" si="11">IFERROR(IF(E53&gt;0,E53*$D$54," ")," ")</f>
        <v xml:space="preserve"> </v>
      </c>
      <c r="F54" s="160" t="str">
        <f t="shared" si="11"/>
        <v xml:space="preserve"> </v>
      </c>
      <c r="G54" s="160" t="str">
        <f t="shared" si="11"/>
        <v xml:space="preserve"> </v>
      </c>
      <c r="H54" s="160" t="str">
        <f t="shared" si="11"/>
        <v xml:space="preserve"> </v>
      </c>
      <c r="I54" s="160" t="str">
        <f t="shared" si="11"/>
        <v xml:space="preserve"> </v>
      </c>
      <c r="J54" s="160">
        <f t="shared" si="11"/>
        <v>595</v>
      </c>
      <c r="K54" s="160">
        <f t="shared" si="11"/>
        <v>68</v>
      </c>
      <c r="L54" s="160">
        <f t="shared" si="11"/>
        <v>153</v>
      </c>
      <c r="M54" s="160">
        <f t="shared" si="11"/>
        <v>527</v>
      </c>
      <c r="N54" s="160">
        <f t="shared" si="11"/>
        <v>714</v>
      </c>
      <c r="O54" s="160">
        <f t="shared" si="11"/>
        <v>187</v>
      </c>
      <c r="P54" s="160">
        <f t="shared" si="11"/>
        <v>884</v>
      </c>
      <c r="Q54" s="160">
        <f t="shared" si="11"/>
        <v>442</v>
      </c>
      <c r="R54" s="160" t="str">
        <f t="shared" si="11"/>
        <v xml:space="preserve"> </v>
      </c>
      <c r="S54" s="160" t="str">
        <f t="shared" si="11"/>
        <v xml:space="preserve"> </v>
      </c>
      <c r="T54" s="160" t="str">
        <f t="shared" si="11"/>
        <v xml:space="preserve"> </v>
      </c>
      <c r="U54" s="160">
        <f t="shared" si="11"/>
        <v>3281</v>
      </c>
      <c r="V54" s="160">
        <f t="shared" si="11"/>
        <v>51</v>
      </c>
      <c r="W54" s="160">
        <f t="shared" si="11"/>
        <v>221</v>
      </c>
      <c r="X54" s="160" t="str">
        <f t="shared" si="11"/>
        <v xml:space="preserve"> </v>
      </c>
      <c r="Y54" s="160">
        <f t="shared" si="11"/>
        <v>1292</v>
      </c>
      <c r="Z54" s="160" t="str">
        <f t="shared" si="11"/>
        <v xml:space="preserve"> </v>
      </c>
      <c r="AA54" s="160">
        <f t="shared" si="11"/>
        <v>17</v>
      </c>
      <c r="AB54" s="160">
        <f t="shared" si="11"/>
        <v>187</v>
      </c>
      <c r="AC54" s="160" t="str">
        <f t="shared" si="11"/>
        <v xml:space="preserve"> </v>
      </c>
      <c r="AD54" s="160" t="str">
        <f t="shared" si="11"/>
        <v xml:space="preserve"> </v>
      </c>
      <c r="AE54" s="160">
        <f t="shared" si="11"/>
        <v>68</v>
      </c>
      <c r="AF54" s="160">
        <f t="shared" si="11"/>
        <v>578</v>
      </c>
      <c r="AG54" s="160" t="str">
        <f t="shared" si="11"/>
        <v xml:space="preserve"> </v>
      </c>
      <c r="AH54" s="160" t="str">
        <f t="shared" si="11"/>
        <v xml:space="preserve"> </v>
      </c>
      <c r="AI54" s="160" t="str">
        <f t="shared" si="11"/>
        <v xml:space="preserve"> </v>
      </c>
      <c r="AJ54" s="161">
        <f>SUM(E54:AI54)</f>
        <v>9265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163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164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45759</v>
      </c>
      <c r="B58" s="312" t="s">
        <v>207</v>
      </c>
      <c r="C58" s="312"/>
      <c r="D58" s="306" t="s">
        <v>208</v>
      </c>
      <c r="E58" s="307"/>
      <c r="F58" s="307"/>
      <c r="G58" s="307"/>
      <c r="H58" s="307"/>
      <c r="I58" s="307"/>
      <c r="J58" s="169">
        <v>60</v>
      </c>
      <c r="K58" s="169">
        <v>51</v>
      </c>
      <c r="L58" s="170">
        <v>147</v>
      </c>
      <c r="M58" s="171">
        <f t="shared" ref="M58:M83" si="12">J58-K58</f>
        <v>9</v>
      </c>
      <c r="N58" s="172">
        <f t="shared" ref="N58:N83" si="13">M58/60</f>
        <v>0.15</v>
      </c>
      <c r="O58" s="173">
        <f t="shared" ref="O58:O83" si="14">L58*N58</f>
        <v>22.05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45766</v>
      </c>
      <c r="B59" s="312" t="s">
        <v>211</v>
      </c>
      <c r="C59" s="312"/>
      <c r="D59" s="306" t="s">
        <v>210</v>
      </c>
      <c r="E59" s="307"/>
      <c r="F59" s="307"/>
      <c r="G59" s="307"/>
      <c r="H59" s="307"/>
      <c r="I59" s="307"/>
      <c r="J59" s="169">
        <v>60</v>
      </c>
      <c r="K59" s="169">
        <v>55</v>
      </c>
      <c r="L59" s="170">
        <v>105</v>
      </c>
      <c r="M59" s="171">
        <f t="shared" si="12"/>
        <v>5</v>
      </c>
      <c r="N59" s="172">
        <f t="shared" si="13"/>
        <v>8.3333333333333329E-2</v>
      </c>
      <c r="O59" s="173">
        <f t="shared" si="14"/>
        <v>8.75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45768</v>
      </c>
      <c r="B60" s="312" t="s">
        <v>213</v>
      </c>
      <c r="C60" s="312"/>
      <c r="D60" s="306" t="s">
        <v>212</v>
      </c>
      <c r="E60" s="307"/>
      <c r="F60" s="307"/>
      <c r="G60" s="307"/>
      <c r="H60" s="307"/>
      <c r="I60" s="307"/>
      <c r="J60" s="169">
        <v>60</v>
      </c>
      <c r="K60" s="169">
        <v>60</v>
      </c>
      <c r="L60" s="170">
        <v>240</v>
      </c>
      <c r="M60" s="171">
        <f t="shared" si="12"/>
        <v>0</v>
      </c>
      <c r="N60" s="172">
        <f t="shared" si="13"/>
        <v>0</v>
      </c>
      <c r="O60" s="173">
        <f t="shared" si="14"/>
        <v>0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/>
      <c r="B61" s="313"/>
      <c r="C61" s="314"/>
      <c r="D61" s="306"/>
      <c r="E61" s="307"/>
      <c r="F61" s="307"/>
      <c r="G61" s="307"/>
      <c r="H61" s="307"/>
      <c r="I61" s="307"/>
      <c r="J61" s="169"/>
      <c r="K61" s="169"/>
      <c r="L61" s="170"/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166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164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61"/>
      <c r="S67" s="261"/>
      <c r="T67" s="261"/>
      <c r="U67" s="261"/>
      <c r="V67" s="261"/>
      <c r="W67" s="261"/>
      <c r="X67" s="261"/>
      <c r="Y67" s="261"/>
      <c r="Z67" s="261"/>
      <c r="AA67" s="261"/>
      <c r="AB67" s="261"/>
      <c r="AC67" s="261"/>
      <c r="AD67" s="261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61"/>
      <c r="S68" s="261"/>
      <c r="T68" s="261"/>
      <c r="U68" s="261"/>
      <c r="V68" s="261"/>
      <c r="W68" s="261"/>
      <c r="X68" s="261"/>
      <c r="Y68" s="261"/>
      <c r="Z68" s="261"/>
      <c r="AA68" s="261"/>
      <c r="AB68" s="261"/>
      <c r="AC68" s="261"/>
      <c r="AD68" s="261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61">
        <f>SUM(Q38:R38)*65</f>
        <v>116480</v>
      </c>
      <c r="S73" s="261"/>
      <c r="T73" s="261"/>
      <c r="U73" s="261"/>
      <c r="V73" s="261"/>
      <c r="W73" s="261"/>
      <c r="X73" s="261"/>
      <c r="Y73" s="261"/>
      <c r="Z73" s="190"/>
      <c r="AA73" s="190"/>
      <c r="AB73" s="58"/>
      <c r="AC73" s="58"/>
      <c r="AD73" s="191">
        <f>SUM(R73:AC73)</f>
        <v>116480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61"/>
      <c r="S74" s="261"/>
      <c r="T74" s="261"/>
      <c r="U74" s="261"/>
      <c r="V74" s="261"/>
      <c r="W74" s="261"/>
      <c r="X74" s="261"/>
      <c r="Y74" s="261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116480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116480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30.8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zoomScale="90" zoomScaleNormal="90" workbookViewId="0">
      <pane ySplit="6" topLeftCell="A18" activePane="bottomLeft" state="frozen"/>
      <selection pane="bottomLeft" activeCell="L59" sqref="L59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1.6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19" width="10.875" style="7" customWidth="1"/>
    <col min="20" max="20" width="11.875" style="7" customWidth="1"/>
    <col min="21" max="21" width="12.5" style="6" customWidth="1"/>
    <col min="22" max="22" width="12.25" style="6" customWidth="1"/>
    <col min="23" max="23" width="9.875" style="8" bestFit="1" customWidth="1"/>
    <col min="24" max="27" width="11.375" style="8" customWidth="1"/>
    <col min="28" max="28" width="11.75" style="8" customWidth="1"/>
    <col min="29" max="29" width="11.375" style="8" customWidth="1"/>
    <col min="30" max="30" width="12.875" style="8" customWidth="1"/>
    <col min="31" max="31" width="11.375" style="8" customWidth="1"/>
    <col min="32" max="32" width="10.5" style="8" bestFit="1" customWidth="1"/>
    <col min="33" max="33" width="9.75" style="8" bestFit="1" customWidth="1"/>
    <col min="34" max="34" width="8.5" style="6" customWidth="1"/>
    <col min="35" max="35" width="9.375" style="6" bestFit="1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bestFit="1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215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64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3</v>
      </c>
      <c r="AI5" s="354"/>
      <c r="AJ5" s="251" t="s">
        <v>169</v>
      </c>
      <c r="AK5" s="22" t="s">
        <v>19</v>
      </c>
      <c r="AL5" s="23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218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30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172</v>
      </c>
      <c r="AN6" s="7"/>
      <c r="AO6" s="7"/>
      <c r="AP6" s="7"/>
      <c r="AQ6"/>
    </row>
    <row r="7" spans="1:43" x14ac:dyDescent="0.3">
      <c r="A7" s="40">
        <v>1</v>
      </c>
      <c r="B7" s="41">
        <v>566</v>
      </c>
      <c r="C7" s="214">
        <f t="shared" ref="C7:C37" si="0">B7/24</f>
        <v>23.583333333333332</v>
      </c>
      <c r="D7" s="43">
        <v>396</v>
      </c>
      <c r="E7" s="44">
        <v>499</v>
      </c>
      <c r="F7" s="44">
        <v>895</v>
      </c>
      <c r="G7" s="45">
        <v>336</v>
      </c>
      <c r="H7" s="218">
        <v>46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0</v>
      </c>
      <c r="P7" s="52">
        <f t="shared" ref="P7:P37" si="3">O7/24</f>
        <v>0</v>
      </c>
      <c r="Q7" s="265">
        <v>0</v>
      </c>
      <c r="R7" s="53">
        <v>0</v>
      </c>
      <c r="S7" s="54">
        <v>0</v>
      </c>
      <c r="T7" s="223">
        <v>0</v>
      </c>
      <c r="U7" s="55">
        <f>SUM(B7,I7,M7,O7,Q7,R7,S7)</f>
        <v>566</v>
      </c>
      <c r="V7" s="231">
        <f t="shared" ref="V7:V37" si="4">U7/24</f>
        <v>23.583333333333332</v>
      </c>
      <c r="W7" s="235">
        <v>0</v>
      </c>
      <c r="X7" s="56">
        <v>0</v>
      </c>
      <c r="Y7" s="57">
        <v>0</v>
      </c>
      <c r="Z7" s="6"/>
      <c r="AA7" s="348" t="s">
        <v>225</v>
      </c>
      <c r="AB7" s="348"/>
      <c r="AC7" s="348"/>
      <c r="AD7" s="348"/>
      <c r="AE7" s="350"/>
      <c r="AF7" s="351"/>
      <c r="AG7" s="351"/>
      <c r="AH7" s="352"/>
      <c r="AI7" s="58">
        <v>900</v>
      </c>
      <c r="AJ7" s="58">
        <v>600</v>
      </c>
      <c r="AK7" s="59">
        <v>0</v>
      </c>
      <c r="AL7" s="60">
        <f t="shared" ref="AL7:AL37" si="5">AK7/24</f>
        <v>0</v>
      </c>
      <c r="AM7" s="6">
        <v>0</v>
      </c>
      <c r="AO7" s="61"/>
      <c r="AP7" s="61">
        <f t="shared" ref="AP7:AP37" si="6">S7-AO7</f>
        <v>0</v>
      </c>
      <c r="AQ7"/>
    </row>
    <row r="8" spans="1:43" x14ac:dyDescent="0.3">
      <c r="A8" s="62">
        <v>2</v>
      </c>
      <c r="B8" s="41">
        <v>543</v>
      </c>
      <c r="C8" s="42">
        <f t="shared" si="0"/>
        <v>22.625</v>
      </c>
      <c r="D8" s="63">
        <v>380</v>
      </c>
      <c r="E8" s="44">
        <v>399</v>
      </c>
      <c r="F8" s="64">
        <v>779</v>
      </c>
      <c r="G8" s="20">
        <v>305</v>
      </c>
      <c r="H8" s="216">
        <v>45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0</v>
      </c>
      <c r="P8" s="52">
        <f t="shared" si="3"/>
        <v>0</v>
      </c>
      <c r="Q8" s="265">
        <v>0</v>
      </c>
      <c r="R8" s="53">
        <v>0</v>
      </c>
      <c r="S8" s="54">
        <v>0</v>
      </c>
      <c r="T8" s="223">
        <v>0</v>
      </c>
      <c r="U8" s="55">
        <f>SUM(B8,I8,M8,O8,Q8,R8,S8)</f>
        <v>543</v>
      </c>
      <c r="V8" s="231">
        <f t="shared" si="4"/>
        <v>22.625</v>
      </c>
      <c r="W8" s="236">
        <v>0</v>
      </c>
      <c r="X8" s="65">
        <v>0</v>
      </c>
      <c r="Y8" s="66">
        <v>0</v>
      </c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>
        <v>1440</v>
      </c>
      <c r="AK8" s="59">
        <v>0</v>
      </c>
      <c r="AL8" s="60">
        <f t="shared" si="5"/>
        <v>0</v>
      </c>
      <c r="AM8" s="6">
        <v>0</v>
      </c>
      <c r="AO8" s="61"/>
      <c r="AP8" s="61">
        <f t="shared" si="6"/>
        <v>0</v>
      </c>
      <c r="AQ8"/>
    </row>
    <row r="9" spans="1:43" x14ac:dyDescent="0.3">
      <c r="A9" s="62">
        <v>3</v>
      </c>
      <c r="B9" s="67">
        <v>541</v>
      </c>
      <c r="C9" s="42">
        <f t="shared" si="0"/>
        <v>22.541666666666668</v>
      </c>
      <c r="D9" s="63">
        <v>379</v>
      </c>
      <c r="E9" s="44">
        <v>399</v>
      </c>
      <c r="F9" s="64">
        <v>778</v>
      </c>
      <c r="G9" s="20">
        <v>234</v>
      </c>
      <c r="H9" s="216">
        <v>46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0</v>
      </c>
      <c r="P9" s="52">
        <f t="shared" si="3"/>
        <v>0</v>
      </c>
      <c r="Q9" s="265">
        <v>0</v>
      </c>
      <c r="R9" s="53">
        <v>0</v>
      </c>
      <c r="S9" s="54">
        <v>0</v>
      </c>
      <c r="T9" s="223">
        <v>0</v>
      </c>
      <c r="U9" s="55">
        <f t="shared" ref="U9:U37" si="7">SUM(B9,I9,M9,O9,Q9,R9,S9)</f>
        <v>541</v>
      </c>
      <c r="V9" s="231">
        <f t="shared" si="4"/>
        <v>22.541666666666668</v>
      </c>
      <c r="W9" s="236">
        <v>0</v>
      </c>
      <c r="X9" s="65">
        <v>0</v>
      </c>
      <c r="Y9" s="66">
        <v>0</v>
      </c>
      <c r="Z9" s="6"/>
      <c r="AA9" s="348" t="s">
        <v>224</v>
      </c>
      <c r="AB9" s="348"/>
      <c r="AC9" s="348"/>
      <c r="AD9" s="348"/>
      <c r="AE9" s="350"/>
      <c r="AF9" s="351"/>
      <c r="AG9" s="351"/>
      <c r="AH9" s="352"/>
      <c r="AI9" s="58"/>
      <c r="AJ9" s="58">
        <v>1440</v>
      </c>
      <c r="AK9" s="59">
        <v>0</v>
      </c>
      <c r="AL9" s="60">
        <f t="shared" si="5"/>
        <v>0</v>
      </c>
      <c r="AM9" s="6">
        <v>0</v>
      </c>
      <c r="AO9" s="61"/>
      <c r="AP9" s="61">
        <f t="shared" si="6"/>
        <v>0</v>
      </c>
      <c r="AQ9"/>
    </row>
    <row r="10" spans="1:43" x14ac:dyDescent="0.3">
      <c r="A10" s="62">
        <v>4</v>
      </c>
      <c r="B10" s="67">
        <v>294</v>
      </c>
      <c r="C10" s="42">
        <f t="shared" si="0"/>
        <v>12.25</v>
      </c>
      <c r="D10" s="63">
        <v>206</v>
      </c>
      <c r="E10" s="44">
        <v>236</v>
      </c>
      <c r="F10" s="64">
        <v>442</v>
      </c>
      <c r="G10" s="20">
        <v>217</v>
      </c>
      <c r="H10" s="216">
        <v>33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0</v>
      </c>
      <c r="P10" s="52">
        <f t="shared" si="3"/>
        <v>0</v>
      </c>
      <c r="Q10" s="265">
        <v>0</v>
      </c>
      <c r="R10" s="53">
        <v>0</v>
      </c>
      <c r="S10" s="54">
        <v>223</v>
      </c>
      <c r="T10" s="223">
        <v>390</v>
      </c>
      <c r="U10" s="55">
        <f t="shared" si="7"/>
        <v>517</v>
      </c>
      <c r="V10" s="231">
        <f t="shared" si="4"/>
        <v>21.541666666666668</v>
      </c>
      <c r="W10" s="236">
        <v>0</v>
      </c>
      <c r="X10" s="65">
        <v>0</v>
      </c>
      <c r="Y10" s="66">
        <v>13</v>
      </c>
      <c r="Z10" s="6"/>
      <c r="AA10" s="348"/>
      <c r="AB10" s="348"/>
      <c r="AC10" s="348"/>
      <c r="AD10" s="348"/>
      <c r="AE10" s="350"/>
      <c r="AF10" s="351"/>
      <c r="AG10" s="351"/>
      <c r="AH10" s="352"/>
      <c r="AI10" s="58">
        <v>460</v>
      </c>
      <c r="AJ10" s="58">
        <v>1440</v>
      </c>
      <c r="AK10" s="59">
        <v>0</v>
      </c>
      <c r="AL10" s="60">
        <f t="shared" si="5"/>
        <v>0</v>
      </c>
      <c r="AM10" s="6">
        <v>0</v>
      </c>
      <c r="AO10" s="61"/>
      <c r="AP10" s="61">
        <f t="shared" si="6"/>
        <v>223</v>
      </c>
      <c r="AQ10"/>
    </row>
    <row r="11" spans="1:43" x14ac:dyDescent="0.3">
      <c r="A11" s="62">
        <v>5</v>
      </c>
      <c r="B11" s="67">
        <v>532</v>
      </c>
      <c r="C11" s="42">
        <f t="shared" si="0"/>
        <v>22.166666666666668</v>
      </c>
      <c r="D11" s="69">
        <v>372</v>
      </c>
      <c r="E11" s="44">
        <v>348</v>
      </c>
      <c r="F11" s="70">
        <v>720</v>
      </c>
      <c r="G11" s="20">
        <v>243</v>
      </c>
      <c r="H11" s="216">
        <v>52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0</v>
      </c>
      <c r="P11" s="52">
        <f t="shared" si="3"/>
        <v>0</v>
      </c>
      <c r="Q11" s="265">
        <v>0</v>
      </c>
      <c r="R11" s="53">
        <v>0</v>
      </c>
      <c r="S11" s="54">
        <v>51</v>
      </c>
      <c r="T11" s="223">
        <v>507</v>
      </c>
      <c r="U11" s="55">
        <f t="shared" si="7"/>
        <v>583</v>
      </c>
      <c r="V11" s="231">
        <f t="shared" si="4"/>
        <v>24.291666666666668</v>
      </c>
      <c r="W11" s="236">
        <v>0</v>
      </c>
      <c r="X11" s="65">
        <v>0</v>
      </c>
      <c r="Y11" s="66">
        <v>24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>
        <v>1440</v>
      </c>
      <c r="AK11" s="59">
        <v>0</v>
      </c>
      <c r="AL11" s="60">
        <f t="shared" si="5"/>
        <v>0</v>
      </c>
      <c r="AM11" s="6">
        <v>0</v>
      </c>
      <c r="AO11" s="61"/>
      <c r="AP11" s="61">
        <f t="shared" si="6"/>
        <v>51</v>
      </c>
      <c r="AQ11"/>
    </row>
    <row r="12" spans="1:43" x14ac:dyDescent="0.3">
      <c r="A12" s="62">
        <v>6</v>
      </c>
      <c r="B12" s="67">
        <v>564</v>
      </c>
      <c r="C12" s="42">
        <f t="shared" si="0"/>
        <v>23.5</v>
      </c>
      <c r="D12" s="69">
        <v>395</v>
      </c>
      <c r="E12" s="44">
        <v>333</v>
      </c>
      <c r="F12" s="70">
        <v>728</v>
      </c>
      <c r="G12" s="75">
        <v>186</v>
      </c>
      <c r="H12" s="219">
        <v>45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0</v>
      </c>
      <c r="P12" s="52">
        <f t="shared" si="3"/>
        <v>0</v>
      </c>
      <c r="Q12" s="265">
        <v>0</v>
      </c>
      <c r="R12" s="53">
        <v>0</v>
      </c>
      <c r="S12" s="54">
        <v>96</v>
      </c>
      <c r="T12" s="223">
        <v>514</v>
      </c>
      <c r="U12" s="55">
        <f t="shared" si="7"/>
        <v>660</v>
      </c>
      <c r="V12" s="231">
        <f t="shared" si="4"/>
        <v>27.5</v>
      </c>
      <c r="W12" s="236">
        <v>0</v>
      </c>
      <c r="X12" s="65">
        <v>0</v>
      </c>
      <c r="Y12" s="66">
        <v>24</v>
      </c>
      <c r="Z12" s="6"/>
      <c r="AA12" s="359" t="s">
        <v>219</v>
      </c>
      <c r="AB12" s="348"/>
      <c r="AC12" s="348"/>
      <c r="AD12" s="348"/>
      <c r="AE12" s="360"/>
      <c r="AF12" s="351"/>
      <c r="AG12" s="351"/>
      <c r="AH12" s="352"/>
      <c r="AI12" s="58"/>
      <c r="AJ12" s="58">
        <v>1380</v>
      </c>
      <c r="AK12" s="59">
        <v>0</v>
      </c>
      <c r="AL12" s="60">
        <f t="shared" si="5"/>
        <v>0</v>
      </c>
      <c r="AM12" s="6">
        <v>0</v>
      </c>
      <c r="AO12" s="61"/>
      <c r="AP12" s="61">
        <f t="shared" si="6"/>
        <v>96</v>
      </c>
      <c r="AQ12"/>
    </row>
    <row r="13" spans="1:43" x14ac:dyDescent="0.3">
      <c r="A13" s="62">
        <v>7</v>
      </c>
      <c r="B13" s="67">
        <v>1594</v>
      </c>
      <c r="C13" s="42">
        <f t="shared" si="0"/>
        <v>66.416666666666671</v>
      </c>
      <c r="D13" s="69">
        <v>1116</v>
      </c>
      <c r="E13" s="44">
        <v>726</v>
      </c>
      <c r="F13" s="70">
        <v>1842</v>
      </c>
      <c r="G13" s="20">
        <v>301</v>
      </c>
      <c r="H13" s="216">
        <v>71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370</v>
      </c>
      <c r="P13" s="52">
        <f t="shared" si="3"/>
        <v>15.416666666666666</v>
      </c>
      <c r="Q13" s="265">
        <v>32</v>
      </c>
      <c r="R13" s="53">
        <v>0</v>
      </c>
      <c r="S13" s="54">
        <v>404</v>
      </c>
      <c r="T13" s="223">
        <v>527</v>
      </c>
      <c r="U13" s="55">
        <f t="shared" si="7"/>
        <v>2400</v>
      </c>
      <c r="V13" s="231">
        <f t="shared" si="4"/>
        <v>100</v>
      </c>
      <c r="W13" s="236">
        <v>12</v>
      </c>
      <c r="X13" s="65">
        <v>0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119</v>
      </c>
      <c r="AL13" s="60">
        <f t="shared" si="5"/>
        <v>4.958333333333333</v>
      </c>
      <c r="AM13" s="6">
        <v>1200</v>
      </c>
      <c r="AO13" s="61"/>
      <c r="AP13" s="61">
        <f t="shared" si="6"/>
        <v>404</v>
      </c>
      <c r="AQ13"/>
    </row>
    <row r="14" spans="1:43" x14ac:dyDescent="0.3">
      <c r="A14" s="62">
        <v>8</v>
      </c>
      <c r="B14" s="67">
        <v>1625</v>
      </c>
      <c r="C14" s="42">
        <f t="shared" si="0"/>
        <v>67.708333333333329</v>
      </c>
      <c r="D14" s="69">
        <v>1138</v>
      </c>
      <c r="E14" s="44">
        <v>732</v>
      </c>
      <c r="F14" s="70">
        <v>1869</v>
      </c>
      <c r="G14" s="20">
        <v>401</v>
      </c>
      <c r="H14" s="216">
        <v>71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375</v>
      </c>
      <c r="P14" s="52">
        <f t="shared" si="3"/>
        <v>15.625</v>
      </c>
      <c r="Q14" s="265">
        <v>8</v>
      </c>
      <c r="R14" s="53">
        <v>0</v>
      </c>
      <c r="S14" s="54">
        <v>446</v>
      </c>
      <c r="T14" s="223">
        <v>503</v>
      </c>
      <c r="U14" s="55">
        <f t="shared" si="7"/>
        <v>2454</v>
      </c>
      <c r="V14" s="231">
        <f t="shared" si="4"/>
        <v>102.25</v>
      </c>
      <c r="W14" s="236">
        <v>4</v>
      </c>
      <c r="X14" s="65">
        <v>0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>
        <v>110</v>
      </c>
      <c r="AL14" s="60">
        <f t="shared" si="5"/>
        <v>4.583333333333333</v>
      </c>
      <c r="AM14" s="6">
        <v>1440</v>
      </c>
      <c r="AO14" s="61"/>
      <c r="AP14" s="61">
        <f t="shared" si="6"/>
        <v>446</v>
      </c>
      <c r="AQ14"/>
    </row>
    <row r="15" spans="1:43" x14ac:dyDescent="0.3">
      <c r="A15" s="62">
        <v>9</v>
      </c>
      <c r="B15" s="67">
        <v>1608</v>
      </c>
      <c r="C15" s="42">
        <f t="shared" si="0"/>
        <v>67</v>
      </c>
      <c r="D15" s="69">
        <v>1126</v>
      </c>
      <c r="E15" s="44">
        <v>740</v>
      </c>
      <c r="F15" s="70">
        <v>1866</v>
      </c>
      <c r="G15" s="20">
        <v>446</v>
      </c>
      <c r="H15" s="216">
        <v>71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374</v>
      </c>
      <c r="P15" s="52">
        <f t="shared" si="3"/>
        <v>15.583333333333334</v>
      </c>
      <c r="Q15" s="265">
        <v>141</v>
      </c>
      <c r="R15" s="53">
        <v>0</v>
      </c>
      <c r="S15" s="54">
        <v>458</v>
      </c>
      <c r="T15" s="223">
        <v>504</v>
      </c>
      <c r="U15" s="55">
        <f t="shared" si="7"/>
        <v>2581</v>
      </c>
      <c r="V15" s="231">
        <f t="shared" si="4"/>
        <v>107.54166666666667</v>
      </c>
      <c r="W15" s="236">
        <v>24</v>
      </c>
      <c r="X15" s="65">
        <v>0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>
        <v>136</v>
      </c>
      <c r="AL15" s="60">
        <f t="shared" si="5"/>
        <v>5.666666666666667</v>
      </c>
      <c r="AM15" s="6">
        <v>1440</v>
      </c>
      <c r="AO15" s="61"/>
      <c r="AP15" s="61">
        <f t="shared" si="6"/>
        <v>458</v>
      </c>
      <c r="AQ15"/>
    </row>
    <row r="16" spans="1:43" x14ac:dyDescent="0.3">
      <c r="A16" s="62">
        <v>10</v>
      </c>
      <c r="B16" s="67">
        <v>1608</v>
      </c>
      <c r="C16" s="42">
        <f t="shared" si="0"/>
        <v>67</v>
      </c>
      <c r="D16" s="69">
        <v>1126</v>
      </c>
      <c r="E16" s="44">
        <v>725</v>
      </c>
      <c r="F16" s="70">
        <v>1851</v>
      </c>
      <c r="G16" s="20">
        <v>536</v>
      </c>
      <c r="H16" s="216">
        <v>78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381</v>
      </c>
      <c r="P16" s="52">
        <f t="shared" si="3"/>
        <v>15.875</v>
      </c>
      <c r="Q16" s="265">
        <v>53</v>
      </c>
      <c r="R16" s="53">
        <v>0</v>
      </c>
      <c r="S16" s="54">
        <v>469</v>
      </c>
      <c r="T16" s="223">
        <v>522</v>
      </c>
      <c r="U16" s="55">
        <f t="shared" si="7"/>
        <v>2511</v>
      </c>
      <c r="V16" s="231">
        <f t="shared" si="4"/>
        <v>104.625</v>
      </c>
      <c r="W16" s="236">
        <v>12.67</v>
      </c>
      <c r="X16" s="65">
        <v>0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168</v>
      </c>
      <c r="AL16" s="60">
        <f t="shared" si="5"/>
        <v>7</v>
      </c>
      <c r="AM16" s="6">
        <v>1440</v>
      </c>
      <c r="AO16" s="61"/>
      <c r="AP16" s="61">
        <f t="shared" si="6"/>
        <v>469</v>
      </c>
      <c r="AQ16"/>
    </row>
    <row r="17" spans="1:43" x14ac:dyDescent="0.3">
      <c r="A17" s="62">
        <v>11</v>
      </c>
      <c r="B17" s="67">
        <v>1579</v>
      </c>
      <c r="C17" s="42">
        <f t="shared" si="0"/>
        <v>65.791666666666671</v>
      </c>
      <c r="D17" s="69">
        <v>1105</v>
      </c>
      <c r="E17" s="44">
        <v>733</v>
      </c>
      <c r="F17" s="70">
        <v>1838</v>
      </c>
      <c r="G17" s="20">
        <v>518</v>
      </c>
      <c r="H17" s="216">
        <v>72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388</v>
      </c>
      <c r="P17" s="52">
        <f t="shared" si="3"/>
        <v>16.166666666666668</v>
      </c>
      <c r="Q17" s="265">
        <v>0</v>
      </c>
      <c r="R17" s="53">
        <v>0</v>
      </c>
      <c r="S17" s="54">
        <v>469</v>
      </c>
      <c r="T17" s="223">
        <v>527</v>
      </c>
      <c r="U17" s="55">
        <f t="shared" si="7"/>
        <v>2436</v>
      </c>
      <c r="V17" s="231">
        <f t="shared" si="4"/>
        <v>101.5</v>
      </c>
      <c r="W17" s="236">
        <v>0</v>
      </c>
      <c r="X17" s="65">
        <v>0</v>
      </c>
      <c r="Y17" s="66">
        <v>24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179</v>
      </c>
      <c r="AL17" s="60">
        <f t="shared" si="5"/>
        <v>7.458333333333333</v>
      </c>
      <c r="AM17" s="6">
        <v>1440</v>
      </c>
      <c r="AO17" s="61"/>
      <c r="AP17" s="61">
        <f t="shared" si="6"/>
        <v>469</v>
      </c>
      <c r="AQ17"/>
    </row>
    <row r="18" spans="1:43" x14ac:dyDescent="0.3">
      <c r="A18" s="62">
        <v>12</v>
      </c>
      <c r="B18" s="67">
        <v>1602</v>
      </c>
      <c r="C18" s="42">
        <f t="shared" si="0"/>
        <v>66.75</v>
      </c>
      <c r="D18" s="69">
        <v>1121</v>
      </c>
      <c r="E18" s="44">
        <v>721</v>
      </c>
      <c r="F18" s="70">
        <v>1842</v>
      </c>
      <c r="G18" s="20">
        <v>387</v>
      </c>
      <c r="H18" s="216">
        <v>80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397</v>
      </c>
      <c r="P18" s="52">
        <f t="shared" si="3"/>
        <v>16.541666666666668</v>
      </c>
      <c r="Q18" s="265">
        <v>13</v>
      </c>
      <c r="R18" s="53">
        <v>0</v>
      </c>
      <c r="S18" s="54">
        <v>460</v>
      </c>
      <c r="T18" s="223">
        <v>524</v>
      </c>
      <c r="U18" s="55">
        <f t="shared" si="7"/>
        <v>2472</v>
      </c>
      <c r="V18" s="231">
        <f t="shared" si="4"/>
        <v>103</v>
      </c>
      <c r="W18" s="236">
        <v>5.17</v>
      </c>
      <c r="X18" s="65">
        <v>0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176</v>
      </c>
      <c r="AL18" s="60">
        <f t="shared" si="5"/>
        <v>7.333333333333333</v>
      </c>
      <c r="AM18" s="6">
        <v>1440</v>
      </c>
      <c r="AO18" s="61"/>
      <c r="AP18" s="61">
        <f t="shared" si="6"/>
        <v>460</v>
      </c>
      <c r="AQ18"/>
    </row>
    <row r="19" spans="1:43" x14ac:dyDescent="0.3">
      <c r="A19" s="62">
        <v>13</v>
      </c>
      <c r="B19" s="67">
        <v>1283</v>
      </c>
      <c r="C19" s="42">
        <f t="shared" si="0"/>
        <v>53.458333333333336</v>
      </c>
      <c r="D19" s="264">
        <v>898</v>
      </c>
      <c r="E19" s="44">
        <v>652</v>
      </c>
      <c r="F19" s="19">
        <v>1550</v>
      </c>
      <c r="G19" s="20">
        <v>377</v>
      </c>
      <c r="H19" s="216">
        <v>71</v>
      </c>
      <c r="I19" s="210">
        <v>0</v>
      </c>
      <c r="J19" s="46">
        <f t="shared" si="1"/>
        <v>0</v>
      </c>
      <c r="K19" s="239">
        <v>0</v>
      </c>
      <c r="L19" s="21">
        <v>0</v>
      </c>
      <c r="M19" s="49">
        <v>0</v>
      </c>
      <c r="N19" s="50">
        <f t="shared" si="2"/>
        <v>0</v>
      </c>
      <c r="O19" s="68">
        <v>390</v>
      </c>
      <c r="P19" s="52">
        <f t="shared" si="3"/>
        <v>16.25</v>
      </c>
      <c r="Q19" s="265">
        <v>22</v>
      </c>
      <c r="R19" s="53">
        <v>273</v>
      </c>
      <c r="S19" s="54">
        <v>443</v>
      </c>
      <c r="T19" s="223">
        <v>527</v>
      </c>
      <c r="U19" s="55">
        <f t="shared" si="7"/>
        <v>2411</v>
      </c>
      <c r="V19" s="231">
        <f t="shared" si="4"/>
        <v>100.45833333333333</v>
      </c>
      <c r="W19" s="236">
        <v>2.5</v>
      </c>
      <c r="X19" s="65">
        <v>9</v>
      </c>
      <c r="Y19" s="66">
        <v>24</v>
      </c>
      <c r="Z19" s="6"/>
      <c r="AA19" s="348" t="s">
        <v>220</v>
      </c>
      <c r="AB19" s="348"/>
      <c r="AC19" s="348"/>
      <c r="AD19" s="349"/>
      <c r="AE19" s="350"/>
      <c r="AF19" s="351"/>
      <c r="AG19" s="351"/>
      <c r="AH19" s="352"/>
      <c r="AI19" s="58"/>
      <c r="AJ19" s="58">
        <v>510</v>
      </c>
      <c r="AK19" s="59">
        <v>175</v>
      </c>
      <c r="AL19" s="60">
        <f t="shared" si="5"/>
        <v>7.291666666666667</v>
      </c>
      <c r="AM19" s="6">
        <v>1440</v>
      </c>
      <c r="AO19" s="61"/>
      <c r="AP19" s="61">
        <f t="shared" si="6"/>
        <v>443</v>
      </c>
      <c r="AQ19"/>
    </row>
    <row r="20" spans="1:43" x14ac:dyDescent="0.3">
      <c r="A20" s="62">
        <v>14</v>
      </c>
      <c r="B20" s="67">
        <v>922</v>
      </c>
      <c r="C20" s="42">
        <f t="shared" si="0"/>
        <v>38.416666666666664</v>
      </c>
      <c r="D20" s="264">
        <v>645</v>
      </c>
      <c r="E20" s="44">
        <v>412</v>
      </c>
      <c r="F20" s="19">
        <v>1057</v>
      </c>
      <c r="G20" s="20">
        <v>197</v>
      </c>
      <c r="H20" s="216">
        <v>53</v>
      </c>
      <c r="I20" s="211">
        <v>0</v>
      </c>
      <c r="J20" s="46">
        <f t="shared" si="1"/>
        <v>0</v>
      </c>
      <c r="K20" s="239">
        <v>0</v>
      </c>
      <c r="L20" s="21">
        <v>0</v>
      </c>
      <c r="M20" s="49">
        <v>0</v>
      </c>
      <c r="N20" s="50">
        <f t="shared" si="2"/>
        <v>0</v>
      </c>
      <c r="O20" s="51">
        <v>395</v>
      </c>
      <c r="P20" s="52">
        <f t="shared" si="3"/>
        <v>16.458333333333332</v>
      </c>
      <c r="Q20" s="265">
        <v>15</v>
      </c>
      <c r="R20" s="53">
        <v>403</v>
      </c>
      <c r="S20" s="54">
        <v>429</v>
      </c>
      <c r="T20" s="223">
        <v>498</v>
      </c>
      <c r="U20" s="55">
        <f t="shared" si="7"/>
        <v>2164</v>
      </c>
      <c r="V20" s="231">
        <f t="shared" si="4"/>
        <v>90.166666666666671</v>
      </c>
      <c r="W20" s="236">
        <v>3</v>
      </c>
      <c r="X20" s="65">
        <v>15.5</v>
      </c>
      <c r="Y20" s="66">
        <v>24</v>
      </c>
      <c r="Z20" s="6"/>
      <c r="AA20" s="348" t="s">
        <v>223</v>
      </c>
      <c r="AB20" s="348"/>
      <c r="AC20" s="348"/>
      <c r="AD20" s="349"/>
      <c r="AE20" s="350"/>
      <c r="AF20" s="351"/>
      <c r="AG20" s="351"/>
      <c r="AH20" s="352"/>
      <c r="AI20" s="58"/>
      <c r="AJ20" s="58">
        <v>1080</v>
      </c>
      <c r="AK20" s="59">
        <v>148</v>
      </c>
      <c r="AL20" s="60">
        <f t="shared" si="5"/>
        <v>6.166666666666667</v>
      </c>
      <c r="AM20" s="6">
        <v>1440</v>
      </c>
      <c r="AO20" s="61"/>
      <c r="AP20" s="61">
        <f t="shared" si="6"/>
        <v>429</v>
      </c>
      <c r="AQ20"/>
    </row>
    <row r="21" spans="1:43" x14ac:dyDescent="0.3">
      <c r="A21" s="62">
        <v>15</v>
      </c>
      <c r="B21" s="67">
        <v>1537</v>
      </c>
      <c r="C21" s="42">
        <f t="shared" si="0"/>
        <v>64.041666666666671</v>
      </c>
      <c r="D21" s="264">
        <v>1076</v>
      </c>
      <c r="E21" s="44">
        <v>723</v>
      </c>
      <c r="F21" s="19">
        <v>1799</v>
      </c>
      <c r="G21" s="20">
        <v>216</v>
      </c>
      <c r="H21" s="216">
        <v>72</v>
      </c>
      <c r="I21" s="211">
        <v>0</v>
      </c>
      <c r="J21" s="46">
        <f t="shared" si="1"/>
        <v>0</v>
      </c>
      <c r="K21" s="239">
        <v>0</v>
      </c>
      <c r="L21" s="21">
        <v>0</v>
      </c>
      <c r="M21" s="49">
        <v>0</v>
      </c>
      <c r="N21" s="50">
        <f t="shared" si="2"/>
        <v>0</v>
      </c>
      <c r="O21" s="51">
        <v>396</v>
      </c>
      <c r="P21" s="52">
        <f t="shared" si="3"/>
        <v>16.5</v>
      </c>
      <c r="Q21" s="265">
        <v>0</v>
      </c>
      <c r="R21" s="53">
        <v>0</v>
      </c>
      <c r="S21" s="54">
        <v>421</v>
      </c>
      <c r="T21" s="223">
        <v>501</v>
      </c>
      <c r="U21" s="55">
        <f t="shared" si="7"/>
        <v>2354</v>
      </c>
      <c r="V21" s="231">
        <f t="shared" si="4"/>
        <v>98.083333333333329</v>
      </c>
      <c r="W21" s="236">
        <v>0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163</v>
      </c>
      <c r="AL21" s="60">
        <f t="shared" si="5"/>
        <v>6.791666666666667</v>
      </c>
      <c r="AM21" s="6">
        <v>1440</v>
      </c>
      <c r="AO21" s="61"/>
      <c r="AP21" s="61">
        <f t="shared" si="6"/>
        <v>421</v>
      </c>
      <c r="AQ21"/>
    </row>
    <row r="22" spans="1:43" x14ac:dyDescent="0.3">
      <c r="A22" s="62">
        <v>16</v>
      </c>
      <c r="B22" s="67">
        <v>1484</v>
      </c>
      <c r="C22" s="42">
        <f t="shared" si="0"/>
        <v>61.833333333333336</v>
      </c>
      <c r="D22" s="264">
        <v>1039</v>
      </c>
      <c r="E22" s="44">
        <v>707</v>
      </c>
      <c r="F22" s="19">
        <v>1746</v>
      </c>
      <c r="G22" s="20">
        <v>307</v>
      </c>
      <c r="H22" s="216">
        <v>75</v>
      </c>
      <c r="I22" s="211">
        <v>0</v>
      </c>
      <c r="J22" s="46">
        <f t="shared" si="1"/>
        <v>0</v>
      </c>
      <c r="K22" s="239">
        <v>0</v>
      </c>
      <c r="L22" s="21">
        <v>0</v>
      </c>
      <c r="M22" s="49">
        <v>0</v>
      </c>
      <c r="N22" s="50">
        <f t="shared" si="2"/>
        <v>0</v>
      </c>
      <c r="O22" s="68">
        <v>390</v>
      </c>
      <c r="P22" s="52">
        <f t="shared" si="3"/>
        <v>16.25</v>
      </c>
      <c r="Q22" s="265">
        <v>5</v>
      </c>
      <c r="R22" s="53">
        <v>8</v>
      </c>
      <c r="S22" s="54">
        <v>283</v>
      </c>
      <c r="T22" s="223">
        <v>479</v>
      </c>
      <c r="U22" s="55">
        <f t="shared" si="7"/>
        <v>2170</v>
      </c>
      <c r="V22" s="231">
        <f t="shared" si="4"/>
        <v>90.416666666666671</v>
      </c>
      <c r="W22" s="236">
        <v>1.33</v>
      </c>
      <c r="X22" s="65">
        <v>1.33</v>
      </c>
      <c r="Y22" s="66">
        <v>24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147</v>
      </c>
      <c r="AL22" s="60">
        <f t="shared" si="5"/>
        <v>6.125</v>
      </c>
      <c r="AM22" s="6">
        <v>1440</v>
      </c>
      <c r="AO22" s="61"/>
      <c r="AP22" s="61">
        <f t="shared" si="6"/>
        <v>283</v>
      </c>
      <c r="AQ22"/>
    </row>
    <row r="23" spans="1:43" x14ac:dyDescent="0.3">
      <c r="A23" s="62">
        <v>17</v>
      </c>
      <c r="B23" s="67">
        <v>1424</v>
      </c>
      <c r="C23" s="42">
        <f t="shared" si="0"/>
        <v>59.333333333333336</v>
      </c>
      <c r="D23" s="264">
        <v>997</v>
      </c>
      <c r="E23" s="44">
        <v>680</v>
      </c>
      <c r="F23" s="19">
        <v>1677</v>
      </c>
      <c r="G23" s="20">
        <v>279</v>
      </c>
      <c r="H23" s="216">
        <v>72</v>
      </c>
      <c r="I23" s="211">
        <v>0</v>
      </c>
      <c r="J23" s="46">
        <f t="shared" si="1"/>
        <v>0</v>
      </c>
      <c r="K23" s="239">
        <v>0</v>
      </c>
      <c r="L23" s="21">
        <v>0</v>
      </c>
      <c r="M23" s="49">
        <v>0</v>
      </c>
      <c r="N23" s="50">
        <f t="shared" si="2"/>
        <v>0</v>
      </c>
      <c r="O23" s="68">
        <v>373</v>
      </c>
      <c r="P23" s="52">
        <f t="shared" si="3"/>
        <v>15.541666666666666</v>
      </c>
      <c r="Q23" s="265">
        <v>0</v>
      </c>
      <c r="R23" s="53">
        <v>0</v>
      </c>
      <c r="S23" s="54">
        <v>0</v>
      </c>
      <c r="T23" s="223">
        <v>487</v>
      </c>
      <c r="U23" s="55">
        <f t="shared" si="7"/>
        <v>1797</v>
      </c>
      <c r="V23" s="231">
        <f t="shared" si="4"/>
        <v>74.875</v>
      </c>
      <c r="W23" s="236">
        <v>0</v>
      </c>
      <c r="X23" s="65">
        <v>0</v>
      </c>
      <c r="Y23" s="66">
        <v>24</v>
      </c>
      <c r="Z23" s="6"/>
      <c r="AA23" s="348"/>
      <c r="AB23" s="348"/>
      <c r="AC23" s="348"/>
      <c r="AD23" s="349"/>
      <c r="AE23" s="360"/>
      <c r="AF23" s="351"/>
      <c r="AG23" s="351"/>
      <c r="AH23" s="352"/>
      <c r="AI23" s="58"/>
      <c r="AJ23" s="58"/>
      <c r="AK23" s="59">
        <v>97</v>
      </c>
      <c r="AL23" s="60">
        <f t="shared" si="5"/>
        <v>4.041666666666667</v>
      </c>
      <c r="AM23" s="6">
        <v>1440</v>
      </c>
      <c r="AO23" s="61"/>
      <c r="AP23" s="61">
        <f t="shared" si="6"/>
        <v>0</v>
      </c>
      <c r="AQ23"/>
    </row>
    <row r="24" spans="1:43" x14ac:dyDescent="0.3">
      <c r="A24" s="62">
        <v>18</v>
      </c>
      <c r="B24" s="67">
        <v>1413</v>
      </c>
      <c r="C24" s="42">
        <f t="shared" si="0"/>
        <v>58.875</v>
      </c>
      <c r="D24" s="264">
        <v>989</v>
      </c>
      <c r="E24" s="44">
        <v>661</v>
      </c>
      <c r="F24" s="19">
        <v>1650</v>
      </c>
      <c r="G24" s="20">
        <v>282</v>
      </c>
      <c r="H24" s="216">
        <v>72</v>
      </c>
      <c r="I24" s="211">
        <v>0</v>
      </c>
      <c r="J24" s="46">
        <f t="shared" si="1"/>
        <v>0</v>
      </c>
      <c r="K24" s="239">
        <v>0</v>
      </c>
      <c r="L24" s="21">
        <v>0</v>
      </c>
      <c r="M24" s="49">
        <v>0</v>
      </c>
      <c r="N24" s="50">
        <f t="shared" si="2"/>
        <v>0</v>
      </c>
      <c r="O24" s="198">
        <v>383</v>
      </c>
      <c r="P24" s="52">
        <f t="shared" si="3"/>
        <v>15.958333333333334</v>
      </c>
      <c r="Q24" s="265">
        <v>0</v>
      </c>
      <c r="R24" s="53">
        <v>0</v>
      </c>
      <c r="S24" s="54">
        <v>0</v>
      </c>
      <c r="T24" s="223">
        <v>477</v>
      </c>
      <c r="U24" s="55">
        <f t="shared" si="7"/>
        <v>1796</v>
      </c>
      <c r="V24" s="231">
        <f t="shared" si="4"/>
        <v>74.833333333333329</v>
      </c>
      <c r="W24" s="236">
        <v>0</v>
      </c>
      <c r="X24" s="65">
        <v>0</v>
      </c>
      <c r="Y24" s="66">
        <v>24</v>
      </c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98</v>
      </c>
      <c r="AL24" s="60">
        <f t="shared" si="5"/>
        <v>4.083333333333333</v>
      </c>
      <c r="AM24" s="6">
        <v>1440</v>
      </c>
      <c r="AO24" s="61"/>
      <c r="AP24" s="61">
        <f t="shared" si="6"/>
        <v>0</v>
      </c>
      <c r="AQ24"/>
    </row>
    <row r="25" spans="1:43" x14ac:dyDescent="0.3">
      <c r="A25" s="62">
        <v>19</v>
      </c>
      <c r="B25" s="67">
        <v>1308</v>
      </c>
      <c r="C25" s="42">
        <f t="shared" si="0"/>
        <v>54.5</v>
      </c>
      <c r="D25" s="264">
        <v>916</v>
      </c>
      <c r="E25" s="44">
        <v>656</v>
      </c>
      <c r="F25" s="19">
        <v>1572</v>
      </c>
      <c r="G25" s="20">
        <v>313</v>
      </c>
      <c r="H25" s="216">
        <v>71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0</v>
      </c>
      <c r="N25" s="50">
        <f t="shared" si="2"/>
        <v>0</v>
      </c>
      <c r="O25" s="198">
        <v>382</v>
      </c>
      <c r="P25" s="52">
        <f t="shared" si="3"/>
        <v>15.916666666666666</v>
      </c>
      <c r="Q25" s="265">
        <v>0</v>
      </c>
      <c r="R25" s="53">
        <v>0</v>
      </c>
      <c r="S25" s="54">
        <v>69</v>
      </c>
      <c r="T25" s="223">
        <v>468</v>
      </c>
      <c r="U25" s="55">
        <f t="shared" si="7"/>
        <v>1759</v>
      </c>
      <c r="V25" s="231">
        <f t="shared" si="4"/>
        <v>73.291666666666671</v>
      </c>
      <c r="W25" s="236">
        <v>0</v>
      </c>
      <c r="X25" s="65">
        <v>0</v>
      </c>
      <c r="Y25" s="66">
        <v>24</v>
      </c>
      <c r="Z25" s="6"/>
      <c r="AA25" s="348" t="s">
        <v>226</v>
      </c>
      <c r="AB25" s="348"/>
      <c r="AC25" s="348"/>
      <c r="AD25" s="349"/>
      <c r="AE25" s="350"/>
      <c r="AF25" s="351"/>
      <c r="AG25" s="351"/>
      <c r="AH25" s="352"/>
      <c r="AI25" s="58">
        <v>240</v>
      </c>
      <c r="AJ25" s="58"/>
      <c r="AK25" s="59">
        <v>90</v>
      </c>
      <c r="AL25" s="60">
        <f t="shared" si="5"/>
        <v>3.75</v>
      </c>
      <c r="AM25" s="6">
        <v>1440</v>
      </c>
      <c r="AO25" s="61"/>
      <c r="AP25" s="61">
        <f t="shared" si="6"/>
        <v>69</v>
      </c>
      <c r="AQ25"/>
    </row>
    <row r="26" spans="1:43" x14ac:dyDescent="0.3">
      <c r="A26" s="62">
        <v>20</v>
      </c>
      <c r="B26" s="67">
        <v>727</v>
      </c>
      <c r="C26" s="42">
        <f t="shared" si="0"/>
        <v>30.291666666666668</v>
      </c>
      <c r="D26" s="264">
        <v>509</v>
      </c>
      <c r="E26" s="44">
        <v>422</v>
      </c>
      <c r="F26" s="19">
        <v>931</v>
      </c>
      <c r="G26" s="20">
        <v>309</v>
      </c>
      <c r="H26" s="216">
        <v>39</v>
      </c>
      <c r="I26" s="211">
        <v>0</v>
      </c>
      <c r="J26" s="46">
        <f t="shared" si="1"/>
        <v>0</v>
      </c>
      <c r="K26" s="239">
        <v>0</v>
      </c>
      <c r="L26" s="21">
        <v>0</v>
      </c>
      <c r="M26" s="49">
        <v>0</v>
      </c>
      <c r="N26" s="50">
        <f t="shared" si="2"/>
        <v>0</v>
      </c>
      <c r="O26" s="198">
        <v>277</v>
      </c>
      <c r="P26" s="52">
        <f t="shared" si="3"/>
        <v>11.541666666666666</v>
      </c>
      <c r="Q26" s="265">
        <v>0</v>
      </c>
      <c r="R26" s="53">
        <v>0</v>
      </c>
      <c r="S26" s="54">
        <v>364</v>
      </c>
      <c r="T26" s="223">
        <v>474</v>
      </c>
      <c r="U26" s="55">
        <f t="shared" si="7"/>
        <v>1368</v>
      </c>
      <c r="V26" s="231">
        <f t="shared" si="4"/>
        <v>57</v>
      </c>
      <c r="W26" s="236">
        <v>0</v>
      </c>
      <c r="X26" s="65">
        <v>0</v>
      </c>
      <c r="Y26" s="66">
        <v>24</v>
      </c>
      <c r="Z26" s="6"/>
      <c r="AA26" s="348" t="s">
        <v>228</v>
      </c>
      <c r="AB26" s="348"/>
      <c r="AC26" s="348"/>
      <c r="AD26" s="349"/>
      <c r="AE26" s="350"/>
      <c r="AF26" s="351"/>
      <c r="AG26" s="351"/>
      <c r="AH26" s="352"/>
      <c r="AI26" s="58">
        <v>585</v>
      </c>
      <c r="AJ26" s="58">
        <v>655</v>
      </c>
      <c r="AK26" s="59">
        <v>62</v>
      </c>
      <c r="AL26" s="60">
        <f t="shared" si="5"/>
        <v>2.5833333333333335</v>
      </c>
      <c r="AM26" s="6">
        <v>570</v>
      </c>
      <c r="AO26" s="61"/>
      <c r="AP26" s="61">
        <f t="shared" si="6"/>
        <v>364</v>
      </c>
      <c r="AQ26"/>
    </row>
    <row r="27" spans="1:43" x14ac:dyDescent="0.3">
      <c r="A27" s="62">
        <v>21</v>
      </c>
      <c r="B27" s="67">
        <v>1418</v>
      </c>
      <c r="C27" s="42">
        <f t="shared" si="0"/>
        <v>59.083333333333336</v>
      </c>
      <c r="D27" s="264">
        <v>993</v>
      </c>
      <c r="E27" s="44">
        <v>696</v>
      </c>
      <c r="F27" s="19">
        <v>1689</v>
      </c>
      <c r="G27" s="20">
        <v>330</v>
      </c>
      <c r="H27" s="216">
        <v>60</v>
      </c>
      <c r="I27" s="211">
        <v>0</v>
      </c>
      <c r="J27" s="46">
        <f t="shared" si="1"/>
        <v>0</v>
      </c>
      <c r="K27" s="239">
        <v>0</v>
      </c>
      <c r="L27" s="21">
        <v>0</v>
      </c>
      <c r="M27" s="49">
        <v>0</v>
      </c>
      <c r="N27" s="50">
        <f t="shared" si="2"/>
        <v>0</v>
      </c>
      <c r="O27" s="198">
        <v>54</v>
      </c>
      <c r="P27" s="52">
        <f t="shared" si="3"/>
        <v>2.25</v>
      </c>
      <c r="Q27" s="265">
        <v>0</v>
      </c>
      <c r="R27" s="53">
        <v>0</v>
      </c>
      <c r="S27" s="54">
        <v>411</v>
      </c>
      <c r="T27" s="223">
        <v>465</v>
      </c>
      <c r="U27" s="55">
        <f t="shared" si="7"/>
        <v>1883</v>
      </c>
      <c r="V27" s="231">
        <f t="shared" si="4"/>
        <v>78.458333333333329</v>
      </c>
      <c r="W27" s="236">
        <v>0</v>
      </c>
      <c r="X27" s="65">
        <v>0</v>
      </c>
      <c r="Y27" s="66">
        <v>24</v>
      </c>
      <c r="Z27" s="6"/>
      <c r="AA27" s="348" t="s">
        <v>227</v>
      </c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154</v>
      </c>
      <c r="AL27" s="60">
        <f t="shared" si="5"/>
        <v>6.416666666666667</v>
      </c>
      <c r="AM27" s="6">
        <v>1440</v>
      </c>
      <c r="AO27" s="61"/>
      <c r="AP27" s="61">
        <f t="shared" si="6"/>
        <v>411</v>
      </c>
      <c r="AQ27"/>
    </row>
    <row r="28" spans="1:43" x14ac:dyDescent="0.3">
      <c r="A28" s="62">
        <v>22</v>
      </c>
      <c r="B28" s="67">
        <v>1276</v>
      </c>
      <c r="C28" s="42">
        <f t="shared" si="0"/>
        <v>53.166666666666664</v>
      </c>
      <c r="D28" s="264">
        <v>893</v>
      </c>
      <c r="E28" s="44">
        <v>679</v>
      </c>
      <c r="F28" s="19">
        <v>1572</v>
      </c>
      <c r="G28" s="20">
        <v>340</v>
      </c>
      <c r="H28" s="216">
        <v>54</v>
      </c>
      <c r="I28" s="211">
        <v>0</v>
      </c>
      <c r="J28" s="46">
        <f t="shared" si="1"/>
        <v>0</v>
      </c>
      <c r="K28" s="239">
        <v>0</v>
      </c>
      <c r="L28" s="21">
        <v>0</v>
      </c>
      <c r="M28" s="49">
        <v>0</v>
      </c>
      <c r="N28" s="50">
        <f t="shared" si="2"/>
        <v>0</v>
      </c>
      <c r="O28" s="198">
        <v>320</v>
      </c>
      <c r="P28" s="52">
        <f t="shared" si="3"/>
        <v>13.333333333333334</v>
      </c>
      <c r="Q28" s="265">
        <v>0</v>
      </c>
      <c r="R28" s="53">
        <v>0</v>
      </c>
      <c r="S28" s="54">
        <v>346</v>
      </c>
      <c r="T28" s="223">
        <v>471</v>
      </c>
      <c r="U28" s="55">
        <f t="shared" si="7"/>
        <v>1942</v>
      </c>
      <c r="V28" s="231">
        <f t="shared" si="4"/>
        <v>80.916666666666671</v>
      </c>
      <c r="W28" s="236">
        <v>0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144</v>
      </c>
      <c r="AL28" s="60">
        <f t="shared" si="5"/>
        <v>6</v>
      </c>
      <c r="AM28" s="6">
        <v>1440</v>
      </c>
      <c r="AO28" s="61"/>
      <c r="AP28" s="61">
        <f t="shared" si="6"/>
        <v>346</v>
      </c>
      <c r="AQ28"/>
    </row>
    <row r="29" spans="1:43" x14ac:dyDescent="0.3">
      <c r="A29" s="62">
        <v>23</v>
      </c>
      <c r="B29" s="67">
        <v>1314</v>
      </c>
      <c r="C29" s="42">
        <f t="shared" si="0"/>
        <v>54.75</v>
      </c>
      <c r="D29" s="264">
        <v>920</v>
      </c>
      <c r="E29" s="44">
        <v>699</v>
      </c>
      <c r="F29" s="19">
        <v>1619</v>
      </c>
      <c r="G29" s="20">
        <v>338</v>
      </c>
      <c r="H29" s="216">
        <v>53</v>
      </c>
      <c r="I29" s="211">
        <v>0</v>
      </c>
      <c r="J29" s="46">
        <f t="shared" si="1"/>
        <v>0</v>
      </c>
      <c r="K29" s="239">
        <v>0</v>
      </c>
      <c r="L29" s="21">
        <v>0</v>
      </c>
      <c r="M29" s="49">
        <v>0</v>
      </c>
      <c r="N29" s="50">
        <f t="shared" si="2"/>
        <v>0</v>
      </c>
      <c r="O29" s="198">
        <v>340</v>
      </c>
      <c r="P29" s="52">
        <f t="shared" si="3"/>
        <v>14.166666666666666</v>
      </c>
      <c r="Q29" s="265">
        <v>0</v>
      </c>
      <c r="R29" s="53">
        <v>0</v>
      </c>
      <c r="S29" s="54">
        <v>385</v>
      </c>
      <c r="T29" s="223">
        <v>457</v>
      </c>
      <c r="U29" s="55">
        <f t="shared" si="7"/>
        <v>2039</v>
      </c>
      <c r="V29" s="231">
        <f t="shared" si="4"/>
        <v>84.958333333333329</v>
      </c>
      <c r="W29" s="236">
        <v>0</v>
      </c>
      <c r="X29" s="65">
        <v>0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174</v>
      </c>
      <c r="AL29" s="60">
        <f t="shared" si="5"/>
        <v>7.25</v>
      </c>
      <c r="AM29" s="6">
        <v>1440</v>
      </c>
      <c r="AO29" s="61"/>
      <c r="AP29" s="61">
        <f t="shared" si="6"/>
        <v>385</v>
      </c>
      <c r="AQ29"/>
    </row>
    <row r="30" spans="1:43" x14ac:dyDescent="0.3">
      <c r="A30" s="62">
        <v>24</v>
      </c>
      <c r="B30" s="67">
        <v>1197</v>
      </c>
      <c r="C30" s="42">
        <f t="shared" si="0"/>
        <v>49.875</v>
      </c>
      <c r="D30" s="264">
        <v>838</v>
      </c>
      <c r="E30" s="44">
        <v>697</v>
      </c>
      <c r="F30" s="19">
        <v>1535</v>
      </c>
      <c r="G30" s="20">
        <v>335</v>
      </c>
      <c r="H30" s="216">
        <v>55</v>
      </c>
      <c r="I30" s="211">
        <v>0</v>
      </c>
      <c r="J30" s="46">
        <f t="shared" si="1"/>
        <v>0</v>
      </c>
      <c r="K30" s="239">
        <v>0</v>
      </c>
      <c r="L30" s="21">
        <v>0</v>
      </c>
      <c r="M30" s="49">
        <v>0</v>
      </c>
      <c r="N30" s="50">
        <f t="shared" si="2"/>
        <v>0</v>
      </c>
      <c r="O30" s="198">
        <v>340</v>
      </c>
      <c r="P30" s="52">
        <f t="shared" si="3"/>
        <v>14.166666666666666</v>
      </c>
      <c r="Q30" s="265">
        <v>0</v>
      </c>
      <c r="R30" s="53">
        <v>0</v>
      </c>
      <c r="S30" s="54">
        <v>352</v>
      </c>
      <c r="T30" s="223">
        <v>442</v>
      </c>
      <c r="U30" s="55">
        <f t="shared" si="7"/>
        <v>1889</v>
      </c>
      <c r="V30" s="231">
        <f t="shared" si="4"/>
        <v>78.708333333333329</v>
      </c>
      <c r="W30" s="236">
        <v>0</v>
      </c>
      <c r="X30" s="65">
        <v>0</v>
      </c>
      <c r="Y30" s="66">
        <v>24</v>
      </c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>
        <v>144</v>
      </c>
      <c r="AL30" s="60">
        <f t="shared" si="5"/>
        <v>6</v>
      </c>
      <c r="AM30" s="6">
        <v>1440</v>
      </c>
      <c r="AO30" s="61"/>
      <c r="AP30" s="61">
        <f t="shared" si="6"/>
        <v>352</v>
      </c>
      <c r="AQ30"/>
    </row>
    <row r="31" spans="1:43" x14ac:dyDescent="0.3">
      <c r="A31" s="62">
        <v>25</v>
      </c>
      <c r="B31" s="67">
        <v>1180</v>
      </c>
      <c r="C31" s="42">
        <f t="shared" si="0"/>
        <v>49.166666666666664</v>
      </c>
      <c r="D31" s="264">
        <v>826</v>
      </c>
      <c r="E31" s="44">
        <v>710</v>
      </c>
      <c r="F31" s="19">
        <v>1536</v>
      </c>
      <c r="G31" s="20">
        <v>340</v>
      </c>
      <c r="H31" s="216">
        <v>59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0</v>
      </c>
      <c r="N31" s="50">
        <f t="shared" si="2"/>
        <v>0</v>
      </c>
      <c r="O31" s="198">
        <v>345</v>
      </c>
      <c r="P31" s="52">
        <f t="shared" si="3"/>
        <v>14.375</v>
      </c>
      <c r="Q31" s="265">
        <v>0</v>
      </c>
      <c r="R31" s="53">
        <v>0</v>
      </c>
      <c r="S31" s="54">
        <v>343</v>
      </c>
      <c r="T31" s="223">
        <v>430</v>
      </c>
      <c r="U31" s="55">
        <f t="shared" si="7"/>
        <v>1868</v>
      </c>
      <c r="V31" s="231">
        <f t="shared" si="4"/>
        <v>77.833333333333329</v>
      </c>
      <c r="W31" s="236">
        <v>0</v>
      </c>
      <c r="X31" s="65">
        <v>0</v>
      </c>
      <c r="Y31" s="66">
        <v>24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>
        <v>126</v>
      </c>
      <c r="AL31" s="60">
        <f t="shared" si="5"/>
        <v>5.25</v>
      </c>
      <c r="AM31" s="6">
        <v>1440</v>
      </c>
      <c r="AO31" s="61"/>
      <c r="AP31" s="61">
        <f t="shared" si="6"/>
        <v>343</v>
      </c>
      <c r="AQ31"/>
    </row>
    <row r="32" spans="1:43" x14ac:dyDescent="0.3">
      <c r="A32" s="62">
        <v>26</v>
      </c>
      <c r="B32" s="67">
        <v>1261</v>
      </c>
      <c r="C32" s="42">
        <f t="shared" si="0"/>
        <v>52.541666666666664</v>
      </c>
      <c r="D32" s="264">
        <v>883</v>
      </c>
      <c r="E32" s="44">
        <v>627</v>
      </c>
      <c r="F32" s="19">
        <v>1510</v>
      </c>
      <c r="G32" s="20">
        <v>355</v>
      </c>
      <c r="H32" s="216">
        <v>54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200">
        <v>0</v>
      </c>
      <c r="N32" s="50">
        <f t="shared" si="2"/>
        <v>0</v>
      </c>
      <c r="O32" s="198">
        <v>346</v>
      </c>
      <c r="P32" s="52">
        <f t="shared" si="3"/>
        <v>14.416666666666666</v>
      </c>
      <c r="Q32" s="265">
        <v>0</v>
      </c>
      <c r="R32" s="53">
        <v>0</v>
      </c>
      <c r="S32" s="54">
        <v>366</v>
      </c>
      <c r="T32" s="223">
        <v>439</v>
      </c>
      <c r="U32" s="55">
        <f t="shared" si="7"/>
        <v>1973</v>
      </c>
      <c r="V32" s="231">
        <f t="shared" si="4"/>
        <v>82.208333333333329</v>
      </c>
      <c r="W32" s="236">
        <v>0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139</v>
      </c>
      <c r="AL32" s="60">
        <f t="shared" si="5"/>
        <v>5.791666666666667</v>
      </c>
      <c r="AM32" s="6">
        <v>1440</v>
      </c>
      <c r="AO32" s="61"/>
      <c r="AP32" s="61">
        <f t="shared" si="6"/>
        <v>366</v>
      </c>
      <c r="AQ32"/>
    </row>
    <row r="33" spans="1:43" x14ac:dyDescent="0.3">
      <c r="A33" s="62">
        <v>27</v>
      </c>
      <c r="B33" s="67">
        <v>1331</v>
      </c>
      <c r="C33" s="42">
        <f t="shared" si="0"/>
        <v>55.458333333333336</v>
      </c>
      <c r="D33" s="264">
        <v>932</v>
      </c>
      <c r="E33" s="44">
        <v>712</v>
      </c>
      <c r="F33" s="19">
        <v>1644</v>
      </c>
      <c r="G33" s="20">
        <v>387</v>
      </c>
      <c r="H33" s="216">
        <v>61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200">
        <v>0</v>
      </c>
      <c r="N33" s="50">
        <f t="shared" si="2"/>
        <v>0</v>
      </c>
      <c r="O33" s="198">
        <v>0</v>
      </c>
      <c r="P33" s="52">
        <f t="shared" si="3"/>
        <v>0</v>
      </c>
      <c r="Q33" s="265">
        <v>0</v>
      </c>
      <c r="R33" s="53">
        <v>0</v>
      </c>
      <c r="S33" s="54">
        <v>297</v>
      </c>
      <c r="T33" s="223">
        <v>414</v>
      </c>
      <c r="U33" s="55">
        <f t="shared" si="7"/>
        <v>1628</v>
      </c>
      <c r="V33" s="231">
        <f t="shared" si="4"/>
        <v>67.833333333333329</v>
      </c>
      <c r="W33" s="236">
        <v>0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80</v>
      </c>
      <c r="AL33" s="60">
        <f t="shared" si="5"/>
        <v>3.3333333333333335</v>
      </c>
      <c r="AM33" s="6">
        <v>900</v>
      </c>
      <c r="AO33" s="61"/>
      <c r="AP33" s="61">
        <f t="shared" si="6"/>
        <v>297</v>
      </c>
      <c r="AQ33"/>
    </row>
    <row r="34" spans="1:43" x14ac:dyDescent="0.3">
      <c r="A34" s="62">
        <v>28</v>
      </c>
      <c r="B34" s="67">
        <v>1309</v>
      </c>
      <c r="C34" s="42">
        <f t="shared" si="0"/>
        <v>54.541666666666664</v>
      </c>
      <c r="D34" s="264">
        <v>916</v>
      </c>
      <c r="E34" s="44">
        <v>651</v>
      </c>
      <c r="F34" s="19">
        <v>1567</v>
      </c>
      <c r="G34" s="20">
        <v>362</v>
      </c>
      <c r="H34" s="216">
        <v>61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200">
        <v>0</v>
      </c>
      <c r="N34" s="50">
        <f t="shared" si="2"/>
        <v>0</v>
      </c>
      <c r="O34" s="198">
        <v>0</v>
      </c>
      <c r="P34" s="52">
        <f t="shared" si="3"/>
        <v>0</v>
      </c>
      <c r="Q34" s="265">
        <v>0</v>
      </c>
      <c r="R34" s="53">
        <v>0</v>
      </c>
      <c r="S34" s="54">
        <v>316</v>
      </c>
      <c r="T34" s="223">
        <v>421</v>
      </c>
      <c r="U34" s="55">
        <f t="shared" si="7"/>
        <v>1625</v>
      </c>
      <c r="V34" s="231">
        <f t="shared" si="4"/>
        <v>67.708333333333329</v>
      </c>
      <c r="W34" s="236">
        <v>0</v>
      </c>
      <c r="X34" s="65">
        <v>0</v>
      </c>
      <c r="Y34" s="66">
        <v>24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>
        <v>88</v>
      </c>
      <c r="AL34" s="60">
        <f t="shared" si="5"/>
        <v>3.6666666666666665</v>
      </c>
      <c r="AM34" s="6">
        <v>1440</v>
      </c>
      <c r="AO34" s="61"/>
      <c r="AP34" s="61">
        <f t="shared" si="6"/>
        <v>316</v>
      </c>
      <c r="AQ34"/>
    </row>
    <row r="35" spans="1:43" x14ac:dyDescent="0.3">
      <c r="A35" s="62">
        <v>29</v>
      </c>
      <c r="B35" s="67">
        <v>1293</v>
      </c>
      <c r="C35" s="42">
        <f t="shared" si="0"/>
        <v>53.875</v>
      </c>
      <c r="D35" s="264">
        <v>905</v>
      </c>
      <c r="E35" s="44">
        <v>635</v>
      </c>
      <c r="F35" s="19">
        <v>1540</v>
      </c>
      <c r="G35" s="20">
        <v>283</v>
      </c>
      <c r="H35" s="216">
        <v>60</v>
      </c>
      <c r="I35" s="211">
        <v>0</v>
      </c>
      <c r="J35" s="46">
        <f t="shared" si="1"/>
        <v>0</v>
      </c>
      <c r="K35" s="239">
        <v>0</v>
      </c>
      <c r="L35" s="21">
        <v>0</v>
      </c>
      <c r="M35" s="200">
        <v>0</v>
      </c>
      <c r="N35" s="50">
        <f t="shared" si="2"/>
        <v>0</v>
      </c>
      <c r="O35" s="198">
        <v>0</v>
      </c>
      <c r="P35" s="52">
        <f t="shared" si="3"/>
        <v>0</v>
      </c>
      <c r="Q35" s="265">
        <v>0</v>
      </c>
      <c r="R35" s="53">
        <v>0</v>
      </c>
      <c r="S35" s="54">
        <v>350</v>
      </c>
      <c r="T35" s="223">
        <v>411</v>
      </c>
      <c r="U35" s="55">
        <f t="shared" si="7"/>
        <v>1643</v>
      </c>
      <c r="V35" s="231">
        <f t="shared" si="4"/>
        <v>68.458333333333329</v>
      </c>
      <c r="W35" s="236">
        <v>0</v>
      </c>
      <c r="X35" s="65">
        <v>0</v>
      </c>
      <c r="Y35" s="66">
        <v>24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>
        <v>92</v>
      </c>
      <c r="AL35" s="60">
        <f t="shared" si="5"/>
        <v>3.8333333333333335</v>
      </c>
      <c r="AM35" s="6">
        <v>1440</v>
      </c>
      <c r="AO35" s="61"/>
      <c r="AP35" s="61">
        <f t="shared" si="6"/>
        <v>350</v>
      </c>
      <c r="AQ35"/>
    </row>
    <row r="36" spans="1:43" x14ac:dyDescent="0.3">
      <c r="A36" s="62">
        <v>30</v>
      </c>
      <c r="B36" s="67">
        <v>1372</v>
      </c>
      <c r="C36" s="42">
        <f t="shared" si="0"/>
        <v>57.166666666666664</v>
      </c>
      <c r="D36" s="264">
        <v>960</v>
      </c>
      <c r="E36" s="44">
        <v>661</v>
      </c>
      <c r="F36" s="19">
        <v>1621</v>
      </c>
      <c r="G36" s="20">
        <v>279</v>
      </c>
      <c r="H36" s="216">
        <v>63</v>
      </c>
      <c r="I36" s="211">
        <v>0</v>
      </c>
      <c r="J36" s="46">
        <f t="shared" si="1"/>
        <v>0</v>
      </c>
      <c r="K36" s="239">
        <v>0</v>
      </c>
      <c r="L36" s="21">
        <v>0</v>
      </c>
      <c r="M36" s="200">
        <v>0</v>
      </c>
      <c r="N36" s="50">
        <f t="shared" si="2"/>
        <v>0</v>
      </c>
      <c r="O36" s="198">
        <v>0</v>
      </c>
      <c r="P36" s="52">
        <f t="shared" si="3"/>
        <v>0</v>
      </c>
      <c r="Q36" s="265">
        <v>0</v>
      </c>
      <c r="R36" s="53">
        <v>0</v>
      </c>
      <c r="S36" s="54">
        <v>394</v>
      </c>
      <c r="T36" s="223">
        <v>449</v>
      </c>
      <c r="U36" s="55">
        <f t="shared" si="7"/>
        <v>1766</v>
      </c>
      <c r="V36" s="231">
        <f t="shared" si="4"/>
        <v>73.583333333333329</v>
      </c>
      <c r="W36" s="236">
        <v>0</v>
      </c>
      <c r="X36" s="65">
        <v>0</v>
      </c>
      <c r="Y36" s="66">
        <v>24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>
        <v>130</v>
      </c>
      <c r="AL36" s="60">
        <f t="shared" si="5"/>
        <v>5.416666666666667</v>
      </c>
      <c r="AM36" s="6">
        <v>1440</v>
      </c>
      <c r="AO36" s="61"/>
      <c r="AP36" s="61">
        <f t="shared" si="6"/>
        <v>394</v>
      </c>
      <c r="AQ36"/>
    </row>
    <row r="37" spans="1:43" ht="17.25" thickBot="1" x14ac:dyDescent="0.35">
      <c r="A37" s="62">
        <v>31</v>
      </c>
      <c r="B37" s="67">
        <v>1383</v>
      </c>
      <c r="C37" s="42">
        <f t="shared" si="0"/>
        <v>57.625</v>
      </c>
      <c r="D37" s="76">
        <v>968</v>
      </c>
      <c r="E37" s="44">
        <v>649</v>
      </c>
      <c r="F37" s="77">
        <v>1617</v>
      </c>
      <c r="G37" s="78">
        <v>349</v>
      </c>
      <c r="H37" s="220">
        <v>67</v>
      </c>
      <c r="I37" s="211">
        <v>0</v>
      </c>
      <c r="J37" s="46">
        <f t="shared" si="1"/>
        <v>0</v>
      </c>
      <c r="K37" s="79">
        <v>0</v>
      </c>
      <c r="L37" s="80">
        <v>0</v>
      </c>
      <c r="M37" s="201">
        <v>0</v>
      </c>
      <c r="N37" s="50">
        <f t="shared" si="2"/>
        <v>0</v>
      </c>
      <c r="O37" s="199">
        <v>0</v>
      </c>
      <c r="P37" s="81">
        <f t="shared" si="3"/>
        <v>0</v>
      </c>
      <c r="Q37" s="227">
        <v>0</v>
      </c>
      <c r="R37" s="82">
        <v>0</v>
      </c>
      <c r="S37" s="54">
        <v>361</v>
      </c>
      <c r="T37" s="223">
        <v>425</v>
      </c>
      <c r="U37" s="55">
        <f t="shared" si="7"/>
        <v>1744</v>
      </c>
      <c r="V37" s="232">
        <f t="shared" si="4"/>
        <v>72.666666666666671</v>
      </c>
      <c r="W37" s="237">
        <v>0.17</v>
      </c>
      <c r="X37" s="83">
        <v>0</v>
      </c>
      <c r="Y37" s="84">
        <v>24</v>
      </c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>
        <v>129</v>
      </c>
      <c r="AL37" s="60">
        <f t="shared" si="5"/>
        <v>5.375</v>
      </c>
      <c r="AM37" s="6">
        <v>1440</v>
      </c>
      <c r="AN37" s="85"/>
      <c r="AO37" s="85"/>
      <c r="AP37" s="61">
        <f t="shared" si="6"/>
        <v>361</v>
      </c>
      <c r="AQ37"/>
    </row>
    <row r="38" spans="1:43" ht="17.25" thickBot="1" x14ac:dyDescent="0.35">
      <c r="A38" s="86" t="s">
        <v>35</v>
      </c>
      <c r="B38" s="87">
        <f t="shared" ref="B38:I38" si="8">SUM(B7:B37)</f>
        <v>37088</v>
      </c>
      <c r="C38" s="88">
        <f t="shared" si="8"/>
        <v>1545.3333333333337</v>
      </c>
      <c r="D38" s="89">
        <f t="shared" si="8"/>
        <v>25963</v>
      </c>
      <c r="E38" s="89">
        <f t="shared" si="8"/>
        <v>18920</v>
      </c>
      <c r="F38" s="89">
        <f t="shared" si="8"/>
        <v>44882</v>
      </c>
      <c r="G38" s="90">
        <f t="shared" si="8"/>
        <v>10088</v>
      </c>
      <c r="H38" s="221">
        <f t="shared" si="8"/>
        <v>1882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7016</v>
      </c>
      <c r="P38" s="93">
        <f>SUM(P7:P32)</f>
        <v>292.33333333333337</v>
      </c>
      <c r="Q38" s="212">
        <f>SUM(Q7:Q37)</f>
        <v>289</v>
      </c>
      <c r="R38" s="87">
        <f>SUM(R7:R37)</f>
        <v>684</v>
      </c>
      <c r="S38" s="87">
        <f>SUM(S7:S37)</f>
        <v>9006</v>
      </c>
      <c r="T38" s="87">
        <f>SUM(T7:T37)</f>
        <v>13253</v>
      </c>
      <c r="U38" s="94">
        <f>SUM(U7:U37)</f>
        <v>54083</v>
      </c>
      <c r="V38" s="207"/>
      <c r="W38" s="238">
        <f>SUM(W7:W37)</f>
        <v>64.84</v>
      </c>
      <c r="X38" s="89">
        <f>SUM(X7:X37)</f>
        <v>25.83</v>
      </c>
      <c r="Y38" s="91">
        <f>SUM(Y7:Y37)</f>
        <v>661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36.416666666666664</v>
      </c>
      <c r="AJ38" s="243">
        <f>SUM(AJ7:AJ37)/60</f>
        <v>166.41666666666666</v>
      </c>
      <c r="AK38" s="244">
        <f>SUM(AK7:AK37)</f>
        <v>3268</v>
      </c>
      <c r="AL38" s="97">
        <f>SUM(AL7:AL37)/60</f>
        <v>2.2694444444444444</v>
      </c>
      <c r="AM38" s="240">
        <f>SUM(AM7:AM37)/60</f>
        <v>572.5</v>
      </c>
      <c r="AP38"/>
      <c r="AQ38"/>
    </row>
    <row r="39" spans="1:43" ht="17.25" thickBot="1" x14ac:dyDescent="0.35">
      <c r="A39" s="98" t="s">
        <v>37</v>
      </c>
      <c r="B39" s="99">
        <f>AVERAGE(B7:B37)</f>
        <v>1196.3870967741937</v>
      </c>
      <c r="C39" s="100">
        <f>B39/24</f>
        <v>49.8494623655914</v>
      </c>
      <c r="D39" s="101">
        <f t="shared" ref="D39:I39" si="9">AVERAGE(D7:D37)</f>
        <v>837.51612903225805</v>
      </c>
      <c r="E39" s="101">
        <f t="shared" si="9"/>
        <v>610.32258064516134</v>
      </c>
      <c r="F39" s="101">
        <f t="shared" si="9"/>
        <v>1447.8064516129032</v>
      </c>
      <c r="G39" s="208">
        <f t="shared" si="9"/>
        <v>325.41935483870969</v>
      </c>
      <c r="H39" s="102">
        <f t="shared" si="9"/>
        <v>60.70967741935484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226.32258064516128</v>
      </c>
      <c r="P39" s="229">
        <f>O39/24</f>
        <v>9.43010752688172</v>
      </c>
      <c r="Q39" s="228">
        <f>AVERAGE(Q7:Q37)</f>
        <v>9.32258064516129</v>
      </c>
      <c r="R39" s="106">
        <f>AVERAGE(R7:R37)</f>
        <v>22.06451612903226</v>
      </c>
      <c r="S39" s="102">
        <f>AVERAGE(S7:S37)</f>
        <v>290.51612903225805</v>
      </c>
      <c r="T39" s="102">
        <f>AVERAGE(T7:T37)</f>
        <v>427.51612903225805</v>
      </c>
      <c r="U39" s="107">
        <f>AVERAGE(U7:U37)</f>
        <v>1744.6129032258063</v>
      </c>
      <c r="V39" s="233">
        <f>U39/24</f>
        <v>72.692204301075265</v>
      </c>
      <c r="W39" s="105">
        <f>AVERAGE(W7:W37)</f>
        <v>2.0916129032258066</v>
      </c>
      <c r="X39" s="101">
        <f>AVERAGE(X7:X37)</f>
        <v>0.83322580645161282</v>
      </c>
      <c r="Y39" s="104">
        <f>AVERAGE(Y7:Y37)</f>
        <v>21.322580645161292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202.83333333333331</v>
      </c>
      <c r="AI39" s="354"/>
      <c r="AJ39" s="247">
        <f>AI39/24</f>
        <v>0</v>
      </c>
      <c r="AK39" s="245">
        <f>(AK38/31)/24</f>
        <v>4.39247311827957</v>
      </c>
      <c r="AP39"/>
      <c r="AQ39"/>
    </row>
    <row r="40" spans="1:43" ht="17.25" thickBot="1" x14ac:dyDescent="0.35">
      <c r="A40" s="7"/>
      <c r="M40" s="269">
        <f>M38+O38</f>
        <v>7016</v>
      </c>
      <c r="P40" s="109"/>
      <c r="Q40" s="110" t="s">
        <v>39</v>
      </c>
      <c r="R40" s="268">
        <f>Q38+R38</f>
        <v>973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217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1.3077956989247312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12.104838709677418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49.8494623655914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9.43010752688172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32000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72.692204301075265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66" t="s">
        <v>50</v>
      </c>
      <c r="E49" s="266" t="s">
        <v>216</v>
      </c>
      <c r="F49" s="140" t="s">
        <v>51</v>
      </c>
      <c r="G49" s="140" t="s">
        <v>52</v>
      </c>
      <c r="H49" s="266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0</v>
      </c>
      <c r="F50" s="148">
        <v>0</v>
      </c>
      <c r="G50" s="148">
        <v>0</v>
      </c>
      <c r="H50" s="148">
        <v>384</v>
      </c>
      <c r="I50" s="148">
        <v>537</v>
      </c>
      <c r="J50" s="148">
        <v>537</v>
      </c>
      <c r="K50" s="148">
        <v>546</v>
      </c>
      <c r="L50" s="148">
        <v>523</v>
      </c>
      <c r="M50" s="148">
        <v>527</v>
      </c>
      <c r="N50" s="148">
        <v>544</v>
      </c>
      <c r="O50" s="148">
        <v>545</v>
      </c>
      <c r="P50" s="148">
        <v>545</v>
      </c>
      <c r="Q50" s="148">
        <v>542</v>
      </c>
      <c r="R50" s="148">
        <v>523</v>
      </c>
      <c r="S50" s="148">
        <v>518</v>
      </c>
      <c r="T50" s="148">
        <v>491</v>
      </c>
      <c r="U50" s="148">
        <v>501</v>
      </c>
      <c r="V50" s="148">
        <v>492</v>
      </c>
      <c r="W50" s="148">
        <v>484</v>
      </c>
      <c r="X50" s="148">
        <v>488</v>
      </c>
      <c r="Y50" s="148">
        <v>477</v>
      </c>
      <c r="Z50" s="148">
        <v>482</v>
      </c>
      <c r="AA50" s="148">
        <v>468</v>
      </c>
      <c r="AB50" s="148">
        <v>452</v>
      </c>
      <c r="AC50" s="148">
        <v>443</v>
      </c>
      <c r="AD50" s="148">
        <v>450</v>
      </c>
      <c r="AE50" s="148">
        <v>426</v>
      </c>
      <c r="AF50" s="148">
        <v>429</v>
      </c>
      <c r="AG50" s="148">
        <v>422</v>
      </c>
      <c r="AH50" s="148">
        <v>461</v>
      </c>
      <c r="AI50" s="148">
        <v>437</v>
      </c>
      <c r="AJ50" s="149">
        <f>SUM(E50:AI50)</f>
        <v>13674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0</v>
      </c>
      <c r="F51" s="148">
        <v>0</v>
      </c>
      <c r="G51" s="148">
        <v>0</v>
      </c>
      <c r="H51" s="148">
        <v>39</v>
      </c>
      <c r="I51" s="148">
        <v>72</v>
      </c>
      <c r="J51" s="148">
        <v>72</v>
      </c>
      <c r="K51" s="148">
        <v>72</v>
      </c>
      <c r="L51" s="148">
        <v>72</v>
      </c>
      <c r="M51" s="148">
        <v>72</v>
      </c>
      <c r="N51" s="148">
        <v>72</v>
      </c>
      <c r="O51" s="148">
        <v>72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72</v>
      </c>
      <c r="X51" s="148">
        <v>72</v>
      </c>
      <c r="Y51" s="148">
        <v>72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72</v>
      </c>
      <c r="AG51" s="148">
        <v>72</v>
      </c>
      <c r="AH51" s="148">
        <v>72</v>
      </c>
      <c r="AI51" s="148">
        <v>72</v>
      </c>
      <c r="AJ51" s="149">
        <f>SUM(E51:AI51)</f>
        <v>1983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0</v>
      </c>
      <c r="F52" s="148">
        <f>$S8</f>
        <v>0</v>
      </c>
      <c r="G52" s="148">
        <f>$S9</f>
        <v>0</v>
      </c>
      <c r="H52" s="148">
        <f>$S10</f>
        <v>223</v>
      </c>
      <c r="I52" s="148">
        <f>$S11</f>
        <v>51</v>
      </c>
      <c r="J52" s="148">
        <f>$S12</f>
        <v>96</v>
      </c>
      <c r="K52" s="148">
        <f>$S13</f>
        <v>404</v>
      </c>
      <c r="L52" s="148">
        <f>$S14</f>
        <v>446</v>
      </c>
      <c r="M52" s="148">
        <f>$S15</f>
        <v>458</v>
      </c>
      <c r="N52" s="148">
        <f>$S16</f>
        <v>469</v>
      </c>
      <c r="O52" s="148">
        <f>$S17</f>
        <v>469</v>
      </c>
      <c r="P52" s="148">
        <f>$S18</f>
        <v>460</v>
      </c>
      <c r="Q52" s="148">
        <f>$S19</f>
        <v>443</v>
      </c>
      <c r="R52" s="148">
        <f>$S20</f>
        <v>429</v>
      </c>
      <c r="S52" s="148">
        <f>$S21</f>
        <v>421</v>
      </c>
      <c r="T52" s="148">
        <f>$S22</f>
        <v>283</v>
      </c>
      <c r="U52" s="148">
        <f>$S23</f>
        <v>0</v>
      </c>
      <c r="V52" s="148">
        <f>$S24</f>
        <v>0</v>
      </c>
      <c r="W52" s="148">
        <f>$S25</f>
        <v>69</v>
      </c>
      <c r="X52" s="148">
        <f>$S26</f>
        <v>364</v>
      </c>
      <c r="Y52" s="148">
        <f>$S27</f>
        <v>411</v>
      </c>
      <c r="Z52" s="148">
        <f>$S28</f>
        <v>346</v>
      </c>
      <c r="AA52" s="148">
        <f>$S29</f>
        <v>385</v>
      </c>
      <c r="AB52" s="148">
        <f>$S30</f>
        <v>352</v>
      </c>
      <c r="AC52" s="148">
        <f>$S31</f>
        <v>343</v>
      </c>
      <c r="AD52" s="148">
        <f>$S32</f>
        <v>366</v>
      </c>
      <c r="AE52" s="148">
        <f>$S33</f>
        <v>297</v>
      </c>
      <c r="AF52" s="148">
        <f>$S34</f>
        <v>316</v>
      </c>
      <c r="AG52" s="148">
        <f>$S35</f>
        <v>350</v>
      </c>
      <c r="AH52" s="148">
        <f>$S36</f>
        <v>394</v>
      </c>
      <c r="AI52" s="148">
        <f>$S37</f>
        <v>361</v>
      </c>
      <c r="AJ52" s="154">
        <f>SUM(E52:AI52)</f>
        <v>9006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0</v>
      </c>
      <c r="F53" s="157">
        <f t="shared" si="10"/>
        <v>0</v>
      </c>
      <c r="G53" s="157">
        <f t="shared" si="10"/>
        <v>0</v>
      </c>
      <c r="H53" s="157">
        <f t="shared" si="10"/>
        <v>122</v>
      </c>
      <c r="I53" s="157">
        <f t="shared" si="10"/>
        <v>414</v>
      </c>
      <c r="J53" s="157">
        <f t="shared" si="10"/>
        <v>369</v>
      </c>
      <c r="K53" s="157">
        <f t="shared" si="10"/>
        <v>70</v>
      </c>
      <c r="L53" s="157">
        <f t="shared" si="10"/>
        <v>5</v>
      </c>
      <c r="M53" s="157">
        <f t="shared" si="10"/>
        <v>0</v>
      </c>
      <c r="N53" s="157">
        <f t="shared" si="10"/>
        <v>3</v>
      </c>
      <c r="O53" s="157">
        <f t="shared" si="10"/>
        <v>4</v>
      </c>
      <c r="P53" s="157">
        <f t="shared" si="10"/>
        <v>13</v>
      </c>
      <c r="Q53" s="157">
        <f t="shared" si="10"/>
        <v>27</v>
      </c>
      <c r="R53" s="157">
        <f t="shared" si="10"/>
        <v>22</v>
      </c>
      <c r="S53" s="157">
        <f t="shared" si="10"/>
        <v>25</v>
      </c>
      <c r="T53" s="157">
        <f t="shared" si="10"/>
        <v>136</v>
      </c>
      <c r="U53" s="157">
        <f t="shared" si="10"/>
        <v>429</v>
      </c>
      <c r="V53" s="157">
        <f t="shared" si="10"/>
        <v>420</v>
      </c>
      <c r="W53" s="157">
        <f t="shared" si="10"/>
        <v>343</v>
      </c>
      <c r="X53" s="157">
        <f t="shared" si="10"/>
        <v>52</v>
      </c>
      <c r="Y53" s="157">
        <f t="shared" si="10"/>
        <v>0</v>
      </c>
      <c r="Z53" s="157">
        <f t="shared" si="10"/>
        <v>64</v>
      </c>
      <c r="AA53" s="157">
        <f t="shared" si="10"/>
        <v>11</v>
      </c>
      <c r="AB53" s="157">
        <f t="shared" si="10"/>
        <v>28</v>
      </c>
      <c r="AC53" s="157">
        <f t="shared" si="10"/>
        <v>28</v>
      </c>
      <c r="AD53" s="157">
        <f t="shared" si="10"/>
        <v>12</v>
      </c>
      <c r="AE53" s="157">
        <f t="shared" si="10"/>
        <v>57</v>
      </c>
      <c r="AF53" s="157">
        <f t="shared" si="10"/>
        <v>41</v>
      </c>
      <c r="AG53" s="157">
        <f t="shared" si="10"/>
        <v>0</v>
      </c>
      <c r="AH53" s="157">
        <f t="shared" si="10"/>
        <v>0</v>
      </c>
      <c r="AI53" s="157">
        <f t="shared" si="10"/>
        <v>4</v>
      </c>
      <c r="AJ53" s="154">
        <f>SUM(E53:AI53)</f>
        <v>2699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 t="str">
        <f t="shared" ref="E54:AI54" si="11">IFERROR(IF(E53&gt;0,E53*$D$54," ")," ")</f>
        <v xml:space="preserve"> </v>
      </c>
      <c r="F54" s="160" t="str">
        <f t="shared" si="11"/>
        <v xml:space="preserve"> </v>
      </c>
      <c r="G54" s="160" t="str">
        <f t="shared" si="11"/>
        <v xml:space="preserve"> </v>
      </c>
      <c r="H54" s="160">
        <f t="shared" si="11"/>
        <v>2074</v>
      </c>
      <c r="I54" s="160">
        <f t="shared" si="11"/>
        <v>7038</v>
      </c>
      <c r="J54" s="160">
        <f t="shared" si="11"/>
        <v>6273</v>
      </c>
      <c r="K54" s="160">
        <f t="shared" si="11"/>
        <v>1190</v>
      </c>
      <c r="L54" s="160">
        <f t="shared" si="11"/>
        <v>85</v>
      </c>
      <c r="M54" s="160" t="str">
        <f t="shared" si="11"/>
        <v xml:space="preserve"> </v>
      </c>
      <c r="N54" s="160">
        <f t="shared" si="11"/>
        <v>51</v>
      </c>
      <c r="O54" s="160">
        <f t="shared" si="11"/>
        <v>68</v>
      </c>
      <c r="P54" s="160">
        <f t="shared" si="11"/>
        <v>221</v>
      </c>
      <c r="Q54" s="160">
        <f t="shared" si="11"/>
        <v>459</v>
      </c>
      <c r="R54" s="160">
        <f t="shared" si="11"/>
        <v>374</v>
      </c>
      <c r="S54" s="160">
        <f t="shared" si="11"/>
        <v>425</v>
      </c>
      <c r="T54" s="160">
        <f t="shared" si="11"/>
        <v>2312</v>
      </c>
      <c r="U54" s="160">
        <f t="shared" si="11"/>
        <v>7293</v>
      </c>
      <c r="V54" s="160">
        <f t="shared" si="11"/>
        <v>7140</v>
      </c>
      <c r="W54" s="160">
        <f t="shared" si="11"/>
        <v>5831</v>
      </c>
      <c r="X54" s="160">
        <f t="shared" si="11"/>
        <v>884</v>
      </c>
      <c r="Y54" s="160" t="str">
        <f t="shared" si="11"/>
        <v xml:space="preserve"> </v>
      </c>
      <c r="Z54" s="160">
        <f t="shared" si="11"/>
        <v>1088</v>
      </c>
      <c r="AA54" s="160">
        <f t="shared" si="11"/>
        <v>187</v>
      </c>
      <c r="AB54" s="160">
        <f t="shared" si="11"/>
        <v>476</v>
      </c>
      <c r="AC54" s="160">
        <f t="shared" si="11"/>
        <v>476</v>
      </c>
      <c r="AD54" s="160">
        <f t="shared" si="11"/>
        <v>204</v>
      </c>
      <c r="AE54" s="160">
        <f t="shared" si="11"/>
        <v>969</v>
      </c>
      <c r="AF54" s="160">
        <f t="shared" si="11"/>
        <v>697</v>
      </c>
      <c r="AG54" s="160" t="str">
        <f t="shared" si="11"/>
        <v xml:space="preserve"> </v>
      </c>
      <c r="AH54" s="160" t="str">
        <f t="shared" si="11"/>
        <v xml:space="preserve"> </v>
      </c>
      <c r="AI54" s="160">
        <f t="shared" si="11"/>
        <v>68</v>
      </c>
      <c r="AJ54" s="161">
        <f>SUM(E54:AI54)</f>
        <v>45883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163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164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45785</v>
      </c>
      <c r="B58" s="312" t="s">
        <v>221</v>
      </c>
      <c r="C58" s="312"/>
      <c r="D58" s="306" t="s">
        <v>222</v>
      </c>
      <c r="E58" s="307"/>
      <c r="F58" s="307"/>
      <c r="G58" s="307"/>
      <c r="H58" s="307"/>
      <c r="I58" s="307"/>
      <c r="J58" s="169">
        <v>60</v>
      </c>
      <c r="K58" s="169">
        <v>50</v>
      </c>
      <c r="L58" s="170">
        <v>70</v>
      </c>
      <c r="M58" s="171">
        <f t="shared" ref="M58:M83" si="12">J58-K58</f>
        <v>10</v>
      </c>
      <c r="N58" s="172">
        <f t="shared" ref="N58:N83" si="13">M58/60</f>
        <v>0.16666666666666666</v>
      </c>
      <c r="O58" s="173">
        <f t="shared" ref="O58:O83" si="14">L58*N58</f>
        <v>11.666666666666666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45804</v>
      </c>
      <c r="B59" s="312" t="s">
        <v>230</v>
      </c>
      <c r="C59" s="312"/>
      <c r="D59" s="306" t="s">
        <v>229</v>
      </c>
      <c r="E59" s="307"/>
      <c r="F59" s="307"/>
      <c r="G59" s="307"/>
      <c r="H59" s="307"/>
      <c r="I59" s="307"/>
      <c r="J59" s="169">
        <v>60</v>
      </c>
      <c r="K59" s="169">
        <v>40</v>
      </c>
      <c r="L59" s="170">
        <v>280</v>
      </c>
      <c r="M59" s="171">
        <f t="shared" si="12"/>
        <v>20</v>
      </c>
      <c r="N59" s="172">
        <f t="shared" si="13"/>
        <v>0.33333333333333331</v>
      </c>
      <c r="O59" s="173">
        <f t="shared" si="14"/>
        <v>93.333333333333329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/>
      <c r="B60" s="312"/>
      <c r="C60" s="312"/>
      <c r="D60" s="306"/>
      <c r="E60" s="307"/>
      <c r="F60" s="307"/>
      <c r="G60" s="307"/>
      <c r="H60" s="307"/>
      <c r="I60" s="307"/>
      <c r="J60" s="169"/>
      <c r="K60" s="169"/>
      <c r="L60" s="170"/>
      <c r="M60" s="171">
        <f t="shared" si="12"/>
        <v>0</v>
      </c>
      <c r="N60" s="172">
        <f t="shared" si="13"/>
        <v>0</v>
      </c>
      <c r="O60" s="173">
        <f t="shared" si="14"/>
        <v>0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/>
      <c r="B61" s="313"/>
      <c r="C61" s="314"/>
      <c r="D61" s="306"/>
      <c r="E61" s="307"/>
      <c r="F61" s="307"/>
      <c r="G61" s="307"/>
      <c r="H61" s="307"/>
      <c r="I61" s="307"/>
      <c r="J61" s="169"/>
      <c r="K61" s="169"/>
      <c r="L61" s="170"/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166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164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67"/>
      <c r="S67" s="267"/>
      <c r="T67" s="267"/>
      <c r="U67" s="267"/>
      <c r="V67" s="267"/>
      <c r="W67" s="267"/>
      <c r="X67" s="267"/>
      <c r="Y67" s="267"/>
      <c r="Z67" s="267"/>
      <c r="AA67" s="267"/>
      <c r="AB67" s="267"/>
      <c r="AC67" s="267"/>
      <c r="AD67" s="267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67"/>
      <c r="S68" s="267"/>
      <c r="T68" s="267"/>
      <c r="U68" s="267"/>
      <c r="V68" s="267"/>
      <c r="W68" s="267"/>
      <c r="X68" s="267"/>
      <c r="Y68" s="267"/>
      <c r="Z68" s="267"/>
      <c r="AA68" s="267"/>
      <c r="AB68" s="267"/>
      <c r="AC68" s="267"/>
      <c r="AD68" s="267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67">
        <f>SUM(Q38:R38)*65</f>
        <v>63245</v>
      </c>
      <c r="S73" s="267"/>
      <c r="T73" s="267"/>
      <c r="U73" s="267"/>
      <c r="V73" s="267"/>
      <c r="W73" s="267"/>
      <c r="X73" s="267"/>
      <c r="Y73" s="267"/>
      <c r="Z73" s="190"/>
      <c r="AA73" s="190"/>
      <c r="AB73" s="58"/>
      <c r="AC73" s="58"/>
      <c r="AD73" s="191">
        <f>SUM(R73:AC73)</f>
        <v>63245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67"/>
      <c r="S74" s="267"/>
      <c r="T74" s="267"/>
      <c r="U74" s="267"/>
      <c r="V74" s="267"/>
      <c r="W74" s="267"/>
      <c r="X74" s="267"/>
      <c r="Y74" s="267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63245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63245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105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zoomScale="90" zoomScaleNormal="90" workbookViewId="0">
      <pane ySplit="6" topLeftCell="A7" activePane="bottomLeft" state="frozen"/>
      <selection pane="bottomLeft" activeCell="R40" sqref="R40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1.6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19" width="10.875" style="7" customWidth="1"/>
    <col min="20" max="20" width="11.875" style="7" customWidth="1"/>
    <col min="21" max="21" width="12.5" style="6" customWidth="1"/>
    <col min="22" max="22" width="12.25" style="6" customWidth="1"/>
    <col min="23" max="23" width="9.875" style="8" bestFit="1" customWidth="1"/>
    <col min="24" max="27" width="11.375" style="8" customWidth="1"/>
    <col min="28" max="28" width="11.75" style="8" customWidth="1"/>
    <col min="29" max="29" width="11.375" style="8" customWidth="1"/>
    <col min="30" max="30" width="14.625" style="8" customWidth="1"/>
    <col min="31" max="31" width="11.375" style="8" customWidth="1"/>
    <col min="32" max="32" width="10.5" style="8" bestFit="1" customWidth="1"/>
    <col min="33" max="33" width="9.75" style="8" bestFit="1" customWidth="1"/>
    <col min="34" max="34" width="13.25" style="6" customWidth="1"/>
    <col min="35" max="35" width="9.375" style="6" bestFit="1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bestFit="1" customWidth="1"/>
    <col min="40" max="40" width="10.75" style="6" bestFit="1" customWidth="1"/>
    <col min="41" max="43" width="9" style="6"/>
  </cols>
  <sheetData>
    <row r="1" spans="1:43" ht="15.75" customHeight="1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231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72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3</v>
      </c>
      <c r="AI5" s="354"/>
      <c r="AJ5" s="251" t="s">
        <v>169</v>
      </c>
      <c r="AK5" s="22" t="s">
        <v>19</v>
      </c>
      <c r="AL5" s="23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218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254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172</v>
      </c>
      <c r="AN6" s="7"/>
      <c r="AO6" s="7"/>
      <c r="AP6" s="7"/>
      <c r="AQ6"/>
    </row>
    <row r="7" spans="1:43" x14ac:dyDescent="0.3">
      <c r="A7" s="40">
        <v>1</v>
      </c>
      <c r="B7" s="41">
        <v>1431</v>
      </c>
      <c r="C7" s="214">
        <f t="shared" ref="C7:C37" si="0">B7/24</f>
        <v>59.625</v>
      </c>
      <c r="D7" s="43">
        <v>1002</v>
      </c>
      <c r="E7" s="44">
        <v>675</v>
      </c>
      <c r="F7" s="44">
        <v>1677</v>
      </c>
      <c r="G7" s="45">
        <v>353</v>
      </c>
      <c r="H7" s="218">
        <v>72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0</v>
      </c>
      <c r="P7" s="52">
        <f t="shared" ref="P7:P37" si="3">O7/24</f>
        <v>0</v>
      </c>
      <c r="Q7" s="273">
        <v>0</v>
      </c>
      <c r="R7" s="53">
        <v>0</v>
      </c>
      <c r="S7" s="54">
        <v>359</v>
      </c>
      <c r="T7" s="223">
        <v>423</v>
      </c>
      <c r="U7" s="55">
        <f>SUM(B7,I7,M7,O7,Q7,R7,S7)</f>
        <v>1790</v>
      </c>
      <c r="V7" s="231">
        <f t="shared" ref="V7:V37" si="4">U7/24</f>
        <v>74.583333333333329</v>
      </c>
      <c r="W7" s="235">
        <v>0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>
        <v>145</v>
      </c>
      <c r="AL7" s="60">
        <f t="shared" ref="AL7:AL37" si="5">AK7/24</f>
        <v>6.041666666666667</v>
      </c>
      <c r="AM7" s="6">
        <v>1440</v>
      </c>
      <c r="AO7" s="61"/>
      <c r="AP7" s="61">
        <f t="shared" ref="AP7:AP37" si="6">S7-AO7</f>
        <v>359</v>
      </c>
      <c r="AQ7"/>
    </row>
    <row r="8" spans="1:43" x14ac:dyDescent="0.3">
      <c r="A8" s="62">
        <v>2</v>
      </c>
      <c r="B8" s="41">
        <v>1451</v>
      </c>
      <c r="C8" s="42">
        <f t="shared" si="0"/>
        <v>60.458333333333336</v>
      </c>
      <c r="D8" s="63">
        <v>1016</v>
      </c>
      <c r="E8" s="44">
        <v>723</v>
      </c>
      <c r="F8" s="64">
        <v>1739</v>
      </c>
      <c r="G8" s="20">
        <v>339</v>
      </c>
      <c r="H8" s="216">
        <v>71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0</v>
      </c>
      <c r="P8" s="52">
        <f t="shared" si="3"/>
        <v>0</v>
      </c>
      <c r="Q8" s="273">
        <v>0</v>
      </c>
      <c r="R8" s="53">
        <v>0</v>
      </c>
      <c r="S8" s="54">
        <v>314</v>
      </c>
      <c r="T8" s="223">
        <v>406</v>
      </c>
      <c r="U8" s="55">
        <f>SUM(B8,I8,M8,O8,Q8,R8,S8)</f>
        <v>1765</v>
      </c>
      <c r="V8" s="231">
        <f t="shared" si="4"/>
        <v>73.541666666666671</v>
      </c>
      <c r="W8" s="236">
        <v>0</v>
      </c>
      <c r="X8" s="65">
        <v>0</v>
      </c>
      <c r="Y8" s="66">
        <v>24</v>
      </c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/>
      <c r="AK8" s="59">
        <v>117</v>
      </c>
      <c r="AL8" s="60">
        <f t="shared" si="5"/>
        <v>4.875</v>
      </c>
      <c r="AM8" s="6">
        <v>1120</v>
      </c>
      <c r="AO8" s="61"/>
      <c r="AP8" s="61">
        <f t="shared" si="6"/>
        <v>314</v>
      </c>
      <c r="AQ8"/>
    </row>
    <row r="9" spans="1:43" x14ac:dyDescent="0.3">
      <c r="A9" s="62">
        <v>3</v>
      </c>
      <c r="B9" s="67">
        <v>1483</v>
      </c>
      <c r="C9" s="42">
        <f t="shared" si="0"/>
        <v>61.791666666666664</v>
      </c>
      <c r="D9" s="63">
        <v>1038</v>
      </c>
      <c r="E9" s="44">
        <v>712</v>
      </c>
      <c r="F9" s="64">
        <v>1750</v>
      </c>
      <c r="G9" s="20">
        <v>365</v>
      </c>
      <c r="H9" s="216">
        <v>79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123</v>
      </c>
      <c r="P9" s="52">
        <f t="shared" si="3"/>
        <v>5.125</v>
      </c>
      <c r="Q9" s="273">
        <v>0</v>
      </c>
      <c r="R9" s="53">
        <v>0</v>
      </c>
      <c r="S9" s="54">
        <v>356</v>
      </c>
      <c r="T9" s="223">
        <v>414</v>
      </c>
      <c r="U9" s="55">
        <f t="shared" ref="U9:U37" si="7">SUM(B9,I9,M9,O9,Q9,R9,S9)</f>
        <v>1962</v>
      </c>
      <c r="V9" s="231">
        <f t="shared" si="4"/>
        <v>81.75</v>
      </c>
      <c r="W9" s="236">
        <v>0</v>
      </c>
      <c r="X9" s="65">
        <v>0</v>
      </c>
      <c r="Y9" s="66">
        <v>24</v>
      </c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>
        <v>134</v>
      </c>
      <c r="AL9" s="60">
        <f t="shared" si="5"/>
        <v>5.583333333333333</v>
      </c>
      <c r="AM9" s="6">
        <v>1440</v>
      </c>
      <c r="AO9" s="61"/>
      <c r="AP9" s="61">
        <f t="shared" si="6"/>
        <v>356</v>
      </c>
      <c r="AQ9"/>
    </row>
    <row r="10" spans="1:43" x14ac:dyDescent="0.3">
      <c r="A10" s="62">
        <v>4</v>
      </c>
      <c r="B10" s="67">
        <v>1310</v>
      </c>
      <c r="C10" s="42">
        <f t="shared" si="0"/>
        <v>54.583333333333336</v>
      </c>
      <c r="D10" s="63">
        <v>917</v>
      </c>
      <c r="E10" s="44">
        <v>628</v>
      </c>
      <c r="F10" s="64">
        <v>1545</v>
      </c>
      <c r="G10" s="20">
        <v>334</v>
      </c>
      <c r="H10" s="216">
        <v>62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362</v>
      </c>
      <c r="P10" s="52">
        <f t="shared" si="3"/>
        <v>15.083333333333334</v>
      </c>
      <c r="Q10" s="273">
        <v>0</v>
      </c>
      <c r="R10" s="53">
        <v>0</v>
      </c>
      <c r="S10" s="54">
        <v>345</v>
      </c>
      <c r="T10" s="223">
        <v>416</v>
      </c>
      <c r="U10" s="55">
        <f t="shared" si="7"/>
        <v>2017</v>
      </c>
      <c r="V10" s="231">
        <f t="shared" si="4"/>
        <v>84.041666666666671</v>
      </c>
      <c r="W10" s="236">
        <v>0</v>
      </c>
      <c r="X10" s="65">
        <v>0</v>
      </c>
      <c r="Y10" s="66">
        <v>24</v>
      </c>
      <c r="Z10" s="6"/>
      <c r="AA10" s="348"/>
      <c r="AB10" s="348"/>
      <c r="AC10" s="348"/>
      <c r="AD10" s="348"/>
      <c r="AE10" s="350"/>
      <c r="AF10" s="351"/>
      <c r="AG10" s="351"/>
      <c r="AH10" s="352"/>
      <c r="AI10" s="58"/>
      <c r="AJ10" s="58"/>
      <c r="AK10" s="59">
        <v>121</v>
      </c>
      <c r="AL10" s="60">
        <f t="shared" si="5"/>
        <v>5.041666666666667</v>
      </c>
      <c r="AM10" s="6">
        <v>1440</v>
      </c>
      <c r="AO10" s="61"/>
      <c r="AP10" s="61">
        <f t="shared" si="6"/>
        <v>345</v>
      </c>
      <c r="AQ10"/>
    </row>
    <row r="11" spans="1:43" x14ac:dyDescent="0.3">
      <c r="A11" s="62">
        <v>5</v>
      </c>
      <c r="B11" s="67">
        <v>1302</v>
      </c>
      <c r="C11" s="42">
        <f t="shared" si="0"/>
        <v>54.25</v>
      </c>
      <c r="D11" s="69">
        <v>911</v>
      </c>
      <c r="E11" s="44">
        <v>647</v>
      </c>
      <c r="F11" s="70">
        <v>1558</v>
      </c>
      <c r="G11" s="20">
        <v>347</v>
      </c>
      <c r="H11" s="216">
        <v>69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369</v>
      </c>
      <c r="P11" s="52">
        <f t="shared" si="3"/>
        <v>15.375</v>
      </c>
      <c r="Q11" s="273">
        <v>0</v>
      </c>
      <c r="R11" s="53">
        <v>0</v>
      </c>
      <c r="S11" s="54">
        <v>363</v>
      </c>
      <c r="T11" s="223">
        <v>460</v>
      </c>
      <c r="U11" s="55">
        <f t="shared" si="7"/>
        <v>2034</v>
      </c>
      <c r="V11" s="231">
        <f t="shared" si="4"/>
        <v>84.75</v>
      </c>
      <c r="W11" s="236">
        <v>0</v>
      </c>
      <c r="X11" s="65">
        <v>0</v>
      </c>
      <c r="Y11" s="66">
        <v>24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117</v>
      </c>
      <c r="AL11" s="60">
        <f t="shared" si="5"/>
        <v>4.875</v>
      </c>
      <c r="AM11" s="6">
        <v>1440</v>
      </c>
      <c r="AO11" s="61"/>
      <c r="AP11" s="61">
        <f t="shared" si="6"/>
        <v>363</v>
      </c>
      <c r="AQ11"/>
    </row>
    <row r="12" spans="1:43" x14ac:dyDescent="0.3">
      <c r="A12" s="62">
        <v>6</v>
      </c>
      <c r="B12" s="67">
        <v>1225</v>
      </c>
      <c r="C12" s="42">
        <f t="shared" si="0"/>
        <v>51.041666666666664</v>
      </c>
      <c r="D12" s="69">
        <v>858</v>
      </c>
      <c r="E12" s="44">
        <v>640</v>
      </c>
      <c r="F12" s="70">
        <v>1497</v>
      </c>
      <c r="G12" s="75">
        <v>327</v>
      </c>
      <c r="H12" s="219">
        <v>65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334</v>
      </c>
      <c r="P12" s="52">
        <f t="shared" si="3"/>
        <v>13.916666666666666</v>
      </c>
      <c r="Q12" s="273">
        <v>0</v>
      </c>
      <c r="R12" s="53">
        <v>0</v>
      </c>
      <c r="S12" s="54">
        <v>282</v>
      </c>
      <c r="T12" s="223">
        <v>456</v>
      </c>
      <c r="U12" s="55">
        <f t="shared" si="7"/>
        <v>1841</v>
      </c>
      <c r="V12" s="231">
        <f t="shared" si="4"/>
        <v>76.708333333333329</v>
      </c>
      <c r="W12" s="236">
        <v>0</v>
      </c>
      <c r="X12" s="65">
        <v>0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74</v>
      </c>
      <c r="AL12" s="60">
        <f t="shared" si="5"/>
        <v>3.0833333333333335</v>
      </c>
      <c r="AM12" s="6">
        <v>1440</v>
      </c>
      <c r="AO12" s="61"/>
      <c r="AP12" s="61">
        <f t="shared" si="6"/>
        <v>282</v>
      </c>
      <c r="AQ12"/>
    </row>
    <row r="13" spans="1:43" x14ac:dyDescent="0.3">
      <c r="A13" s="62">
        <v>7</v>
      </c>
      <c r="B13" s="67">
        <v>1216</v>
      </c>
      <c r="C13" s="42">
        <f t="shared" si="0"/>
        <v>50.666666666666664</v>
      </c>
      <c r="D13" s="69">
        <v>851</v>
      </c>
      <c r="E13" s="44">
        <v>602</v>
      </c>
      <c r="F13" s="70">
        <v>1453</v>
      </c>
      <c r="G13" s="20">
        <v>308</v>
      </c>
      <c r="H13" s="216">
        <v>75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306</v>
      </c>
      <c r="P13" s="52">
        <f t="shared" si="3"/>
        <v>12.75</v>
      </c>
      <c r="Q13" s="273">
        <v>0</v>
      </c>
      <c r="R13" s="53">
        <v>0</v>
      </c>
      <c r="S13" s="54">
        <v>299</v>
      </c>
      <c r="T13" s="223">
        <v>462</v>
      </c>
      <c r="U13" s="55">
        <f t="shared" si="7"/>
        <v>1821</v>
      </c>
      <c r="V13" s="231">
        <f t="shared" si="4"/>
        <v>75.875</v>
      </c>
      <c r="W13" s="236">
        <v>0</v>
      </c>
      <c r="X13" s="65">
        <v>0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119</v>
      </c>
      <c r="AL13" s="60">
        <f t="shared" si="5"/>
        <v>4.958333333333333</v>
      </c>
      <c r="AM13" s="6">
        <v>1440</v>
      </c>
      <c r="AO13" s="61"/>
      <c r="AP13" s="61">
        <f t="shared" si="6"/>
        <v>299</v>
      </c>
      <c r="AQ13"/>
    </row>
    <row r="14" spans="1:43" x14ac:dyDescent="0.3">
      <c r="A14" s="62">
        <v>8</v>
      </c>
      <c r="B14" s="67">
        <v>1141</v>
      </c>
      <c r="C14" s="42">
        <f t="shared" si="0"/>
        <v>47.541666666666664</v>
      </c>
      <c r="D14" s="69">
        <v>799</v>
      </c>
      <c r="E14" s="44">
        <v>583</v>
      </c>
      <c r="F14" s="70">
        <v>1382</v>
      </c>
      <c r="G14" s="20">
        <v>365</v>
      </c>
      <c r="H14" s="216">
        <v>71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312</v>
      </c>
      <c r="P14" s="52">
        <f t="shared" si="3"/>
        <v>13</v>
      </c>
      <c r="Q14" s="273">
        <v>0</v>
      </c>
      <c r="R14" s="53">
        <v>48</v>
      </c>
      <c r="S14" s="54">
        <v>328</v>
      </c>
      <c r="T14" s="223">
        <v>444</v>
      </c>
      <c r="U14" s="55">
        <f t="shared" si="7"/>
        <v>1829</v>
      </c>
      <c r="V14" s="231">
        <f t="shared" si="4"/>
        <v>76.208333333333329</v>
      </c>
      <c r="W14" s="236">
        <v>0</v>
      </c>
      <c r="X14" s="65">
        <v>5.33</v>
      </c>
      <c r="Y14" s="66">
        <v>24</v>
      </c>
      <c r="Z14" s="6"/>
      <c r="AA14" s="348" t="s">
        <v>232</v>
      </c>
      <c r="AB14" s="348"/>
      <c r="AC14" s="348"/>
      <c r="AD14" s="349"/>
      <c r="AE14" s="350"/>
      <c r="AF14" s="351"/>
      <c r="AG14" s="351"/>
      <c r="AH14" s="352"/>
      <c r="AI14" s="58"/>
      <c r="AJ14" s="58">
        <v>280</v>
      </c>
      <c r="AK14" s="59">
        <v>133</v>
      </c>
      <c r="AL14" s="60">
        <f t="shared" si="5"/>
        <v>5.541666666666667</v>
      </c>
      <c r="AM14" s="6">
        <v>1440</v>
      </c>
      <c r="AO14" s="61"/>
      <c r="AP14" s="61">
        <f t="shared" si="6"/>
        <v>328</v>
      </c>
      <c r="AQ14"/>
    </row>
    <row r="15" spans="1:43" x14ac:dyDescent="0.3">
      <c r="A15" s="62">
        <v>9</v>
      </c>
      <c r="B15" s="67">
        <v>502</v>
      </c>
      <c r="C15" s="42">
        <f t="shared" si="0"/>
        <v>20.916666666666668</v>
      </c>
      <c r="D15" s="69">
        <v>351</v>
      </c>
      <c r="E15" s="44">
        <v>375</v>
      </c>
      <c r="F15" s="70">
        <v>726</v>
      </c>
      <c r="G15" s="20">
        <v>301</v>
      </c>
      <c r="H15" s="216">
        <v>38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321</v>
      </c>
      <c r="P15" s="52">
        <f t="shared" si="3"/>
        <v>13.375</v>
      </c>
      <c r="Q15" s="273">
        <v>0</v>
      </c>
      <c r="R15" s="53">
        <v>15</v>
      </c>
      <c r="S15" s="54">
        <v>258</v>
      </c>
      <c r="T15" s="223">
        <v>441</v>
      </c>
      <c r="U15" s="55">
        <f t="shared" si="7"/>
        <v>1096</v>
      </c>
      <c r="V15" s="231">
        <f t="shared" si="4"/>
        <v>45.666666666666664</v>
      </c>
      <c r="W15" s="236">
        <v>0</v>
      </c>
      <c r="X15" s="65">
        <v>1.33</v>
      </c>
      <c r="Y15" s="66">
        <v>24</v>
      </c>
      <c r="Z15" s="6"/>
      <c r="AA15" s="348" t="s">
        <v>233</v>
      </c>
      <c r="AB15" s="348"/>
      <c r="AC15" s="348"/>
      <c r="AD15" s="349"/>
      <c r="AE15" s="350"/>
      <c r="AF15" s="351"/>
      <c r="AG15" s="351"/>
      <c r="AH15" s="352"/>
      <c r="AI15" s="58">
        <v>865</v>
      </c>
      <c r="AJ15" s="58">
        <v>780</v>
      </c>
      <c r="AK15" s="59">
        <v>34</v>
      </c>
      <c r="AL15" s="60">
        <f t="shared" si="5"/>
        <v>1.4166666666666667</v>
      </c>
      <c r="AM15" s="6">
        <v>300</v>
      </c>
      <c r="AO15" s="61"/>
      <c r="AP15" s="61">
        <f t="shared" si="6"/>
        <v>258</v>
      </c>
      <c r="AQ15"/>
    </row>
    <row r="16" spans="1:43" x14ac:dyDescent="0.3">
      <c r="A16" s="62">
        <v>10</v>
      </c>
      <c r="B16" s="67">
        <v>1319</v>
      </c>
      <c r="C16" s="42">
        <f t="shared" si="0"/>
        <v>54.958333333333336</v>
      </c>
      <c r="D16" s="69">
        <v>923</v>
      </c>
      <c r="E16" s="44">
        <v>664</v>
      </c>
      <c r="F16" s="70">
        <v>1587</v>
      </c>
      <c r="G16" s="20">
        <v>335</v>
      </c>
      <c r="H16" s="216">
        <v>65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325</v>
      </c>
      <c r="P16" s="52">
        <f t="shared" si="3"/>
        <v>13.541666666666666</v>
      </c>
      <c r="Q16" s="273">
        <v>0</v>
      </c>
      <c r="R16" s="53">
        <v>0</v>
      </c>
      <c r="S16" s="54">
        <v>135</v>
      </c>
      <c r="T16" s="223">
        <v>247</v>
      </c>
      <c r="U16" s="55">
        <f t="shared" si="7"/>
        <v>1779</v>
      </c>
      <c r="V16" s="231">
        <f t="shared" si="4"/>
        <v>74.125</v>
      </c>
      <c r="W16" s="236">
        <v>0</v>
      </c>
      <c r="X16" s="65">
        <v>0</v>
      </c>
      <c r="Y16" s="66">
        <v>11.5</v>
      </c>
      <c r="Z16" s="6"/>
      <c r="AA16" s="348"/>
      <c r="AB16" s="348"/>
      <c r="AC16" s="348"/>
      <c r="AD16" s="349"/>
      <c r="AE16" s="399" t="s">
        <v>234</v>
      </c>
      <c r="AF16" s="399"/>
      <c r="AG16" s="399"/>
      <c r="AH16" s="352"/>
      <c r="AI16" s="58"/>
      <c r="AJ16" s="58"/>
      <c r="AK16" s="59">
        <v>94</v>
      </c>
      <c r="AL16" s="60">
        <f t="shared" si="5"/>
        <v>3.9166666666666665</v>
      </c>
      <c r="AM16" s="6">
        <v>1440</v>
      </c>
      <c r="AO16" s="61"/>
      <c r="AP16" s="61">
        <f t="shared" si="6"/>
        <v>135</v>
      </c>
      <c r="AQ16"/>
    </row>
    <row r="17" spans="1:43" x14ac:dyDescent="0.3">
      <c r="A17" s="62">
        <v>11</v>
      </c>
      <c r="B17" s="67">
        <v>1315</v>
      </c>
      <c r="C17" s="42">
        <f t="shared" si="0"/>
        <v>54.791666666666664</v>
      </c>
      <c r="D17" s="69">
        <v>921</v>
      </c>
      <c r="E17" s="44">
        <v>665</v>
      </c>
      <c r="F17" s="70">
        <v>1585</v>
      </c>
      <c r="G17" s="20">
        <v>341</v>
      </c>
      <c r="H17" s="216">
        <v>70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305</v>
      </c>
      <c r="P17" s="52">
        <f t="shared" si="3"/>
        <v>12.708333333333334</v>
      </c>
      <c r="Q17" s="273">
        <v>0</v>
      </c>
      <c r="R17" s="53">
        <v>0</v>
      </c>
      <c r="S17" s="54">
        <v>0</v>
      </c>
      <c r="T17" s="223">
        <v>0</v>
      </c>
      <c r="U17" s="55">
        <f t="shared" si="7"/>
        <v>1620</v>
      </c>
      <c r="V17" s="231">
        <f t="shared" si="4"/>
        <v>67.5</v>
      </c>
      <c r="W17" s="236">
        <v>0</v>
      </c>
      <c r="X17" s="65">
        <v>0</v>
      </c>
      <c r="Y17" s="66">
        <v>0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87</v>
      </c>
      <c r="AL17" s="60">
        <f t="shared" si="5"/>
        <v>3.625</v>
      </c>
      <c r="AM17" s="6">
        <v>1269</v>
      </c>
      <c r="AO17" s="61"/>
      <c r="AP17" s="61">
        <f t="shared" si="6"/>
        <v>0</v>
      </c>
      <c r="AQ17"/>
    </row>
    <row r="18" spans="1:43" x14ac:dyDescent="0.3">
      <c r="A18" s="62">
        <v>12</v>
      </c>
      <c r="B18" s="67">
        <v>1330</v>
      </c>
      <c r="C18" s="42">
        <f t="shared" si="0"/>
        <v>55.416666666666664</v>
      </c>
      <c r="D18" s="69">
        <v>931</v>
      </c>
      <c r="E18" s="44">
        <v>648</v>
      </c>
      <c r="F18" s="70">
        <v>1579</v>
      </c>
      <c r="G18" s="20">
        <v>342</v>
      </c>
      <c r="H18" s="216">
        <v>65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321</v>
      </c>
      <c r="P18" s="52">
        <f t="shared" si="3"/>
        <v>13.375</v>
      </c>
      <c r="Q18" s="273">
        <v>0</v>
      </c>
      <c r="R18" s="53">
        <v>0</v>
      </c>
      <c r="S18" s="54">
        <v>0</v>
      </c>
      <c r="T18" s="223">
        <v>0</v>
      </c>
      <c r="U18" s="55">
        <f t="shared" si="7"/>
        <v>1651</v>
      </c>
      <c r="V18" s="231">
        <f t="shared" si="4"/>
        <v>68.791666666666671</v>
      </c>
      <c r="W18" s="236">
        <v>0</v>
      </c>
      <c r="X18" s="65">
        <v>0</v>
      </c>
      <c r="Y18" s="66">
        <v>0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85</v>
      </c>
      <c r="AL18" s="60">
        <f t="shared" si="5"/>
        <v>3.5416666666666665</v>
      </c>
      <c r="AM18" s="6">
        <v>1440</v>
      </c>
      <c r="AO18" s="61"/>
      <c r="AP18" s="61">
        <f t="shared" si="6"/>
        <v>0</v>
      </c>
      <c r="AQ18"/>
    </row>
    <row r="19" spans="1:43" x14ac:dyDescent="0.3">
      <c r="A19" s="62">
        <v>13</v>
      </c>
      <c r="B19" s="67">
        <v>1332</v>
      </c>
      <c r="C19" s="42">
        <f t="shared" si="0"/>
        <v>55.5</v>
      </c>
      <c r="D19" s="272">
        <v>932</v>
      </c>
      <c r="E19" s="44">
        <v>645</v>
      </c>
      <c r="F19" s="19">
        <v>1577</v>
      </c>
      <c r="G19" s="20">
        <v>324</v>
      </c>
      <c r="H19" s="216">
        <v>66</v>
      </c>
      <c r="I19" s="210">
        <v>0</v>
      </c>
      <c r="J19" s="46">
        <f t="shared" si="1"/>
        <v>0</v>
      </c>
      <c r="K19" s="239">
        <v>0</v>
      </c>
      <c r="L19" s="21">
        <v>0</v>
      </c>
      <c r="M19" s="49">
        <v>0</v>
      </c>
      <c r="N19" s="50">
        <f t="shared" si="2"/>
        <v>0</v>
      </c>
      <c r="O19" s="68">
        <v>299</v>
      </c>
      <c r="P19" s="52">
        <f t="shared" si="3"/>
        <v>12.458333333333334</v>
      </c>
      <c r="Q19" s="273">
        <v>0</v>
      </c>
      <c r="R19" s="53">
        <v>0</v>
      </c>
      <c r="S19" s="54">
        <v>0</v>
      </c>
      <c r="T19" s="223">
        <v>0</v>
      </c>
      <c r="U19" s="55">
        <f t="shared" si="7"/>
        <v>1631</v>
      </c>
      <c r="V19" s="231">
        <f t="shared" si="4"/>
        <v>67.958333333333329</v>
      </c>
      <c r="W19" s="236">
        <v>0</v>
      </c>
      <c r="X19" s="65">
        <v>0</v>
      </c>
      <c r="Y19" s="66">
        <v>0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>
        <v>91</v>
      </c>
      <c r="AL19" s="60">
        <f t="shared" si="5"/>
        <v>3.7916666666666665</v>
      </c>
      <c r="AM19" s="6">
        <v>1440</v>
      </c>
      <c r="AO19" s="61"/>
      <c r="AP19" s="61">
        <f t="shared" si="6"/>
        <v>0</v>
      </c>
      <c r="AQ19"/>
    </row>
    <row r="20" spans="1:43" x14ac:dyDescent="0.3">
      <c r="A20" s="62">
        <v>14</v>
      </c>
      <c r="B20" s="67">
        <v>1196</v>
      </c>
      <c r="C20" s="42">
        <f t="shared" si="0"/>
        <v>49.833333333333336</v>
      </c>
      <c r="D20" s="272">
        <v>837</v>
      </c>
      <c r="E20" s="44">
        <v>603</v>
      </c>
      <c r="F20" s="19">
        <v>1440</v>
      </c>
      <c r="G20" s="20">
        <v>291</v>
      </c>
      <c r="H20" s="216">
        <v>62</v>
      </c>
      <c r="I20" s="211">
        <v>0</v>
      </c>
      <c r="J20" s="46">
        <f t="shared" si="1"/>
        <v>0</v>
      </c>
      <c r="K20" s="239">
        <v>0</v>
      </c>
      <c r="L20" s="21">
        <v>0</v>
      </c>
      <c r="M20" s="49">
        <v>0</v>
      </c>
      <c r="N20" s="50">
        <f t="shared" si="2"/>
        <v>0</v>
      </c>
      <c r="O20" s="51">
        <v>311</v>
      </c>
      <c r="P20" s="52">
        <f t="shared" si="3"/>
        <v>12.958333333333334</v>
      </c>
      <c r="Q20" s="273">
        <v>0</v>
      </c>
      <c r="R20" s="53">
        <v>0</v>
      </c>
      <c r="S20" s="54">
        <v>0</v>
      </c>
      <c r="T20" s="223">
        <v>0</v>
      </c>
      <c r="U20" s="55">
        <f t="shared" si="7"/>
        <v>1507</v>
      </c>
      <c r="V20" s="231">
        <f t="shared" si="4"/>
        <v>62.791666666666664</v>
      </c>
      <c r="W20" s="236">
        <v>0</v>
      </c>
      <c r="X20" s="65">
        <v>0</v>
      </c>
      <c r="Y20" s="66">
        <v>0</v>
      </c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>
        <v>93</v>
      </c>
      <c r="AL20" s="60">
        <f t="shared" si="5"/>
        <v>3.875</v>
      </c>
      <c r="AM20" s="6">
        <v>1440</v>
      </c>
      <c r="AO20" s="61"/>
      <c r="AP20" s="61">
        <f t="shared" si="6"/>
        <v>0</v>
      </c>
      <c r="AQ20"/>
    </row>
    <row r="21" spans="1:43" x14ac:dyDescent="0.3">
      <c r="A21" s="62">
        <v>15</v>
      </c>
      <c r="B21" s="67">
        <v>1299</v>
      </c>
      <c r="C21" s="42">
        <f t="shared" si="0"/>
        <v>54.125</v>
      </c>
      <c r="D21" s="272">
        <v>909</v>
      </c>
      <c r="E21" s="44">
        <v>632</v>
      </c>
      <c r="F21" s="19">
        <v>1541</v>
      </c>
      <c r="G21" s="20">
        <v>314</v>
      </c>
      <c r="H21" s="216">
        <v>68</v>
      </c>
      <c r="I21" s="211">
        <v>0</v>
      </c>
      <c r="J21" s="46">
        <f t="shared" si="1"/>
        <v>0</v>
      </c>
      <c r="K21" s="239">
        <v>0</v>
      </c>
      <c r="L21" s="21">
        <v>0</v>
      </c>
      <c r="M21" s="49">
        <v>0</v>
      </c>
      <c r="N21" s="50">
        <f t="shared" si="2"/>
        <v>0</v>
      </c>
      <c r="O21" s="51">
        <v>290</v>
      </c>
      <c r="P21" s="52">
        <f t="shared" si="3"/>
        <v>12.083333333333334</v>
      </c>
      <c r="Q21" s="273">
        <v>0</v>
      </c>
      <c r="R21" s="53">
        <v>0</v>
      </c>
      <c r="S21" s="54">
        <v>0</v>
      </c>
      <c r="T21" s="223">
        <v>0</v>
      </c>
      <c r="U21" s="55">
        <f t="shared" si="7"/>
        <v>1589</v>
      </c>
      <c r="V21" s="231">
        <f t="shared" si="4"/>
        <v>66.208333333333329</v>
      </c>
      <c r="W21" s="236">
        <v>0</v>
      </c>
      <c r="X21" s="65">
        <v>0</v>
      </c>
      <c r="Y21" s="66">
        <v>0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107</v>
      </c>
      <c r="AL21" s="60">
        <f t="shared" si="5"/>
        <v>4.458333333333333</v>
      </c>
      <c r="AM21" s="6">
        <v>1440</v>
      </c>
      <c r="AO21" s="61"/>
      <c r="AP21" s="61">
        <f t="shared" si="6"/>
        <v>0</v>
      </c>
      <c r="AQ21"/>
    </row>
    <row r="22" spans="1:43" x14ac:dyDescent="0.3">
      <c r="A22" s="62">
        <v>16</v>
      </c>
      <c r="B22" s="67">
        <v>1295</v>
      </c>
      <c r="C22" s="42">
        <f t="shared" si="0"/>
        <v>53.958333333333336</v>
      </c>
      <c r="D22" s="272">
        <v>907</v>
      </c>
      <c r="E22" s="44">
        <v>686</v>
      </c>
      <c r="F22" s="19">
        <v>1592</v>
      </c>
      <c r="G22" s="20">
        <v>351</v>
      </c>
      <c r="H22" s="216">
        <v>71</v>
      </c>
      <c r="I22" s="211">
        <v>0</v>
      </c>
      <c r="J22" s="46">
        <f t="shared" si="1"/>
        <v>0</v>
      </c>
      <c r="K22" s="239">
        <v>0</v>
      </c>
      <c r="L22" s="21">
        <v>0</v>
      </c>
      <c r="M22" s="49">
        <v>0</v>
      </c>
      <c r="N22" s="50">
        <f t="shared" si="2"/>
        <v>0</v>
      </c>
      <c r="O22" s="68">
        <v>318</v>
      </c>
      <c r="P22" s="52">
        <f t="shared" si="3"/>
        <v>13.25</v>
      </c>
      <c r="Q22" s="273">
        <v>0</v>
      </c>
      <c r="R22" s="53">
        <v>0</v>
      </c>
      <c r="S22" s="54">
        <v>182</v>
      </c>
      <c r="T22" s="223">
        <v>293</v>
      </c>
      <c r="U22" s="55">
        <f t="shared" si="7"/>
        <v>1795</v>
      </c>
      <c r="V22" s="231">
        <f t="shared" si="4"/>
        <v>74.791666666666671</v>
      </c>
      <c r="W22" s="236">
        <v>0</v>
      </c>
      <c r="X22" s="65">
        <v>0</v>
      </c>
      <c r="Y22" s="66">
        <v>14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112</v>
      </c>
      <c r="AL22" s="60">
        <f t="shared" si="5"/>
        <v>4.666666666666667</v>
      </c>
      <c r="AM22" s="6">
        <v>1140</v>
      </c>
      <c r="AO22" s="61"/>
      <c r="AP22" s="61">
        <f t="shared" si="6"/>
        <v>182</v>
      </c>
      <c r="AQ22"/>
    </row>
    <row r="23" spans="1:43" x14ac:dyDescent="0.3">
      <c r="A23" s="62">
        <v>17</v>
      </c>
      <c r="B23" s="67">
        <v>1220</v>
      </c>
      <c r="C23" s="42">
        <f t="shared" si="0"/>
        <v>50.833333333333336</v>
      </c>
      <c r="D23" s="272">
        <v>854</v>
      </c>
      <c r="E23" s="44">
        <v>667</v>
      </c>
      <c r="F23" s="19">
        <v>1521</v>
      </c>
      <c r="G23" s="20">
        <v>339</v>
      </c>
      <c r="H23" s="216">
        <v>69</v>
      </c>
      <c r="I23" s="211">
        <v>0</v>
      </c>
      <c r="J23" s="46">
        <f t="shared" si="1"/>
        <v>0</v>
      </c>
      <c r="K23" s="239">
        <v>0</v>
      </c>
      <c r="L23" s="21">
        <v>0</v>
      </c>
      <c r="M23" s="49">
        <v>0</v>
      </c>
      <c r="N23" s="50">
        <f t="shared" si="2"/>
        <v>0</v>
      </c>
      <c r="O23" s="68">
        <v>330</v>
      </c>
      <c r="P23" s="52">
        <f t="shared" si="3"/>
        <v>13.75</v>
      </c>
      <c r="Q23" s="273">
        <v>0</v>
      </c>
      <c r="R23" s="53">
        <v>0</v>
      </c>
      <c r="S23" s="54">
        <v>303</v>
      </c>
      <c r="T23" s="223">
        <v>470</v>
      </c>
      <c r="U23" s="55">
        <f t="shared" si="7"/>
        <v>1853</v>
      </c>
      <c r="V23" s="231">
        <f t="shared" si="4"/>
        <v>77.208333333333329</v>
      </c>
      <c r="W23" s="236">
        <v>0</v>
      </c>
      <c r="X23" s="65">
        <v>0</v>
      </c>
      <c r="Y23" s="66">
        <v>24</v>
      </c>
      <c r="Z23" s="6"/>
      <c r="AA23" s="348"/>
      <c r="AB23" s="348"/>
      <c r="AC23" s="348"/>
      <c r="AD23" s="349"/>
      <c r="AE23" s="360"/>
      <c r="AF23" s="351"/>
      <c r="AG23" s="351"/>
      <c r="AH23" s="352"/>
      <c r="AI23" s="58"/>
      <c r="AJ23" s="58"/>
      <c r="AK23" s="59">
        <v>144</v>
      </c>
      <c r="AL23" s="60">
        <f t="shared" si="5"/>
        <v>6</v>
      </c>
      <c r="AM23" s="6">
        <v>1440</v>
      </c>
      <c r="AO23" s="61"/>
      <c r="AP23" s="61">
        <f t="shared" si="6"/>
        <v>303</v>
      </c>
      <c r="AQ23"/>
    </row>
    <row r="24" spans="1:43" x14ac:dyDescent="0.3">
      <c r="A24" s="62">
        <v>18</v>
      </c>
      <c r="B24" s="67">
        <v>1183</v>
      </c>
      <c r="C24" s="42">
        <f t="shared" si="0"/>
        <v>49.291666666666664</v>
      </c>
      <c r="D24" s="272">
        <v>828</v>
      </c>
      <c r="E24" s="44">
        <v>761</v>
      </c>
      <c r="F24" s="19">
        <v>1589</v>
      </c>
      <c r="G24" s="20">
        <v>316</v>
      </c>
      <c r="H24" s="216">
        <v>70</v>
      </c>
      <c r="I24" s="211">
        <v>0</v>
      </c>
      <c r="J24" s="46">
        <f t="shared" si="1"/>
        <v>0</v>
      </c>
      <c r="K24" s="239">
        <v>0</v>
      </c>
      <c r="L24" s="21">
        <v>0</v>
      </c>
      <c r="M24" s="49">
        <v>0</v>
      </c>
      <c r="N24" s="50">
        <f t="shared" si="2"/>
        <v>0</v>
      </c>
      <c r="O24" s="198">
        <v>335</v>
      </c>
      <c r="P24" s="52">
        <f t="shared" si="3"/>
        <v>13.958333333333334</v>
      </c>
      <c r="Q24" s="273">
        <v>0</v>
      </c>
      <c r="R24" s="53">
        <v>0</v>
      </c>
      <c r="S24" s="54">
        <v>240</v>
      </c>
      <c r="T24" s="223">
        <v>471</v>
      </c>
      <c r="U24" s="55">
        <f t="shared" si="7"/>
        <v>1758</v>
      </c>
      <c r="V24" s="231">
        <f t="shared" si="4"/>
        <v>73.25</v>
      </c>
      <c r="W24" s="236">
        <v>0</v>
      </c>
      <c r="X24" s="65">
        <v>0</v>
      </c>
      <c r="Y24" s="66">
        <v>24</v>
      </c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113</v>
      </c>
      <c r="AL24" s="60">
        <f t="shared" si="5"/>
        <v>4.708333333333333</v>
      </c>
      <c r="AM24" s="6">
        <v>1440</v>
      </c>
      <c r="AO24" s="61"/>
      <c r="AP24" s="61">
        <f t="shared" si="6"/>
        <v>240</v>
      </c>
      <c r="AQ24"/>
    </row>
    <row r="25" spans="1:43" x14ac:dyDescent="0.3">
      <c r="A25" s="62">
        <v>19</v>
      </c>
      <c r="B25" s="67">
        <v>1242</v>
      </c>
      <c r="C25" s="42">
        <f t="shared" si="0"/>
        <v>51.75</v>
      </c>
      <c r="D25" s="272">
        <v>869</v>
      </c>
      <c r="E25" s="44">
        <v>706</v>
      </c>
      <c r="F25" s="19">
        <v>1575</v>
      </c>
      <c r="G25" s="20">
        <v>309</v>
      </c>
      <c r="H25" s="216">
        <v>71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0</v>
      </c>
      <c r="N25" s="50">
        <f t="shared" si="2"/>
        <v>0</v>
      </c>
      <c r="O25" s="198">
        <v>300</v>
      </c>
      <c r="P25" s="52">
        <f t="shared" si="3"/>
        <v>12.5</v>
      </c>
      <c r="Q25" s="273">
        <v>0</v>
      </c>
      <c r="R25" s="53">
        <v>0</v>
      </c>
      <c r="S25" s="54">
        <v>287</v>
      </c>
      <c r="T25" s="223">
        <v>480</v>
      </c>
      <c r="U25" s="55">
        <f t="shared" si="7"/>
        <v>1829</v>
      </c>
      <c r="V25" s="231">
        <f t="shared" si="4"/>
        <v>76.208333333333329</v>
      </c>
      <c r="W25" s="236">
        <v>0</v>
      </c>
      <c r="X25" s="65">
        <v>0</v>
      </c>
      <c r="Y25" s="66">
        <v>24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106</v>
      </c>
      <c r="AL25" s="60">
        <f t="shared" si="5"/>
        <v>4.416666666666667</v>
      </c>
      <c r="AM25" s="6">
        <v>1440</v>
      </c>
      <c r="AO25" s="61"/>
      <c r="AP25" s="61">
        <f t="shared" si="6"/>
        <v>287</v>
      </c>
      <c r="AQ25"/>
    </row>
    <row r="26" spans="1:43" x14ac:dyDescent="0.3">
      <c r="A26" s="62">
        <v>20</v>
      </c>
      <c r="B26" s="67">
        <v>1266</v>
      </c>
      <c r="C26" s="42">
        <f t="shared" si="0"/>
        <v>52.75</v>
      </c>
      <c r="D26" s="272">
        <v>886</v>
      </c>
      <c r="E26" s="44">
        <v>721</v>
      </c>
      <c r="F26" s="19">
        <v>1607</v>
      </c>
      <c r="G26" s="20">
        <v>303</v>
      </c>
      <c r="H26" s="216">
        <v>71</v>
      </c>
      <c r="I26" s="211">
        <v>0</v>
      </c>
      <c r="J26" s="46">
        <f t="shared" si="1"/>
        <v>0</v>
      </c>
      <c r="K26" s="239">
        <v>0</v>
      </c>
      <c r="L26" s="21">
        <v>0</v>
      </c>
      <c r="M26" s="49">
        <v>0</v>
      </c>
      <c r="N26" s="50">
        <f t="shared" si="2"/>
        <v>0</v>
      </c>
      <c r="O26" s="198">
        <v>281</v>
      </c>
      <c r="P26" s="52">
        <f t="shared" si="3"/>
        <v>11.708333333333334</v>
      </c>
      <c r="Q26" s="273">
        <v>0</v>
      </c>
      <c r="R26" s="53">
        <v>0</v>
      </c>
      <c r="S26" s="54">
        <v>327</v>
      </c>
      <c r="T26" s="223">
        <v>489</v>
      </c>
      <c r="U26" s="55">
        <f t="shared" si="7"/>
        <v>1874</v>
      </c>
      <c r="V26" s="231">
        <f t="shared" si="4"/>
        <v>78.083333333333329</v>
      </c>
      <c r="W26" s="236">
        <v>0</v>
      </c>
      <c r="X26" s="65">
        <v>0</v>
      </c>
      <c r="Y26" s="66">
        <v>24</v>
      </c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>
        <v>155</v>
      </c>
      <c r="AL26" s="60">
        <f t="shared" si="5"/>
        <v>6.458333333333333</v>
      </c>
      <c r="AM26" s="6">
        <v>1440</v>
      </c>
      <c r="AO26" s="61"/>
      <c r="AP26" s="61">
        <f t="shared" si="6"/>
        <v>327</v>
      </c>
      <c r="AQ26"/>
    </row>
    <row r="27" spans="1:43" x14ac:dyDescent="0.3">
      <c r="A27" s="62">
        <v>21</v>
      </c>
      <c r="B27" s="67">
        <v>1205</v>
      </c>
      <c r="C27" s="42">
        <f t="shared" si="0"/>
        <v>50.208333333333336</v>
      </c>
      <c r="D27" s="272">
        <v>844</v>
      </c>
      <c r="E27" s="44">
        <v>704</v>
      </c>
      <c r="F27" s="19">
        <v>1547</v>
      </c>
      <c r="G27" s="20">
        <v>291</v>
      </c>
      <c r="H27" s="216">
        <v>69</v>
      </c>
      <c r="I27" s="211">
        <v>0</v>
      </c>
      <c r="J27" s="46">
        <f t="shared" si="1"/>
        <v>0</v>
      </c>
      <c r="K27" s="239">
        <v>0</v>
      </c>
      <c r="L27" s="21">
        <v>0</v>
      </c>
      <c r="M27" s="49">
        <v>0</v>
      </c>
      <c r="N27" s="50">
        <f t="shared" si="2"/>
        <v>0</v>
      </c>
      <c r="O27" s="198">
        <v>292</v>
      </c>
      <c r="P27" s="52">
        <f t="shared" si="3"/>
        <v>12.166666666666666</v>
      </c>
      <c r="Q27" s="273">
        <v>0</v>
      </c>
      <c r="R27" s="53">
        <v>0</v>
      </c>
      <c r="S27" s="54">
        <v>293</v>
      </c>
      <c r="T27" s="223">
        <v>468</v>
      </c>
      <c r="U27" s="55">
        <f t="shared" si="7"/>
        <v>1790</v>
      </c>
      <c r="V27" s="231">
        <f t="shared" si="4"/>
        <v>74.583333333333329</v>
      </c>
      <c r="W27" s="236">
        <v>0</v>
      </c>
      <c r="X27" s="65">
        <v>0</v>
      </c>
      <c r="Y27" s="66">
        <v>24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119</v>
      </c>
      <c r="AL27" s="60">
        <f t="shared" si="5"/>
        <v>4.958333333333333</v>
      </c>
      <c r="AM27" s="6">
        <v>1440</v>
      </c>
      <c r="AO27" s="61"/>
      <c r="AP27" s="61">
        <f t="shared" si="6"/>
        <v>293</v>
      </c>
      <c r="AQ27"/>
    </row>
    <row r="28" spans="1:43" x14ac:dyDescent="0.3">
      <c r="A28" s="62">
        <v>22</v>
      </c>
      <c r="B28" s="67">
        <v>1201</v>
      </c>
      <c r="C28" s="42">
        <f t="shared" si="0"/>
        <v>50.041666666666664</v>
      </c>
      <c r="D28" s="272">
        <v>841</v>
      </c>
      <c r="E28" s="44">
        <v>685</v>
      </c>
      <c r="F28" s="19">
        <v>1526</v>
      </c>
      <c r="G28" s="20">
        <v>293</v>
      </c>
      <c r="H28" s="216">
        <v>70</v>
      </c>
      <c r="I28" s="211">
        <v>0</v>
      </c>
      <c r="J28" s="46">
        <f t="shared" si="1"/>
        <v>0</v>
      </c>
      <c r="K28" s="239">
        <v>0</v>
      </c>
      <c r="L28" s="21">
        <v>0</v>
      </c>
      <c r="M28" s="49">
        <v>0</v>
      </c>
      <c r="N28" s="50">
        <f t="shared" si="2"/>
        <v>0</v>
      </c>
      <c r="O28" s="198">
        <v>304</v>
      </c>
      <c r="P28" s="52">
        <f t="shared" si="3"/>
        <v>12.666666666666666</v>
      </c>
      <c r="Q28" s="273">
        <v>0</v>
      </c>
      <c r="R28" s="53">
        <v>0</v>
      </c>
      <c r="S28" s="54">
        <v>267</v>
      </c>
      <c r="T28" s="223">
        <v>466</v>
      </c>
      <c r="U28" s="55">
        <f t="shared" si="7"/>
        <v>1772</v>
      </c>
      <c r="V28" s="231">
        <f t="shared" si="4"/>
        <v>73.833333333333329</v>
      </c>
      <c r="W28" s="236">
        <v>0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117</v>
      </c>
      <c r="AL28" s="60">
        <f t="shared" si="5"/>
        <v>4.875</v>
      </c>
      <c r="AM28" s="6">
        <v>1440</v>
      </c>
      <c r="AO28" s="61"/>
      <c r="AP28" s="61">
        <f t="shared" si="6"/>
        <v>267</v>
      </c>
      <c r="AQ28"/>
    </row>
    <row r="29" spans="1:43" x14ac:dyDescent="0.3">
      <c r="A29" s="62">
        <v>23</v>
      </c>
      <c r="B29" s="67">
        <v>1117</v>
      </c>
      <c r="C29" s="42">
        <f t="shared" si="0"/>
        <v>46.541666666666664</v>
      </c>
      <c r="D29" s="272">
        <v>782</v>
      </c>
      <c r="E29" s="44">
        <v>664</v>
      </c>
      <c r="F29" s="19">
        <v>1446</v>
      </c>
      <c r="G29" s="20">
        <v>341</v>
      </c>
      <c r="H29" s="216">
        <v>72</v>
      </c>
      <c r="I29" s="211">
        <v>0</v>
      </c>
      <c r="J29" s="46">
        <f t="shared" si="1"/>
        <v>0</v>
      </c>
      <c r="K29" s="239">
        <v>0</v>
      </c>
      <c r="L29" s="21">
        <v>0</v>
      </c>
      <c r="M29" s="49">
        <v>0</v>
      </c>
      <c r="N29" s="50">
        <f t="shared" si="2"/>
        <v>0</v>
      </c>
      <c r="O29" s="198">
        <v>301</v>
      </c>
      <c r="P29" s="52">
        <f t="shared" si="3"/>
        <v>12.541666666666666</v>
      </c>
      <c r="Q29" s="273">
        <v>32</v>
      </c>
      <c r="R29" s="53">
        <v>15</v>
      </c>
      <c r="S29" s="54">
        <v>280</v>
      </c>
      <c r="T29" s="223">
        <v>458</v>
      </c>
      <c r="U29" s="55">
        <f t="shared" si="7"/>
        <v>1745</v>
      </c>
      <c r="V29" s="231">
        <f t="shared" si="4"/>
        <v>72.708333333333329</v>
      </c>
      <c r="W29" s="236">
        <v>3.83</v>
      </c>
      <c r="X29" s="65">
        <v>2.17</v>
      </c>
      <c r="Y29" s="66">
        <v>24</v>
      </c>
      <c r="Z29" s="6"/>
      <c r="AA29" s="348" t="s">
        <v>253</v>
      </c>
      <c r="AB29" s="348"/>
      <c r="AC29" s="348"/>
      <c r="AD29" s="349"/>
      <c r="AE29" s="350"/>
      <c r="AF29" s="351"/>
      <c r="AG29" s="351"/>
      <c r="AH29" s="352"/>
      <c r="AI29" s="58">
        <v>250</v>
      </c>
      <c r="AJ29" s="58"/>
      <c r="AK29" s="59">
        <v>106</v>
      </c>
      <c r="AL29" s="60">
        <f t="shared" si="5"/>
        <v>4.416666666666667</v>
      </c>
      <c r="AM29" s="6">
        <v>1440</v>
      </c>
      <c r="AO29" s="61"/>
      <c r="AP29" s="61">
        <f t="shared" si="6"/>
        <v>280</v>
      </c>
      <c r="AQ29"/>
    </row>
    <row r="30" spans="1:43" x14ac:dyDescent="0.3">
      <c r="A30" s="62">
        <v>24</v>
      </c>
      <c r="B30" s="67">
        <v>684</v>
      </c>
      <c r="C30" s="42">
        <f t="shared" si="0"/>
        <v>28.5</v>
      </c>
      <c r="D30" s="272">
        <v>479</v>
      </c>
      <c r="E30" s="44">
        <v>350</v>
      </c>
      <c r="F30" s="19">
        <v>829</v>
      </c>
      <c r="G30" s="20">
        <v>329</v>
      </c>
      <c r="H30" s="216">
        <v>40</v>
      </c>
      <c r="I30" s="211">
        <v>0</v>
      </c>
      <c r="J30" s="46">
        <f t="shared" si="1"/>
        <v>0</v>
      </c>
      <c r="K30" s="239">
        <v>0</v>
      </c>
      <c r="L30" s="21">
        <v>0</v>
      </c>
      <c r="M30" s="49">
        <v>0</v>
      </c>
      <c r="N30" s="50">
        <f t="shared" si="2"/>
        <v>0</v>
      </c>
      <c r="O30" s="198">
        <v>307</v>
      </c>
      <c r="P30" s="52">
        <f t="shared" si="3"/>
        <v>12.791666666666666</v>
      </c>
      <c r="Q30" s="273">
        <v>4</v>
      </c>
      <c r="R30" s="53">
        <v>0</v>
      </c>
      <c r="S30" s="54">
        <v>291</v>
      </c>
      <c r="T30" s="223">
        <v>474</v>
      </c>
      <c r="U30" s="55">
        <f t="shared" si="7"/>
        <v>1286</v>
      </c>
      <c r="V30" s="231">
        <f t="shared" si="4"/>
        <v>53.583333333333336</v>
      </c>
      <c r="W30" s="236">
        <v>0.5</v>
      </c>
      <c r="X30" s="65">
        <v>0</v>
      </c>
      <c r="Y30" s="66">
        <v>24</v>
      </c>
      <c r="Z30" s="6"/>
      <c r="AA30" s="359" t="s">
        <v>256</v>
      </c>
      <c r="AB30" s="348"/>
      <c r="AC30" s="348"/>
      <c r="AD30" s="349"/>
      <c r="AE30" s="350"/>
      <c r="AF30" s="351"/>
      <c r="AG30" s="351"/>
      <c r="AH30" s="352"/>
      <c r="AI30" s="58">
        <v>670</v>
      </c>
      <c r="AJ30" s="58">
        <v>490</v>
      </c>
      <c r="AK30" s="59">
        <v>40</v>
      </c>
      <c r="AL30" s="60">
        <f t="shared" si="5"/>
        <v>1.6666666666666667</v>
      </c>
      <c r="AM30" s="6">
        <v>660</v>
      </c>
      <c r="AO30" s="61"/>
      <c r="AP30" s="61">
        <f t="shared" si="6"/>
        <v>291</v>
      </c>
      <c r="AQ30"/>
    </row>
    <row r="31" spans="1:43" x14ac:dyDescent="0.3">
      <c r="A31" s="62">
        <v>25</v>
      </c>
      <c r="B31" s="67">
        <v>1291</v>
      </c>
      <c r="C31" s="42">
        <f t="shared" si="0"/>
        <v>53.791666666666664</v>
      </c>
      <c r="D31" s="272">
        <v>904</v>
      </c>
      <c r="E31" s="44">
        <v>621</v>
      </c>
      <c r="F31" s="19">
        <v>1525</v>
      </c>
      <c r="G31" s="20">
        <v>315</v>
      </c>
      <c r="H31" s="216">
        <v>60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0</v>
      </c>
      <c r="N31" s="50">
        <f t="shared" si="2"/>
        <v>0</v>
      </c>
      <c r="O31" s="198">
        <v>0</v>
      </c>
      <c r="P31" s="52">
        <f t="shared" si="3"/>
        <v>0</v>
      </c>
      <c r="Q31" s="273">
        <v>0</v>
      </c>
      <c r="R31" s="53">
        <v>0</v>
      </c>
      <c r="S31" s="54">
        <v>373</v>
      </c>
      <c r="T31" s="223">
        <v>478</v>
      </c>
      <c r="U31" s="55">
        <f t="shared" si="7"/>
        <v>1664</v>
      </c>
      <c r="V31" s="231">
        <f t="shared" si="4"/>
        <v>69.333333333333329</v>
      </c>
      <c r="W31" s="236">
        <v>0</v>
      </c>
      <c r="X31" s="65">
        <v>0</v>
      </c>
      <c r="Y31" s="66">
        <v>24</v>
      </c>
      <c r="Z31" s="6"/>
      <c r="AA31" s="348" t="s">
        <v>255</v>
      </c>
      <c r="AB31" s="348"/>
      <c r="AC31" s="348"/>
      <c r="AD31" s="349"/>
      <c r="AE31" s="350"/>
      <c r="AF31" s="351"/>
      <c r="AG31" s="351"/>
      <c r="AH31" s="352"/>
      <c r="AI31" s="58"/>
      <c r="AJ31" s="58"/>
      <c r="AK31" s="59">
        <v>87</v>
      </c>
      <c r="AL31" s="60">
        <f t="shared" si="5"/>
        <v>3.625</v>
      </c>
      <c r="AM31" s="6">
        <v>1440</v>
      </c>
      <c r="AO31" s="61"/>
      <c r="AP31" s="61">
        <f t="shared" si="6"/>
        <v>373</v>
      </c>
      <c r="AQ31"/>
    </row>
    <row r="32" spans="1:43" x14ac:dyDescent="0.3">
      <c r="A32" s="62">
        <v>26</v>
      </c>
      <c r="B32" s="67">
        <v>1281</v>
      </c>
      <c r="C32" s="42">
        <f t="shared" si="0"/>
        <v>53.375</v>
      </c>
      <c r="D32" s="272">
        <v>897</v>
      </c>
      <c r="E32" s="44">
        <v>648</v>
      </c>
      <c r="F32" s="19">
        <v>1545</v>
      </c>
      <c r="G32" s="20">
        <v>316</v>
      </c>
      <c r="H32" s="216">
        <v>61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200">
        <v>0</v>
      </c>
      <c r="N32" s="50">
        <f t="shared" si="2"/>
        <v>0</v>
      </c>
      <c r="O32" s="198">
        <v>0</v>
      </c>
      <c r="P32" s="52">
        <f t="shared" si="3"/>
        <v>0</v>
      </c>
      <c r="Q32" s="273">
        <v>0</v>
      </c>
      <c r="R32" s="53">
        <v>0</v>
      </c>
      <c r="S32" s="54">
        <v>347</v>
      </c>
      <c r="T32" s="223">
        <v>505</v>
      </c>
      <c r="U32" s="55">
        <f t="shared" si="7"/>
        <v>1628</v>
      </c>
      <c r="V32" s="231">
        <f t="shared" si="4"/>
        <v>67.833333333333329</v>
      </c>
      <c r="W32" s="236">
        <v>0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78</v>
      </c>
      <c r="AL32" s="60">
        <f t="shared" si="5"/>
        <v>3.25</v>
      </c>
      <c r="AM32" s="6">
        <v>1440</v>
      </c>
      <c r="AO32" s="61"/>
      <c r="AP32" s="61">
        <f t="shared" si="6"/>
        <v>347</v>
      </c>
      <c r="AQ32"/>
    </row>
    <row r="33" spans="1:43" x14ac:dyDescent="0.3">
      <c r="A33" s="62">
        <v>27</v>
      </c>
      <c r="B33" s="67">
        <v>1291</v>
      </c>
      <c r="C33" s="42">
        <f t="shared" si="0"/>
        <v>53.791666666666664</v>
      </c>
      <c r="D33" s="272">
        <v>904</v>
      </c>
      <c r="E33" s="44">
        <v>642</v>
      </c>
      <c r="F33" s="19">
        <v>1546</v>
      </c>
      <c r="G33" s="20">
        <v>323</v>
      </c>
      <c r="H33" s="216">
        <v>62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200">
        <v>0</v>
      </c>
      <c r="N33" s="50">
        <f t="shared" si="2"/>
        <v>0</v>
      </c>
      <c r="O33" s="198">
        <v>0</v>
      </c>
      <c r="P33" s="52">
        <f t="shared" si="3"/>
        <v>0</v>
      </c>
      <c r="Q33" s="273">
        <v>0</v>
      </c>
      <c r="R33" s="53">
        <v>0</v>
      </c>
      <c r="S33" s="54">
        <v>296</v>
      </c>
      <c r="T33" s="223">
        <v>507</v>
      </c>
      <c r="U33" s="55">
        <f t="shared" si="7"/>
        <v>1587</v>
      </c>
      <c r="V33" s="231">
        <f t="shared" si="4"/>
        <v>66.125</v>
      </c>
      <c r="W33" s="236">
        <v>0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73</v>
      </c>
      <c r="AL33" s="60">
        <f t="shared" si="5"/>
        <v>3.0416666666666665</v>
      </c>
      <c r="AM33" s="6">
        <v>1440</v>
      </c>
      <c r="AO33" s="61"/>
      <c r="AP33" s="61">
        <f t="shared" si="6"/>
        <v>296</v>
      </c>
      <c r="AQ33"/>
    </row>
    <row r="34" spans="1:43" x14ac:dyDescent="0.3">
      <c r="A34" s="62">
        <v>28</v>
      </c>
      <c r="B34" s="67">
        <v>1232</v>
      </c>
      <c r="C34" s="42">
        <f t="shared" si="0"/>
        <v>51.333333333333336</v>
      </c>
      <c r="D34" s="272">
        <v>862</v>
      </c>
      <c r="E34" s="44">
        <v>618</v>
      </c>
      <c r="F34" s="19">
        <v>1480</v>
      </c>
      <c r="G34" s="20">
        <v>322</v>
      </c>
      <c r="H34" s="216">
        <v>61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200">
        <v>0</v>
      </c>
      <c r="N34" s="50">
        <f t="shared" si="2"/>
        <v>0</v>
      </c>
      <c r="O34" s="198">
        <v>0</v>
      </c>
      <c r="P34" s="52">
        <f t="shared" si="3"/>
        <v>0</v>
      </c>
      <c r="Q34" s="273">
        <v>0</v>
      </c>
      <c r="R34" s="53">
        <v>0</v>
      </c>
      <c r="S34" s="54">
        <v>290</v>
      </c>
      <c r="T34" s="223">
        <v>491</v>
      </c>
      <c r="U34" s="55">
        <f t="shared" si="7"/>
        <v>1522</v>
      </c>
      <c r="V34" s="231">
        <f t="shared" si="4"/>
        <v>63.416666666666664</v>
      </c>
      <c r="W34" s="236">
        <v>0</v>
      </c>
      <c r="X34" s="65">
        <v>0</v>
      </c>
      <c r="Y34" s="66">
        <v>24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>
        <v>86</v>
      </c>
      <c r="AL34" s="60">
        <f t="shared" si="5"/>
        <v>3.5833333333333335</v>
      </c>
      <c r="AM34" s="6">
        <v>1440</v>
      </c>
      <c r="AO34" s="61"/>
      <c r="AP34" s="61">
        <f t="shared" si="6"/>
        <v>290</v>
      </c>
      <c r="AQ34"/>
    </row>
    <row r="35" spans="1:43" x14ac:dyDescent="0.3">
      <c r="A35" s="62">
        <v>29</v>
      </c>
      <c r="B35" s="67">
        <v>1283</v>
      </c>
      <c r="C35" s="42">
        <f t="shared" si="0"/>
        <v>53.458333333333336</v>
      </c>
      <c r="D35" s="272">
        <v>898</v>
      </c>
      <c r="E35" s="44">
        <v>623</v>
      </c>
      <c r="F35" s="19">
        <v>1521</v>
      </c>
      <c r="G35" s="20">
        <v>328</v>
      </c>
      <c r="H35" s="216">
        <v>69</v>
      </c>
      <c r="I35" s="211">
        <v>0</v>
      </c>
      <c r="J35" s="46">
        <f t="shared" si="1"/>
        <v>0</v>
      </c>
      <c r="K35" s="239">
        <v>0</v>
      </c>
      <c r="L35" s="21">
        <v>0</v>
      </c>
      <c r="M35" s="200">
        <v>0</v>
      </c>
      <c r="N35" s="50">
        <f t="shared" si="2"/>
        <v>0</v>
      </c>
      <c r="O35" s="198">
        <v>0</v>
      </c>
      <c r="P35" s="52">
        <f t="shared" si="3"/>
        <v>0</v>
      </c>
      <c r="Q35" s="273">
        <v>0</v>
      </c>
      <c r="R35" s="53">
        <v>0</v>
      </c>
      <c r="S35" s="54">
        <v>322</v>
      </c>
      <c r="T35" s="223">
        <v>495</v>
      </c>
      <c r="U35" s="55">
        <f t="shared" si="7"/>
        <v>1605</v>
      </c>
      <c r="V35" s="231">
        <f t="shared" si="4"/>
        <v>66.875</v>
      </c>
      <c r="W35" s="236">
        <v>0</v>
      </c>
      <c r="X35" s="65">
        <v>0</v>
      </c>
      <c r="Y35" s="66">
        <v>24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>
        <v>106</v>
      </c>
      <c r="AL35" s="60">
        <f t="shared" si="5"/>
        <v>4.416666666666667</v>
      </c>
      <c r="AM35" s="6">
        <v>1440</v>
      </c>
      <c r="AO35" s="61"/>
      <c r="AP35" s="61">
        <f t="shared" si="6"/>
        <v>322</v>
      </c>
      <c r="AQ35"/>
    </row>
    <row r="36" spans="1:43" x14ac:dyDescent="0.3">
      <c r="A36" s="62">
        <v>30</v>
      </c>
      <c r="B36" s="67">
        <v>1415</v>
      </c>
      <c r="C36" s="42">
        <f t="shared" si="0"/>
        <v>58.958333333333336</v>
      </c>
      <c r="D36" s="272">
        <v>991</v>
      </c>
      <c r="E36" s="44">
        <v>677</v>
      </c>
      <c r="F36" s="19">
        <v>1667</v>
      </c>
      <c r="G36" s="20">
        <v>351</v>
      </c>
      <c r="H36" s="216">
        <v>71</v>
      </c>
      <c r="I36" s="211">
        <v>0</v>
      </c>
      <c r="J36" s="46">
        <f t="shared" si="1"/>
        <v>0</v>
      </c>
      <c r="K36" s="239">
        <v>0</v>
      </c>
      <c r="L36" s="21">
        <v>0</v>
      </c>
      <c r="M36" s="200">
        <v>0</v>
      </c>
      <c r="N36" s="50">
        <f t="shared" si="2"/>
        <v>0</v>
      </c>
      <c r="O36" s="198">
        <v>0</v>
      </c>
      <c r="P36" s="52">
        <f t="shared" si="3"/>
        <v>0</v>
      </c>
      <c r="Q36" s="273">
        <v>15</v>
      </c>
      <c r="R36" s="53">
        <v>11</v>
      </c>
      <c r="S36" s="54">
        <v>363</v>
      </c>
      <c r="T36" s="223">
        <v>488</v>
      </c>
      <c r="U36" s="55">
        <f t="shared" si="7"/>
        <v>1804</v>
      </c>
      <c r="V36" s="231">
        <f t="shared" si="4"/>
        <v>75.166666666666671</v>
      </c>
      <c r="W36" s="236">
        <v>2</v>
      </c>
      <c r="X36" s="65">
        <v>1.33</v>
      </c>
      <c r="Y36" s="66">
        <v>24</v>
      </c>
      <c r="Z36" s="6"/>
      <c r="AA36" s="348" t="s">
        <v>260</v>
      </c>
      <c r="AB36" s="348"/>
      <c r="AC36" s="348"/>
      <c r="AD36" s="349"/>
      <c r="AE36" s="350"/>
      <c r="AF36" s="351"/>
      <c r="AG36" s="351"/>
      <c r="AH36" s="352"/>
      <c r="AI36" s="58"/>
      <c r="AJ36" s="58">
        <v>95</v>
      </c>
      <c r="AK36" s="59">
        <v>140</v>
      </c>
      <c r="AL36" s="60">
        <f t="shared" si="5"/>
        <v>5.833333333333333</v>
      </c>
      <c r="AM36" s="6">
        <v>1440</v>
      </c>
      <c r="AO36" s="61"/>
      <c r="AP36" s="61">
        <f t="shared" si="6"/>
        <v>363</v>
      </c>
      <c r="AQ36"/>
    </row>
    <row r="37" spans="1:43" ht="17.25" thickBot="1" x14ac:dyDescent="0.35">
      <c r="A37" s="62">
        <v>31</v>
      </c>
      <c r="B37" s="67"/>
      <c r="C37" s="42">
        <f t="shared" si="0"/>
        <v>0</v>
      </c>
      <c r="D37" s="76"/>
      <c r="E37" s="44"/>
      <c r="F37" s="77"/>
      <c r="G37" s="78"/>
      <c r="H37" s="220"/>
      <c r="I37" s="211">
        <v>0</v>
      </c>
      <c r="J37" s="46">
        <f t="shared" si="1"/>
        <v>0</v>
      </c>
      <c r="K37" s="79">
        <v>0</v>
      </c>
      <c r="L37" s="80">
        <v>0</v>
      </c>
      <c r="M37" s="201"/>
      <c r="N37" s="50">
        <f t="shared" si="2"/>
        <v>0</v>
      </c>
      <c r="O37" s="199"/>
      <c r="P37" s="81">
        <f t="shared" si="3"/>
        <v>0</v>
      </c>
      <c r="Q37" s="227"/>
      <c r="R37" s="82"/>
      <c r="S37" s="54"/>
      <c r="T37" s="223"/>
      <c r="U37" s="55">
        <f t="shared" si="7"/>
        <v>0</v>
      </c>
      <c r="V37" s="232">
        <f t="shared" si="4"/>
        <v>0</v>
      </c>
      <c r="W37" s="237"/>
      <c r="X37" s="83"/>
      <c r="Y37" s="84"/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/>
      <c r="AL37" s="60">
        <f t="shared" si="5"/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37058</v>
      </c>
      <c r="C38" s="88">
        <f t="shared" si="8"/>
        <v>1544.0833333333335</v>
      </c>
      <c r="D38" s="89">
        <f t="shared" si="8"/>
        <v>25942</v>
      </c>
      <c r="E38" s="89">
        <f t="shared" si="8"/>
        <v>19215</v>
      </c>
      <c r="F38" s="89">
        <f t="shared" si="8"/>
        <v>45152</v>
      </c>
      <c r="G38" s="90">
        <f t="shared" si="8"/>
        <v>9813</v>
      </c>
      <c r="H38" s="221">
        <f t="shared" si="8"/>
        <v>1985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6746</v>
      </c>
      <c r="P38" s="93">
        <f>SUM(P7:P32)</f>
        <v>281.08333333333337</v>
      </c>
      <c r="Q38" s="212">
        <f>SUM(Q7:Q37)</f>
        <v>51</v>
      </c>
      <c r="R38" s="87">
        <f>SUM(R7:R37)</f>
        <v>89</v>
      </c>
      <c r="S38" s="87">
        <f>SUM(S7:S37)</f>
        <v>7500</v>
      </c>
      <c r="T38" s="87">
        <f>SUM(T7:T37)</f>
        <v>11202</v>
      </c>
      <c r="U38" s="94">
        <f>SUM(U7:U37)</f>
        <v>51444</v>
      </c>
      <c r="V38" s="207"/>
      <c r="W38" s="238">
        <f>SUM(W7:W37)</f>
        <v>6.33</v>
      </c>
      <c r="X38" s="89">
        <f>SUM(X7:X37)</f>
        <v>10.16</v>
      </c>
      <c r="Y38" s="91">
        <f>SUM(Y7:Y37)</f>
        <v>577.5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29.75</v>
      </c>
      <c r="AJ38" s="243">
        <f>SUM(AJ7:AJ37)/60</f>
        <v>27.416666666666668</v>
      </c>
      <c r="AK38" s="244">
        <f>SUM(AK7:AK37)</f>
        <v>3133</v>
      </c>
      <c r="AL38" s="97">
        <f>SUM(AL7:AL37)/60</f>
        <v>2.1756944444444444</v>
      </c>
      <c r="AM38" s="240">
        <f>SUM(AM7:AM37)/60</f>
        <v>674.81666666666672</v>
      </c>
      <c r="AP38"/>
      <c r="AQ38"/>
    </row>
    <row r="39" spans="1:43" ht="17.25" thickBot="1" x14ac:dyDescent="0.35">
      <c r="A39" s="98" t="s">
        <v>37</v>
      </c>
      <c r="B39" s="99">
        <f>AVERAGE(B7:B37)</f>
        <v>1235.2666666666667</v>
      </c>
      <c r="C39" s="100">
        <f>B39/24</f>
        <v>51.469444444444441</v>
      </c>
      <c r="D39" s="101">
        <f t="shared" ref="D39:I39" si="9">AVERAGE(D7:D37)</f>
        <v>864.73333333333335</v>
      </c>
      <c r="E39" s="101">
        <f t="shared" si="9"/>
        <v>640.5</v>
      </c>
      <c r="F39" s="101">
        <f t="shared" si="9"/>
        <v>1505.0666666666666</v>
      </c>
      <c r="G39" s="208">
        <f t="shared" si="9"/>
        <v>327.10000000000002</v>
      </c>
      <c r="H39" s="102">
        <f t="shared" si="9"/>
        <v>66.166666666666671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224.86666666666667</v>
      </c>
      <c r="P39" s="229">
        <f>O39/24</f>
        <v>9.3694444444444454</v>
      </c>
      <c r="Q39" s="228">
        <f>AVERAGE(Q7:Q37)</f>
        <v>1.7</v>
      </c>
      <c r="R39" s="106">
        <f>AVERAGE(R7:R37)</f>
        <v>2.9666666666666668</v>
      </c>
      <c r="S39" s="102">
        <f>AVERAGE(S7:S37)</f>
        <v>250</v>
      </c>
      <c r="T39" s="102">
        <f>AVERAGE(T7:T37)</f>
        <v>373.4</v>
      </c>
      <c r="U39" s="107">
        <f>AVERAGE(U7:U37)</f>
        <v>1659.483870967742</v>
      </c>
      <c r="V39" s="233">
        <f>U39/24</f>
        <v>69.145161290322577</v>
      </c>
      <c r="W39" s="105">
        <f>AVERAGE(W7:W37)</f>
        <v>0.21099999999999999</v>
      </c>
      <c r="X39" s="101">
        <f>AVERAGE(X7:X37)</f>
        <v>0.33866666666666667</v>
      </c>
      <c r="Y39" s="104">
        <f>AVERAGE(Y7:Y37)</f>
        <v>19.25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57.166666666666671</v>
      </c>
      <c r="AI39" s="354"/>
      <c r="AJ39" s="247">
        <f>AI39/24</f>
        <v>0</v>
      </c>
      <c r="AK39" s="245">
        <f>(AK38/31)/24</f>
        <v>4.211021505376344</v>
      </c>
      <c r="AP39"/>
      <c r="AQ39"/>
    </row>
    <row r="40" spans="1:43" ht="17.25" thickBot="1" x14ac:dyDescent="0.35">
      <c r="A40" s="7"/>
      <c r="M40" s="269">
        <f>M38+O38</f>
        <v>6746</v>
      </c>
      <c r="P40" s="109"/>
      <c r="Q40" s="110" t="s">
        <v>39</v>
      </c>
      <c r="R40" s="268">
        <f>Q38+R38</f>
        <v>140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217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0.19444444444444445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10.416666666666666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51.469444444444441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9.3694444444444454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32000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71.449999999999989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70" t="s">
        <v>50</v>
      </c>
      <c r="E49" s="270" t="s">
        <v>216</v>
      </c>
      <c r="F49" s="140" t="s">
        <v>51</v>
      </c>
      <c r="G49" s="140" t="s">
        <v>52</v>
      </c>
      <c r="H49" s="270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436</v>
      </c>
      <c r="F50" s="148">
        <v>424</v>
      </c>
      <c r="G50" s="148">
        <v>427</v>
      </c>
      <c r="H50" s="148">
        <v>428</v>
      </c>
      <c r="I50" s="148">
        <v>471</v>
      </c>
      <c r="J50" s="148">
        <v>464</v>
      </c>
      <c r="K50" s="148">
        <v>471</v>
      </c>
      <c r="L50" s="148">
        <v>454</v>
      </c>
      <c r="M50" s="148">
        <v>457</v>
      </c>
      <c r="N50" s="148">
        <v>233</v>
      </c>
      <c r="O50" s="148">
        <v>0</v>
      </c>
      <c r="P50" s="148">
        <v>0</v>
      </c>
      <c r="Q50" s="148">
        <v>0</v>
      </c>
      <c r="R50" s="148">
        <v>0</v>
      </c>
      <c r="S50" s="148">
        <v>0</v>
      </c>
      <c r="T50" s="148">
        <v>272</v>
      </c>
      <c r="U50" s="148">
        <v>486</v>
      </c>
      <c r="V50" s="148">
        <v>486</v>
      </c>
      <c r="W50" s="148">
        <v>496</v>
      </c>
      <c r="X50" s="148">
        <v>502</v>
      </c>
      <c r="Y50" s="148">
        <v>500</v>
      </c>
      <c r="Z50" s="148">
        <v>493</v>
      </c>
      <c r="AA50" s="148">
        <v>475</v>
      </c>
      <c r="AB50" s="148">
        <v>492</v>
      </c>
      <c r="AC50" s="148">
        <v>496</v>
      </c>
      <c r="AD50" s="148">
        <v>522</v>
      </c>
      <c r="AE50" s="148">
        <v>524</v>
      </c>
      <c r="AF50" s="148">
        <v>510</v>
      </c>
      <c r="AG50" s="148">
        <v>511</v>
      </c>
      <c r="AH50" s="148">
        <v>503</v>
      </c>
      <c r="AI50" s="148"/>
      <c r="AJ50" s="149">
        <f>SUM(E50:AI50)</f>
        <v>11533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72</v>
      </c>
      <c r="I51" s="148">
        <v>72</v>
      </c>
      <c r="J51" s="148">
        <v>72</v>
      </c>
      <c r="K51" s="148">
        <v>72</v>
      </c>
      <c r="L51" s="148">
        <v>72</v>
      </c>
      <c r="M51" s="148">
        <v>72</v>
      </c>
      <c r="N51" s="148">
        <v>34.5</v>
      </c>
      <c r="O51" s="148">
        <v>0</v>
      </c>
      <c r="P51" s="148">
        <v>0</v>
      </c>
      <c r="Q51" s="148">
        <v>0</v>
      </c>
      <c r="R51" s="148">
        <v>0</v>
      </c>
      <c r="S51" s="148">
        <v>0</v>
      </c>
      <c r="T51" s="148">
        <v>42</v>
      </c>
      <c r="U51" s="148">
        <v>72</v>
      </c>
      <c r="V51" s="148">
        <v>72</v>
      </c>
      <c r="W51" s="148">
        <v>72</v>
      </c>
      <c r="X51" s="148">
        <v>72</v>
      </c>
      <c r="Y51" s="148">
        <v>72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72</v>
      </c>
      <c r="AG51" s="148">
        <v>72</v>
      </c>
      <c r="AH51" s="148">
        <v>72</v>
      </c>
      <c r="AI51" s="148">
        <v>0</v>
      </c>
      <c r="AJ51" s="149">
        <f>SUM(E51:AI51)</f>
        <v>1732.5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359</v>
      </c>
      <c r="F52" s="148">
        <f>$S8</f>
        <v>314</v>
      </c>
      <c r="G52" s="148">
        <f>$S9</f>
        <v>356</v>
      </c>
      <c r="H52" s="148">
        <f>$S10</f>
        <v>345</v>
      </c>
      <c r="I52" s="148">
        <f>$S11</f>
        <v>363</v>
      </c>
      <c r="J52" s="148">
        <f>$S12</f>
        <v>282</v>
      </c>
      <c r="K52" s="148">
        <f>$S13</f>
        <v>299</v>
      </c>
      <c r="L52" s="148">
        <f>$S14</f>
        <v>328</v>
      </c>
      <c r="M52" s="148">
        <f>$S15</f>
        <v>258</v>
      </c>
      <c r="N52" s="148">
        <f>$S16</f>
        <v>135</v>
      </c>
      <c r="O52" s="148">
        <f>$S17</f>
        <v>0</v>
      </c>
      <c r="P52" s="148">
        <f>$S18</f>
        <v>0</v>
      </c>
      <c r="Q52" s="148">
        <f>$S19</f>
        <v>0</v>
      </c>
      <c r="R52" s="148">
        <f>$S20</f>
        <v>0</v>
      </c>
      <c r="S52" s="148">
        <f>$S21</f>
        <v>0</v>
      </c>
      <c r="T52" s="148">
        <f>$S22</f>
        <v>182</v>
      </c>
      <c r="U52" s="148">
        <f>$S23</f>
        <v>303</v>
      </c>
      <c r="V52" s="148">
        <f>$S24</f>
        <v>240</v>
      </c>
      <c r="W52" s="148">
        <f>$S25</f>
        <v>287</v>
      </c>
      <c r="X52" s="148">
        <f>$S26</f>
        <v>327</v>
      </c>
      <c r="Y52" s="148">
        <f>$S27</f>
        <v>293</v>
      </c>
      <c r="Z52" s="148">
        <f>$S28</f>
        <v>267</v>
      </c>
      <c r="AA52" s="148">
        <f>$S29</f>
        <v>280</v>
      </c>
      <c r="AB52" s="148">
        <f>$S30</f>
        <v>291</v>
      </c>
      <c r="AC52" s="148">
        <f>$S31</f>
        <v>373</v>
      </c>
      <c r="AD52" s="148">
        <f>$S32</f>
        <v>347</v>
      </c>
      <c r="AE52" s="148">
        <f>$S33</f>
        <v>296</v>
      </c>
      <c r="AF52" s="148">
        <f>$S34</f>
        <v>290</v>
      </c>
      <c r="AG52" s="148">
        <f>$S35</f>
        <v>322</v>
      </c>
      <c r="AH52" s="148">
        <f>$S36</f>
        <v>363</v>
      </c>
      <c r="AI52" s="148">
        <f>$S37</f>
        <v>0</v>
      </c>
      <c r="AJ52" s="154">
        <f>SUM(E52:AI52)</f>
        <v>7500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5</v>
      </c>
      <c r="F53" s="157">
        <f t="shared" si="10"/>
        <v>38</v>
      </c>
      <c r="G53" s="157">
        <f t="shared" si="10"/>
        <v>0</v>
      </c>
      <c r="H53" s="157">
        <f t="shared" si="10"/>
        <v>11</v>
      </c>
      <c r="I53" s="157">
        <f t="shared" si="10"/>
        <v>36</v>
      </c>
      <c r="J53" s="157">
        <f t="shared" si="10"/>
        <v>110</v>
      </c>
      <c r="K53" s="157">
        <f t="shared" si="10"/>
        <v>100</v>
      </c>
      <c r="L53" s="157">
        <f t="shared" si="10"/>
        <v>54</v>
      </c>
      <c r="M53" s="157">
        <f t="shared" si="10"/>
        <v>127</v>
      </c>
      <c r="N53" s="157">
        <f t="shared" si="10"/>
        <v>63.5</v>
      </c>
      <c r="O53" s="157">
        <f t="shared" si="10"/>
        <v>0</v>
      </c>
      <c r="P53" s="157">
        <f t="shared" si="10"/>
        <v>0</v>
      </c>
      <c r="Q53" s="157">
        <f t="shared" si="10"/>
        <v>0</v>
      </c>
      <c r="R53" s="157">
        <f t="shared" si="10"/>
        <v>0</v>
      </c>
      <c r="S53" s="157">
        <f t="shared" si="10"/>
        <v>0</v>
      </c>
      <c r="T53" s="157">
        <f t="shared" si="10"/>
        <v>48</v>
      </c>
      <c r="U53" s="157">
        <f t="shared" si="10"/>
        <v>111</v>
      </c>
      <c r="V53" s="157">
        <f t="shared" si="10"/>
        <v>174</v>
      </c>
      <c r="W53" s="157">
        <f t="shared" si="10"/>
        <v>137</v>
      </c>
      <c r="X53" s="157">
        <f t="shared" si="10"/>
        <v>103</v>
      </c>
      <c r="Y53" s="157">
        <f t="shared" si="10"/>
        <v>135</v>
      </c>
      <c r="Z53" s="157">
        <f t="shared" si="10"/>
        <v>154</v>
      </c>
      <c r="AA53" s="157">
        <f t="shared" si="10"/>
        <v>123</v>
      </c>
      <c r="AB53" s="157">
        <f t="shared" si="10"/>
        <v>129</v>
      </c>
      <c r="AC53" s="157">
        <f t="shared" si="10"/>
        <v>51</v>
      </c>
      <c r="AD53" s="157">
        <f t="shared" si="10"/>
        <v>103</v>
      </c>
      <c r="AE53" s="157">
        <f t="shared" si="10"/>
        <v>156</v>
      </c>
      <c r="AF53" s="157">
        <f t="shared" si="10"/>
        <v>148</v>
      </c>
      <c r="AG53" s="157">
        <f t="shared" si="10"/>
        <v>117</v>
      </c>
      <c r="AH53" s="157">
        <f t="shared" si="10"/>
        <v>68</v>
      </c>
      <c r="AI53" s="157">
        <f t="shared" si="10"/>
        <v>0</v>
      </c>
      <c r="AJ53" s="154">
        <f>SUM(E53:AI53)</f>
        <v>2301.5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85</v>
      </c>
      <c r="F54" s="160">
        <f t="shared" si="11"/>
        <v>646</v>
      </c>
      <c r="G54" s="160" t="str">
        <f t="shared" si="11"/>
        <v xml:space="preserve"> </v>
      </c>
      <c r="H54" s="160">
        <f t="shared" si="11"/>
        <v>187</v>
      </c>
      <c r="I54" s="160">
        <f t="shared" si="11"/>
        <v>612</v>
      </c>
      <c r="J54" s="160">
        <f t="shared" si="11"/>
        <v>1870</v>
      </c>
      <c r="K54" s="160">
        <f t="shared" si="11"/>
        <v>1700</v>
      </c>
      <c r="L54" s="160">
        <f t="shared" si="11"/>
        <v>918</v>
      </c>
      <c r="M54" s="160">
        <f t="shared" si="11"/>
        <v>2159</v>
      </c>
      <c r="N54" s="160">
        <f t="shared" si="11"/>
        <v>1079.5</v>
      </c>
      <c r="O54" s="160" t="str">
        <f t="shared" si="11"/>
        <v xml:space="preserve"> </v>
      </c>
      <c r="P54" s="160" t="str">
        <f t="shared" si="11"/>
        <v xml:space="preserve"> </v>
      </c>
      <c r="Q54" s="160" t="str">
        <f t="shared" si="11"/>
        <v xml:space="preserve"> </v>
      </c>
      <c r="R54" s="160" t="str">
        <f t="shared" si="11"/>
        <v xml:space="preserve"> </v>
      </c>
      <c r="S54" s="160" t="str">
        <f t="shared" si="11"/>
        <v xml:space="preserve"> </v>
      </c>
      <c r="T54" s="160">
        <f t="shared" si="11"/>
        <v>816</v>
      </c>
      <c r="U54" s="160">
        <f t="shared" si="11"/>
        <v>1887</v>
      </c>
      <c r="V54" s="160">
        <f t="shared" si="11"/>
        <v>2958</v>
      </c>
      <c r="W54" s="160">
        <f t="shared" si="11"/>
        <v>2329</v>
      </c>
      <c r="X54" s="160">
        <f t="shared" si="11"/>
        <v>1751</v>
      </c>
      <c r="Y54" s="160">
        <f t="shared" si="11"/>
        <v>2295</v>
      </c>
      <c r="Z54" s="160">
        <f t="shared" si="11"/>
        <v>2618</v>
      </c>
      <c r="AA54" s="160">
        <f t="shared" si="11"/>
        <v>2091</v>
      </c>
      <c r="AB54" s="160">
        <f t="shared" si="11"/>
        <v>2193</v>
      </c>
      <c r="AC54" s="160">
        <f t="shared" si="11"/>
        <v>867</v>
      </c>
      <c r="AD54" s="160">
        <f t="shared" si="11"/>
        <v>1751</v>
      </c>
      <c r="AE54" s="160">
        <f t="shared" si="11"/>
        <v>2652</v>
      </c>
      <c r="AF54" s="160">
        <f t="shared" si="11"/>
        <v>2516</v>
      </c>
      <c r="AG54" s="160">
        <f t="shared" si="11"/>
        <v>1989</v>
      </c>
      <c r="AH54" s="160">
        <f t="shared" si="11"/>
        <v>1156</v>
      </c>
      <c r="AI54" s="160" t="str">
        <f t="shared" si="11"/>
        <v xml:space="preserve"> </v>
      </c>
      <c r="AJ54" s="161">
        <f>SUM(E54:AI54)</f>
        <v>39125.5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163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164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45817</v>
      </c>
      <c r="B58" s="312" t="s">
        <v>236</v>
      </c>
      <c r="C58" s="312"/>
      <c r="D58" s="306" t="s">
        <v>237</v>
      </c>
      <c r="E58" s="307"/>
      <c r="F58" s="307"/>
      <c r="G58" s="307"/>
      <c r="H58" s="307"/>
      <c r="I58" s="307"/>
      <c r="J58" s="169">
        <v>60</v>
      </c>
      <c r="K58" s="169">
        <v>18</v>
      </c>
      <c r="L58" s="170">
        <v>290</v>
      </c>
      <c r="M58" s="171">
        <f t="shared" ref="M58:M83" si="12">J58-K58</f>
        <v>42</v>
      </c>
      <c r="N58" s="172">
        <f t="shared" ref="N58:N83" si="13">M58/60</f>
        <v>0.7</v>
      </c>
      <c r="O58" s="173">
        <f t="shared" ref="O58:O83" si="14">L58*N58</f>
        <v>203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45819</v>
      </c>
      <c r="B59" s="312" t="s">
        <v>238</v>
      </c>
      <c r="C59" s="312"/>
      <c r="D59" s="306" t="s">
        <v>235</v>
      </c>
      <c r="E59" s="307"/>
      <c r="F59" s="307"/>
      <c r="G59" s="307"/>
      <c r="H59" s="307"/>
      <c r="I59" s="307"/>
      <c r="J59" s="169">
        <v>60</v>
      </c>
      <c r="K59" s="169">
        <v>40</v>
      </c>
      <c r="L59" s="170">
        <v>160</v>
      </c>
      <c r="M59" s="171">
        <f t="shared" si="12"/>
        <v>20</v>
      </c>
      <c r="N59" s="172">
        <f t="shared" si="13"/>
        <v>0.33333333333333331</v>
      </c>
      <c r="O59" s="173">
        <f t="shared" si="14"/>
        <v>53.333333333333329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45824</v>
      </c>
      <c r="B60" s="398" t="s">
        <v>240</v>
      </c>
      <c r="C60" s="312"/>
      <c r="D60" s="306" t="s">
        <v>239</v>
      </c>
      <c r="E60" s="307"/>
      <c r="F60" s="307"/>
      <c r="G60" s="307"/>
      <c r="H60" s="307"/>
      <c r="I60" s="307"/>
      <c r="J60" s="169">
        <v>60</v>
      </c>
      <c r="K60" s="169">
        <v>42</v>
      </c>
      <c r="L60" s="170">
        <v>270</v>
      </c>
      <c r="M60" s="171">
        <f t="shared" si="12"/>
        <v>18</v>
      </c>
      <c r="N60" s="172">
        <f t="shared" si="13"/>
        <v>0.3</v>
      </c>
      <c r="O60" s="173">
        <f t="shared" si="14"/>
        <v>81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>
        <v>45826</v>
      </c>
      <c r="B61" s="313" t="s">
        <v>241</v>
      </c>
      <c r="C61" s="314"/>
      <c r="D61" s="306" t="s">
        <v>243</v>
      </c>
      <c r="E61" s="307"/>
      <c r="F61" s="307"/>
      <c r="G61" s="307"/>
      <c r="H61" s="307"/>
      <c r="I61" s="307"/>
      <c r="J61" s="169">
        <v>60</v>
      </c>
      <c r="K61" s="169">
        <v>40</v>
      </c>
      <c r="L61" s="170">
        <v>315</v>
      </c>
      <c r="M61" s="171">
        <f t="shared" si="12"/>
        <v>20</v>
      </c>
      <c r="N61" s="172">
        <f t="shared" si="13"/>
        <v>0.33333333333333331</v>
      </c>
      <c r="O61" s="173">
        <f t="shared" si="14"/>
        <v>105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>
        <v>45827</v>
      </c>
      <c r="B62" s="312" t="s">
        <v>242</v>
      </c>
      <c r="C62" s="312"/>
      <c r="D62" s="306" t="s">
        <v>244</v>
      </c>
      <c r="E62" s="307"/>
      <c r="F62" s="307"/>
      <c r="G62" s="307"/>
      <c r="H62" s="307"/>
      <c r="I62" s="307"/>
      <c r="J62" s="169">
        <v>60</v>
      </c>
      <c r="K62" s="169">
        <v>46</v>
      </c>
      <c r="L62" s="170">
        <v>55</v>
      </c>
      <c r="M62" s="171">
        <f t="shared" si="12"/>
        <v>14</v>
      </c>
      <c r="N62" s="172">
        <f t="shared" si="13"/>
        <v>0.23333333333333334</v>
      </c>
      <c r="O62" s="173">
        <f t="shared" si="14"/>
        <v>12.833333333333334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 t="s">
        <v>245</v>
      </c>
      <c r="B63" s="312" t="s">
        <v>247</v>
      </c>
      <c r="C63" s="312"/>
      <c r="D63" s="306" t="s">
        <v>246</v>
      </c>
      <c r="E63" s="307"/>
      <c r="F63" s="307"/>
      <c r="G63" s="307"/>
      <c r="H63" s="307"/>
      <c r="I63" s="307"/>
      <c r="J63" s="169">
        <v>60</v>
      </c>
      <c r="K63" s="169">
        <v>40</v>
      </c>
      <c r="L63" s="170">
        <v>90</v>
      </c>
      <c r="M63" s="171">
        <f t="shared" si="12"/>
        <v>20</v>
      </c>
      <c r="N63" s="172">
        <f t="shared" si="13"/>
        <v>0.33333333333333331</v>
      </c>
      <c r="O63" s="173">
        <f t="shared" si="14"/>
        <v>30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>
        <v>45828</v>
      </c>
      <c r="B64" s="302" t="s">
        <v>249</v>
      </c>
      <c r="C64" s="303"/>
      <c r="D64" s="306" t="s">
        <v>246</v>
      </c>
      <c r="E64" s="307"/>
      <c r="F64" s="307"/>
      <c r="G64" s="307"/>
      <c r="H64" s="307"/>
      <c r="I64" s="307"/>
      <c r="J64" s="169">
        <v>60</v>
      </c>
      <c r="K64" s="169">
        <v>40</v>
      </c>
      <c r="L64" s="170">
        <v>40</v>
      </c>
      <c r="M64" s="171">
        <f t="shared" si="12"/>
        <v>20</v>
      </c>
      <c r="N64" s="172">
        <f t="shared" si="13"/>
        <v>0.33333333333333331</v>
      </c>
      <c r="O64" s="173">
        <f t="shared" si="14"/>
        <v>13.333333333333332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>
        <v>45829</v>
      </c>
      <c r="B65" s="302" t="s">
        <v>248</v>
      </c>
      <c r="C65" s="303"/>
      <c r="D65" s="306" t="s">
        <v>250</v>
      </c>
      <c r="E65" s="307"/>
      <c r="F65" s="307"/>
      <c r="G65" s="307"/>
      <c r="H65" s="307"/>
      <c r="I65" s="307"/>
      <c r="J65" s="181">
        <v>60</v>
      </c>
      <c r="K65" s="181">
        <v>38</v>
      </c>
      <c r="L65" s="170">
        <v>55</v>
      </c>
      <c r="M65" s="171">
        <f t="shared" si="12"/>
        <v>22</v>
      </c>
      <c r="N65" s="172">
        <f t="shared" si="13"/>
        <v>0.36666666666666664</v>
      </c>
      <c r="O65" s="173">
        <f t="shared" si="14"/>
        <v>20.166666666666664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>
        <v>45830</v>
      </c>
      <c r="B66" s="311" t="s">
        <v>251</v>
      </c>
      <c r="C66" s="303"/>
      <c r="D66" s="306" t="s">
        <v>252</v>
      </c>
      <c r="E66" s="307"/>
      <c r="F66" s="307"/>
      <c r="G66" s="307"/>
      <c r="H66" s="307"/>
      <c r="I66" s="307"/>
      <c r="J66" s="181">
        <v>60</v>
      </c>
      <c r="K66" s="181">
        <v>43</v>
      </c>
      <c r="L66" s="170">
        <v>30</v>
      </c>
      <c r="M66" s="171">
        <f t="shared" si="12"/>
        <v>17</v>
      </c>
      <c r="N66" s="172">
        <f t="shared" si="13"/>
        <v>0.28333333333333333</v>
      </c>
      <c r="O66" s="173">
        <f t="shared" si="14"/>
        <v>8.5</v>
      </c>
      <c r="Q66" s="182" t="s">
        <v>98</v>
      </c>
      <c r="R66" s="182" t="s">
        <v>166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164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>
        <v>45832</v>
      </c>
      <c r="B67" s="299" t="s">
        <v>259</v>
      </c>
      <c r="C67" s="299"/>
      <c r="D67" s="306" t="s">
        <v>237</v>
      </c>
      <c r="E67" s="307"/>
      <c r="F67" s="307"/>
      <c r="G67" s="307"/>
      <c r="H67" s="307"/>
      <c r="I67" s="307"/>
      <c r="J67" s="181">
        <v>60</v>
      </c>
      <c r="K67" s="181">
        <v>40</v>
      </c>
      <c r="L67" s="170">
        <v>140</v>
      </c>
      <c r="M67" s="171">
        <f t="shared" si="12"/>
        <v>20</v>
      </c>
      <c r="N67" s="172">
        <f t="shared" si="13"/>
        <v>0.33333333333333331</v>
      </c>
      <c r="O67" s="173">
        <f t="shared" si="14"/>
        <v>46.666666666666664</v>
      </c>
      <c r="Q67" s="58" t="s">
        <v>124</v>
      </c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71">
        <f>SUM(Q38:R38)*65</f>
        <v>9100</v>
      </c>
      <c r="S73" s="271"/>
      <c r="T73" s="271"/>
      <c r="U73" s="271"/>
      <c r="V73" s="271"/>
      <c r="W73" s="271"/>
      <c r="X73" s="271"/>
      <c r="Y73" s="271"/>
      <c r="Z73" s="190"/>
      <c r="AA73" s="190"/>
      <c r="AB73" s="58"/>
      <c r="AC73" s="58"/>
      <c r="AD73" s="191">
        <f>SUM(R73:AC73)</f>
        <v>9100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71"/>
      <c r="S74" s="271"/>
      <c r="T74" s="271"/>
      <c r="U74" s="271"/>
      <c r="V74" s="271"/>
      <c r="W74" s="271"/>
      <c r="X74" s="271"/>
      <c r="Y74" s="271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9100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9100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573.83333333333326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zoomScale="90" zoomScaleNormal="90" workbookViewId="0">
      <pane ySplit="5" topLeftCell="A10" activePane="bottomLeft" state="frozen"/>
      <selection pane="bottomLeft" activeCell="M28" sqref="M28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2.625" style="8" customWidth="1"/>
    <col min="29" max="31" width="11.375" style="8" customWidth="1"/>
    <col min="32" max="32" width="10.5" style="8" bestFit="1" customWidth="1"/>
    <col min="33" max="33" width="9.875" style="8" customWidth="1"/>
    <col min="34" max="34" width="9" style="6" customWidth="1"/>
    <col min="35" max="35" width="10.5" style="6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257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134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04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05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170</v>
      </c>
      <c r="AI5" s="354"/>
      <c r="AJ5" s="250" t="s">
        <v>169</v>
      </c>
      <c r="AK5" s="249" t="s">
        <v>168</v>
      </c>
      <c r="AL5" s="248" t="s">
        <v>167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258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173</v>
      </c>
      <c r="AN6" s="7"/>
      <c r="AO6" s="7"/>
      <c r="AP6" s="7"/>
      <c r="AQ6"/>
    </row>
    <row r="7" spans="1:43" x14ac:dyDescent="0.3">
      <c r="A7" s="40">
        <v>1</v>
      </c>
      <c r="B7" s="41">
        <v>1370</v>
      </c>
      <c r="C7" s="214">
        <f t="shared" ref="C7:C37" si="0">B7/24</f>
        <v>57.083333333333336</v>
      </c>
      <c r="D7" s="43">
        <v>959</v>
      </c>
      <c r="E7" s="44">
        <v>719</v>
      </c>
      <c r="F7" s="44">
        <v>1678</v>
      </c>
      <c r="G7" s="45">
        <v>356</v>
      </c>
      <c r="H7" s="218">
        <v>50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0</v>
      </c>
      <c r="P7" s="52">
        <f t="shared" ref="P7:P37" si="3">O7/24</f>
        <v>0</v>
      </c>
      <c r="Q7" s="206">
        <v>0</v>
      </c>
      <c r="R7" s="53">
        <v>0</v>
      </c>
      <c r="S7" s="54">
        <v>275</v>
      </c>
      <c r="T7" s="223">
        <v>482</v>
      </c>
      <c r="U7" s="55">
        <f>SUM(B7,I7,M7,O7,Q7,R7,S7)</f>
        <v>1645</v>
      </c>
      <c r="V7" s="231">
        <f t="shared" ref="V7:V37" si="4">U7/24</f>
        <v>68.541666666666671</v>
      </c>
      <c r="W7" s="235">
        <v>0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>
        <v>98</v>
      </c>
      <c r="AL7" s="60">
        <f t="shared" ref="AL7:AL37" si="5">AK7/24</f>
        <v>4.083333333333333</v>
      </c>
      <c r="AM7" s="6">
        <v>1235</v>
      </c>
      <c r="AO7" s="61"/>
      <c r="AP7" s="61">
        <f t="shared" ref="AP7:AP37" si="6">S7-AO7</f>
        <v>275</v>
      </c>
      <c r="AQ7"/>
    </row>
    <row r="8" spans="1:43" x14ac:dyDescent="0.3">
      <c r="A8" s="62">
        <v>2</v>
      </c>
      <c r="B8" s="41">
        <v>1443</v>
      </c>
      <c r="C8" s="42">
        <f t="shared" si="0"/>
        <v>60.125</v>
      </c>
      <c r="D8" s="63">
        <v>1010</v>
      </c>
      <c r="E8" s="44">
        <v>721</v>
      </c>
      <c r="F8" s="64">
        <v>1731</v>
      </c>
      <c r="G8" s="20">
        <v>376</v>
      </c>
      <c r="H8" s="216">
        <v>62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0</v>
      </c>
      <c r="P8" s="52">
        <f t="shared" si="3"/>
        <v>0</v>
      </c>
      <c r="Q8" s="206">
        <v>0</v>
      </c>
      <c r="R8" s="53">
        <v>0</v>
      </c>
      <c r="S8" s="54">
        <v>352</v>
      </c>
      <c r="T8" s="223">
        <v>468</v>
      </c>
      <c r="U8" s="55">
        <f>SUM(B8,I8,M8,O8,Q8,R8,S8)</f>
        <v>1795</v>
      </c>
      <c r="V8" s="231">
        <f t="shared" si="4"/>
        <v>74.791666666666671</v>
      </c>
      <c r="W8" s="236">
        <v>0</v>
      </c>
      <c r="X8" s="65">
        <v>0</v>
      </c>
      <c r="Y8" s="66">
        <v>24</v>
      </c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/>
      <c r="AK8" s="59">
        <v>137</v>
      </c>
      <c r="AL8" s="60">
        <f t="shared" si="5"/>
        <v>5.708333333333333</v>
      </c>
      <c r="AM8" s="6">
        <v>1440</v>
      </c>
      <c r="AO8" s="61"/>
      <c r="AP8" s="61">
        <f t="shared" si="6"/>
        <v>352</v>
      </c>
      <c r="AQ8"/>
    </row>
    <row r="9" spans="1:43" x14ac:dyDescent="0.3">
      <c r="A9" s="62">
        <v>3</v>
      </c>
      <c r="B9" s="67">
        <v>1466</v>
      </c>
      <c r="C9" s="42">
        <f t="shared" si="0"/>
        <v>61.083333333333336</v>
      </c>
      <c r="D9" s="63">
        <v>1026</v>
      </c>
      <c r="E9" s="44">
        <v>696</v>
      </c>
      <c r="F9" s="64">
        <v>1722</v>
      </c>
      <c r="G9" s="20">
        <v>362</v>
      </c>
      <c r="H9" s="216">
        <v>57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0</v>
      </c>
      <c r="P9" s="52">
        <f t="shared" si="3"/>
        <v>0</v>
      </c>
      <c r="Q9" s="206">
        <v>0</v>
      </c>
      <c r="R9" s="53">
        <v>0</v>
      </c>
      <c r="S9" s="54">
        <v>340</v>
      </c>
      <c r="T9" s="223">
        <v>475</v>
      </c>
      <c r="U9" s="55">
        <f t="shared" ref="U9:U37" si="7">SUM(B9,I9,M9,O9,Q9,R9,S9)</f>
        <v>1806</v>
      </c>
      <c r="V9" s="231">
        <f t="shared" si="4"/>
        <v>75.25</v>
      </c>
      <c r="W9" s="236">
        <v>0</v>
      </c>
      <c r="X9" s="65">
        <v>0</v>
      </c>
      <c r="Y9" s="66">
        <v>24</v>
      </c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>
        <v>121</v>
      </c>
      <c r="AL9" s="60">
        <f t="shared" si="5"/>
        <v>5.041666666666667</v>
      </c>
      <c r="AM9" s="6">
        <v>1160</v>
      </c>
      <c r="AO9" s="61"/>
      <c r="AP9" s="61">
        <f t="shared" si="6"/>
        <v>340</v>
      </c>
      <c r="AQ9"/>
    </row>
    <row r="10" spans="1:43" x14ac:dyDescent="0.3">
      <c r="A10" s="62">
        <v>4</v>
      </c>
      <c r="B10" s="67">
        <v>1448</v>
      </c>
      <c r="C10" s="42">
        <f t="shared" si="0"/>
        <v>60.333333333333336</v>
      </c>
      <c r="D10" s="63">
        <v>1014</v>
      </c>
      <c r="E10" s="44">
        <v>698</v>
      </c>
      <c r="F10" s="64">
        <v>1712</v>
      </c>
      <c r="G10" s="20">
        <v>356</v>
      </c>
      <c r="H10" s="216">
        <v>81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82</v>
      </c>
      <c r="P10" s="52">
        <f t="shared" si="3"/>
        <v>3.4166666666666665</v>
      </c>
      <c r="Q10" s="206">
        <v>0</v>
      </c>
      <c r="R10" s="53">
        <v>0</v>
      </c>
      <c r="S10" s="54">
        <v>177</v>
      </c>
      <c r="T10" s="223">
        <v>377</v>
      </c>
      <c r="U10" s="55">
        <f t="shared" si="7"/>
        <v>1707</v>
      </c>
      <c r="V10" s="231">
        <f t="shared" si="4"/>
        <v>71.125</v>
      </c>
      <c r="W10" s="236">
        <v>0</v>
      </c>
      <c r="X10" s="65">
        <v>0</v>
      </c>
      <c r="Y10" s="66">
        <v>17</v>
      </c>
      <c r="Z10" s="6"/>
      <c r="AA10" s="348"/>
      <c r="AB10" s="348"/>
      <c r="AC10" s="348"/>
      <c r="AD10" s="348"/>
      <c r="AE10" s="350" t="s">
        <v>265</v>
      </c>
      <c r="AF10" s="351"/>
      <c r="AG10" s="351"/>
      <c r="AH10" s="352"/>
      <c r="AI10" s="58"/>
      <c r="AJ10" s="58"/>
      <c r="AK10" s="59">
        <v>59</v>
      </c>
      <c r="AL10" s="60">
        <f t="shared" si="5"/>
        <v>2.4583333333333335</v>
      </c>
      <c r="AM10" s="6">
        <v>610</v>
      </c>
      <c r="AO10" s="61"/>
      <c r="AP10" s="61">
        <f t="shared" si="6"/>
        <v>177</v>
      </c>
      <c r="AQ10"/>
    </row>
    <row r="11" spans="1:43" x14ac:dyDescent="0.3">
      <c r="A11" s="62">
        <v>5</v>
      </c>
      <c r="B11" s="67">
        <v>1482</v>
      </c>
      <c r="C11" s="42">
        <f t="shared" si="0"/>
        <v>61.75</v>
      </c>
      <c r="D11" s="69">
        <v>1037</v>
      </c>
      <c r="E11" s="44">
        <v>714</v>
      </c>
      <c r="F11" s="70">
        <v>1751</v>
      </c>
      <c r="G11" s="20">
        <v>362</v>
      </c>
      <c r="H11" s="216">
        <v>81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146</v>
      </c>
      <c r="P11" s="52">
        <f t="shared" si="3"/>
        <v>6.083333333333333</v>
      </c>
      <c r="Q11" s="206">
        <v>34</v>
      </c>
      <c r="R11" s="53">
        <v>0</v>
      </c>
      <c r="S11" s="54">
        <v>0</v>
      </c>
      <c r="T11" s="223">
        <v>23</v>
      </c>
      <c r="U11" s="55">
        <f t="shared" si="7"/>
        <v>1662</v>
      </c>
      <c r="V11" s="231">
        <f t="shared" si="4"/>
        <v>69.25</v>
      </c>
      <c r="W11" s="236">
        <v>8</v>
      </c>
      <c r="X11" s="65">
        <v>0</v>
      </c>
      <c r="Y11" s="66">
        <v>0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83</v>
      </c>
      <c r="AL11" s="60">
        <f t="shared" si="5"/>
        <v>3.4583333333333335</v>
      </c>
      <c r="AM11" s="6">
        <v>1440</v>
      </c>
      <c r="AO11" s="61"/>
      <c r="AP11" s="61">
        <f t="shared" si="6"/>
        <v>0</v>
      </c>
      <c r="AQ11"/>
    </row>
    <row r="12" spans="1:43" x14ac:dyDescent="0.3">
      <c r="A12" s="62">
        <v>6</v>
      </c>
      <c r="B12" s="67">
        <v>1463</v>
      </c>
      <c r="C12" s="42">
        <f t="shared" si="0"/>
        <v>60.958333333333336</v>
      </c>
      <c r="D12" s="69">
        <v>1024</v>
      </c>
      <c r="E12" s="44">
        <v>705</v>
      </c>
      <c r="F12" s="70">
        <v>1729</v>
      </c>
      <c r="G12" s="75">
        <v>360</v>
      </c>
      <c r="H12" s="219">
        <v>84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283</v>
      </c>
      <c r="P12" s="52">
        <f t="shared" si="3"/>
        <v>11.791666666666666</v>
      </c>
      <c r="Q12" s="206">
        <v>0</v>
      </c>
      <c r="R12" s="53">
        <v>0</v>
      </c>
      <c r="S12" s="54">
        <v>0</v>
      </c>
      <c r="T12" s="223">
        <v>0</v>
      </c>
      <c r="U12" s="55">
        <f t="shared" si="7"/>
        <v>1746</v>
      </c>
      <c r="V12" s="231">
        <f t="shared" si="4"/>
        <v>72.75</v>
      </c>
      <c r="W12" s="236">
        <v>0</v>
      </c>
      <c r="X12" s="65">
        <v>0</v>
      </c>
      <c r="Y12" s="66">
        <v>0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114</v>
      </c>
      <c r="AL12" s="60">
        <f t="shared" si="5"/>
        <v>4.75</v>
      </c>
      <c r="AM12" s="6">
        <v>1440</v>
      </c>
      <c r="AO12" s="61"/>
      <c r="AP12" s="61">
        <f t="shared" si="6"/>
        <v>0</v>
      </c>
      <c r="AQ12"/>
    </row>
    <row r="13" spans="1:43" x14ac:dyDescent="0.3">
      <c r="A13" s="62">
        <v>7</v>
      </c>
      <c r="B13" s="67">
        <v>1456</v>
      </c>
      <c r="C13" s="42">
        <f t="shared" si="0"/>
        <v>60.666666666666664</v>
      </c>
      <c r="D13" s="69">
        <v>1019</v>
      </c>
      <c r="E13" s="44">
        <v>703</v>
      </c>
      <c r="F13" s="70">
        <v>1722</v>
      </c>
      <c r="G13" s="20">
        <v>330</v>
      </c>
      <c r="H13" s="216">
        <v>75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311</v>
      </c>
      <c r="P13" s="52">
        <f t="shared" si="3"/>
        <v>12.958333333333334</v>
      </c>
      <c r="Q13" s="206">
        <v>23</v>
      </c>
      <c r="R13" s="53">
        <v>0</v>
      </c>
      <c r="S13" s="54">
        <v>0</v>
      </c>
      <c r="T13" s="223">
        <v>0</v>
      </c>
      <c r="U13" s="55">
        <f t="shared" si="7"/>
        <v>1790</v>
      </c>
      <c r="V13" s="231">
        <f t="shared" si="4"/>
        <v>74.583333333333329</v>
      </c>
      <c r="W13" s="236">
        <v>5.67</v>
      </c>
      <c r="X13" s="65">
        <v>0</v>
      </c>
      <c r="Y13" s="66">
        <v>0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131</v>
      </c>
      <c r="AL13" s="60">
        <f t="shared" si="5"/>
        <v>5.458333333333333</v>
      </c>
      <c r="AM13" s="6">
        <v>1440</v>
      </c>
      <c r="AO13" s="61"/>
      <c r="AP13" s="61">
        <f t="shared" si="6"/>
        <v>0</v>
      </c>
      <c r="AQ13"/>
    </row>
    <row r="14" spans="1:43" x14ac:dyDescent="0.3">
      <c r="A14" s="62">
        <v>8</v>
      </c>
      <c r="B14" s="67">
        <v>1348</v>
      </c>
      <c r="C14" s="42">
        <f t="shared" si="0"/>
        <v>56.166666666666664</v>
      </c>
      <c r="D14" s="69">
        <v>944</v>
      </c>
      <c r="E14" s="44">
        <v>708</v>
      </c>
      <c r="F14" s="70">
        <v>1652</v>
      </c>
      <c r="G14" s="20">
        <v>364</v>
      </c>
      <c r="H14" s="216">
        <v>82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306</v>
      </c>
      <c r="P14" s="52">
        <f t="shared" si="3"/>
        <v>12.75</v>
      </c>
      <c r="Q14" s="206">
        <v>36</v>
      </c>
      <c r="R14" s="53">
        <v>109</v>
      </c>
      <c r="S14" s="54">
        <v>0</v>
      </c>
      <c r="T14" s="223">
        <v>0</v>
      </c>
      <c r="U14" s="55">
        <f t="shared" si="7"/>
        <v>1799</v>
      </c>
      <c r="V14" s="231">
        <f t="shared" si="4"/>
        <v>74.958333333333329</v>
      </c>
      <c r="W14" s="236">
        <v>8.67</v>
      </c>
      <c r="X14" s="65">
        <v>5.5</v>
      </c>
      <c r="Y14" s="66">
        <v>0</v>
      </c>
      <c r="Z14" s="6"/>
      <c r="AA14" s="348" t="s">
        <v>269</v>
      </c>
      <c r="AB14" s="348"/>
      <c r="AC14" s="348"/>
      <c r="AD14" s="348"/>
      <c r="AE14" s="350"/>
      <c r="AF14" s="351"/>
      <c r="AG14" s="351"/>
      <c r="AH14" s="352"/>
      <c r="AI14" s="58"/>
      <c r="AJ14" s="58">
        <v>300</v>
      </c>
      <c r="AK14" s="59">
        <v>124</v>
      </c>
      <c r="AL14" s="60">
        <f t="shared" si="5"/>
        <v>5.166666666666667</v>
      </c>
      <c r="AM14" s="6">
        <v>1440</v>
      </c>
      <c r="AO14" s="61"/>
      <c r="AP14" s="61">
        <f t="shared" si="6"/>
        <v>0</v>
      </c>
      <c r="AQ14"/>
    </row>
    <row r="15" spans="1:43" x14ac:dyDescent="0.3">
      <c r="A15" s="62">
        <v>9</v>
      </c>
      <c r="B15" s="67">
        <v>784</v>
      </c>
      <c r="C15" s="42">
        <f t="shared" si="0"/>
        <v>32.666666666666664</v>
      </c>
      <c r="D15" s="69">
        <v>549</v>
      </c>
      <c r="E15" s="44">
        <v>426</v>
      </c>
      <c r="F15" s="70">
        <v>975</v>
      </c>
      <c r="G15" s="20">
        <v>299</v>
      </c>
      <c r="H15" s="216">
        <v>58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0</v>
      </c>
      <c r="P15" s="52">
        <f t="shared" si="3"/>
        <v>0</v>
      </c>
      <c r="Q15" s="206">
        <v>0</v>
      </c>
      <c r="R15" s="53">
        <v>0</v>
      </c>
      <c r="S15" s="54">
        <v>84</v>
      </c>
      <c r="T15" s="223">
        <v>187</v>
      </c>
      <c r="U15" s="55">
        <f t="shared" si="7"/>
        <v>868</v>
      </c>
      <c r="V15" s="231">
        <f t="shared" si="4"/>
        <v>36.166666666666664</v>
      </c>
      <c r="W15" s="236">
        <v>0</v>
      </c>
      <c r="X15" s="65">
        <v>0</v>
      </c>
      <c r="Y15" s="66">
        <v>8.3000000000000007</v>
      </c>
      <c r="Z15" s="6"/>
      <c r="AA15" s="348" t="s">
        <v>268</v>
      </c>
      <c r="AB15" s="348"/>
      <c r="AC15" s="348"/>
      <c r="AD15" s="348"/>
      <c r="AE15" s="350"/>
      <c r="AF15" s="351"/>
      <c r="AG15" s="351"/>
      <c r="AH15" s="352"/>
      <c r="AI15" s="58"/>
      <c r="AJ15" s="58">
        <v>1020</v>
      </c>
      <c r="AK15" s="59">
        <v>13</v>
      </c>
      <c r="AL15" s="60">
        <f t="shared" si="5"/>
        <v>0.54166666666666663</v>
      </c>
      <c r="AM15" s="6">
        <v>300</v>
      </c>
      <c r="AO15" s="61"/>
      <c r="AP15" s="61">
        <f t="shared" si="6"/>
        <v>84</v>
      </c>
      <c r="AQ15"/>
    </row>
    <row r="16" spans="1:43" x14ac:dyDescent="0.3">
      <c r="A16" s="62">
        <v>10</v>
      </c>
      <c r="B16" s="67">
        <v>1285</v>
      </c>
      <c r="C16" s="42">
        <f t="shared" si="0"/>
        <v>53.541666666666664</v>
      </c>
      <c r="D16" s="69">
        <v>900</v>
      </c>
      <c r="E16" s="44">
        <v>813</v>
      </c>
      <c r="F16" s="70">
        <v>1512</v>
      </c>
      <c r="G16" s="20">
        <v>327</v>
      </c>
      <c r="H16" s="216">
        <v>62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0</v>
      </c>
      <c r="P16" s="52">
        <f t="shared" si="3"/>
        <v>0</v>
      </c>
      <c r="Q16" s="206">
        <v>0</v>
      </c>
      <c r="R16" s="53">
        <v>0</v>
      </c>
      <c r="S16" s="54">
        <v>289</v>
      </c>
      <c r="T16" s="223">
        <v>505</v>
      </c>
      <c r="U16" s="55">
        <f t="shared" si="7"/>
        <v>1574</v>
      </c>
      <c r="V16" s="231">
        <f t="shared" si="4"/>
        <v>65.583333333333329</v>
      </c>
      <c r="W16" s="236">
        <v>0</v>
      </c>
      <c r="X16" s="65">
        <v>0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83</v>
      </c>
      <c r="AL16" s="60">
        <f t="shared" si="5"/>
        <v>3.4583333333333335</v>
      </c>
      <c r="AM16" s="6">
        <v>1440</v>
      </c>
      <c r="AO16" s="61"/>
      <c r="AP16" s="61">
        <f t="shared" si="6"/>
        <v>289</v>
      </c>
      <c r="AQ16"/>
    </row>
    <row r="17" spans="1:43" x14ac:dyDescent="0.3">
      <c r="A17" s="62">
        <v>11</v>
      </c>
      <c r="B17" s="67">
        <v>1253</v>
      </c>
      <c r="C17" s="42">
        <f t="shared" si="0"/>
        <v>52.208333333333336</v>
      </c>
      <c r="D17" s="69">
        <v>877</v>
      </c>
      <c r="E17" s="44">
        <v>599</v>
      </c>
      <c r="F17" s="70">
        <v>1476</v>
      </c>
      <c r="G17" s="20">
        <v>317</v>
      </c>
      <c r="H17" s="216">
        <v>68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0</v>
      </c>
      <c r="P17" s="52">
        <f t="shared" si="3"/>
        <v>0</v>
      </c>
      <c r="Q17" s="206">
        <v>0</v>
      </c>
      <c r="R17" s="53">
        <v>0</v>
      </c>
      <c r="S17" s="54">
        <v>308</v>
      </c>
      <c r="T17" s="223">
        <v>499</v>
      </c>
      <c r="U17" s="55">
        <f t="shared" si="7"/>
        <v>1561</v>
      </c>
      <c r="V17" s="231">
        <f t="shared" si="4"/>
        <v>65.041666666666671</v>
      </c>
      <c r="W17" s="236">
        <v>0</v>
      </c>
      <c r="X17" s="65">
        <v>0</v>
      </c>
      <c r="Y17" s="66">
        <v>24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82</v>
      </c>
      <c r="AL17" s="60">
        <f t="shared" si="5"/>
        <v>3.4166666666666665</v>
      </c>
      <c r="AM17" s="6">
        <v>1440</v>
      </c>
      <c r="AO17" s="61"/>
      <c r="AP17" s="61">
        <f t="shared" si="6"/>
        <v>308</v>
      </c>
      <c r="AQ17"/>
    </row>
    <row r="18" spans="1:43" x14ac:dyDescent="0.3">
      <c r="A18" s="62">
        <v>12</v>
      </c>
      <c r="B18" s="67">
        <v>1218</v>
      </c>
      <c r="C18" s="42">
        <f t="shared" si="0"/>
        <v>50.75</v>
      </c>
      <c r="D18" s="69">
        <v>853</v>
      </c>
      <c r="E18" s="44">
        <v>623</v>
      </c>
      <c r="F18" s="70">
        <v>1476</v>
      </c>
      <c r="G18" s="20">
        <v>320</v>
      </c>
      <c r="H18" s="216">
        <v>61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0</v>
      </c>
      <c r="P18" s="52">
        <f t="shared" si="3"/>
        <v>0</v>
      </c>
      <c r="Q18" s="206">
        <v>0</v>
      </c>
      <c r="R18" s="53">
        <v>0</v>
      </c>
      <c r="S18" s="54">
        <v>254</v>
      </c>
      <c r="T18" s="223">
        <v>500</v>
      </c>
      <c r="U18" s="55">
        <f t="shared" si="7"/>
        <v>1472</v>
      </c>
      <c r="V18" s="231">
        <f t="shared" si="4"/>
        <v>61.333333333333336</v>
      </c>
      <c r="W18" s="236">
        <v>0</v>
      </c>
      <c r="X18" s="65">
        <v>0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85</v>
      </c>
      <c r="AL18" s="60">
        <f t="shared" si="5"/>
        <v>3.5416666666666665</v>
      </c>
      <c r="AM18" s="6">
        <v>1440</v>
      </c>
      <c r="AO18" s="61"/>
      <c r="AP18" s="61">
        <f t="shared" si="6"/>
        <v>254</v>
      </c>
      <c r="AQ18"/>
    </row>
    <row r="19" spans="1:43" x14ac:dyDescent="0.3">
      <c r="A19" s="62">
        <v>13</v>
      </c>
      <c r="B19" s="67">
        <v>1210</v>
      </c>
      <c r="C19" s="42">
        <f t="shared" si="0"/>
        <v>50.416666666666664</v>
      </c>
      <c r="D19" s="204">
        <v>847</v>
      </c>
      <c r="E19" s="44">
        <v>623</v>
      </c>
      <c r="F19" s="19">
        <v>1470</v>
      </c>
      <c r="G19" s="20">
        <v>312</v>
      </c>
      <c r="H19" s="216">
        <v>62</v>
      </c>
      <c r="I19" s="210">
        <v>0</v>
      </c>
      <c r="J19" s="46">
        <f t="shared" si="1"/>
        <v>0</v>
      </c>
      <c r="K19" s="205">
        <v>0</v>
      </c>
      <c r="L19" s="21">
        <v>0</v>
      </c>
      <c r="M19" s="49">
        <v>0</v>
      </c>
      <c r="N19" s="50">
        <f t="shared" si="2"/>
        <v>0</v>
      </c>
      <c r="O19" s="68">
        <v>80</v>
      </c>
      <c r="P19" s="52">
        <f t="shared" si="3"/>
        <v>3.3333333333333335</v>
      </c>
      <c r="Q19" s="206">
        <v>0</v>
      </c>
      <c r="R19" s="53">
        <v>0</v>
      </c>
      <c r="S19" s="54">
        <v>245</v>
      </c>
      <c r="T19" s="223">
        <v>479</v>
      </c>
      <c r="U19" s="55">
        <f t="shared" si="7"/>
        <v>1535</v>
      </c>
      <c r="V19" s="231">
        <f t="shared" si="4"/>
        <v>63.958333333333336</v>
      </c>
      <c r="W19" s="236">
        <v>0</v>
      </c>
      <c r="X19" s="65">
        <v>0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>
        <v>86</v>
      </c>
      <c r="AL19" s="60">
        <f t="shared" si="5"/>
        <v>3.5833333333333335</v>
      </c>
      <c r="AM19" s="6">
        <v>1440</v>
      </c>
      <c r="AO19" s="61"/>
      <c r="AP19" s="61">
        <f t="shared" si="6"/>
        <v>245</v>
      </c>
      <c r="AQ19"/>
    </row>
    <row r="20" spans="1:43" x14ac:dyDescent="0.3">
      <c r="A20" s="62">
        <v>14</v>
      </c>
      <c r="B20" s="67">
        <v>1231</v>
      </c>
      <c r="C20" s="42">
        <f t="shared" si="0"/>
        <v>51.291666666666664</v>
      </c>
      <c r="D20" s="204">
        <v>862</v>
      </c>
      <c r="E20" s="44">
        <v>621</v>
      </c>
      <c r="F20" s="19">
        <v>1483</v>
      </c>
      <c r="G20" s="20">
        <v>314</v>
      </c>
      <c r="H20" s="216">
        <v>70</v>
      </c>
      <c r="I20" s="211">
        <v>0</v>
      </c>
      <c r="J20" s="46">
        <f t="shared" si="1"/>
        <v>0</v>
      </c>
      <c r="K20" s="205">
        <v>0</v>
      </c>
      <c r="L20" s="21">
        <v>0</v>
      </c>
      <c r="M20" s="49">
        <v>0</v>
      </c>
      <c r="N20" s="50">
        <f t="shared" si="2"/>
        <v>0</v>
      </c>
      <c r="O20" s="51">
        <v>52</v>
      </c>
      <c r="P20" s="52">
        <f t="shared" si="3"/>
        <v>2.1666666666666665</v>
      </c>
      <c r="Q20" s="206">
        <v>0</v>
      </c>
      <c r="R20" s="53">
        <v>0</v>
      </c>
      <c r="S20" s="54">
        <v>267</v>
      </c>
      <c r="T20" s="223">
        <v>469</v>
      </c>
      <c r="U20" s="55">
        <f t="shared" si="7"/>
        <v>1550</v>
      </c>
      <c r="V20" s="231">
        <f t="shared" si="4"/>
        <v>64.583333333333329</v>
      </c>
      <c r="W20" s="236">
        <v>0</v>
      </c>
      <c r="X20" s="65">
        <v>0</v>
      </c>
      <c r="Y20" s="66">
        <v>24</v>
      </c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>
        <v>80</v>
      </c>
      <c r="AL20" s="60">
        <f t="shared" si="5"/>
        <v>3.3333333333333335</v>
      </c>
      <c r="AM20" s="6">
        <v>1440</v>
      </c>
      <c r="AO20" s="61"/>
      <c r="AP20" s="61">
        <f t="shared" si="6"/>
        <v>267</v>
      </c>
      <c r="AQ20"/>
    </row>
    <row r="21" spans="1:43" x14ac:dyDescent="0.3">
      <c r="A21" s="62">
        <v>15</v>
      </c>
      <c r="B21" s="67">
        <v>1211</v>
      </c>
      <c r="C21" s="42">
        <f t="shared" si="0"/>
        <v>50.458333333333336</v>
      </c>
      <c r="D21" s="204">
        <v>848</v>
      </c>
      <c r="E21" s="44">
        <v>624</v>
      </c>
      <c r="F21" s="19">
        <v>1472</v>
      </c>
      <c r="G21" s="20">
        <v>295</v>
      </c>
      <c r="H21" s="216">
        <v>69</v>
      </c>
      <c r="I21" s="211">
        <v>0</v>
      </c>
      <c r="J21" s="46">
        <f t="shared" si="1"/>
        <v>0</v>
      </c>
      <c r="K21" s="205">
        <v>0</v>
      </c>
      <c r="L21" s="21">
        <v>0</v>
      </c>
      <c r="M21" s="49">
        <v>0</v>
      </c>
      <c r="N21" s="50">
        <f t="shared" si="2"/>
        <v>0</v>
      </c>
      <c r="O21" s="51">
        <v>181</v>
      </c>
      <c r="P21" s="52">
        <f t="shared" si="3"/>
        <v>7.541666666666667</v>
      </c>
      <c r="Q21" s="206">
        <v>0</v>
      </c>
      <c r="R21" s="53">
        <v>0</v>
      </c>
      <c r="S21" s="54">
        <v>281</v>
      </c>
      <c r="T21" s="223">
        <v>481</v>
      </c>
      <c r="U21" s="55">
        <f t="shared" si="7"/>
        <v>1673</v>
      </c>
      <c r="V21" s="231">
        <f t="shared" si="4"/>
        <v>69.708333333333329</v>
      </c>
      <c r="W21" s="236">
        <v>0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87</v>
      </c>
      <c r="AL21" s="60">
        <f t="shared" si="5"/>
        <v>3.625</v>
      </c>
      <c r="AM21" s="6">
        <v>1440</v>
      </c>
      <c r="AO21" s="61"/>
      <c r="AP21" s="61">
        <f t="shared" si="6"/>
        <v>281</v>
      </c>
      <c r="AQ21"/>
    </row>
    <row r="22" spans="1:43" x14ac:dyDescent="0.3">
      <c r="A22" s="62">
        <v>16</v>
      </c>
      <c r="B22" s="67">
        <v>1126</v>
      </c>
      <c r="C22" s="42">
        <f t="shared" si="0"/>
        <v>46.916666666666664</v>
      </c>
      <c r="D22" s="204">
        <v>788</v>
      </c>
      <c r="E22" s="44">
        <v>623</v>
      </c>
      <c r="F22" s="19">
        <v>1411</v>
      </c>
      <c r="G22" s="20">
        <v>277</v>
      </c>
      <c r="H22" s="216">
        <v>62</v>
      </c>
      <c r="I22" s="211">
        <v>0</v>
      </c>
      <c r="J22" s="46">
        <f t="shared" si="1"/>
        <v>0</v>
      </c>
      <c r="K22" s="205">
        <v>0</v>
      </c>
      <c r="L22" s="21">
        <v>0</v>
      </c>
      <c r="M22" s="49">
        <v>0</v>
      </c>
      <c r="N22" s="50">
        <f t="shared" si="2"/>
        <v>0</v>
      </c>
      <c r="O22" s="68">
        <v>316</v>
      </c>
      <c r="P22" s="52">
        <f t="shared" si="3"/>
        <v>13.166666666666666</v>
      </c>
      <c r="Q22" s="206">
        <v>0</v>
      </c>
      <c r="R22" s="53">
        <v>0</v>
      </c>
      <c r="S22" s="54">
        <v>241</v>
      </c>
      <c r="T22" s="223">
        <v>480</v>
      </c>
      <c r="U22" s="55">
        <f t="shared" si="7"/>
        <v>1683</v>
      </c>
      <c r="V22" s="231">
        <f t="shared" si="4"/>
        <v>70.125</v>
      </c>
      <c r="W22" s="236">
        <v>0</v>
      </c>
      <c r="X22" s="65">
        <v>0</v>
      </c>
      <c r="Y22" s="66">
        <v>24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88</v>
      </c>
      <c r="AL22" s="60">
        <f t="shared" si="5"/>
        <v>3.6666666666666665</v>
      </c>
      <c r="AM22" s="6">
        <v>1170</v>
      </c>
      <c r="AO22" s="61"/>
      <c r="AP22" s="61">
        <f t="shared" si="6"/>
        <v>241</v>
      </c>
      <c r="AQ22"/>
    </row>
    <row r="23" spans="1:43" x14ac:dyDescent="0.3">
      <c r="A23" s="62">
        <v>17</v>
      </c>
      <c r="B23" s="67">
        <v>1219</v>
      </c>
      <c r="C23" s="42">
        <f t="shared" si="0"/>
        <v>50.791666666666664</v>
      </c>
      <c r="D23" s="204">
        <v>853</v>
      </c>
      <c r="E23" s="44">
        <v>627</v>
      </c>
      <c r="F23" s="19">
        <v>1480</v>
      </c>
      <c r="G23" s="20">
        <v>274</v>
      </c>
      <c r="H23" s="216">
        <v>70</v>
      </c>
      <c r="I23" s="211">
        <v>0</v>
      </c>
      <c r="J23" s="46">
        <f t="shared" si="1"/>
        <v>0</v>
      </c>
      <c r="K23" s="205">
        <v>0</v>
      </c>
      <c r="L23" s="21">
        <v>0</v>
      </c>
      <c r="M23" s="49">
        <v>0</v>
      </c>
      <c r="N23" s="50">
        <f t="shared" si="2"/>
        <v>0</v>
      </c>
      <c r="O23" s="68">
        <v>324</v>
      </c>
      <c r="P23" s="52">
        <f t="shared" si="3"/>
        <v>13.5</v>
      </c>
      <c r="Q23" s="206">
        <v>0</v>
      </c>
      <c r="R23" s="53">
        <v>0</v>
      </c>
      <c r="S23" s="54">
        <v>269</v>
      </c>
      <c r="T23" s="223">
        <v>490</v>
      </c>
      <c r="U23" s="55">
        <f t="shared" si="7"/>
        <v>1812</v>
      </c>
      <c r="V23" s="231">
        <f t="shared" si="4"/>
        <v>75.5</v>
      </c>
      <c r="W23" s="236">
        <v>0</v>
      </c>
      <c r="X23" s="65">
        <v>0</v>
      </c>
      <c r="Y23" s="66">
        <v>24</v>
      </c>
      <c r="Z23" s="6"/>
      <c r="AA23" s="348"/>
      <c r="AB23" s="348"/>
      <c r="AC23" s="348"/>
      <c r="AD23" s="349"/>
      <c r="AE23" s="350"/>
      <c r="AF23" s="351"/>
      <c r="AG23" s="351"/>
      <c r="AH23" s="352"/>
      <c r="AI23" s="58"/>
      <c r="AJ23" s="58"/>
      <c r="AK23" s="59">
        <v>92</v>
      </c>
      <c r="AL23" s="60">
        <f t="shared" si="5"/>
        <v>3.8333333333333335</v>
      </c>
      <c r="AM23" s="6">
        <v>1440</v>
      </c>
      <c r="AO23" s="61"/>
      <c r="AP23" s="61">
        <f t="shared" si="6"/>
        <v>269</v>
      </c>
      <c r="AQ23"/>
    </row>
    <row r="24" spans="1:43" x14ac:dyDescent="0.3">
      <c r="A24" s="62">
        <v>18</v>
      </c>
      <c r="B24" s="67">
        <v>1206</v>
      </c>
      <c r="C24" s="42">
        <f t="shared" si="0"/>
        <v>50.25</v>
      </c>
      <c r="D24" s="204">
        <v>844</v>
      </c>
      <c r="E24" s="44">
        <v>686</v>
      </c>
      <c r="F24" s="19">
        <v>1530</v>
      </c>
      <c r="G24" s="20">
        <v>285</v>
      </c>
      <c r="H24" s="216">
        <v>69</v>
      </c>
      <c r="I24" s="211">
        <v>0</v>
      </c>
      <c r="J24" s="46">
        <f t="shared" si="1"/>
        <v>0</v>
      </c>
      <c r="K24" s="205">
        <v>0</v>
      </c>
      <c r="L24" s="21">
        <v>0</v>
      </c>
      <c r="M24" s="49">
        <v>0</v>
      </c>
      <c r="N24" s="50">
        <f t="shared" si="2"/>
        <v>0</v>
      </c>
      <c r="O24" s="198">
        <v>336</v>
      </c>
      <c r="P24" s="52">
        <f t="shared" si="3"/>
        <v>14</v>
      </c>
      <c r="Q24" s="206">
        <v>0</v>
      </c>
      <c r="R24" s="53">
        <v>0</v>
      </c>
      <c r="S24" s="54">
        <v>270</v>
      </c>
      <c r="T24" s="223">
        <v>485</v>
      </c>
      <c r="U24" s="55">
        <f t="shared" si="7"/>
        <v>1812</v>
      </c>
      <c r="V24" s="231">
        <f t="shared" si="4"/>
        <v>75.5</v>
      </c>
      <c r="W24" s="236">
        <v>0</v>
      </c>
      <c r="X24" s="65">
        <v>0</v>
      </c>
      <c r="Y24" s="66">
        <v>24</v>
      </c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98</v>
      </c>
      <c r="AL24" s="60">
        <f t="shared" si="5"/>
        <v>4.083333333333333</v>
      </c>
      <c r="AM24" s="6">
        <v>1440</v>
      </c>
      <c r="AO24" s="61"/>
      <c r="AP24" s="61">
        <f t="shared" si="6"/>
        <v>270</v>
      </c>
      <c r="AQ24"/>
    </row>
    <row r="25" spans="1:43" x14ac:dyDescent="0.3">
      <c r="A25" s="62">
        <v>19</v>
      </c>
      <c r="B25" s="67">
        <v>1160</v>
      </c>
      <c r="C25" s="42">
        <f t="shared" si="0"/>
        <v>48.333333333333336</v>
      </c>
      <c r="D25" s="204">
        <v>812</v>
      </c>
      <c r="E25" s="44">
        <v>617</v>
      </c>
      <c r="F25" s="19">
        <v>1429</v>
      </c>
      <c r="G25" s="20">
        <v>277</v>
      </c>
      <c r="H25" s="216">
        <v>62</v>
      </c>
      <c r="I25" s="211">
        <v>0</v>
      </c>
      <c r="J25" s="46">
        <f t="shared" si="1"/>
        <v>0</v>
      </c>
      <c r="K25" s="205">
        <v>0</v>
      </c>
      <c r="L25" s="21">
        <v>0</v>
      </c>
      <c r="M25" s="49">
        <v>0</v>
      </c>
      <c r="N25" s="50">
        <f t="shared" si="2"/>
        <v>0</v>
      </c>
      <c r="O25" s="198">
        <v>350</v>
      </c>
      <c r="P25" s="52">
        <f t="shared" si="3"/>
        <v>14.583333333333334</v>
      </c>
      <c r="Q25" s="206">
        <v>0</v>
      </c>
      <c r="R25" s="53">
        <v>0</v>
      </c>
      <c r="S25" s="54">
        <v>281</v>
      </c>
      <c r="T25" s="223">
        <v>486</v>
      </c>
      <c r="U25" s="55">
        <f t="shared" si="7"/>
        <v>1791</v>
      </c>
      <c r="V25" s="231">
        <f t="shared" si="4"/>
        <v>74.625</v>
      </c>
      <c r="W25" s="236">
        <v>0</v>
      </c>
      <c r="X25" s="65">
        <v>0</v>
      </c>
      <c r="Y25" s="66">
        <v>24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147</v>
      </c>
      <c r="AL25" s="60">
        <f t="shared" si="5"/>
        <v>6.125</v>
      </c>
      <c r="AM25" s="6">
        <v>1440</v>
      </c>
      <c r="AO25" s="61"/>
      <c r="AP25" s="61">
        <f t="shared" si="6"/>
        <v>281</v>
      </c>
      <c r="AQ25"/>
    </row>
    <row r="26" spans="1:43" x14ac:dyDescent="0.3">
      <c r="A26" s="62">
        <v>20</v>
      </c>
      <c r="B26" s="67">
        <v>1189</v>
      </c>
      <c r="C26" s="42">
        <f t="shared" si="0"/>
        <v>49.541666666666664</v>
      </c>
      <c r="D26" s="204">
        <v>832</v>
      </c>
      <c r="E26" s="44">
        <v>628</v>
      </c>
      <c r="F26" s="19">
        <v>1460</v>
      </c>
      <c r="G26" s="20">
        <v>263</v>
      </c>
      <c r="H26" s="216">
        <v>69</v>
      </c>
      <c r="I26" s="211">
        <v>0</v>
      </c>
      <c r="J26" s="46">
        <f t="shared" si="1"/>
        <v>0</v>
      </c>
      <c r="K26" s="205">
        <v>0</v>
      </c>
      <c r="L26" s="21">
        <v>0</v>
      </c>
      <c r="M26" s="49">
        <v>0</v>
      </c>
      <c r="N26" s="50">
        <f t="shared" si="2"/>
        <v>0</v>
      </c>
      <c r="O26" s="198">
        <v>330</v>
      </c>
      <c r="P26" s="52">
        <f t="shared" si="3"/>
        <v>13.75</v>
      </c>
      <c r="Q26" s="206">
        <v>0</v>
      </c>
      <c r="R26" s="53">
        <v>0</v>
      </c>
      <c r="S26" s="54">
        <v>272</v>
      </c>
      <c r="T26" s="223">
        <v>483</v>
      </c>
      <c r="U26" s="55">
        <f t="shared" si="7"/>
        <v>1791</v>
      </c>
      <c r="V26" s="231">
        <f t="shared" si="4"/>
        <v>74.625</v>
      </c>
      <c r="W26" s="236">
        <v>0</v>
      </c>
      <c r="X26" s="65">
        <v>0</v>
      </c>
      <c r="Y26" s="66">
        <v>24</v>
      </c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>
        <v>151</v>
      </c>
      <c r="AL26" s="60">
        <f t="shared" si="5"/>
        <v>6.291666666666667</v>
      </c>
      <c r="AM26" s="6">
        <v>1440</v>
      </c>
      <c r="AO26" s="61"/>
      <c r="AP26" s="61">
        <f t="shared" si="6"/>
        <v>272</v>
      </c>
      <c r="AQ26"/>
    </row>
    <row r="27" spans="1:43" x14ac:dyDescent="0.3">
      <c r="A27" s="62">
        <v>21</v>
      </c>
      <c r="B27" s="67">
        <v>1160</v>
      </c>
      <c r="C27" s="42">
        <f t="shared" si="0"/>
        <v>48.333333333333336</v>
      </c>
      <c r="D27" s="204">
        <v>812</v>
      </c>
      <c r="E27" s="44">
        <v>667</v>
      </c>
      <c r="F27" s="19">
        <v>1479</v>
      </c>
      <c r="G27" s="20">
        <v>275</v>
      </c>
      <c r="H27" s="216">
        <v>63</v>
      </c>
      <c r="I27" s="211">
        <v>0</v>
      </c>
      <c r="J27" s="46">
        <f t="shared" si="1"/>
        <v>0</v>
      </c>
      <c r="K27" s="205">
        <v>0</v>
      </c>
      <c r="L27" s="21">
        <v>0</v>
      </c>
      <c r="M27" s="49">
        <v>0</v>
      </c>
      <c r="N27" s="50">
        <f t="shared" si="2"/>
        <v>0</v>
      </c>
      <c r="O27" s="198">
        <v>277</v>
      </c>
      <c r="P27" s="52">
        <f t="shared" si="3"/>
        <v>11.541666666666666</v>
      </c>
      <c r="Q27" s="206">
        <v>1</v>
      </c>
      <c r="R27" s="53">
        <v>95</v>
      </c>
      <c r="S27" s="54">
        <v>280</v>
      </c>
      <c r="T27" s="223">
        <v>445</v>
      </c>
      <c r="U27" s="55">
        <f t="shared" si="7"/>
        <v>1813</v>
      </c>
      <c r="V27" s="231">
        <f t="shared" si="4"/>
        <v>75.541666666666671</v>
      </c>
      <c r="W27" s="236">
        <v>0.67</v>
      </c>
      <c r="X27" s="65">
        <v>5.33</v>
      </c>
      <c r="Y27" s="66">
        <v>21.33</v>
      </c>
      <c r="Z27" s="6"/>
      <c r="AA27" s="348" t="s">
        <v>278</v>
      </c>
      <c r="AB27" s="348"/>
      <c r="AC27" s="348"/>
      <c r="AD27" s="349"/>
      <c r="AE27" s="350" t="s">
        <v>276</v>
      </c>
      <c r="AF27" s="351"/>
      <c r="AG27" s="351"/>
      <c r="AH27" s="352"/>
      <c r="AI27" s="58">
        <v>420</v>
      </c>
      <c r="AJ27" s="58"/>
      <c r="AK27" s="59">
        <v>151</v>
      </c>
      <c r="AL27" s="60">
        <f t="shared" si="5"/>
        <v>6.291666666666667</v>
      </c>
      <c r="AM27" s="6">
        <v>1440</v>
      </c>
      <c r="AO27" s="61"/>
      <c r="AP27" s="61">
        <f t="shared" si="6"/>
        <v>280</v>
      </c>
      <c r="AQ27"/>
    </row>
    <row r="28" spans="1:43" x14ac:dyDescent="0.3">
      <c r="A28" s="62">
        <v>22</v>
      </c>
      <c r="B28" s="67">
        <v>689</v>
      </c>
      <c r="C28" s="42">
        <f t="shared" si="0"/>
        <v>28.708333333333332</v>
      </c>
      <c r="D28" s="204">
        <v>482</v>
      </c>
      <c r="E28" s="44">
        <v>384</v>
      </c>
      <c r="F28" s="19">
        <v>866</v>
      </c>
      <c r="G28" s="20">
        <v>194</v>
      </c>
      <c r="H28" s="216">
        <v>31</v>
      </c>
      <c r="I28" s="211">
        <v>0</v>
      </c>
      <c r="J28" s="46">
        <f t="shared" si="1"/>
        <v>0</v>
      </c>
      <c r="K28" s="205">
        <v>0</v>
      </c>
      <c r="L28" s="21">
        <v>0</v>
      </c>
      <c r="M28" s="49">
        <v>0</v>
      </c>
      <c r="N28" s="50">
        <f t="shared" si="2"/>
        <v>0</v>
      </c>
      <c r="O28" s="198">
        <v>181</v>
      </c>
      <c r="P28" s="52">
        <f t="shared" si="3"/>
        <v>7.541666666666667</v>
      </c>
      <c r="Q28" s="206">
        <v>44</v>
      </c>
      <c r="R28" s="53">
        <v>49</v>
      </c>
      <c r="S28" s="54">
        <v>318</v>
      </c>
      <c r="T28" s="223">
        <v>504</v>
      </c>
      <c r="U28" s="55">
        <f t="shared" si="7"/>
        <v>1281</v>
      </c>
      <c r="V28" s="231">
        <f t="shared" si="4"/>
        <v>53.375</v>
      </c>
      <c r="W28" s="236">
        <v>6</v>
      </c>
      <c r="X28" s="65">
        <v>6.33</v>
      </c>
      <c r="Y28" s="66">
        <v>24</v>
      </c>
      <c r="Z28" s="6"/>
      <c r="AA28" s="348"/>
      <c r="AB28" s="348"/>
      <c r="AC28" s="348"/>
      <c r="AD28" s="349"/>
      <c r="AE28" s="350" t="s">
        <v>277</v>
      </c>
      <c r="AF28" s="351"/>
      <c r="AG28" s="351"/>
      <c r="AH28" s="352"/>
      <c r="AI28" s="58">
        <v>1440</v>
      </c>
      <c r="AJ28" s="58"/>
      <c r="AK28" s="59">
        <v>43</v>
      </c>
      <c r="AL28" s="60">
        <f t="shared" si="5"/>
        <v>1.7916666666666667</v>
      </c>
      <c r="AM28" s="6">
        <v>698</v>
      </c>
      <c r="AO28" s="61"/>
      <c r="AP28" s="61">
        <f t="shared" si="6"/>
        <v>318</v>
      </c>
      <c r="AQ28"/>
    </row>
    <row r="29" spans="1:43" x14ac:dyDescent="0.3">
      <c r="A29" s="62">
        <v>23</v>
      </c>
      <c r="B29" s="67">
        <v>792</v>
      </c>
      <c r="C29" s="42">
        <f t="shared" si="0"/>
        <v>33</v>
      </c>
      <c r="D29" s="204">
        <v>554</v>
      </c>
      <c r="E29" s="44">
        <v>408</v>
      </c>
      <c r="F29" s="19">
        <v>962</v>
      </c>
      <c r="G29" s="20">
        <v>132</v>
      </c>
      <c r="H29" s="216">
        <v>37</v>
      </c>
      <c r="I29" s="211">
        <v>0</v>
      </c>
      <c r="J29" s="46">
        <f t="shared" si="1"/>
        <v>0</v>
      </c>
      <c r="K29" s="205">
        <v>0</v>
      </c>
      <c r="L29" s="21">
        <v>0</v>
      </c>
      <c r="M29" s="49">
        <v>0</v>
      </c>
      <c r="N29" s="50">
        <f t="shared" si="2"/>
        <v>0</v>
      </c>
      <c r="O29" s="198">
        <v>368</v>
      </c>
      <c r="P29" s="52">
        <f t="shared" si="3"/>
        <v>15.333333333333334</v>
      </c>
      <c r="Q29" s="206">
        <v>130</v>
      </c>
      <c r="R29" s="53">
        <v>87</v>
      </c>
      <c r="S29" s="54">
        <v>458</v>
      </c>
      <c r="T29" s="223">
        <v>517</v>
      </c>
      <c r="U29" s="55">
        <f t="shared" si="7"/>
        <v>1835</v>
      </c>
      <c r="V29" s="231">
        <f t="shared" si="4"/>
        <v>76.458333333333329</v>
      </c>
      <c r="W29" s="236">
        <v>4.83</v>
      </c>
      <c r="X29" s="65">
        <v>16.170000000000002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>
        <v>1440</v>
      </c>
      <c r="AJ29" s="58"/>
      <c r="AK29" s="59">
        <v>123</v>
      </c>
      <c r="AL29" s="60">
        <f t="shared" si="5"/>
        <v>5.125</v>
      </c>
      <c r="AM29" s="6">
        <v>1440</v>
      </c>
      <c r="AO29" s="61"/>
      <c r="AP29" s="61">
        <f t="shared" si="6"/>
        <v>458</v>
      </c>
      <c r="AQ29"/>
    </row>
    <row r="30" spans="1:43" x14ac:dyDescent="0.3">
      <c r="A30" s="62">
        <v>24</v>
      </c>
      <c r="B30" s="67">
        <v>794</v>
      </c>
      <c r="C30" s="42">
        <f t="shared" si="0"/>
        <v>33.083333333333336</v>
      </c>
      <c r="D30" s="204">
        <v>556</v>
      </c>
      <c r="E30" s="44">
        <v>410</v>
      </c>
      <c r="F30" s="19">
        <v>966</v>
      </c>
      <c r="G30" s="20">
        <v>122</v>
      </c>
      <c r="H30" s="216">
        <v>38</v>
      </c>
      <c r="I30" s="211">
        <v>0</v>
      </c>
      <c r="J30" s="46">
        <f t="shared" si="1"/>
        <v>0</v>
      </c>
      <c r="K30" s="205">
        <v>0</v>
      </c>
      <c r="L30" s="21">
        <v>0</v>
      </c>
      <c r="M30" s="49">
        <v>0</v>
      </c>
      <c r="N30" s="50">
        <f t="shared" si="2"/>
        <v>0</v>
      </c>
      <c r="O30" s="198">
        <v>391</v>
      </c>
      <c r="P30" s="52">
        <f t="shared" si="3"/>
        <v>16.291666666666668</v>
      </c>
      <c r="Q30" s="206">
        <v>129</v>
      </c>
      <c r="R30" s="53">
        <v>0</v>
      </c>
      <c r="S30" s="54">
        <v>455</v>
      </c>
      <c r="T30" s="223">
        <v>503</v>
      </c>
      <c r="U30" s="55">
        <f t="shared" si="7"/>
        <v>1769</v>
      </c>
      <c r="V30" s="231">
        <f t="shared" si="4"/>
        <v>73.708333333333329</v>
      </c>
      <c r="W30" s="236">
        <v>24</v>
      </c>
      <c r="X30" s="65">
        <v>0</v>
      </c>
      <c r="Y30" s="66">
        <v>24</v>
      </c>
      <c r="Z30" s="6"/>
      <c r="AA30" s="359"/>
      <c r="AB30" s="348"/>
      <c r="AC30" s="348"/>
      <c r="AD30" s="349"/>
      <c r="AE30" s="350"/>
      <c r="AF30" s="351"/>
      <c r="AG30" s="351"/>
      <c r="AH30" s="352"/>
      <c r="AI30" s="58">
        <v>1440</v>
      </c>
      <c r="AJ30" s="58"/>
      <c r="AK30" s="59">
        <v>116</v>
      </c>
      <c r="AL30" s="60">
        <f t="shared" si="5"/>
        <v>4.833333333333333</v>
      </c>
      <c r="AM30" s="6">
        <v>1440</v>
      </c>
      <c r="AO30" s="61"/>
      <c r="AP30" s="61">
        <f t="shared" si="6"/>
        <v>455</v>
      </c>
      <c r="AQ30"/>
    </row>
    <row r="31" spans="1:43" x14ac:dyDescent="0.3">
      <c r="A31" s="62">
        <v>25</v>
      </c>
      <c r="B31" s="67">
        <v>778</v>
      </c>
      <c r="C31" s="42">
        <f t="shared" si="0"/>
        <v>32.416666666666664</v>
      </c>
      <c r="D31" s="204">
        <v>545</v>
      </c>
      <c r="E31" s="44">
        <v>417</v>
      </c>
      <c r="F31" s="19">
        <v>962</v>
      </c>
      <c r="G31" s="20">
        <v>117</v>
      </c>
      <c r="H31" s="216">
        <v>44</v>
      </c>
      <c r="I31" s="211">
        <v>0</v>
      </c>
      <c r="J31" s="46">
        <f t="shared" si="1"/>
        <v>0</v>
      </c>
      <c r="K31" s="205">
        <v>0</v>
      </c>
      <c r="L31" s="21">
        <v>0</v>
      </c>
      <c r="M31" s="49">
        <v>0</v>
      </c>
      <c r="N31" s="50">
        <f t="shared" si="2"/>
        <v>0</v>
      </c>
      <c r="O31" s="198">
        <v>388</v>
      </c>
      <c r="P31" s="52">
        <f t="shared" si="3"/>
        <v>16.166666666666668</v>
      </c>
      <c r="Q31" s="206">
        <v>84</v>
      </c>
      <c r="R31" s="53">
        <v>0</v>
      </c>
      <c r="S31" s="54">
        <v>373</v>
      </c>
      <c r="T31" s="223">
        <v>481</v>
      </c>
      <c r="U31" s="55">
        <f t="shared" si="7"/>
        <v>1623</v>
      </c>
      <c r="V31" s="231">
        <f t="shared" si="4"/>
        <v>67.625</v>
      </c>
      <c r="W31" s="236">
        <v>20</v>
      </c>
      <c r="X31" s="65">
        <v>0</v>
      </c>
      <c r="Y31" s="66">
        <v>24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>
        <v>1440</v>
      </c>
      <c r="AJ31" s="58"/>
      <c r="AK31" s="59">
        <v>96</v>
      </c>
      <c r="AL31" s="60">
        <f t="shared" si="5"/>
        <v>4</v>
      </c>
      <c r="AM31" s="6">
        <v>1200</v>
      </c>
      <c r="AO31" s="61"/>
      <c r="AP31" s="61">
        <f t="shared" si="6"/>
        <v>373</v>
      </c>
      <c r="AQ31"/>
    </row>
    <row r="32" spans="1:43" x14ac:dyDescent="0.3">
      <c r="A32" s="62">
        <v>26</v>
      </c>
      <c r="B32" s="67">
        <v>799</v>
      </c>
      <c r="C32" s="42">
        <f t="shared" si="0"/>
        <v>33.291666666666664</v>
      </c>
      <c r="D32" s="204">
        <v>559</v>
      </c>
      <c r="E32" s="44">
        <v>411</v>
      </c>
      <c r="F32" s="19">
        <v>970</v>
      </c>
      <c r="G32" s="20">
        <v>126</v>
      </c>
      <c r="H32" s="216">
        <v>45</v>
      </c>
      <c r="I32" s="211">
        <v>0</v>
      </c>
      <c r="J32" s="46">
        <f t="shared" si="1"/>
        <v>0</v>
      </c>
      <c r="K32" s="205">
        <v>0</v>
      </c>
      <c r="L32" s="21">
        <v>0</v>
      </c>
      <c r="M32" s="200">
        <v>0</v>
      </c>
      <c r="N32" s="50">
        <f t="shared" si="2"/>
        <v>0</v>
      </c>
      <c r="O32" s="198">
        <v>391</v>
      </c>
      <c r="P32" s="52">
        <f t="shared" si="3"/>
        <v>16.291666666666668</v>
      </c>
      <c r="Q32" s="206">
        <v>18</v>
      </c>
      <c r="R32" s="53">
        <v>0</v>
      </c>
      <c r="S32" s="54">
        <v>382</v>
      </c>
      <c r="T32" s="223">
        <v>470</v>
      </c>
      <c r="U32" s="55">
        <f t="shared" si="7"/>
        <v>1590</v>
      </c>
      <c r="V32" s="231">
        <f t="shared" si="4"/>
        <v>66.25</v>
      </c>
      <c r="W32" s="236">
        <v>6.33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>
        <v>1440</v>
      </c>
      <c r="AJ32" s="58"/>
      <c r="AK32" s="59">
        <v>108</v>
      </c>
      <c r="AL32" s="60">
        <f t="shared" si="5"/>
        <v>4.5</v>
      </c>
      <c r="AM32" s="6">
        <v>1440</v>
      </c>
      <c r="AO32" s="61"/>
      <c r="AP32" s="61">
        <f t="shared" si="6"/>
        <v>382</v>
      </c>
      <c r="AQ32"/>
    </row>
    <row r="33" spans="1:43" x14ac:dyDescent="0.3">
      <c r="A33" s="62">
        <v>27</v>
      </c>
      <c r="B33" s="67">
        <v>760</v>
      </c>
      <c r="C33" s="42">
        <f t="shared" si="0"/>
        <v>31.666666666666668</v>
      </c>
      <c r="D33" s="204">
        <v>532</v>
      </c>
      <c r="E33" s="44">
        <v>407</v>
      </c>
      <c r="F33" s="19">
        <v>939</v>
      </c>
      <c r="G33" s="20">
        <v>169</v>
      </c>
      <c r="H33" s="216">
        <v>38</v>
      </c>
      <c r="I33" s="211">
        <v>0</v>
      </c>
      <c r="J33" s="46">
        <f t="shared" si="1"/>
        <v>0</v>
      </c>
      <c r="K33" s="205">
        <v>0</v>
      </c>
      <c r="L33" s="21">
        <v>0</v>
      </c>
      <c r="M33" s="200">
        <v>0</v>
      </c>
      <c r="N33" s="50">
        <f t="shared" si="2"/>
        <v>0</v>
      </c>
      <c r="O33" s="198">
        <v>392</v>
      </c>
      <c r="P33" s="52">
        <f t="shared" si="3"/>
        <v>16.333333333333332</v>
      </c>
      <c r="Q33" s="206">
        <v>0</v>
      </c>
      <c r="R33" s="53">
        <v>0</v>
      </c>
      <c r="S33" s="54">
        <v>311</v>
      </c>
      <c r="T33" s="223">
        <v>487</v>
      </c>
      <c r="U33" s="55">
        <f t="shared" si="7"/>
        <v>1463</v>
      </c>
      <c r="V33" s="231">
        <f t="shared" si="4"/>
        <v>60.958333333333336</v>
      </c>
      <c r="W33" s="236">
        <v>0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>
        <v>1440</v>
      </c>
      <c r="AJ33" s="58"/>
      <c r="AK33" s="59">
        <v>98</v>
      </c>
      <c r="AL33" s="60">
        <f t="shared" si="5"/>
        <v>4.083333333333333</v>
      </c>
      <c r="AM33" s="6">
        <v>1440</v>
      </c>
      <c r="AO33" s="61"/>
      <c r="AP33" s="61">
        <f t="shared" si="6"/>
        <v>311</v>
      </c>
      <c r="AQ33"/>
    </row>
    <row r="34" spans="1:43" x14ac:dyDescent="0.3">
      <c r="A34" s="62">
        <v>28</v>
      </c>
      <c r="B34" s="67">
        <v>661</v>
      </c>
      <c r="C34" s="42">
        <f t="shared" si="0"/>
        <v>27.541666666666668</v>
      </c>
      <c r="D34" s="204">
        <v>463</v>
      </c>
      <c r="E34" s="44">
        <v>357</v>
      </c>
      <c r="F34" s="19">
        <v>820</v>
      </c>
      <c r="G34" s="20">
        <v>182</v>
      </c>
      <c r="H34" s="216">
        <v>33</v>
      </c>
      <c r="I34" s="211">
        <v>0</v>
      </c>
      <c r="J34" s="46">
        <f t="shared" si="1"/>
        <v>0</v>
      </c>
      <c r="K34" s="205">
        <v>0</v>
      </c>
      <c r="L34" s="21">
        <v>0</v>
      </c>
      <c r="M34" s="200">
        <v>0</v>
      </c>
      <c r="N34" s="50">
        <f t="shared" si="2"/>
        <v>0</v>
      </c>
      <c r="O34" s="198">
        <v>367</v>
      </c>
      <c r="P34" s="52">
        <f t="shared" si="3"/>
        <v>15.291666666666666</v>
      </c>
      <c r="Q34" s="206">
        <v>0</v>
      </c>
      <c r="R34" s="53">
        <v>0</v>
      </c>
      <c r="S34" s="54">
        <v>314</v>
      </c>
      <c r="T34" s="223">
        <v>484</v>
      </c>
      <c r="U34" s="55">
        <f t="shared" si="7"/>
        <v>1342</v>
      </c>
      <c r="V34" s="231">
        <f t="shared" si="4"/>
        <v>55.916666666666664</v>
      </c>
      <c r="W34" s="236">
        <v>0</v>
      </c>
      <c r="X34" s="65">
        <v>0</v>
      </c>
      <c r="Y34" s="66">
        <v>24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>
        <v>1440</v>
      </c>
      <c r="AJ34" s="58"/>
      <c r="AK34" s="59">
        <v>114</v>
      </c>
      <c r="AL34" s="60">
        <f t="shared" si="5"/>
        <v>4.75</v>
      </c>
      <c r="AM34" s="6">
        <v>1440</v>
      </c>
      <c r="AO34" s="61"/>
      <c r="AP34" s="61">
        <f t="shared" si="6"/>
        <v>314</v>
      </c>
      <c r="AQ34"/>
    </row>
    <row r="35" spans="1:43" x14ac:dyDescent="0.3">
      <c r="A35" s="62">
        <v>29</v>
      </c>
      <c r="B35" s="67">
        <v>650</v>
      </c>
      <c r="C35" s="42">
        <f t="shared" si="0"/>
        <v>27.083333333333332</v>
      </c>
      <c r="D35" s="204">
        <v>455</v>
      </c>
      <c r="E35" s="44">
        <v>506</v>
      </c>
      <c r="F35" s="19">
        <v>961</v>
      </c>
      <c r="G35" s="20">
        <v>183</v>
      </c>
      <c r="H35" s="216">
        <v>36</v>
      </c>
      <c r="I35" s="211">
        <v>0</v>
      </c>
      <c r="J35" s="46">
        <f t="shared" si="1"/>
        <v>0</v>
      </c>
      <c r="K35" s="205">
        <v>0</v>
      </c>
      <c r="L35" s="21">
        <v>0</v>
      </c>
      <c r="M35" s="200">
        <v>0</v>
      </c>
      <c r="N35" s="50">
        <f t="shared" si="2"/>
        <v>0</v>
      </c>
      <c r="O35" s="198">
        <v>375</v>
      </c>
      <c r="P35" s="52">
        <f t="shared" si="3"/>
        <v>15.625</v>
      </c>
      <c r="Q35" s="206">
        <v>0</v>
      </c>
      <c r="R35" s="53">
        <v>0</v>
      </c>
      <c r="S35" s="54">
        <v>318</v>
      </c>
      <c r="T35" s="223">
        <v>463</v>
      </c>
      <c r="U35" s="55">
        <f t="shared" si="7"/>
        <v>1343</v>
      </c>
      <c r="V35" s="231">
        <f t="shared" si="4"/>
        <v>55.958333333333336</v>
      </c>
      <c r="W35" s="236">
        <v>0</v>
      </c>
      <c r="X35" s="65">
        <v>0</v>
      </c>
      <c r="Y35" s="66">
        <v>24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>
        <v>1440</v>
      </c>
      <c r="AJ35" s="58"/>
      <c r="AK35" s="59">
        <v>102</v>
      </c>
      <c r="AL35" s="60">
        <f t="shared" si="5"/>
        <v>4.25</v>
      </c>
      <c r="AM35" s="6">
        <v>1200</v>
      </c>
      <c r="AO35" s="61"/>
      <c r="AP35" s="61">
        <f t="shared" si="6"/>
        <v>318</v>
      </c>
      <c r="AQ35"/>
    </row>
    <row r="36" spans="1:43" x14ac:dyDescent="0.3">
      <c r="A36" s="62">
        <v>30</v>
      </c>
      <c r="B36" s="67">
        <v>607</v>
      </c>
      <c r="C36" s="42">
        <f t="shared" si="0"/>
        <v>25.291666666666668</v>
      </c>
      <c r="D36" s="204">
        <v>425</v>
      </c>
      <c r="E36" s="44">
        <v>377</v>
      </c>
      <c r="F36" s="19">
        <v>802</v>
      </c>
      <c r="G36" s="20">
        <v>222</v>
      </c>
      <c r="H36" s="216">
        <v>38</v>
      </c>
      <c r="I36" s="211">
        <v>0</v>
      </c>
      <c r="J36" s="46">
        <f t="shared" si="1"/>
        <v>0</v>
      </c>
      <c r="K36" s="205">
        <v>0</v>
      </c>
      <c r="L36" s="21">
        <v>0</v>
      </c>
      <c r="M36" s="200">
        <v>0</v>
      </c>
      <c r="N36" s="50">
        <f t="shared" si="2"/>
        <v>0</v>
      </c>
      <c r="O36" s="198">
        <v>367</v>
      </c>
      <c r="P36" s="52">
        <f t="shared" si="3"/>
        <v>15.291666666666666</v>
      </c>
      <c r="Q36" s="206">
        <v>0</v>
      </c>
      <c r="R36" s="53">
        <v>0</v>
      </c>
      <c r="S36" s="54">
        <v>295</v>
      </c>
      <c r="T36" s="223">
        <v>460</v>
      </c>
      <c r="U36" s="55">
        <f t="shared" si="7"/>
        <v>1269</v>
      </c>
      <c r="V36" s="231">
        <f t="shared" si="4"/>
        <v>52.875</v>
      </c>
      <c r="W36" s="236">
        <v>0</v>
      </c>
      <c r="X36" s="65">
        <v>0</v>
      </c>
      <c r="Y36" s="66">
        <v>24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>
        <v>1440</v>
      </c>
      <c r="AJ36" s="58"/>
      <c r="AK36" s="59">
        <v>102</v>
      </c>
      <c r="AL36" s="60">
        <f t="shared" si="5"/>
        <v>4.25</v>
      </c>
      <c r="AM36" s="6">
        <v>1440</v>
      </c>
      <c r="AO36" s="61"/>
      <c r="AP36" s="61">
        <f t="shared" si="6"/>
        <v>295</v>
      </c>
      <c r="AQ36"/>
    </row>
    <row r="37" spans="1:43" ht="17.25" thickBot="1" x14ac:dyDescent="0.35">
      <c r="A37" s="62">
        <v>31</v>
      </c>
      <c r="B37" s="67">
        <v>571</v>
      </c>
      <c r="C37" s="42">
        <f t="shared" si="0"/>
        <v>23.791666666666668</v>
      </c>
      <c r="D37" s="76">
        <v>400</v>
      </c>
      <c r="E37" s="44">
        <v>356</v>
      </c>
      <c r="F37" s="77">
        <v>756</v>
      </c>
      <c r="G37" s="78">
        <v>214</v>
      </c>
      <c r="H37" s="220">
        <v>25</v>
      </c>
      <c r="I37" s="211">
        <v>0</v>
      </c>
      <c r="J37" s="46">
        <f t="shared" si="1"/>
        <v>0</v>
      </c>
      <c r="K37" s="79">
        <v>0</v>
      </c>
      <c r="L37" s="80">
        <v>0</v>
      </c>
      <c r="M37" s="201">
        <v>0</v>
      </c>
      <c r="N37" s="50">
        <f t="shared" si="2"/>
        <v>0</v>
      </c>
      <c r="O37" s="199">
        <v>352</v>
      </c>
      <c r="P37" s="81">
        <f t="shared" si="3"/>
        <v>14.666666666666666</v>
      </c>
      <c r="Q37" s="227">
        <v>0</v>
      </c>
      <c r="R37" s="82">
        <v>0</v>
      </c>
      <c r="S37" s="54">
        <v>284</v>
      </c>
      <c r="T37" s="223">
        <v>459</v>
      </c>
      <c r="U37" s="55">
        <f t="shared" si="7"/>
        <v>1207</v>
      </c>
      <c r="V37" s="232">
        <f t="shared" si="4"/>
        <v>50.291666666666664</v>
      </c>
      <c r="W37" s="237">
        <v>0</v>
      </c>
      <c r="X37" s="83">
        <v>0</v>
      </c>
      <c r="Y37" s="84">
        <v>24</v>
      </c>
      <c r="Z37" s="85"/>
      <c r="AA37" s="348"/>
      <c r="AB37" s="348"/>
      <c r="AC37" s="348"/>
      <c r="AD37" s="349"/>
      <c r="AE37" s="350"/>
      <c r="AF37" s="351"/>
      <c r="AG37" s="351"/>
      <c r="AH37" s="352"/>
      <c r="AI37" s="58">
        <v>1440</v>
      </c>
      <c r="AJ37" s="58"/>
      <c r="AK37" s="59">
        <v>100</v>
      </c>
      <c r="AL37" s="60">
        <f t="shared" si="5"/>
        <v>4.166666666666667</v>
      </c>
      <c r="AM37" s="6">
        <v>1440</v>
      </c>
      <c r="AN37" s="85"/>
      <c r="AO37" s="85"/>
      <c r="AP37" s="61">
        <f t="shared" si="6"/>
        <v>284</v>
      </c>
      <c r="AQ37"/>
    </row>
    <row r="38" spans="1:43" ht="17.25" thickBot="1" x14ac:dyDescent="0.35">
      <c r="A38" s="86" t="s">
        <v>35</v>
      </c>
      <c r="B38" s="87">
        <f t="shared" ref="B38:I38" si="8">SUM(B7:B37)</f>
        <v>33829</v>
      </c>
      <c r="C38" s="88">
        <f t="shared" si="8"/>
        <v>1409.5416666666667</v>
      </c>
      <c r="D38" s="89">
        <f t="shared" si="8"/>
        <v>23681</v>
      </c>
      <c r="E38" s="89">
        <f t="shared" si="8"/>
        <v>17874</v>
      </c>
      <c r="F38" s="89">
        <f t="shared" si="8"/>
        <v>41354</v>
      </c>
      <c r="G38" s="90">
        <f t="shared" si="8"/>
        <v>8362</v>
      </c>
      <c r="H38" s="221">
        <f t="shared" si="8"/>
        <v>1782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6946</v>
      </c>
      <c r="P38" s="93"/>
      <c r="Q38" s="212">
        <f>SUM(Q7:Q37)</f>
        <v>499</v>
      </c>
      <c r="R38" s="87">
        <f>SUM(R7:R37)</f>
        <v>340</v>
      </c>
      <c r="S38" s="87">
        <f>SUM(S7:S37)</f>
        <v>7993</v>
      </c>
      <c r="T38" s="87">
        <f>SUM(T7:T37)</f>
        <v>12642</v>
      </c>
      <c r="U38" s="94">
        <f>SUM(U7:U37)</f>
        <v>49607</v>
      </c>
      <c r="V38" s="207"/>
      <c r="W38" s="238">
        <f>SUM(W7:W37)</f>
        <v>84.17</v>
      </c>
      <c r="X38" s="89">
        <f>SUM(X7:X37)</f>
        <v>33.33</v>
      </c>
      <c r="Y38" s="91">
        <f>SUM(Y7:Y37)</f>
        <v>622.63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247</v>
      </c>
      <c r="AJ38" s="242">
        <f>SUM(AJ7:AJ37)/60</f>
        <v>22</v>
      </c>
      <c r="AK38" s="245">
        <f>SUM(AK7:AK37)</f>
        <v>3112</v>
      </c>
      <c r="AL38" s="97">
        <f>SUM(AL7:AL37)/60</f>
        <v>2.161111111111111</v>
      </c>
      <c r="AM38" s="240">
        <f>SUM(AM7:AM37)/60</f>
        <v>678.2166666666667</v>
      </c>
      <c r="AP38"/>
      <c r="AQ38"/>
    </row>
    <row r="39" spans="1:43" ht="17.25" thickBot="1" x14ac:dyDescent="0.35">
      <c r="A39" s="98" t="s">
        <v>37</v>
      </c>
      <c r="B39" s="99">
        <f>AVERAGE(B7:B37)</f>
        <v>1091.258064516129</v>
      </c>
      <c r="C39" s="100">
        <f>B39/24</f>
        <v>45.469086021505376</v>
      </c>
      <c r="D39" s="101">
        <f t="shared" ref="D39:I39" si="9">AVERAGE(D7:D37)</f>
        <v>763.90322580645159</v>
      </c>
      <c r="E39" s="101">
        <f t="shared" si="9"/>
        <v>576.58064516129036</v>
      </c>
      <c r="F39" s="101">
        <f t="shared" si="9"/>
        <v>1334</v>
      </c>
      <c r="G39" s="208">
        <f t="shared" si="9"/>
        <v>269.74193548387098</v>
      </c>
      <c r="H39" s="102">
        <f t="shared" si="9"/>
        <v>57.483870967741936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224.06451612903226</v>
      </c>
      <c r="P39" s="229">
        <f>O39/24</f>
        <v>9.336021505376344</v>
      </c>
      <c r="Q39" s="228">
        <f>AVERAGE(Q7:Q37)</f>
        <v>16.096774193548388</v>
      </c>
      <c r="R39" s="106">
        <f>AVERAGE(R7:R37)</f>
        <v>10.96774193548387</v>
      </c>
      <c r="S39" s="102">
        <f>AVERAGE(S7:S37)</f>
        <v>257.83870967741933</v>
      </c>
      <c r="T39" s="102">
        <f>AVERAGE(T7:T37)</f>
        <v>407.80645161290323</v>
      </c>
      <c r="U39" s="107">
        <f>AVERAGE(U7:U37)</f>
        <v>1600.2258064516129</v>
      </c>
      <c r="V39" s="233">
        <f>U39/24</f>
        <v>66.6760752688172</v>
      </c>
      <c r="W39" s="105">
        <f>AVERAGE(W7:W37)</f>
        <v>2.7151612903225808</v>
      </c>
      <c r="X39" s="101">
        <f>AVERAGE(X7:X37)</f>
        <v>1.0751612903225807</v>
      </c>
      <c r="Y39" s="104">
        <f>AVERAGE(Y7:Y37)</f>
        <v>20.08483870967742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269</v>
      </c>
      <c r="AI39" s="354"/>
      <c r="AJ39" s="246">
        <f>AI39/24</f>
        <v>0</v>
      </c>
      <c r="AK39" s="245">
        <f>(AJ38/31)/24</f>
        <v>2.9569892473118281E-2</v>
      </c>
      <c r="AP39"/>
      <c r="AQ39"/>
    </row>
    <row r="40" spans="1:43" ht="17.25" thickBot="1" x14ac:dyDescent="0.35">
      <c r="A40" s="7"/>
      <c r="M40" s="108">
        <f>M38+O38</f>
        <v>6946</v>
      </c>
      <c r="P40" s="109">
        <f>Q38+R38</f>
        <v>839</v>
      </c>
      <c r="Q40" s="110" t="s">
        <v>39</v>
      </c>
      <c r="R40" s="6">
        <f>Q38+R38</f>
        <v>839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263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1.1276881720430108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10.743279569892472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45.469086021505376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9.336021505376344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66.6760752688172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02" t="s">
        <v>50</v>
      </c>
      <c r="E49" s="202" t="s">
        <v>264</v>
      </c>
      <c r="F49" s="140" t="s">
        <v>51</v>
      </c>
      <c r="G49" s="140" t="s">
        <v>52</v>
      </c>
      <c r="H49" s="202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497</v>
      </c>
      <c r="F50" s="148">
        <v>483</v>
      </c>
      <c r="G50" s="148">
        <v>483</v>
      </c>
      <c r="H50" s="148">
        <v>370</v>
      </c>
      <c r="I50" s="148">
        <v>0</v>
      </c>
      <c r="J50" s="148">
        <v>0</v>
      </c>
      <c r="K50" s="148">
        <v>0</v>
      </c>
      <c r="L50" s="148">
        <v>0</v>
      </c>
      <c r="M50" s="148">
        <v>194</v>
      </c>
      <c r="N50" s="148">
        <v>521</v>
      </c>
      <c r="O50" s="148">
        <v>518</v>
      </c>
      <c r="P50" s="148">
        <v>522</v>
      </c>
      <c r="Q50" s="148">
        <v>525</v>
      </c>
      <c r="R50" s="148">
        <v>519</v>
      </c>
      <c r="S50" s="148">
        <v>528</v>
      </c>
      <c r="T50" s="148">
        <v>523</v>
      </c>
      <c r="U50" s="148">
        <v>505</v>
      </c>
      <c r="V50" s="148">
        <v>500</v>
      </c>
      <c r="W50" s="148">
        <v>500</v>
      </c>
      <c r="X50" s="148">
        <v>497</v>
      </c>
      <c r="Y50" s="148">
        <v>446</v>
      </c>
      <c r="Z50" s="148">
        <v>519</v>
      </c>
      <c r="AA50" s="148">
        <v>534</v>
      </c>
      <c r="AB50" s="148">
        <v>517</v>
      </c>
      <c r="AC50" s="148">
        <v>496</v>
      </c>
      <c r="AD50" s="148">
        <v>485</v>
      </c>
      <c r="AE50" s="148">
        <v>494</v>
      </c>
      <c r="AF50" s="148">
        <v>502</v>
      </c>
      <c r="AG50" s="148">
        <v>477</v>
      </c>
      <c r="AH50" s="148">
        <v>479</v>
      </c>
      <c r="AI50" s="148">
        <v>475</v>
      </c>
      <c r="AJ50" s="149">
        <f>SUM(E50:AI50)</f>
        <v>13109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51</v>
      </c>
      <c r="I51" s="148">
        <v>0</v>
      </c>
      <c r="J51" s="148">
        <v>0</v>
      </c>
      <c r="K51" s="148">
        <v>0</v>
      </c>
      <c r="L51" s="148">
        <v>0</v>
      </c>
      <c r="M51" s="148">
        <v>24.900000000000002</v>
      </c>
      <c r="N51" s="148">
        <v>72</v>
      </c>
      <c r="O51" s="148">
        <v>72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72</v>
      </c>
      <c r="X51" s="148">
        <v>72</v>
      </c>
      <c r="Y51" s="148">
        <v>63.989999999999995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72</v>
      </c>
      <c r="AG51" s="148">
        <v>72</v>
      </c>
      <c r="AH51" s="148">
        <v>72</v>
      </c>
      <c r="AI51" s="148">
        <v>72</v>
      </c>
      <c r="AJ51" s="149">
        <f>SUM(E51:AI51)</f>
        <v>1867.89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275</v>
      </c>
      <c r="F52" s="148">
        <f>$S8</f>
        <v>352</v>
      </c>
      <c r="G52" s="148">
        <f>$S9</f>
        <v>340</v>
      </c>
      <c r="H52" s="148">
        <f>$S10</f>
        <v>177</v>
      </c>
      <c r="I52" s="148">
        <f>$S11</f>
        <v>0</v>
      </c>
      <c r="J52" s="148">
        <f>$S12</f>
        <v>0</v>
      </c>
      <c r="K52" s="148">
        <f>$S13</f>
        <v>0</v>
      </c>
      <c r="L52" s="148">
        <f>$S14</f>
        <v>0</v>
      </c>
      <c r="M52" s="148">
        <f>$S15</f>
        <v>84</v>
      </c>
      <c r="N52" s="148">
        <f>$S16</f>
        <v>289</v>
      </c>
      <c r="O52" s="148">
        <f>$S17</f>
        <v>308</v>
      </c>
      <c r="P52" s="148">
        <f>$S18</f>
        <v>254</v>
      </c>
      <c r="Q52" s="148">
        <f>$S19</f>
        <v>245</v>
      </c>
      <c r="R52" s="148">
        <f>$S20</f>
        <v>267</v>
      </c>
      <c r="S52" s="148">
        <f>$S21</f>
        <v>281</v>
      </c>
      <c r="T52" s="148">
        <f>$S22</f>
        <v>241</v>
      </c>
      <c r="U52" s="148">
        <f>$S23</f>
        <v>269</v>
      </c>
      <c r="V52" s="148">
        <f>$S24</f>
        <v>270</v>
      </c>
      <c r="W52" s="148">
        <f>$S25</f>
        <v>281</v>
      </c>
      <c r="X52" s="148">
        <f>$S26</f>
        <v>272</v>
      </c>
      <c r="Y52" s="148">
        <f>$S27</f>
        <v>280</v>
      </c>
      <c r="Z52" s="148">
        <f>$S28</f>
        <v>318</v>
      </c>
      <c r="AA52" s="148">
        <f>$S29</f>
        <v>458</v>
      </c>
      <c r="AB52" s="148">
        <f>$S30</f>
        <v>455</v>
      </c>
      <c r="AC52" s="148">
        <f>$S31</f>
        <v>373</v>
      </c>
      <c r="AD52" s="148">
        <f>$S32</f>
        <v>382</v>
      </c>
      <c r="AE52" s="148">
        <f>$S33</f>
        <v>311</v>
      </c>
      <c r="AF52" s="148">
        <f>$S34</f>
        <v>314</v>
      </c>
      <c r="AG52" s="148">
        <f>$S35</f>
        <v>318</v>
      </c>
      <c r="AH52" s="148">
        <f>$S36</f>
        <v>295</v>
      </c>
      <c r="AI52" s="148">
        <f>$S37</f>
        <v>284</v>
      </c>
      <c r="AJ52" s="154">
        <f>SUM(E52:AI52)</f>
        <v>7993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150</v>
      </c>
      <c r="F53" s="157">
        <f t="shared" si="10"/>
        <v>59</v>
      </c>
      <c r="G53" s="157">
        <f t="shared" si="10"/>
        <v>71</v>
      </c>
      <c r="H53" s="157">
        <f t="shared" si="10"/>
        <v>142</v>
      </c>
      <c r="I53" s="157">
        <f t="shared" si="10"/>
        <v>0</v>
      </c>
      <c r="J53" s="157">
        <f t="shared" si="10"/>
        <v>0</v>
      </c>
      <c r="K53" s="157">
        <f t="shared" si="10"/>
        <v>0</v>
      </c>
      <c r="L53" s="157">
        <f t="shared" si="10"/>
        <v>0</v>
      </c>
      <c r="M53" s="157">
        <f t="shared" si="10"/>
        <v>85.1</v>
      </c>
      <c r="N53" s="157">
        <f t="shared" si="10"/>
        <v>160</v>
      </c>
      <c r="O53" s="157">
        <f t="shared" si="10"/>
        <v>138</v>
      </c>
      <c r="P53" s="157">
        <f t="shared" si="10"/>
        <v>196</v>
      </c>
      <c r="Q53" s="157">
        <f t="shared" si="10"/>
        <v>208</v>
      </c>
      <c r="R53" s="157">
        <f t="shared" si="10"/>
        <v>180</v>
      </c>
      <c r="S53" s="157">
        <f t="shared" si="10"/>
        <v>175</v>
      </c>
      <c r="T53" s="157">
        <f t="shared" si="10"/>
        <v>210</v>
      </c>
      <c r="U53" s="157">
        <f t="shared" si="10"/>
        <v>164</v>
      </c>
      <c r="V53" s="157">
        <f t="shared" si="10"/>
        <v>158</v>
      </c>
      <c r="W53" s="157">
        <f t="shared" si="10"/>
        <v>147</v>
      </c>
      <c r="X53" s="157">
        <f t="shared" si="10"/>
        <v>153</v>
      </c>
      <c r="Y53" s="157">
        <f t="shared" si="10"/>
        <v>102.00999999999999</v>
      </c>
      <c r="Z53" s="157">
        <f t="shared" si="10"/>
        <v>129</v>
      </c>
      <c r="AA53" s="157">
        <f t="shared" si="10"/>
        <v>4</v>
      </c>
      <c r="AB53" s="157">
        <f t="shared" si="10"/>
        <v>0</v>
      </c>
      <c r="AC53" s="157">
        <f t="shared" si="10"/>
        <v>51</v>
      </c>
      <c r="AD53" s="157">
        <f t="shared" si="10"/>
        <v>31</v>
      </c>
      <c r="AE53" s="157">
        <f t="shared" si="10"/>
        <v>111</v>
      </c>
      <c r="AF53" s="157">
        <f t="shared" si="10"/>
        <v>116</v>
      </c>
      <c r="AG53" s="157">
        <f t="shared" si="10"/>
        <v>87</v>
      </c>
      <c r="AH53" s="157">
        <f t="shared" si="10"/>
        <v>112</v>
      </c>
      <c r="AI53" s="157">
        <f t="shared" si="10"/>
        <v>119</v>
      </c>
      <c r="AJ53" s="154">
        <f>SUM(E53:AI53)</f>
        <v>3258.1099999999997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2550</v>
      </c>
      <c r="F54" s="160">
        <f t="shared" si="11"/>
        <v>1003</v>
      </c>
      <c r="G54" s="160">
        <f t="shared" si="11"/>
        <v>1207</v>
      </c>
      <c r="H54" s="160">
        <f t="shared" si="11"/>
        <v>2414</v>
      </c>
      <c r="I54" s="160" t="str">
        <f t="shared" si="11"/>
        <v xml:space="preserve"> </v>
      </c>
      <c r="J54" s="160" t="str">
        <f t="shared" si="11"/>
        <v xml:space="preserve"> </v>
      </c>
      <c r="K54" s="160" t="str">
        <f t="shared" si="11"/>
        <v xml:space="preserve"> </v>
      </c>
      <c r="L54" s="160" t="str">
        <f t="shared" si="11"/>
        <v xml:space="preserve"> </v>
      </c>
      <c r="M54" s="160">
        <f t="shared" si="11"/>
        <v>1446.6999999999998</v>
      </c>
      <c r="N54" s="160">
        <f t="shared" si="11"/>
        <v>2720</v>
      </c>
      <c r="O54" s="160">
        <f t="shared" si="11"/>
        <v>2346</v>
      </c>
      <c r="P54" s="160">
        <f t="shared" si="11"/>
        <v>3332</v>
      </c>
      <c r="Q54" s="160">
        <f t="shared" si="11"/>
        <v>3536</v>
      </c>
      <c r="R54" s="160">
        <f t="shared" si="11"/>
        <v>3060</v>
      </c>
      <c r="S54" s="160">
        <f t="shared" si="11"/>
        <v>2975</v>
      </c>
      <c r="T54" s="160">
        <f t="shared" si="11"/>
        <v>3570</v>
      </c>
      <c r="U54" s="160">
        <f t="shared" si="11"/>
        <v>2788</v>
      </c>
      <c r="V54" s="160">
        <f t="shared" si="11"/>
        <v>2686</v>
      </c>
      <c r="W54" s="160">
        <f t="shared" si="11"/>
        <v>2499</v>
      </c>
      <c r="X54" s="160">
        <f t="shared" si="11"/>
        <v>2601</v>
      </c>
      <c r="Y54" s="160">
        <f t="shared" si="11"/>
        <v>1734.1699999999998</v>
      </c>
      <c r="Z54" s="160">
        <f t="shared" si="11"/>
        <v>2193</v>
      </c>
      <c r="AA54" s="160">
        <f t="shared" si="11"/>
        <v>68</v>
      </c>
      <c r="AB54" s="160" t="str">
        <f t="shared" si="11"/>
        <v xml:space="preserve"> </v>
      </c>
      <c r="AC54" s="160">
        <f t="shared" si="11"/>
        <v>867</v>
      </c>
      <c r="AD54" s="160">
        <f t="shared" si="11"/>
        <v>527</v>
      </c>
      <c r="AE54" s="160">
        <f t="shared" si="11"/>
        <v>1887</v>
      </c>
      <c r="AF54" s="160">
        <f t="shared" si="11"/>
        <v>1972</v>
      </c>
      <c r="AG54" s="160">
        <f t="shared" si="11"/>
        <v>1479</v>
      </c>
      <c r="AH54" s="160">
        <f t="shared" si="11"/>
        <v>1904</v>
      </c>
      <c r="AI54" s="160">
        <f t="shared" si="11"/>
        <v>2023</v>
      </c>
      <c r="AJ54" s="161">
        <f>SUM(E54:AI54)</f>
        <v>55387.869999999995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45839</v>
      </c>
      <c r="B58" s="312" t="s">
        <v>261</v>
      </c>
      <c r="C58" s="312"/>
      <c r="D58" s="306" t="s">
        <v>262</v>
      </c>
      <c r="E58" s="307"/>
      <c r="F58" s="307"/>
      <c r="G58" s="307"/>
      <c r="H58" s="307"/>
      <c r="I58" s="307"/>
      <c r="J58" s="169">
        <v>60</v>
      </c>
      <c r="K58" s="169">
        <v>40</v>
      </c>
      <c r="L58" s="170">
        <v>155</v>
      </c>
      <c r="M58" s="171">
        <f t="shared" ref="M58:M83" si="12">J58-K58</f>
        <v>20</v>
      </c>
      <c r="N58" s="172">
        <f t="shared" ref="N58:N83" si="13">M58/60</f>
        <v>0.33333333333333331</v>
      </c>
      <c r="O58" s="173">
        <f t="shared" ref="O58:O83" si="14">L58*N58</f>
        <v>51.666666666666664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45843</v>
      </c>
      <c r="B59" s="312" t="s">
        <v>267</v>
      </c>
      <c r="C59" s="312"/>
      <c r="D59" s="306" t="s">
        <v>266</v>
      </c>
      <c r="E59" s="307"/>
      <c r="F59" s="307"/>
      <c r="G59" s="307"/>
      <c r="H59" s="307"/>
      <c r="I59" s="307"/>
      <c r="J59" s="169">
        <v>60</v>
      </c>
      <c r="K59" s="169">
        <v>45</v>
      </c>
      <c r="L59" s="170">
        <v>105</v>
      </c>
      <c r="M59" s="171">
        <f t="shared" si="12"/>
        <v>15</v>
      </c>
      <c r="N59" s="172">
        <f t="shared" si="13"/>
        <v>0.25</v>
      </c>
      <c r="O59" s="173">
        <f t="shared" si="14"/>
        <v>26.25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45850</v>
      </c>
      <c r="B60" s="312" t="s">
        <v>270</v>
      </c>
      <c r="C60" s="312"/>
      <c r="D60" s="306" t="s">
        <v>271</v>
      </c>
      <c r="E60" s="307"/>
      <c r="F60" s="307"/>
      <c r="G60" s="307"/>
      <c r="H60" s="307"/>
      <c r="I60" s="307"/>
      <c r="J60" s="169">
        <v>60</v>
      </c>
      <c r="K60" s="169">
        <v>39</v>
      </c>
      <c r="L60" s="170">
        <v>30</v>
      </c>
      <c r="M60" s="171">
        <f t="shared" si="12"/>
        <v>21</v>
      </c>
      <c r="N60" s="172">
        <f t="shared" si="13"/>
        <v>0.35</v>
      </c>
      <c r="O60" s="173">
        <f t="shared" si="14"/>
        <v>10.5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>
        <v>45852</v>
      </c>
      <c r="B61" s="313" t="s">
        <v>272</v>
      </c>
      <c r="C61" s="314"/>
      <c r="D61" s="306" t="s">
        <v>273</v>
      </c>
      <c r="E61" s="307"/>
      <c r="F61" s="307"/>
      <c r="G61" s="307"/>
      <c r="H61" s="307"/>
      <c r="I61" s="307"/>
      <c r="J61" s="169">
        <v>60</v>
      </c>
      <c r="K61" s="169">
        <v>48</v>
      </c>
      <c r="L61" s="170">
        <v>25</v>
      </c>
      <c r="M61" s="171">
        <f t="shared" si="12"/>
        <v>12</v>
      </c>
      <c r="N61" s="172">
        <f t="shared" si="13"/>
        <v>0.2</v>
      </c>
      <c r="O61" s="173">
        <f t="shared" si="14"/>
        <v>5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>
        <v>45854</v>
      </c>
      <c r="B62" s="312" t="s">
        <v>274</v>
      </c>
      <c r="C62" s="312"/>
      <c r="D62" s="306" t="s">
        <v>262</v>
      </c>
      <c r="E62" s="307"/>
      <c r="F62" s="307"/>
      <c r="G62" s="307"/>
      <c r="H62" s="307"/>
      <c r="I62" s="307"/>
      <c r="J62" s="169">
        <v>60</v>
      </c>
      <c r="K62" s="169">
        <v>37</v>
      </c>
      <c r="L62" s="170">
        <v>205</v>
      </c>
      <c r="M62" s="171">
        <f t="shared" si="12"/>
        <v>23</v>
      </c>
      <c r="N62" s="172">
        <f t="shared" si="13"/>
        <v>0.38333333333333336</v>
      </c>
      <c r="O62" s="173">
        <f t="shared" si="14"/>
        <v>78.583333333333343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>
        <v>45857</v>
      </c>
      <c r="B63" s="312" t="s">
        <v>275</v>
      </c>
      <c r="C63" s="312"/>
      <c r="D63" s="306" t="s">
        <v>271</v>
      </c>
      <c r="E63" s="307"/>
      <c r="F63" s="307"/>
      <c r="G63" s="307"/>
      <c r="H63" s="307"/>
      <c r="I63" s="307"/>
      <c r="J63" s="169">
        <v>60</v>
      </c>
      <c r="K63" s="169">
        <v>45</v>
      </c>
      <c r="L63" s="170">
        <v>20</v>
      </c>
      <c r="M63" s="171">
        <f t="shared" si="12"/>
        <v>15</v>
      </c>
      <c r="N63" s="172">
        <f t="shared" si="13"/>
        <v>0.25</v>
      </c>
      <c r="O63" s="173">
        <f t="shared" si="14"/>
        <v>5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>
        <v>45861</v>
      </c>
      <c r="B64" s="302" t="s">
        <v>279</v>
      </c>
      <c r="C64" s="303"/>
      <c r="D64" s="306" t="s">
        <v>280</v>
      </c>
      <c r="E64" s="307"/>
      <c r="F64" s="307"/>
      <c r="G64" s="307"/>
      <c r="H64" s="307"/>
      <c r="I64" s="307"/>
      <c r="J64" s="169">
        <v>60</v>
      </c>
      <c r="K64" s="181">
        <v>28</v>
      </c>
      <c r="L64" s="170">
        <v>85</v>
      </c>
      <c r="M64" s="171">
        <f t="shared" si="12"/>
        <v>32</v>
      </c>
      <c r="N64" s="172">
        <f t="shared" si="13"/>
        <v>0.53333333333333333</v>
      </c>
      <c r="O64" s="173">
        <f t="shared" si="14"/>
        <v>45.333333333333336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>
        <v>45863</v>
      </c>
      <c r="B65" s="302" t="s">
        <v>282</v>
      </c>
      <c r="C65" s="303"/>
      <c r="D65" s="306" t="s">
        <v>281</v>
      </c>
      <c r="E65" s="307"/>
      <c r="F65" s="307"/>
      <c r="G65" s="307"/>
      <c r="H65" s="307"/>
      <c r="I65" s="307"/>
      <c r="J65" s="181">
        <v>60</v>
      </c>
      <c r="K65" s="181">
        <v>25</v>
      </c>
      <c r="L65" s="170">
        <v>170</v>
      </c>
      <c r="M65" s="171">
        <f t="shared" si="12"/>
        <v>35</v>
      </c>
      <c r="N65" s="172">
        <f t="shared" si="13"/>
        <v>0.58333333333333337</v>
      </c>
      <c r="O65" s="173">
        <f t="shared" si="14"/>
        <v>99.166666666666671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>
        <v>45867</v>
      </c>
      <c r="B66" s="311" t="s">
        <v>283</v>
      </c>
      <c r="C66" s="303"/>
      <c r="D66" s="306" t="s">
        <v>262</v>
      </c>
      <c r="E66" s="307"/>
      <c r="F66" s="307"/>
      <c r="G66" s="307"/>
      <c r="H66" s="307"/>
      <c r="I66" s="307"/>
      <c r="J66" s="181">
        <v>30</v>
      </c>
      <c r="K66" s="181">
        <v>20</v>
      </c>
      <c r="L66" s="170">
        <v>170</v>
      </c>
      <c r="M66" s="171">
        <f t="shared" si="12"/>
        <v>10</v>
      </c>
      <c r="N66" s="172">
        <f t="shared" si="13"/>
        <v>0.16666666666666666</v>
      </c>
      <c r="O66" s="173">
        <f t="shared" si="14"/>
        <v>28.333333333333332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03">
        <f>SUM(Q38:R38)*65</f>
        <v>54535</v>
      </c>
      <c r="S73" s="203"/>
      <c r="T73" s="203"/>
      <c r="U73" s="203"/>
      <c r="V73" s="203"/>
      <c r="W73" s="203"/>
      <c r="X73" s="203"/>
      <c r="Y73" s="203"/>
      <c r="Z73" s="190"/>
      <c r="AA73" s="190"/>
      <c r="AB73" s="58"/>
      <c r="AC73" s="58"/>
      <c r="AD73" s="191">
        <f>SUM(R73:AC73)</f>
        <v>54535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03"/>
      <c r="S74" s="203"/>
      <c r="T74" s="203"/>
      <c r="U74" s="203"/>
      <c r="V74" s="203"/>
      <c r="W74" s="203"/>
      <c r="X74" s="203"/>
      <c r="Y74" s="203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54535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54535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349.83333333333331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topLeftCell="I1" zoomScale="90" zoomScaleNormal="90" workbookViewId="0">
      <pane ySplit="5" topLeftCell="A30" activePane="bottomLeft" state="frozen"/>
      <selection pane="bottomLeft" activeCell="A51" sqref="A51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2.625" style="8" customWidth="1"/>
    <col min="29" max="31" width="11.375" style="8" customWidth="1"/>
    <col min="32" max="32" width="10.5" style="8" bestFit="1" customWidth="1"/>
    <col min="33" max="33" width="9.875" style="8" customWidth="1"/>
    <col min="34" max="34" width="9" style="6" customWidth="1"/>
    <col min="35" max="35" width="10.5" style="6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285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134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80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3</v>
      </c>
      <c r="AI5" s="354"/>
      <c r="AJ5" s="250" t="s">
        <v>169</v>
      </c>
      <c r="AK5" s="249" t="s">
        <v>168</v>
      </c>
      <c r="AL5" s="248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258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173</v>
      </c>
      <c r="AN6" s="7"/>
      <c r="AO6" s="7"/>
      <c r="AP6" s="7"/>
      <c r="AQ6"/>
    </row>
    <row r="7" spans="1:43" x14ac:dyDescent="0.3">
      <c r="A7" s="40">
        <v>1</v>
      </c>
      <c r="B7" s="41">
        <v>566</v>
      </c>
      <c r="C7" s="214">
        <f t="shared" ref="C7:C37" si="0">B7/24</f>
        <v>23.583333333333332</v>
      </c>
      <c r="D7" s="43">
        <v>396</v>
      </c>
      <c r="E7" s="44">
        <v>366</v>
      </c>
      <c r="F7" s="44">
        <v>762</v>
      </c>
      <c r="G7" s="45">
        <v>194</v>
      </c>
      <c r="H7" s="218">
        <v>24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357</v>
      </c>
      <c r="P7" s="52">
        <f t="shared" ref="P7:P37" si="3">O7/24</f>
        <v>14.875</v>
      </c>
      <c r="Q7" s="281">
        <v>0</v>
      </c>
      <c r="R7" s="53">
        <v>0</v>
      </c>
      <c r="S7" s="54">
        <v>280</v>
      </c>
      <c r="T7" s="223">
        <v>458</v>
      </c>
      <c r="U7" s="55">
        <f>SUM(B7,I7,M7,O7,Q7,R7,S7)</f>
        <v>1203</v>
      </c>
      <c r="V7" s="231">
        <f t="shared" ref="V7:V37" si="4">U7/24</f>
        <v>50.125</v>
      </c>
      <c r="W7" s="235">
        <v>0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>
        <v>1440</v>
      </c>
      <c r="AJ7" s="58"/>
      <c r="AK7" s="59">
        <v>98</v>
      </c>
      <c r="AL7" s="60">
        <f t="shared" ref="AL7:AL37" si="5">AK7/24</f>
        <v>4.083333333333333</v>
      </c>
      <c r="AM7" s="6">
        <v>1440</v>
      </c>
      <c r="AO7" s="61"/>
      <c r="AP7" s="61">
        <f t="shared" ref="AP7:AP37" si="6">S7-AO7</f>
        <v>280</v>
      </c>
      <c r="AQ7"/>
    </row>
    <row r="8" spans="1:43" x14ac:dyDescent="0.3">
      <c r="A8" s="62">
        <v>2</v>
      </c>
      <c r="B8" s="41">
        <v>986</v>
      </c>
      <c r="C8" s="42">
        <f t="shared" si="0"/>
        <v>41.083333333333336</v>
      </c>
      <c r="D8" s="63">
        <v>690</v>
      </c>
      <c r="E8" s="44">
        <v>570</v>
      </c>
      <c r="F8" s="64">
        <v>1260</v>
      </c>
      <c r="G8" s="20">
        <v>207</v>
      </c>
      <c r="H8" s="216">
        <v>57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127</v>
      </c>
      <c r="P8" s="52">
        <f t="shared" si="3"/>
        <v>5.291666666666667</v>
      </c>
      <c r="Q8" s="281">
        <v>0</v>
      </c>
      <c r="R8" s="53">
        <v>0</v>
      </c>
      <c r="S8" s="54">
        <v>290</v>
      </c>
      <c r="T8" s="223">
        <v>459</v>
      </c>
      <c r="U8" s="55">
        <f>SUM(B8,I8,M8,O8,Q8,R8,S8)</f>
        <v>1403</v>
      </c>
      <c r="V8" s="231">
        <f t="shared" si="4"/>
        <v>58.458333333333336</v>
      </c>
      <c r="W8" s="236">
        <v>0</v>
      </c>
      <c r="X8" s="65">
        <v>0</v>
      </c>
      <c r="Y8" s="66">
        <v>24</v>
      </c>
      <c r="Z8" s="6"/>
      <c r="AA8" s="359" t="s">
        <v>292</v>
      </c>
      <c r="AB8" s="348"/>
      <c r="AC8" s="348"/>
      <c r="AD8" s="348"/>
      <c r="AE8" s="350"/>
      <c r="AF8" s="351"/>
      <c r="AG8" s="351"/>
      <c r="AH8" s="352"/>
      <c r="AI8" s="58">
        <v>540</v>
      </c>
      <c r="AJ8" s="58"/>
      <c r="AK8" s="59">
        <v>96</v>
      </c>
      <c r="AL8" s="60">
        <f t="shared" si="5"/>
        <v>4</v>
      </c>
      <c r="AM8" s="6">
        <v>1440</v>
      </c>
      <c r="AO8" s="61"/>
      <c r="AP8" s="61">
        <f t="shared" si="6"/>
        <v>290</v>
      </c>
      <c r="AQ8"/>
    </row>
    <row r="9" spans="1:43" x14ac:dyDescent="0.3">
      <c r="A9" s="62">
        <v>3</v>
      </c>
      <c r="B9" s="67">
        <v>1154</v>
      </c>
      <c r="C9" s="42">
        <f t="shared" si="0"/>
        <v>48.083333333333336</v>
      </c>
      <c r="D9" s="63">
        <v>808</v>
      </c>
      <c r="E9" s="44">
        <v>601</v>
      </c>
      <c r="F9" s="64">
        <v>1409</v>
      </c>
      <c r="G9" s="20">
        <v>212</v>
      </c>
      <c r="H9" s="216">
        <v>70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0</v>
      </c>
      <c r="P9" s="52">
        <f t="shared" si="3"/>
        <v>0</v>
      </c>
      <c r="Q9" s="281">
        <v>0</v>
      </c>
      <c r="R9" s="53">
        <v>0</v>
      </c>
      <c r="S9" s="54">
        <v>265</v>
      </c>
      <c r="T9" s="223">
        <v>459</v>
      </c>
      <c r="U9" s="55">
        <f t="shared" ref="U9:U37" si="7">SUM(B9,I9,M9,O9,Q9,R9,S9)</f>
        <v>1419</v>
      </c>
      <c r="V9" s="231">
        <f t="shared" si="4"/>
        <v>59.125</v>
      </c>
      <c r="W9" s="236">
        <v>0</v>
      </c>
      <c r="X9" s="65">
        <v>0</v>
      </c>
      <c r="Y9" s="66">
        <v>24</v>
      </c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>
        <v>93</v>
      </c>
      <c r="AL9" s="60">
        <f t="shared" si="5"/>
        <v>3.875</v>
      </c>
      <c r="AM9" s="6">
        <v>1440</v>
      </c>
      <c r="AO9" s="61"/>
      <c r="AP9" s="61">
        <f t="shared" si="6"/>
        <v>265</v>
      </c>
      <c r="AQ9"/>
    </row>
    <row r="10" spans="1:43" x14ac:dyDescent="0.3">
      <c r="A10" s="62">
        <v>4</v>
      </c>
      <c r="B10" s="67">
        <v>1167</v>
      </c>
      <c r="C10" s="42">
        <f t="shared" si="0"/>
        <v>48.625</v>
      </c>
      <c r="D10" s="63">
        <v>817</v>
      </c>
      <c r="E10" s="44">
        <v>629</v>
      </c>
      <c r="F10" s="64">
        <v>1446</v>
      </c>
      <c r="G10" s="20">
        <v>234</v>
      </c>
      <c r="H10" s="216">
        <v>77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0</v>
      </c>
      <c r="P10" s="52">
        <f t="shared" si="3"/>
        <v>0</v>
      </c>
      <c r="Q10" s="281">
        <v>8</v>
      </c>
      <c r="R10" s="53">
        <v>47</v>
      </c>
      <c r="S10" s="54">
        <v>328</v>
      </c>
      <c r="T10" s="223">
        <v>455</v>
      </c>
      <c r="U10" s="55">
        <f t="shared" si="7"/>
        <v>1550</v>
      </c>
      <c r="V10" s="231">
        <f t="shared" si="4"/>
        <v>64.583333333333329</v>
      </c>
      <c r="W10" s="236">
        <v>1.17</v>
      </c>
      <c r="X10" s="65">
        <v>5.33</v>
      </c>
      <c r="Y10" s="66">
        <v>24</v>
      </c>
      <c r="Z10" s="6"/>
      <c r="AA10" s="348" t="s">
        <v>293</v>
      </c>
      <c r="AB10" s="348"/>
      <c r="AC10" s="348"/>
      <c r="AD10" s="348"/>
      <c r="AE10" s="350"/>
      <c r="AF10" s="351"/>
      <c r="AG10" s="351"/>
      <c r="AH10" s="352"/>
      <c r="AI10" s="58"/>
      <c r="AJ10" s="58">
        <v>270</v>
      </c>
      <c r="AK10" s="59">
        <v>96</v>
      </c>
      <c r="AL10" s="60">
        <f t="shared" si="5"/>
        <v>4</v>
      </c>
      <c r="AM10" s="6">
        <v>1440</v>
      </c>
      <c r="AO10" s="61"/>
      <c r="AP10" s="61">
        <f t="shared" si="6"/>
        <v>328</v>
      </c>
      <c r="AQ10"/>
    </row>
    <row r="11" spans="1:43" x14ac:dyDescent="0.3">
      <c r="A11" s="62">
        <v>5</v>
      </c>
      <c r="B11" s="67">
        <v>953</v>
      </c>
      <c r="C11" s="42">
        <f t="shared" si="0"/>
        <v>39.708333333333336</v>
      </c>
      <c r="D11" s="69">
        <v>667</v>
      </c>
      <c r="E11" s="44">
        <v>480</v>
      </c>
      <c r="F11" s="70">
        <v>1147</v>
      </c>
      <c r="G11" s="20">
        <v>300</v>
      </c>
      <c r="H11" s="216">
        <v>52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0</v>
      </c>
      <c r="P11" s="52">
        <f t="shared" si="3"/>
        <v>0</v>
      </c>
      <c r="Q11" s="281">
        <v>2</v>
      </c>
      <c r="R11" s="53">
        <v>17</v>
      </c>
      <c r="S11" s="54">
        <v>187</v>
      </c>
      <c r="T11" s="223">
        <v>257</v>
      </c>
      <c r="U11" s="55">
        <f t="shared" si="7"/>
        <v>1159</v>
      </c>
      <c r="V11" s="231">
        <f t="shared" si="4"/>
        <v>48.291666666666664</v>
      </c>
      <c r="W11" s="236">
        <v>0.5</v>
      </c>
      <c r="X11" s="65">
        <v>1.67</v>
      </c>
      <c r="Y11" s="66">
        <v>24</v>
      </c>
      <c r="Z11" s="6"/>
      <c r="AA11" s="359" t="s">
        <v>294</v>
      </c>
      <c r="AB11" s="348"/>
      <c r="AC11" s="348"/>
      <c r="AD11" s="348"/>
      <c r="AE11" s="350"/>
      <c r="AF11" s="351"/>
      <c r="AG11" s="351"/>
      <c r="AH11" s="352"/>
      <c r="AI11" s="58"/>
      <c r="AJ11" s="58">
        <v>720</v>
      </c>
      <c r="AK11" s="59">
        <v>47</v>
      </c>
      <c r="AL11" s="60">
        <f t="shared" si="5"/>
        <v>1.9583333333333333</v>
      </c>
      <c r="AM11" s="6">
        <v>600</v>
      </c>
      <c r="AO11" s="61"/>
      <c r="AP11" s="61">
        <f t="shared" si="6"/>
        <v>187</v>
      </c>
      <c r="AQ11"/>
    </row>
    <row r="12" spans="1:43" x14ac:dyDescent="0.3">
      <c r="A12" s="62">
        <v>6</v>
      </c>
      <c r="B12" s="67">
        <v>1358</v>
      </c>
      <c r="C12" s="42">
        <f t="shared" si="0"/>
        <v>56.583333333333336</v>
      </c>
      <c r="D12" s="69">
        <v>951</v>
      </c>
      <c r="E12" s="44">
        <v>655</v>
      </c>
      <c r="F12" s="70">
        <v>1606</v>
      </c>
      <c r="G12" s="75">
        <v>338</v>
      </c>
      <c r="H12" s="219">
        <v>71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0</v>
      </c>
      <c r="P12" s="52">
        <f t="shared" si="3"/>
        <v>0</v>
      </c>
      <c r="Q12" s="281">
        <v>0</v>
      </c>
      <c r="R12" s="53">
        <v>0</v>
      </c>
      <c r="S12" s="54">
        <v>299</v>
      </c>
      <c r="T12" s="223">
        <v>466</v>
      </c>
      <c r="U12" s="55">
        <f t="shared" si="7"/>
        <v>1657</v>
      </c>
      <c r="V12" s="231">
        <f t="shared" si="4"/>
        <v>69.041666666666671</v>
      </c>
      <c r="W12" s="236">
        <v>0</v>
      </c>
      <c r="X12" s="65">
        <v>0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98</v>
      </c>
      <c r="AL12" s="60">
        <f t="shared" si="5"/>
        <v>4.083333333333333</v>
      </c>
      <c r="AM12" s="6">
        <v>1440</v>
      </c>
      <c r="AO12" s="61"/>
      <c r="AP12" s="61">
        <f t="shared" si="6"/>
        <v>299</v>
      </c>
      <c r="AQ12"/>
    </row>
    <row r="13" spans="1:43" x14ac:dyDescent="0.3">
      <c r="A13" s="62">
        <v>7</v>
      </c>
      <c r="B13" s="67">
        <v>1428</v>
      </c>
      <c r="C13" s="42">
        <f t="shared" si="0"/>
        <v>59.5</v>
      </c>
      <c r="D13" s="69">
        <v>1000</v>
      </c>
      <c r="E13" s="44">
        <v>688</v>
      </c>
      <c r="F13" s="70">
        <v>1688</v>
      </c>
      <c r="G13" s="20">
        <v>353</v>
      </c>
      <c r="H13" s="216">
        <v>73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0</v>
      </c>
      <c r="P13" s="52">
        <f t="shared" si="3"/>
        <v>0</v>
      </c>
      <c r="Q13" s="281">
        <v>0</v>
      </c>
      <c r="R13" s="53">
        <v>0</v>
      </c>
      <c r="S13" s="54">
        <v>323</v>
      </c>
      <c r="T13" s="223">
        <v>463</v>
      </c>
      <c r="U13" s="55">
        <f t="shared" si="7"/>
        <v>1751</v>
      </c>
      <c r="V13" s="231">
        <f t="shared" si="4"/>
        <v>72.958333333333329</v>
      </c>
      <c r="W13" s="236">
        <v>0</v>
      </c>
      <c r="X13" s="65">
        <v>0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104</v>
      </c>
      <c r="AL13" s="60">
        <f t="shared" si="5"/>
        <v>4.333333333333333</v>
      </c>
      <c r="AM13" s="6">
        <v>1440</v>
      </c>
      <c r="AO13" s="61"/>
      <c r="AP13" s="61">
        <f t="shared" si="6"/>
        <v>323</v>
      </c>
      <c r="AQ13"/>
    </row>
    <row r="14" spans="1:43" x14ac:dyDescent="0.3">
      <c r="A14" s="62">
        <v>8</v>
      </c>
      <c r="B14" s="67">
        <v>1417</v>
      </c>
      <c r="C14" s="42">
        <f t="shared" si="0"/>
        <v>59.041666666666664</v>
      </c>
      <c r="D14" s="69">
        <v>992</v>
      </c>
      <c r="E14" s="44">
        <v>676</v>
      </c>
      <c r="F14" s="70">
        <v>1668</v>
      </c>
      <c r="G14" s="20">
        <v>324</v>
      </c>
      <c r="H14" s="216">
        <v>71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0</v>
      </c>
      <c r="P14" s="52">
        <f t="shared" si="3"/>
        <v>0</v>
      </c>
      <c r="Q14" s="281">
        <v>0</v>
      </c>
      <c r="R14" s="53">
        <v>0</v>
      </c>
      <c r="S14" s="54">
        <v>339</v>
      </c>
      <c r="T14" s="223">
        <v>470</v>
      </c>
      <c r="U14" s="55">
        <f t="shared" si="7"/>
        <v>1756</v>
      </c>
      <c r="V14" s="231">
        <f t="shared" si="4"/>
        <v>73.166666666666671</v>
      </c>
      <c r="W14" s="236">
        <v>0</v>
      </c>
      <c r="X14" s="65">
        <v>0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>
        <v>128</v>
      </c>
      <c r="AL14" s="60">
        <f t="shared" si="5"/>
        <v>5.333333333333333</v>
      </c>
      <c r="AM14" s="6">
        <v>1440</v>
      </c>
      <c r="AO14" s="61"/>
      <c r="AP14" s="61">
        <f t="shared" si="6"/>
        <v>339</v>
      </c>
      <c r="AQ14"/>
    </row>
    <row r="15" spans="1:43" x14ac:dyDescent="0.3">
      <c r="A15" s="62">
        <v>9</v>
      </c>
      <c r="B15" s="67">
        <v>1385</v>
      </c>
      <c r="C15" s="42">
        <f t="shared" si="0"/>
        <v>57.708333333333336</v>
      </c>
      <c r="D15" s="69">
        <v>970</v>
      </c>
      <c r="E15" s="44">
        <v>679</v>
      </c>
      <c r="F15" s="70">
        <v>1648</v>
      </c>
      <c r="G15" s="20">
        <v>313</v>
      </c>
      <c r="H15" s="216">
        <v>70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0</v>
      </c>
      <c r="P15" s="52">
        <f t="shared" si="3"/>
        <v>0</v>
      </c>
      <c r="Q15" s="281">
        <v>0</v>
      </c>
      <c r="R15" s="53">
        <v>0</v>
      </c>
      <c r="S15" s="54">
        <v>327</v>
      </c>
      <c r="T15" s="223">
        <v>453</v>
      </c>
      <c r="U15" s="55">
        <f t="shared" si="7"/>
        <v>1712</v>
      </c>
      <c r="V15" s="231">
        <f t="shared" si="4"/>
        <v>71.333333333333329</v>
      </c>
      <c r="W15" s="236">
        <v>0</v>
      </c>
      <c r="X15" s="65">
        <v>0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>
        <v>146</v>
      </c>
      <c r="AL15" s="60">
        <f t="shared" si="5"/>
        <v>6.083333333333333</v>
      </c>
      <c r="AM15" s="6">
        <v>1440</v>
      </c>
      <c r="AO15" s="61"/>
      <c r="AP15" s="61">
        <f t="shared" si="6"/>
        <v>327</v>
      </c>
      <c r="AQ15"/>
    </row>
    <row r="16" spans="1:43" x14ac:dyDescent="0.3">
      <c r="A16" s="62">
        <v>10</v>
      </c>
      <c r="B16" s="67">
        <v>1390</v>
      </c>
      <c r="C16" s="42">
        <f t="shared" si="0"/>
        <v>57.916666666666664</v>
      </c>
      <c r="D16" s="69">
        <v>973</v>
      </c>
      <c r="E16" s="44">
        <v>694</v>
      </c>
      <c r="F16" s="70">
        <v>1667</v>
      </c>
      <c r="G16" s="20">
        <v>332</v>
      </c>
      <c r="H16" s="216">
        <v>92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0</v>
      </c>
      <c r="P16" s="52">
        <f t="shared" si="3"/>
        <v>0</v>
      </c>
      <c r="Q16" s="281">
        <v>0</v>
      </c>
      <c r="R16" s="53">
        <v>0</v>
      </c>
      <c r="S16" s="54">
        <v>335</v>
      </c>
      <c r="T16" s="223">
        <v>450</v>
      </c>
      <c r="U16" s="55">
        <f t="shared" si="7"/>
        <v>1725</v>
      </c>
      <c r="V16" s="231">
        <f t="shared" si="4"/>
        <v>71.875</v>
      </c>
      <c r="W16" s="236">
        <v>0</v>
      </c>
      <c r="X16" s="65">
        <v>0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153</v>
      </c>
      <c r="AL16" s="60">
        <f t="shared" si="5"/>
        <v>6.375</v>
      </c>
      <c r="AM16" s="6">
        <v>1440</v>
      </c>
      <c r="AO16" s="61"/>
      <c r="AP16" s="61">
        <f t="shared" si="6"/>
        <v>335</v>
      </c>
      <c r="AQ16"/>
    </row>
    <row r="17" spans="1:43" x14ac:dyDescent="0.3">
      <c r="A17" s="62">
        <v>11</v>
      </c>
      <c r="B17" s="67">
        <v>1383</v>
      </c>
      <c r="C17" s="42">
        <f t="shared" si="0"/>
        <v>57.625</v>
      </c>
      <c r="D17" s="69">
        <v>968</v>
      </c>
      <c r="E17" s="44">
        <v>689</v>
      </c>
      <c r="F17" s="70">
        <v>1657</v>
      </c>
      <c r="G17" s="20">
        <v>348</v>
      </c>
      <c r="H17" s="216">
        <v>89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60</v>
      </c>
      <c r="P17" s="52">
        <f t="shared" si="3"/>
        <v>2.5</v>
      </c>
      <c r="Q17" s="281">
        <v>0</v>
      </c>
      <c r="R17" s="53">
        <v>0</v>
      </c>
      <c r="S17" s="54">
        <v>331</v>
      </c>
      <c r="T17" s="223">
        <v>445</v>
      </c>
      <c r="U17" s="55">
        <f t="shared" si="7"/>
        <v>1774</v>
      </c>
      <c r="V17" s="231">
        <f t="shared" si="4"/>
        <v>73.916666666666671</v>
      </c>
      <c r="W17" s="236">
        <v>0</v>
      </c>
      <c r="X17" s="65">
        <v>0</v>
      </c>
      <c r="Y17" s="66">
        <v>24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125</v>
      </c>
      <c r="AL17" s="60">
        <f t="shared" si="5"/>
        <v>5.208333333333333</v>
      </c>
      <c r="AM17" s="6">
        <v>1440</v>
      </c>
      <c r="AO17" s="61"/>
      <c r="AP17" s="61">
        <f t="shared" si="6"/>
        <v>331</v>
      </c>
      <c r="AQ17"/>
    </row>
    <row r="18" spans="1:43" x14ac:dyDescent="0.3">
      <c r="A18" s="62">
        <v>12</v>
      </c>
      <c r="B18" s="67">
        <v>1255</v>
      </c>
      <c r="C18" s="42">
        <f t="shared" si="0"/>
        <v>52.291666666666664</v>
      </c>
      <c r="D18" s="69">
        <v>879</v>
      </c>
      <c r="E18" s="44">
        <v>672</v>
      </c>
      <c r="F18" s="70">
        <v>1550</v>
      </c>
      <c r="G18" s="20">
        <v>300</v>
      </c>
      <c r="H18" s="216">
        <v>80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278</v>
      </c>
      <c r="P18" s="52">
        <f t="shared" si="3"/>
        <v>11.583333333333334</v>
      </c>
      <c r="Q18" s="281">
        <v>1</v>
      </c>
      <c r="R18" s="53">
        <v>0</v>
      </c>
      <c r="S18" s="54">
        <v>298</v>
      </c>
      <c r="T18" s="223">
        <v>457</v>
      </c>
      <c r="U18" s="55">
        <f t="shared" si="7"/>
        <v>1832</v>
      </c>
      <c r="V18" s="231">
        <f t="shared" si="4"/>
        <v>76.333333333333329</v>
      </c>
      <c r="W18" s="236">
        <v>0.17</v>
      </c>
      <c r="X18" s="65">
        <v>0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140</v>
      </c>
      <c r="AL18" s="60">
        <f t="shared" si="5"/>
        <v>5.833333333333333</v>
      </c>
      <c r="AM18" s="6">
        <v>1440</v>
      </c>
      <c r="AO18" s="61"/>
      <c r="AP18" s="61">
        <f t="shared" si="6"/>
        <v>298</v>
      </c>
      <c r="AQ18"/>
    </row>
    <row r="19" spans="1:43" x14ac:dyDescent="0.3">
      <c r="A19" s="62">
        <v>13</v>
      </c>
      <c r="B19" s="67">
        <v>1161</v>
      </c>
      <c r="C19" s="42">
        <f t="shared" si="0"/>
        <v>48.375</v>
      </c>
      <c r="D19" s="280">
        <v>813</v>
      </c>
      <c r="E19" s="44">
        <v>694</v>
      </c>
      <c r="F19" s="19">
        <v>1507</v>
      </c>
      <c r="G19" s="20">
        <v>296</v>
      </c>
      <c r="H19" s="216">
        <v>79</v>
      </c>
      <c r="I19" s="210">
        <v>0</v>
      </c>
      <c r="J19" s="46">
        <f t="shared" si="1"/>
        <v>0</v>
      </c>
      <c r="K19" s="239">
        <v>0</v>
      </c>
      <c r="L19" s="21">
        <v>0</v>
      </c>
      <c r="M19" s="49">
        <v>0</v>
      </c>
      <c r="N19" s="50">
        <f t="shared" si="2"/>
        <v>0</v>
      </c>
      <c r="O19" s="68">
        <v>291</v>
      </c>
      <c r="P19" s="52">
        <f t="shared" si="3"/>
        <v>12.125</v>
      </c>
      <c r="Q19" s="281">
        <v>0</v>
      </c>
      <c r="R19" s="53">
        <v>0</v>
      </c>
      <c r="S19" s="54">
        <v>218</v>
      </c>
      <c r="T19" s="223">
        <v>455</v>
      </c>
      <c r="U19" s="55">
        <f t="shared" si="7"/>
        <v>1670</v>
      </c>
      <c r="V19" s="231">
        <f t="shared" si="4"/>
        <v>69.583333333333329</v>
      </c>
      <c r="W19" s="236">
        <v>0</v>
      </c>
      <c r="X19" s="65">
        <v>0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>
        <v>99</v>
      </c>
      <c r="AL19" s="60">
        <f t="shared" si="5"/>
        <v>4.125</v>
      </c>
      <c r="AM19" s="6">
        <v>1173</v>
      </c>
      <c r="AO19" s="61"/>
      <c r="AP19" s="61">
        <f t="shared" si="6"/>
        <v>218</v>
      </c>
      <c r="AQ19"/>
    </row>
    <row r="20" spans="1:43" x14ac:dyDescent="0.3">
      <c r="A20" s="62">
        <v>14</v>
      </c>
      <c r="B20" s="67">
        <v>1157</v>
      </c>
      <c r="C20" s="42">
        <f t="shared" si="0"/>
        <v>48.208333333333336</v>
      </c>
      <c r="D20" s="280">
        <v>810</v>
      </c>
      <c r="E20" s="44">
        <v>669</v>
      </c>
      <c r="F20" s="19">
        <v>1479</v>
      </c>
      <c r="G20" s="20">
        <v>381</v>
      </c>
      <c r="H20" s="216">
        <v>79</v>
      </c>
      <c r="I20" s="211">
        <v>0</v>
      </c>
      <c r="J20" s="46">
        <f t="shared" si="1"/>
        <v>0</v>
      </c>
      <c r="K20" s="239">
        <v>0</v>
      </c>
      <c r="L20" s="21">
        <v>0</v>
      </c>
      <c r="M20" s="49">
        <v>0</v>
      </c>
      <c r="N20" s="50">
        <f t="shared" si="2"/>
        <v>0</v>
      </c>
      <c r="O20" s="51">
        <v>296</v>
      </c>
      <c r="P20" s="52">
        <f t="shared" si="3"/>
        <v>12.333333333333334</v>
      </c>
      <c r="Q20" s="281">
        <v>0</v>
      </c>
      <c r="R20" s="53">
        <v>0</v>
      </c>
      <c r="S20" s="54">
        <v>239</v>
      </c>
      <c r="T20" s="223">
        <v>478</v>
      </c>
      <c r="U20" s="55">
        <f t="shared" si="7"/>
        <v>1692</v>
      </c>
      <c r="V20" s="231">
        <f t="shared" si="4"/>
        <v>70.5</v>
      </c>
      <c r="W20" s="236">
        <v>0</v>
      </c>
      <c r="X20" s="65">
        <v>0</v>
      </c>
      <c r="Y20" s="66">
        <v>24</v>
      </c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>
        <v>108</v>
      </c>
      <c r="AL20" s="60">
        <f t="shared" si="5"/>
        <v>4.5</v>
      </c>
      <c r="AM20" s="6">
        <v>1440</v>
      </c>
      <c r="AO20" s="61"/>
      <c r="AP20" s="61">
        <f t="shared" si="6"/>
        <v>239</v>
      </c>
      <c r="AQ20"/>
    </row>
    <row r="21" spans="1:43" x14ac:dyDescent="0.3">
      <c r="A21" s="62">
        <v>15</v>
      </c>
      <c r="B21" s="67">
        <v>1138</v>
      </c>
      <c r="C21" s="42">
        <f t="shared" si="0"/>
        <v>47.416666666666664</v>
      </c>
      <c r="D21" s="280">
        <v>797</v>
      </c>
      <c r="E21" s="44">
        <v>690</v>
      </c>
      <c r="F21" s="19">
        <v>1487</v>
      </c>
      <c r="G21" s="20">
        <v>384</v>
      </c>
      <c r="H21" s="216">
        <v>79</v>
      </c>
      <c r="I21" s="211">
        <v>0</v>
      </c>
      <c r="J21" s="46">
        <f t="shared" si="1"/>
        <v>0</v>
      </c>
      <c r="K21" s="239">
        <v>0</v>
      </c>
      <c r="L21" s="21">
        <v>0</v>
      </c>
      <c r="M21" s="49">
        <v>0</v>
      </c>
      <c r="N21" s="50">
        <f t="shared" si="2"/>
        <v>0</v>
      </c>
      <c r="O21" s="51">
        <v>305</v>
      </c>
      <c r="P21" s="52">
        <f t="shared" si="3"/>
        <v>12.708333333333334</v>
      </c>
      <c r="Q21" s="281">
        <v>0</v>
      </c>
      <c r="R21" s="53">
        <v>0</v>
      </c>
      <c r="S21" s="54">
        <v>205</v>
      </c>
      <c r="T21" s="223">
        <v>462</v>
      </c>
      <c r="U21" s="55">
        <f t="shared" si="7"/>
        <v>1648</v>
      </c>
      <c r="V21" s="231">
        <f t="shared" si="4"/>
        <v>68.666666666666671</v>
      </c>
      <c r="W21" s="236">
        <v>0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78</v>
      </c>
      <c r="AL21" s="60">
        <f t="shared" si="5"/>
        <v>3.25</v>
      </c>
      <c r="AM21" s="6">
        <v>1440</v>
      </c>
      <c r="AO21" s="61"/>
      <c r="AP21" s="61">
        <f t="shared" si="6"/>
        <v>205</v>
      </c>
      <c r="AQ21"/>
    </row>
    <row r="22" spans="1:43" x14ac:dyDescent="0.3">
      <c r="A22" s="62">
        <v>16</v>
      </c>
      <c r="B22" s="67">
        <v>1184</v>
      </c>
      <c r="C22" s="42">
        <f t="shared" si="0"/>
        <v>49.333333333333336</v>
      </c>
      <c r="D22" s="280">
        <v>829</v>
      </c>
      <c r="E22" s="44">
        <v>683</v>
      </c>
      <c r="F22" s="19">
        <v>1512</v>
      </c>
      <c r="G22" s="20">
        <v>383</v>
      </c>
      <c r="H22" s="216">
        <v>73</v>
      </c>
      <c r="I22" s="211">
        <v>0</v>
      </c>
      <c r="J22" s="46">
        <f t="shared" si="1"/>
        <v>0</v>
      </c>
      <c r="K22" s="239">
        <v>0</v>
      </c>
      <c r="L22" s="21">
        <v>0</v>
      </c>
      <c r="M22" s="49">
        <v>0</v>
      </c>
      <c r="N22" s="50">
        <f t="shared" si="2"/>
        <v>0</v>
      </c>
      <c r="O22" s="68">
        <v>308</v>
      </c>
      <c r="P22" s="52">
        <f t="shared" si="3"/>
        <v>12.833333333333334</v>
      </c>
      <c r="Q22" s="281">
        <v>0</v>
      </c>
      <c r="R22" s="53">
        <v>0</v>
      </c>
      <c r="S22" s="54">
        <v>0</v>
      </c>
      <c r="T22" s="223">
        <v>17</v>
      </c>
      <c r="U22" s="55">
        <f t="shared" si="7"/>
        <v>1492</v>
      </c>
      <c r="V22" s="231">
        <f t="shared" si="4"/>
        <v>62.166666666666664</v>
      </c>
      <c r="W22" s="236">
        <v>0</v>
      </c>
      <c r="X22" s="65">
        <v>0</v>
      </c>
      <c r="Y22" s="66">
        <v>0</v>
      </c>
      <c r="Z22" s="6"/>
      <c r="AA22" s="348"/>
      <c r="AB22" s="348"/>
      <c r="AC22" s="348"/>
      <c r="AD22" s="349"/>
      <c r="AE22" s="360" t="s">
        <v>297</v>
      </c>
      <c r="AF22" s="351"/>
      <c r="AG22" s="351"/>
      <c r="AH22" s="352"/>
      <c r="AI22" s="58"/>
      <c r="AJ22" s="58"/>
      <c r="AK22" s="59">
        <v>90</v>
      </c>
      <c r="AL22" s="60">
        <f t="shared" si="5"/>
        <v>3.75</v>
      </c>
      <c r="AM22" s="6">
        <v>1440</v>
      </c>
      <c r="AO22" s="61"/>
      <c r="AP22" s="61">
        <f t="shared" si="6"/>
        <v>0</v>
      </c>
      <c r="AQ22"/>
    </row>
    <row r="23" spans="1:43" x14ac:dyDescent="0.3">
      <c r="A23" s="62">
        <v>17</v>
      </c>
      <c r="B23" s="67">
        <v>1180</v>
      </c>
      <c r="C23" s="42">
        <f t="shared" si="0"/>
        <v>49.166666666666664</v>
      </c>
      <c r="D23" s="280">
        <v>826</v>
      </c>
      <c r="E23" s="44">
        <v>624</v>
      </c>
      <c r="F23" s="19">
        <v>1450</v>
      </c>
      <c r="G23" s="20">
        <v>364</v>
      </c>
      <c r="H23" s="216">
        <v>78</v>
      </c>
      <c r="I23" s="211">
        <v>0</v>
      </c>
      <c r="J23" s="46">
        <f t="shared" si="1"/>
        <v>0</v>
      </c>
      <c r="K23" s="239">
        <v>0</v>
      </c>
      <c r="L23" s="21">
        <v>0</v>
      </c>
      <c r="M23" s="49">
        <v>0</v>
      </c>
      <c r="N23" s="50">
        <f t="shared" si="2"/>
        <v>0</v>
      </c>
      <c r="O23" s="68">
        <v>323</v>
      </c>
      <c r="P23" s="52">
        <f t="shared" si="3"/>
        <v>13.458333333333334</v>
      </c>
      <c r="Q23" s="281">
        <v>0</v>
      </c>
      <c r="R23" s="53">
        <v>0</v>
      </c>
      <c r="S23" s="54">
        <v>0</v>
      </c>
      <c r="T23" s="223">
        <v>0</v>
      </c>
      <c r="U23" s="55">
        <f t="shared" si="7"/>
        <v>1503</v>
      </c>
      <c r="V23" s="231">
        <f t="shared" si="4"/>
        <v>62.625</v>
      </c>
      <c r="W23" s="236">
        <v>0</v>
      </c>
      <c r="X23" s="65">
        <v>0</v>
      </c>
      <c r="Y23" s="66">
        <v>0</v>
      </c>
      <c r="Z23" s="6"/>
      <c r="AA23" s="348"/>
      <c r="AB23" s="348"/>
      <c r="AC23" s="348"/>
      <c r="AD23" s="349"/>
      <c r="AE23" s="350"/>
      <c r="AF23" s="351"/>
      <c r="AG23" s="351"/>
      <c r="AH23" s="352"/>
      <c r="AI23" s="58"/>
      <c r="AJ23" s="58"/>
      <c r="AK23" s="59">
        <v>88</v>
      </c>
      <c r="AL23" s="60">
        <f t="shared" si="5"/>
        <v>3.6666666666666665</v>
      </c>
      <c r="AM23" s="6">
        <v>1440</v>
      </c>
      <c r="AO23" s="61"/>
      <c r="AP23" s="61">
        <f t="shared" si="6"/>
        <v>0</v>
      </c>
      <c r="AQ23"/>
    </row>
    <row r="24" spans="1:43" x14ac:dyDescent="0.3">
      <c r="A24" s="62">
        <v>18</v>
      </c>
      <c r="B24" s="67">
        <v>1224</v>
      </c>
      <c r="C24" s="42">
        <f t="shared" si="0"/>
        <v>51</v>
      </c>
      <c r="D24" s="280">
        <v>857</v>
      </c>
      <c r="E24" s="44">
        <v>632</v>
      </c>
      <c r="F24" s="19">
        <v>1489</v>
      </c>
      <c r="G24" s="20">
        <v>361</v>
      </c>
      <c r="H24" s="216">
        <v>87</v>
      </c>
      <c r="I24" s="211">
        <v>0</v>
      </c>
      <c r="J24" s="46">
        <f t="shared" si="1"/>
        <v>0</v>
      </c>
      <c r="K24" s="239">
        <v>0</v>
      </c>
      <c r="L24" s="21">
        <v>0</v>
      </c>
      <c r="M24" s="49">
        <v>0</v>
      </c>
      <c r="N24" s="50">
        <f t="shared" si="2"/>
        <v>0</v>
      </c>
      <c r="O24" s="198">
        <v>315</v>
      </c>
      <c r="P24" s="52">
        <f t="shared" si="3"/>
        <v>13.125</v>
      </c>
      <c r="Q24" s="281">
        <v>0</v>
      </c>
      <c r="R24" s="53">
        <v>0</v>
      </c>
      <c r="S24" s="54">
        <v>0</v>
      </c>
      <c r="T24" s="223">
        <v>0</v>
      </c>
      <c r="U24" s="55">
        <f t="shared" si="7"/>
        <v>1539</v>
      </c>
      <c r="V24" s="231">
        <f t="shared" si="4"/>
        <v>64.125</v>
      </c>
      <c r="W24" s="236">
        <v>0</v>
      </c>
      <c r="X24" s="65">
        <v>0</v>
      </c>
      <c r="Y24" s="66">
        <v>0</v>
      </c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99</v>
      </c>
      <c r="AL24" s="60">
        <f t="shared" si="5"/>
        <v>4.125</v>
      </c>
      <c r="AM24" s="6">
        <v>1440</v>
      </c>
      <c r="AO24" s="61"/>
      <c r="AP24" s="61">
        <f t="shared" si="6"/>
        <v>0</v>
      </c>
      <c r="AQ24"/>
    </row>
    <row r="25" spans="1:43" x14ac:dyDescent="0.3">
      <c r="A25" s="62">
        <v>19</v>
      </c>
      <c r="B25" s="67">
        <v>1263</v>
      </c>
      <c r="C25" s="42">
        <f t="shared" si="0"/>
        <v>52.625</v>
      </c>
      <c r="D25" s="280">
        <v>884</v>
      </c>
      <c r="E25" s="44">
        <v>664</v>
      </c>
      <c r="F25" s="19">
        <v>1548</v>
      </c>
      <c r="G25" s="20">
        <v>391</v>
      </c>
      <c r="H25" s="216">
        <v>83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0</v>
      </c>
      <c r="N25" s="50">
        <f t="shared" si="2"/>
        <v>0</v>
      </c>
      <c r="O25" s="198">
        <v>321</v>
      </c>
      <c r="P25" s="52">
        <f t="shared" si="3"/>
        <v>13.375</v>
      </c>
      <c r="Q25" s="281">
        <v>2</v>
      </c>
      <c r="R25" s="53">
        <v>118</v>
      </c>
      <c r="S25" s="54">
        <v>0</v>
      </c>
      <c r="T25" s="223">
        <v>0</v>
      </c>
      <c r="U25" s="55">
        <f t="shared" si="7"/>
        <v>1704</v>
      </c>
      <c r="V25" s="231">
        <f t="shared" si="4"/>
        <v>71</v>
      </c>
      <c r="W25" s="236">
        <v>0.33</v>
      </c>
      <c r="X25" s="65">
        <v>5.5</v>
      </c>
      <c r="Y25" s="66">
        <v>0</v>
      </c>
      <c r="Z25" s="6"/>
      <c r="AA25" s="348" t="s">
        <v>295</v>
      </c>
      <c r="AB25" s="348"/>
      <c r="AC25" s="348"/>
      <c r="AD25" s="349"/>
      <c r="AE25" s="350"/>
      <c r="AF25" s="351"/>
      <c r="AG25" s="351"/>
      <c r="AH25" s="352"/>
      <c r="AI25" s="58">
        <v>280</v>
      </c>
      <c r="AJ25" s="58"/>
      <c r="AK25" s="59">
        <v>130</v>
      </c>
      <c r="AL25" s="60">
        <f t="shared" si="5"/>
        <v>5.416666666666667</v>
      </c>
      <c r="AM25" s="6">
        <v>1440</v>
      </c>
      <c r="AO25" s="61"/>
      <c r="AP25" s="61">
        <f t="shared" si="6"/>
        <v>0</v>
      </c>
      <c r="AQ25"/>
    </row>
    <row r="26" spans="1:43" x14ac:dyDescent="0.3">
      <c r="A26" s="62">
        <v>20</v>
      </c>
      <c r="B26" s="67">
        <v>905</v>
      </c>
      <c r="C26" s="42">
        <f t="shared" si="0"/>
        <v>37.708333333333336</v>
      </c>
      <c r="D26" s="280">
        <v>634</v>
      </c>
      <c r="E26" s="44">
        <v>517</v>
      </c>
      <c r="F26" s="19">
        <v>1150</v>
      </c>
      <c r="G26" s="20">
        <v>378</v>
      </c>
      <c r="H26" s="216">
        <v>69</v>
      </c>
      <c r="I26" s="211">
        <v>0</v>
      </c>
      <c r="J26" s="46">
        <f t="shared" si="1"/>
        <v>0</v>
      </c>
      <c r="K26" s="239">
        <v>0</v>
      </c>
      <c r="L26" s="21">
        <v>0</v>
      </c>
      <c r="M26" s="49">
        <v>0</v>
      </c>
      <c r="N26" s="50">
        <f t="shared" si="2"/>
        <v>0</v>
      </c>
      <c r="O26" s="198">
        <v>89</v>
      </c>
      <c r="P26" s="52">
        <f t="shared" si="3"/>
        <v>3.7083333333333335</v>
      </c>
      <c r="Q26" s="281">
        <v>0</v>
      </c>
      <c r="R26" s="53">
        <v>24</v>
      </c>
      <c r="S26" s="54">
        <v>0</v>
      </c>
      <c r="T26" s="223">
        <v>0</v>
      </c>
      <c r="U26" s="55">
        <f t="shared" si="7"/>
        <v>1018</v>
      </c>
      <c r="V26" s="231">
        <f t="shared" si="4"/>
        <v>42.416666666666664</v>
      </c>
      <c r="W26" s="236">
        <v>0</v>
      </c>
      <c r="X26" s="65">
        <v>1</v>
      </c>
      <c r="Y26" s="66">
        <v>0</v>
      </c>
      <c r="Z26" s="6"/>
      <c r="AA26" s="348" t="s">
        <v>296</v>
      </c>
      <c r="AB26" s="348"/>
      <c r="AC26" s="348"/>
      <c r="AD26" s="349"/>
      <c r="AE26" s="350"/>
      <c r="AF26" s="351"/>
      <c r="AG26" s="351"/>
      <c r="AH26" s="352"/>
      <c r="AI26" s="58">
        <v>830</v>
      </c>
      <c r="AJ26" s="58"/>
      <c r="AK26" s="59">
        <v>29</v>
      </c>
      <c r="AL26" s="60">
        <f t="shared" si="5"/>
        <v>1.2083333333333333</v>
      </c>
      <c r="AM26" s="6">
        <v>300</v>
      </c>
      <c r="AO26" s="61"/>
      <c r="AP26" s="61">
        <f t="shared" si="6"/>
        <v>0</v>
      </c>
      <c r="AQ26"/>
    </row>
    <row r="27" spans="1:43" x14ac:dyDescent="0.3">
      <c r="A27" s="62">
        <v>21</v>
      </c>
      <c r="B27" s="67">
        <v>1350</v>
      </c>
      <c r="C27" s="42">
        <f t="shared" si="0"/>
        <v>56.25</v>
      </c>
      <c r="D27" s="280">
        <v>945</v>
      </c>
      <c r="E27" s="44">
        <v>717</v>
      </c>
      <c r="F27" s="19">
        <v>1662</v>
      </c>
      <c r="G27" s="20">
        <v>366</v>
      </c>
      <c r="H27" s="216">
        <v>90</v>
      </c>
      <c r="I27" s="211">
        <v>0</v>
      </c>
      <c r="J27" s="46">
        <f t="shared" si="1"/>
        <v>0</v>
      </c>
      <c r="K27" s="239">
        <v>0</v>
      </c>
      <c r="L27" s="21">
        <v>0</v>
      </c>
      <c r="M27" s="49">
        <v>0</v>
      </c>
      <c r="N27" s="50">
        <f t="shared" si="2"/>
        <v>0</v>
      </c>
      <c r="O27" s="198">
        <v>296</v>
      </c>
      <c r="P27" s="52">
        <f t="shared" si="3"/>
        <v>12.333333333333334</v>
      </c>
      <c r="Q27" s="281">
        <v>0</v>
      </c>
      <c r="R27" s="53">
        <v>0</v>
      </c>
      <c r="S27" s="54">
        <v>61</v>
      </c>
      <c r="T27" s="223">
        <v>167</v>
      </c>
      <c r="U27" s="55">
        <f t="shared" si="7"/>
        <v>1707</v>
      </c>
      <c r="V27" s="231">
        <f t="shared" si="4"/>
        <v>71.125</v>
      </c>
      <c r="W27" s="236">
        <v>0</v>
      </c>
      <c r="X27" s="65">
        <v>0</v>
      </c>
      <c r="Y27" s="66">
        <v>15.8</v>
      </c>
      <c r="Z27" s="6"/>
      <c r="AA27" s="348"/>
      <c r="AB27" s="348"/>
      <c r="AC27" s="348"/>
      <c r="AD27" s="349"/>
      <c r="AE27" s="350" t="s">
        <v>300</v>
      </c>
      <c r="AF27" s="351"/>
      <c r="AG27" s="351"/>
      <c r="AH27" s="352"/>
      <c r="AI27" s="58"/>
      <c r="AJ27" s="58"/>
      <c r="AK27" s="59">
        <v>110</v>
      </c>
      <c r="AL27" s="60">
        <f t="shared" si="5"/>
        <v>4.583333333333333</v>
      </c>
      <c r="AM27" s="6">
        <v>1440</v>
      </c>
      <c r="AO27" s="61"/>
      <c r="AP27" s="61">
        <f t="shared" si="6"/>
        <v>61</v>
      </c>
      <c r="AQ27"/>
    </row>
    <row r="28" spans="1:43" x14ac:dyDescent="0.3">
      <c r="A28" s="62">
        <v>22</v>
      </c>
      <c r="B28" s="67">
        <v>1474</v>
      </c>
      <c r="C28" s="42">
        <f t="shared" si="0"/>
        <v>61.416666666666664</v>
      </c>
      <c r="D28" s="280">
        <v>1032</v>
      </c>
      <c r="E28" s="44">
        <v>700</v>
      </c>
      <c r="F28" s="19">
        <v>1732</v>
      </c>
      <c r="G28" s="20">
        <v>350</v>
      </c>
      <c r="H28" s="216">
        <v>94</v>
      </c>
      <c r="I28" s="211">
        <v>0</v>
      </c>
      <c r="J28" s="46">
        <f t="shared" si="1"/>
        <v>0</v>
      </c>
      <c r="K28" s="239">
        <v>0</v>
      </c>
      <c r="L28" s="21">
        <v>0</v>
      </c>
      <c r="M28" s="49">
        <v>0</v>
      </c>
      <c r="N28" s="50">
        <f t="shared" si="2"/>
        <v>0</v>
      </c>
      <c r="O28" s="198">
        <v>335</v>
      </c>
      <c r="P28" s="52">
        <f t="shared" si="3"/>
        <v>13.958333333333334</v>
      </c>
      <c r="Q28" s="281">
        <v>4</v>
      </c>
      <c r="R28" s="53">
        <v>0</v>
      </c>
      <c r="S28" s="54">
        <v>349</v>
      </c>
      <c r="T28" s="223">
        <v>494</v>
      </c>
      <c r="U28" s="55">
        <f t="shared" si="7"/>
        <v>2162</v>
      </c>
      <c r="V28" s="231">
        <f t="shared" si="4"/>
        <v>90.083333333333329</v>
      </c>
      <c r="W28" s="236">
        <v>0.83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130</v>
      </c>
      <c r="AL28" s="60">
        <f t="shared" si="5"/>
        <v>5.416666666666667</v>
      </c>
      <c r="AM28" s="6">
        <v>1440</v>
      </c>
      <c r="AO28" s="61"/>
      <c r="AP28" s="61">
        <f t="shared" si="6"/>
        <v>349</v>
      </c>
      <c r="AQ28"/>
    </row>
    <row r="29" spans="1:43" x14ac:dyDescent="0.3">
      <c r="A29" s="62">
        <v>23</v>
      </c>
      <c r="B29" s="67">
        <v>1468</v>
      </c>
      <c r="C29" s="42">
        <f t="shared" si="0"/>
        <v>61.166666666666664</v>
      </c>
      <c r="D29" s="280">
        <v>1028</v>
      </c>
      <c r="E29" s="44">
        <v>716</v>
      </c>
      <c r="F29" s="19">
        <v>1744</v>
      </c>
      <c r="G29" s="20">
        <v>307</v>
      </c>
      <c r="H29" s="216">
        <v>110</v>
      </c>
      <c r="I29" s="211">
        <v>0</v>
      </c>
      <c r="J29" s="46">
        <f t="shared" si="1"/>
        <v>0</v>
      </c>
      <c r="K29" s="239">
        <v>0</v>
      </c>
      <c r="L29" s="21">
        <v>0</v>
      </c>
      <c r="M29" s="49">
        <v>0</v>
      </c>
      <c r="N29" s="50">
        <f t="shared" si="2"/>
        <v>0</v>
      </c>
      <c r="O29" s="198">
        <v>341</v>
      </c>
      <c r="P29" s="52">
        <f t="shared" si="3"/>
        <v>14.208333333333334</v>
      </c>
      <c r="Q29" s="281">
        <v>0</v>
      </c>
      <c r="R29" s="53">
        <v>0</v>
      </c>
      <c r="S29" s="54">
        <v>376</v>
      </c>
      <c r="T29" s="223">
        <v>492</v>
      </c>
      <c r="U29" s="55">
        <f t="shared" si="7"/>
        <v>2185</v>
      </c>
      <c r="V29" s="231">
        <f t="shared" si="4"/>
        <v>91.041666666666671</v>
      </c>
      <c r="W29" s="236">
        <v>0</v>
      </c>
      <c r="X29" s="65">
        <v>0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143</v>
      </c>
      <c r="AL29" s="60">
        <f t="shared" si="5"/>
        <v>5.958333333333333</v>
      </c>
      <c r="AM29" s="6">
        <v>1320</v>
      </c>
      <c r="AO29" s="61"/>
      <c r="AP29" s="61">
        <f t="shared" si="6"/>
        <v>376</v>
      </c>
      <c r="AQ29"/>
    </row>
    <row r="30" spans="1:43" x14ac:dyDescent="0.3">
      <c r="A30" s="62">
        <v>24</v>
      </c>
      <c r="B30" s="67">
        <v>1465</v>
      </c>
      <c r="C30" s="42">
        <f t="shared" si="0"/>
        <v>61.041666666666664</v>
      </c>
      <c r="D30" s="280">
        <v>1026</v>
      </c>
      <c r="E30" s="44">
        <v>714</v>
      </c>
      <c r="F30" s="19">
        <v>1739</v>
      </c>
      <c r="G30" s="20">
        <v>298</v>
      </c>
      <c r="H30" s="216">
        <v>98</v>
      </c>
      <c r="I30" s="211">
        <v>0</v>
      </c>
      <c r="J30" s="46">
        <f t="shared" si="1"/>
        <v>0</v>
      </c>
      <c r="K30" s="239">
        <v>0</v>
      </c>
      <c r="L30" s="21">
        <v>0</v>
      </c>
      <c r="M30" s="49">
        <v>0</v>
      </c>
      <c r="N30" s="50">
        <f t="shared" si="2"/>
        <v>0</v>
      </c>
      <c r="O30" s="198">
        <v>348</v>
      </c>
      <c r="P30" s="52">
        <f t="shared" si="3"/>
        <v>14.5</v>
      </c>
      <c r="Q30" s="281">
        <v>0</v>
      </c>
      <c r="R30" s="53">
        <v>0</v>
      </c>
      <c r="S30" s="54">
        <v>384</v>
      </c>
      <c r="T30" s="223">
        <v>478</v>
      </c>
      <c r="U30" s="55">
        <f t="shared" si="7"/>
        <v>2197</v>
      </c>
      <c r="V30" s="231">
        <f t="shared" si="4"/>
        <v>91.541666666666671</v>
      </c>
      <c r="W30" s="236">
        <v>0</v>
      </c>
      <c r="X30" s="65">
        <v>0</v>
      </c>
      <c r="Y30" s="66">
        <v>24</v>
      </c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>
        <v>155</v>
      </c>
      <c r="AL30" s="60">
        <f t="shared" si="5"/>
        <v>6.458333333333333</v>
      </c>
      <c r="AM30" s="6">
        <v>1440</v>
      </c>
      <c r="AO30" s="61"/>
      <c r="AP30" s="61">
        <f t="shared" si="6"/>
        <v>384</v>
      </c>
      <c r="AQ30"/>
    </row>
    <row r="31" spans="1:43" x14ac:dyDescent="0.3">
      <c r="A31" s="62">
        <v>25</v>
      </c>
      <c r="B31" s="67">
        <v>1510</v>
      </c>
      <c r="C31" s="42">
        <f t="shared" si="0"/>
        <v>62.916666666666664</v>
      </c>
      <c r="D31" s="280">
        <v>1057</v>
      </c>
      <c r="E31" s="44">
        <v>711</v>
      </c>
      <c r="F31" s="19">
        <v>1768</v>
      </c>
      <c r="G31" s="20">
        <v>351</v>
      </c>
      <c r="H31" s="216">
        <v>92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0</v>
      </c>
      <c r="N31" s="50">
        <f t="shared" si="2"/>
        <v>0</v>
      </c>
      <c r="O31" s="198">
        <v>348</v>
      </c>
      <c r="P31" s="52">
        <f t="shared" si="3"/>
        <v>14.5</v>
      </c>
      <c r="Q31" s="281">
        <v>0</v>
      </c>
      <c r="R31" s="53">
        <v>0</v>
      </c>
      <c r="S31" s="54">
        <v>394</v>
      </c>
      <c r="T31" s="223">
        <v>498</v>
      </c>
      <c r="U31" s="55">
        <f t="shared" si="7"/>
        <v>2252</v>
      </c>
      <c r="V31" s="231">
        <f t="shared" si="4"/>
        <v>93.833333333333329</v>
      </c>
      <c r="W31" s="236">
        <v>0</v>
      </c>
      <c r="X31" s="65">
        <v>0</v>
      </c>
      <c r="Y31" s="66">
        <v>24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>
        <v>148</v>
      </c>
      <c r="AL31" s="60">
        <f t="shared" si="5"/>
        <v>6.166666666666667</v>
      </c>
      <c r="AM31" s="6">
        <v>1440</v>
      </c>
      <c r="AO31" s="61"/>
      <c r="AP31" s="61">
        <f t="shared" si="6"/>
        <v>394</v>
      </c>
      <c r="AQ31"/>
    </row>
    <row r="32" spans="1:43" x14ac:dyDescent="0.3">
      <c r="A32" s="62">
        <v>26</v>
      </c>
      <c r="B32" s="67">
        <v>1491</v>
      </c>
      <c r="C32" s="42">
        <f t="shared" si="0"/>
        <v>62.125</v>
      </c>
      <c r="D32" s="280">
        <v>1044</v>
      </c>
      <c r="E32" s="44">
        <v>728</v>
      </c>
      <c r="F32" s="19">
        <v>1772</v>
      </c>
      <c r="G32" s="20">
        <v>346</v>
      </c>
      <c r="H32" s="216">
        <v>99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200">
        <v>0</v>
      </c>
      <c r="N32" s="50">
        <f t="shared" si="2"/>
        <v>0</v>
      </c>
      <c r="O32" s="198">
        <v>341</v>
      </c>
      <c r="P32" s="52">
        <f t="shared" si="3"/>
        <v>14.208333333333334</v>
      </c>
      <c r="Q32" s="281">
        <v>0</v>
      </c>
      <c r="R32" s="53">
        <v>0</v>
      </c>
      <c r="S32" s="54">
        <v>370</v>
      </c>
      <c r="T32" s="223">
        <v>483</v>
      </c>
      <c r="U32" s="55">
        <f t="shared" si="7"/>
        <v>2202</v>
      </c>
      <c r="V32" s="231">
        <f t="shared" si="4"/>
        <v>91.75</v>
      </c>
      <c r="W32" s="236">
        <v>0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139</v>
      </c>
      <c r="AL32" s="60">
        <f t="shared" si="5"/>
        <v>5.791666666666667</v>
      </c>
      <c r="AM32" s="6">
        <v>1440</v>
      </c>
      <c r="AO32" s="61"/>
      <c r="AP32" s="61">
        <f t="shared" si="6"/>
        <v>370</v>
      </c>
      <c r="AQ32"/>
    </row>
    <row r="33" spans="1:43" x14ac:dyDescent="0.3">
      <c r="A33" s="62">
        <v>27</v>
      </c>
      <c r="B33" s="67">
        <v>1391</v>
      </c>
      <c r="C33" s="42">
        <f t="shared" si="0"/>
        <v>57.958333333333336</v>
      </c>
      <c r="D33" s="280">
        <v>974</v>
      </c>
      <c r="E33" s="44">
        <v>731</v>
      </c>
      <c r="F33" s="19">
        <v>1705</v>
      </c>
      <c r="G33" s="20">
        <v>368</v>
      </c>
      <c r="H33" s="216">
        <v>99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200">
        <v>0</v>
      </c>
      <c r="N33" s="50">
        <f t="shared" si="2"/>
        <v>0</v>
      </c>
      <c r="O33" s="198">
        <v>343</v>
      </c>
      <c r="P33" s="52">
        <f t="shared" si="3"/>
        <v>14.291666666666666</v>
      </c>
      <c r="Q33" s="281">
        <v>0</v>
      </c>
      <c r="R33" s="53">
        <v>0</v>
      </c>
      <c r="S33" s="54">
        <v>305</v>
      </c>
      <c r="T33" s="223">
        <v>494</v>
      </c>
      <c r="U33" s="55">
        <f t="shared" si="7"/>
        <v>2039</v>
      </c>
      <c r="V33" s="231">
        <f t="shared" si="4"/>
        <v>84.958333333333329</v>
      </c>
      <c r="W33" s="236">
        <v>0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111</v>
      </c>
      <c r="AL33" s="60">
        <f t="shared" si="5"/>
        <v>4.625</v>
      </c>
      <c r="AM33" s="6">
        <v>1260</v>
      </c>
      <c r="AO33" s="61"/>
      <c r="AP33" s="61">
        <f t="shared" si="6"/>
        <v>305</v>
      </c>
      <c r="AQ33"/>
    </row>
    <row r="34" spans="1:43" x14ac:dyDescent="0.3">
      <c r="A34" s="62">
        <v>28</v>
      </c>
      <c r="B34" s="67">
        <v>1185</v>
      </c>
      <c r="C34" s="42">
        <f t="shared" si="0"/>
        <v>49.375</v>
      </c>
      <c r="D34" s="280">
        <v>830</v>
      </c>
      <c r="E34" s="44">
        <v>604</v>
      </c>
      <c r="F34" s="19">
        <v>1433</v>
      </c>
      <c r="G34" s="20">
        <v>338</v>
      </c>
      <c r="H34" s="216">
        <v>82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200">
        <v>0</v>
      </c>
      <c r="N34" s="50">
        <f t="shared" si="2"/>
        <v>0</v>
      </c>
      <c r="O34" s="198">
        <v>334</v>
      </c>
      <c r="P34" s="52">
        <f t="shared" si="3"/>
        <v>13.916666666666666</v>
      </c>
      <c r="Q34" s="281">
        <v>0</v>
      </c>
      <c r="R34" s="53">
        <v>0</v>
      </c>
      <c r="S34" s="54">
        <v>173</v>
      </c>
      <c r="T34" s="223">
        <v>487</v>
      </c>
      <c r="U34" s="55">
        <f t="shared" si="7"/>
        <v>1692</v>
      </c>
      <c r="V34" s="231">
        <f t="shared" si="4"/>
        <v>70.5</v>
      </c>
      <c r="W34" s="236">
        <v>0</v>
      </c>
      <c r="X34" s="65">
        <v>0</v>
      </c>
      <c r="Y34" s="66">
        <v>24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>
        <v>88</v>
      </c>
      <c r="AL34" s="60">
        <f t="shared" si="5"/>
        <v>3.6666666666666665</v>
      </c>
      <c r="AM34" s="6">
        <v>1440</v>
      </c>
      <c r="AO34" s="61"/>
      <c r="AP34" s="61">
        <f t="shared" si="6"/>
        <v>173</v>
      </c>
      <c r="AQ34"/>
    </row>
    <row r="35" spans="1:43" x14ac:dyDescent="0.3">
      <c r="A35" s="62">
        <v>29</v>
      </c>
      <c r="B35" s="67">
        <v>1515</v>
      </c>
      <c r="C35" s="42">
        <f t="shared" si="0"/>
        <v>63.125</v>
      </c>
      <c r="D35" s="280">
        <v>1061</v>
      </c>
      <c r="E35" s="44">
        <v>717</v>
      </c>
      <c r="F35" s="19">
        <v>1777</v>
      </c>
      <c r="G35" s="20">
        <v>352</v>
      </c>
      <c r="H35" s="216">
        <v>101</v>
      </c>
      <c r="I35" s="211">
        <v>0</v>
      </c>
      <c r="J35" s="46">
        <f t="shared" si="1"/>
        <v>0</v>
      </c>
      <c r="K35" s="239">
        <v>0</v>
      </c>
      <c r="L35" s="21">
        <v>0</v>
      </c>
      <c r="M35" s="200">
        <v>0</v>
      </c>
      <c r="N35" s="50">
        <f t="shared" si="2"/>
        <v>0</v>
      </c>
      <c r="O35" s="198">
        <v>347</v>
      </c>
      <c r="P35" s="52">
        <f t="shared" si="3"/>
        <v>14.458333333333334</v>
      </c>
      <c r="Q35" s="281">
        <v>0</v>
      </c>
      <c r="R35" s="53">
        <v>0</v>
      </c>
      <c r="S35" s="54">
        <v>364</v>
      </c>
      <c r="T35" s="223">
        <v>490</v>
      </c>
      <c r="U35" s="55">
        <f t="shared" si="7"/>
        <v>2226</v>
      </c>
      <c r="V35" s="231">
        <f t="shared" si="4"/>
        <v>92.75</v>
      </c>
      <c r="W35" s="236">
        <v>0</v>
      </c>
      <c r="X35" s="65">
        <v>0</v>
      </c>
      <c r="Y35" s="66">
        <v>24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>
        <v>144</v>
      </c>
      <c r="AL35" s="60">
        <f t="shared" si="5"/>
        <v>6</v>
      </c>
      <c r="AM35" s="6">
        <v>1440</v>
      </c>
      <c r="AO35" s="61"/>
      <c r="AP35" s="61">
        <f t="shared" si="6"/>
        <v>364</v>
      </c>
      <c r="AQ35"/>
    </row>
    <row r="36" spans="1:43" x14ac:dyDescent="0.3">
      <c r="A36" s="62">
        <v>30</v>
      </c>
      <c r="B36" s="67">
        <v>1471</v>
      </c>
      <c r="C36" s="42">
        <f t="shared" si="0"/>
        <v>61.291666666666664</v>
      </c>
      <c r="D36" s="280">
        <v>1030</v>
      </c>
      <c r="E36" s="44">
        <v>712</v>
      </c>
      <c r="F36" s="19">
        <v>1742</v>
      </c>
      <c r="G36" s="20">
        <v>338</v>
      </c>
      <c r="H36" s="216">
        <v>111</v>
      </c>
      <c r="I36" s="211">
        <v>0</v>
      </c>
      <c r="J36" s="46">
        <f t="shared" si="1"/>
        <v>0</v>
      </c>
      <c r="K36" s="239">
        <v>0</v>
      </c>
      <c r="L36" s="21">
        <v>0</v>
      </c>
      <c r="M36" s="200">
        <v>0</v>
      </c>
      <c r="N36" s="50">
        <f t="shared" si="2"/>
        <v>0</v>
      </c>
      <c r="O36" s="198">
        <v>337</v>
      </c>
      <c r="P36" s="52">
        <f t="shared" si="3"/>
        <v>14.041666666666666</v>
      </c>
      <c r="Q36" s="281">
        <v>0</v>
      </c>
      <c r="R36" s="53">
        <v>0</v>
      </c>
      <c r="S36" s="54">
        <v>390</v>
      </c>
      <c r="T36" s="223">
        <v>473</v>
      </c>
      <c r="U36" s="55">
        <f t="shared" si="7"/>
        <v>2198</v>
      </c>
      <c r="V36" s="231">
        <f t="shared" si="4"/>
        <v>91.583333333333329</v>
      </c>
      <c r="W36" s="236">
        <v>0</v>
      </c>
      <c r="X36" s="65">
        <v>0</v>
      </c>
      <c r="Y36" s="66">
        <v>24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>
        <v>163</v>
      </c>
      <c r="AL36" s="60">
        <f t="shared" si="5"/>
        <v>6.791666666666667</v>
      </c>
      <c r="AM36" s="6">
        <v>1440</v>
      </c>
      <c r="AO36" s="61"/>
      <c r="AP36" s="61">
        <f t="shared" si="6"/>
        <v>390</v>
      </c>
      <c r="AQ36"/>
    </row>
    <row r="37" spans="1:43" ht="17.25" thickBot="1" x14ac:dyDescent="0.35">
      <c r="A37" s="62">
        <v>31</v>
      </c>
      <c r="B37" s="67">
        <v>1489</v>
      </c>
      <c r="C37" s="42">
        <f t="shared" si="0"/>
        <v>62.041666666666664</v>
      </c>
      <c r="D37" s="76">
        <v>1042</v>
      </c>
      <c r="E37" s="44">
        <v>713</v>
      </c>
      <c r="F37" s="77">
        <v>1755</v>
      </c>
      <c r="G37" s="78">
        <v>326</v>
      </c>
      <c r="H37" s="220">
        <v>111</v>
      </c>
      <c r="I37" s="211">
        <v>0</v>
      </c>
      <c r="J37" s="46">
        <f t="shared" si="1"/>
        <v>0</v>
      </c>
      <c r="K37" s="79">
        <v>0</v>
      </c>
      <c r="L37" s="80">
        <v>0</v>
      </c>
      <c r="M37" s="201">
        <v>0</v>
      </c>
      <c r="N37" s="50">
        <f t="shared" si="2"/>
        <v>0</v>
      </c>
      <c r="O37" s="199">
        <v>343</v>
      </c>
      <c r="P37" s="81">
        <f t="shared" si="3"/>
        <v>14.291666666666666</v>
      </c>
      <c r="Q37" s="227">
        <v>0</v>
      </c>
      <c r="R37" s="82">
        <v>0</v>
      </c>
      <c r="S37" s="54">
        <v>386</v>
      </c>
      <c r="T37" s="223">
        <v>478</v>
      </c>
      <c r="U37" s="55">
        <f t="shared" si="7"/>
        <v>2218</v>
      </c>
      <c r="V37" s="232">
        <f t="shared" si="4"/>
        <v>92.416666666666671</v>
      </c>
      <c r="W37" s="237">
        <v>0</v>
      </c>
      <c r="X37" s="83">
        <v>0</v>
      </c>
      <c r="Y37" s="84">
        <v>24</v>
      </c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>
        <v>156</v>
      </c>
      <c r="AL37" s="60">
        <f t="shared" si="5"/>
        <v>6.5</v>
      </c>
      <c r="AM37" s="6">
        <v>1440</v>
      </c>
      <c r="AN37" s="85"/>
      <c r="AO37" s="85"/>
      <c r="AP37" s="61">
        <f t="shared" si="6"/>
        <v>386</v>
      </c>
      <c r="AQ37"/>
    </row>
    <row r="38" spans="1:43" ht="17.25" thickBot="1" x14ac:dyDescent="0.35">
      <c r="A38" s="86" t="s">
        <v>35</v>
      </c>
      <c r="B38" s="87">
        <f t="shared" ref="B38:I38" si="8">SUM(B7:B37)</f>
        <v>39463</v>
      </c>
      <c r="C38" s="88">
        <f t="shared" si="8"/>
        <v>1644.2916666666672</v>
      </c>
      <c r="D38" s="89">
        <f t="shared" si="8"/>
        <v>27630</v>
      </c>
      <c r="E38" s="89">
        <f t="shared" si="8"/>
        <v>20335</v>
      </c>
      <c r="F38" s="89">
        <f t="shared" si="8"/>
        <v>47959</v>
      </c>
      <c r="G38" s="90">
        <f t="shared" si="8"/>
        <v>10133</v>
      </c>
      <c r="H38" s="221">
        <f t="shared" si="8"/>
        <v>2540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6783</v>
      </c>
      <c r="P38" s="93"/>
      <c r="Q38" s="212">
        <f>SUM(Q7:Q37)</f>
        <v>17</v>
      </c>
      <c r="R38" s="87">
        <f>SUM(R7:R37)</f>
        <v>206</v>
      </c>
      <c r="S38" s="87">
        <f>SUM(S7:S37)</f>
        <v>7816</v>
      </c>
      <c r="T38" s="87">
        <f>SUM(T7:T37)</f>
        <v>11738</v>
      </c>
      <c r="U38" s="94">
        <f>SUM(U7:U37)</f>
        <v>54285</v>
      </c>
      <c r="V38" s="207"/>
      <c r="W38" s="238">
        <f>SUM(W7:W37)</f>
        <v>3</v>
      </c>
      <c r="X38" s="89">
        <f>SUM(X7:X37)</f>
        <v>13.5</v>
      </c>
      <c r="Y38" s="91">
        <f>SUM(Y7:Y37)</f>
        <v>615.79999999999995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51.5</v>
      </c>
      <c r="AJ38" s="242">
        <f>SUM(AJ7:AJ37)/60</f>
        <v>16.5</v>
      </c>
      <c r="AK38" s="245">
        <f>SUM(AK7:AK37)</f>
        <v>3532</v>
      </c>
      <c r="AL38" s="97">
        <f>SUM(AL7:AL37)/60</f>
        <v>2.4527777777777775</v>
      </c>
      <c r="AM38" s="240">
        <f>SUM(AM7:AM37)/60</f>
        <v>701.55</v>
      </c>
      <c r="AP38"/>
      <c r="AQ38"/>
    </row>
    <row r="39" spans="1:43" ht="17.25" thickBot="1" x14ac:dyDescent="0.35">
      <c r="A39" s="98" t="s">
        <v>37</v>
      </c>
      <c r="B39" s="99">
        <f>AVERAGE(B7:B37)</f>
        <v>1273</v>
      </c>
      <c r="C39" s="100">
        <f>B39/24</f>
        <v>53.041666666666664</v>
      </c>
      <c r="D39" s="101">
        <f t="shared" ref="D39:I39" si="9">AVERAGE(D7:D37)</f>
        <v>891.29032258064512</v>
      </c>
      <c r="E39" s="101">
        <f t="shared" si="9"/>
        <v>655.9677419354839</v>
      </c>
      <c r="F39" s="101">
        <f t="shared" si="9"/>
        <v>1547.0645161290322</v>
      </c>
      <c r="G39" s="208">
        <f t="shared" si="9"/>
        <v>326.87096774193549</v>
      </c>
      <c r="H39" s="102">
        <f t="shared" si="9"/>
        <v>81.935483870967744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218.80645161290323</v>
      </c>
      <c r="P39" s="229">
        <f>O39/24</f>
        <v>9.116935483870968</v>
      </c>
      <c r="Q39" s="228">
        <f>AVERAGE(Q7:Q37)</f>
        <v>0.54838709677419351</v>
      </c>
      <c r="R39" s="106">
        <f>AVERAGE(R7:R37)</f>
        <v>6.645161290322581</v>
      </c>
      <c r="S39" s="102">
        <f>AVERAGE(S7:S37)</f>
        <v>252.12903225806451</v>
      </c>
      <c r="T39" s="102">
        <f>AVERAGE(T7:T37)</f>
        <v>378.64516129032256</v>
      </c>
      <c r="U39" s="107">
        <f>AVERAGE(U7:U37)</f>
        <v>1751.1290322580646</v>
      </c>
      <c r="V39" s="233">
        <f>U39/24</f>
        <v>72.963709677419359</v>
      </c>
      <c r="W39" s="105">
        <f>AVERAGE(W7:W37)</f>
        <v>9.6774193548387094E-2</v>
      </c>
      <c r="X39" s="101">
        <f>AVERAGE(X7:X37)</f>
        <v>0.43548387096774194</v>
      </c>
      <c r="Y39" s="104">
        <f>AVERAGE(Y7:Y37)</f>
        <v>19.864516129032257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68</v>
      </c>
      <c r="AI39" s="354"/>
      <c r="AJ39" s="246">
        <f>AI39/24</f>
        <v>0</v>
      </c>
      <c r="AK39" s="245">
        <f>(AJ38/31)/24</f>
        <v>2.2177419354838707E-2</v>
      </c>
      <c r="AP39"/>
      <c r="AQ39"/>
    </row>
    <row r="40" spans="1:43" ht="17.25" thickBot="1" x14ac:dyDescent="0.35">
      <c r="A40" s="7"/>
      <c r="M40" s="108">
        <f>M38+O38</f>
        <v>6783</v>
      </c>
      <c r="P40" s="109">
        <f>Q38+R38</f>
        <v>223</v>
      </c>
      <c r="Q40" s="110" t="s">
        <v>39</v>
      </c>
      <c r="R40" s="6">
        <f>Q38+R38</f>
        <v>223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263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0.29973118279569894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10.505376344086022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53.041666666666664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9.116935483870968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72.963709677419359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78" t="s">
        <v>50</v>
      </c>
      <c r="E49" s="278" t="s">
        <v>284</v>
      </c>
      <c r="F49" s="140" t="s">
        <v>51</v>
      </c>
      <c r="G49" s="140" t="s">
        <v>52</v>
      </c>
      <c r="H49" s="278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470</v>
      </c>
      <c r="F50" s="148">
        <v>467</v>
      </c>
      <c r="G50" s="148">
        <v>467</v>
      </c>
      <c r="H50" s="148">
        <v>460</v>
      </c>
      <c r="I50" s="148">
        <v>304</v>
      </c>
      <c r="J50" s="148">
        <v>475</v>
      </c>
      <c r="K50" s="148">
        <v>470</v>
      </c>
      <c r="L50" s="148">
        <v>476</v>
      </c>
      <c r="M50" s="148">
        <v>460</v>
      </c>
      <c r="N50" s="148">
        <v>452</v>
      </c>
      <c r="O50" s="148">
        <v>451</v>
      </c>
      <c r="P50" s="148">
        <v>461</v>
      </c>
      <c r="Q50" s="148">
        <v>462</v>
      </c>
      <c r="R50" s="148">
        <v>485</v>
      </c>
      <c r="S50" s="148">
        <v>469</v>
      </c>
      <c r="T50" s="148">
        <v>0</v>
      </c>
      <c r="U50" s="148">
        <v>0</v>
      </c>
      <c r="V50" s="148">
        <v>0</v>
      </c>
      <c r="W50" s="148">
        <v>0</v>
      </c>
      <c r="X50" s="148">
        <v>0</v>
      </c>
      <c r="Y50" s="148">
        <v>156</v>
      </c>
      <c r="Z50" s="148">
        <v>509</v>
      </c>
      <c r="AA50" s="148">
        <v>503</v>
      </c>
      <c r="AB50" s="148">
        <v>493</v>
      </c>
      <c r="AC50" s="148">
        <v>510</v>
      </c>
      <c r="AD50" s="148">
        <v>496</v>
      </c>
      <c r="AE50" s="148">
        <v>507</v>
      </c>
      <c r="AF50" s="148">
        <v>500</v>
      </c>
      <c r="AG50" s="148">
        <v>500</v>
      </c>
      <c r="AH50" s="148">
        <v>489</v>
      </c>
      <c r="AI50" s="148">
        <v>386</v>
      </c>
      <c r="AJ50" s="149">
        <f>SUM(E50:AI50)</f>
        <v>11878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72</v>
      </c>
      <c r="I51" s="148">
        <v>72</v>
      </c>
      <c r="J51" s="148">
        <v>72</v>
      </c>
      <c r="K51" s="148">
        <v>72</v>
      </c>
      <c r="L51" s="148">
        <v>72</v>
      </c>
      <c r="M51" s="148">
        <v>72</v>
      </c>
      <c r="N51" s="148">
        <v>72</v>
      </c>
      <c r="O51" s="148">
        <v>72</v>
      </c>
      <c r="P51" s="148">
        <v>72</v>
      </c>
      <c r="Q51" s="148">
        <v>72</v>
      </c>
      <c r="R51" s="148">
        <v>72</v>
      </c>
      <c r="S51" s="148">
        <v>72</v>
      </c>
      <c r="T51" s="148">
        <v>0</v>
      </c>
      <c r="U51" s="148">
        <v>0</v>
      </c>
      <c r="V51" s="148">
        <v>0</v>
      </c>
      <c r="W51" s="148">
        <v>0</v>
      </c>
      <c r="X51" s="148">
        <v>0</v>
      </c>
      <c r="Y51" s="148">
        <v>47.400000000000006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72</v>
      </c>
      <c r="AG51" s="148">
        <v>72</v>
      </c>
      <c r="AH51" s="148">
        <v>72</v>
      </c>
      <c r="AI51" s="148">
        <v>72</v>
      </c>
      <c r="AJ51" s="149">
        <f>SUM(E51:AI51)</f>
        <v>1847.4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280</v>
      </c>
      <c r="F52" s="148">
        <f>$S8</f>
        <v>290</v>
      </c>
      <c r="G52" s="148">
        <f>$S9</f>
        <v>265</v>
      </c>
      <c r="H52" s="148">
        <f>$S10</f>
        <v>328</v>
      </c>
      <c r="I52" s="148">
        <f>$S11</f>
        <v>187</v>
      </c>
      <c r="J52" s="148">
        <f>$S12</f>
        <v>299</v>
      </c>
      <c r="K52" s="148">
        <f>$S13</f>
        <v>323</v>
      </c>
      <c r="L52" s="148">
        <f>$S14</f>
        <v>339</v>
      </c>
      <c r="M52" s="148">
        <f>$S15</f>
        <v>327</v>
      </c>
      <c r="N52" s="148">
        <f>$S16</f>
        <v>335</v>
      </c>
      <c r="O52" s="148">
        <f>$S17</f>
        <v>331</v>
      </c>
      <c r="P52" s="148">
        <f>$S18</f>
        <v>298</v>
      </c>
      <c r="Q52" s="148">
        <f>$S19</f>
        <v>218</v>
      </c>
      <c r="R52" s="148">
        <f>$S20</f>
        <v>239</v>
      </c>
      <c r="S52" s="148">
        <f>$S21</f>
        <v>205</v>
      </c>
      <c r="T52" s="148">
        <f>$S22</f>
        <v>0</v>
      </c>
      <c r="U52" s="148">
        <f>$S23</f>
        <v>0</v>
      </c>
      <c r="V52" s="148">
        <f>$S24</f>
        <v>0</v>
      </c>
      <c r="W52" s="148">
        <f>$S25</f>
        <v>0</v>
      </c>
      <c r="X52" s="148">
        <f>$S26</f>
        <v>0</v>
      </c>
      <c r="Y52" s="148">
        <f>$S27</f>
        <v>61</v>
      </c>
      <c r="Z52" s="148">
        <f>$S28</f>
        <v>349</v>
      </c>
      <c r="AA52" s="148">
        <f>$S29</f>
        <v>376</v>
      </c>
      <c r="AB52" s="148">
        <f>$S30</f>
        <v>384</v>
      </c>
      <c r="AC52" s="148">
        <f>$S31</f>
        <v>394</v>
      </c>
      <c r="AD52" s="148">
        <f>$S32</f>
        <v>370</v>
      </c>
      <c r="AE52" s="148">
        <f>$S33</f>
        <v>305</v>
      </c>
      <c r="AF52" s="148">
        <f>$S34</f>
        <v>173</v>
      </c>
      <c r="AG52" s="148">
        <f>$S35</f>
        <v>364</v>
      </c>
      <c r="AH52" s="148">
        <f>$S36</f>
        <v>390</v>
      </c>
      <c r="AI52" s="148">
        <f>$S37</f>
        <v>386</v>
      </c>
      <c r="AJ52" s="154">
        <f>SUM(E52:AI52)</f>
        <v>7816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118</v>
      </c>
      <c r="F53" s="157">
        <f t="shared" si="10"/>
        <v>105</v>
      </c>
      <c r="G53" s="157">
        <f t="shared" si="10"/>
        <v>130</v>
      </c>
      <c r="H53" s="157">
        <f t="shared" si="10"/>
        <v>60</v>
      </c>
      <c r="I53" s="157">
        <f t="shared" si="10"/>
        <v>45</v>
      </c>
      <c r="J53" s="157">
        <f t="shared" si="10"/>
        <v>104</v>
      </c>
      <c r="K53" s="157">
        <f t="shared" si="10"/>
        <v>75</v>
      </c>
      <c r="L53" s="157">
        <f t="shared" si="10"/>
        <v>65</v>
      </c>
      <c r="M53" s="157">
        <f t="shared" si="10"/>
        <v>61</v>
      </c>
      <c r="N53" s="157">
        <f t="shared" si="10"/>
        <v>45</v>
      </c>
      <c r="O53" s="157">
        <f t="shared" si="10"/>
        <v>48</v>
      </c>
      <c r="P53" s="157">
        <f t="shared" si="10"/>
        <v>91</v>
      </c>
      <c r="Q53" s="157">
        <f t="shared" si="10"/>
        <v>172</v>
      </c>
      <c r="R53" s="157">
        <f t="shared" si="10"/>
        <v>174</v>
      </c>
      <c r="S53" s="157">
        <f t="shared" si="10"/>
        <v>192</v>
      </c>
      <c r="T53" s="157">
        <f t="shared" si="10"/>
        <v>0</v>
      </c>
      <c r="U53" s="157">
        <f t="shared" si="10"/>
        <v>0</v>
      </c>
      <c r="V53" s="157">
        <f t="shared" si="10"/>
        <v>0</v>
      </c>
      <c r="W53" s="157">
        <f t="shared" si="10"/>
        <v>0</v>
      </c>
      <c r="X53" s="157">
        <f t="shared" si="10"/>
        <v>0</v>
      </c>
      <c r="Y53" s="157">
        <f t="shared" si="10"/>
        <v>47.599999999999994</v>
      </c>
      <c r="Z53" s="157">
        <f t="shared" si="10"/>
        <v>88</v>
      </c>
      <c r="AA53" s="157">
        <f t="shared" si="10"/>
        <v>55</v>
      </c>
      <c r="AB53" s="157">
        <f t="shared" si="10"/>
        <v>37</v>
      </c>
      <c r="AC53" s="157">
        <f t="shared" si="10"/>
        <v>44</v>
      </c>
      <c r="AD53" s="157">
        <f t="shared" si="10"/>
        <v>54</v>
      </c>
      <c r="AE53" s="157">
        <f t="shared" si="10"/>
        <v>130</v>
      </c>
      <c r="AF53" s="157">
        <f t="shared" si="10"/>
        <v>255</v>
      </c>
      <c r="AG53" s="157">
        <f t="shared" si="10"/>
        <v>64</v>
      </c>
      <c r="AH53" s="157">
        <f t="shared" si="10"/>
        <v>27</v>
      </c>
      <c r="AI53" s="157">
        <f t="shared" si="10"/>
        <v>0</v>
      </c>
      <c r="AJ53" s="154">
        <f>SUM(E53:AI53)</f>
        <v>2286.6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2006</v>
      </c>
      <c r="F54" s="160">
        <f t="shared" si="11"/>
        <v>1785</v>
      </c>
      <c r="G54" s="160">
        <f t="shared" si="11"/>
        <v>2210</v>
      </c>
      <c r="H54" s="160">
        <f t="shared" si="11"/>
        <v>1020</v>
      </c>
      <c r="I54" s="160">
        <f t="shared" si="11"/>
        <v>765</v>
      </c>
      <c r="J54" s="160">
        <f t="shared" si="11"/>
        <v>1768</v>
      </c>
      <c r="K54" s="160">
        <f t="shared" si="11"/>
        <v>1275</v>
      </c>
      <c r="L54" s="160">
        <f t="shared" si="11"/>
        <v>1105</v>
      </c>
      <c r="M54" s="160">
        <f t="shared" si="11"/>
        <v>1037</v>
      </c>
      <c r="N54" s="160">
        <f t="shared" si="11"/>
        <v>765</v>
      </c>
      <c r="O54" s="160">
        <f t="shared" si="11"/>
        <v>816</v>
      </c>
      <c r="P54" s="160">
        <f t="shared" si="11"/>
        <v>1547</v>
      </c>
      <c r="Q54" s="160">
        <f t="shared" si="11"/>
        <v>2924</v>
      </c>
      <c r="R54" s="160">
        <f t="shared" si="11"/>
        <v>2958</v>
      </c>
      <c r="S54" s="160">
        <f t="shared" si="11"/>
        <v>3264</v>
      </c>
      <c r="T54" s="160" t="str">
        <f t="shared" si="11"/>
        <v xml:space="preserve"> </v>
      </c>
      <c r="U54" s="160" t="str">
        <f t="shared" si="11"/>
        <v xml:space="preserve"> </v>
      </c>
      <c r="V54" s="160" t="str">
        <f t="shared" si="11"/>
        <v xml:space="preserve"> </v>
      </c>
      <c r="W54" s="160" t="str">
        <f t="shared" si="11"/>
        <v xml:space="preserve"> </v>
      </c>
      <c r="X54" s="160" t="str">
        <f t="shared" si="11"/>
        <v xml:space="preserve"> </v>
      </c>
      <c r="Y54" s="160">
        <f t="shared" si="11"/>
        <v>809.19999999999993</v>
      </c>
      <c r="Z54" s="160">
        <f t="shared" si="11"/>
        <v>1496</v>
      </c>
      <c r="AA54" s="160">
        <f t="shared" si="11"/>
        <v>935</v>
      </c>
      <c r="AB54" s="160">
        <f t="shared" si="11"/>
        <v>629</v>
      </c>
      <c r="AC54" s="160">
        <f t="shared" si="11"/>
        <v>748</v>
      </c>
      <c r="AD54" s="160">
        <f t="shared" si="11"/>
        <v>918</v>
      </c>
      <c r="AE54" s="160">
        <f t="shared" si="11"/>
        <v>2210</v>
      </c>
      <c r="AF54" s="160">
        <f t="shared" si="11"/>
        <v>4335</v>
      </c>
      <c r="AG54" s="160">
        <f t="shared" si="11"/>
        <v>1088</v>
      </c>
      <c r="AH54" s="160">
        <f t="shared" si="11"/>
        <v>459</v>
      </c>
      <c r="AI54" s="160" t="str">
        <f t="shared" si="11"/>
        <v xml:space="preserve"> </v>
      </c>
      <c r="AJ54" s="161">
        <f>SUM(E54:AI54)</f>
        <v>38872.199999999997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45882</v>
      </c>
      <c r="B58" s="312" t="s">
        <v>286</v>
      </c>
      <c r="C58" s="312"/>
      <c r="D58" s="306" t="s">
        <v>287</v>
      </c>
      <c r="E58" s="307"/>
      <c r="F58" s="307"/>
      <c r="G58" s="307"/>
      <c r="H58" s="307"/>
      <c r="I58" s="307"/>
      <c r="J58" s="169">
        <v>60</v>
      </c>
      <c r="K58" s="169">
        <v>40</v>
      </c>
      <c r="L58" s="170">
        <v>255</v>
      </c>
      <c r="M58" s="171">
        <f t="shared" ref="M58:M83" si="12">J58-K58</f>
        <v>20</v>
      </c>
      <c r="N58" s="172">
        <f t="shared" ref="N58:N83" si="13">M58/60</f>
        <v>0.33333333333333331</v>
      </c>
      <c r="O58" s="173">
        <f t="shared" ref="O58:O83" si="14">L58*N58</f>
        <v>85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45884</v>
      </c>
      <c r="B59" s="312" t="s">
        <v>289</v>
      </c>
      <c r="C59" s="312"/>
      <c r="D59" s="306" t="s">
        <v>288</v>
      </c>
      <c r="E59" s="307"/>
      <c r="F59" s="307"/>
      <c r="G59" s="307"/>
      <c r="H59" s="307"/>
      <c r="I59" s="307"/>
      <c r="J59" s="169">
        <v>60</v>
      </c>
      <c r="K59" s="169">
        <v>38</v>
      </c>
      <c r="L59" s="170">
        <v>35</v>
      </c>
      <c r="M59" s="171">
        <f t="shared" si="12"/>
        <v>22</v>
      </c>
      <c r="N59" s="172">
        <f t="shared" si="13"/>
        <v>0.36666666666666664</v>
      </c>
      <c r="O59" s="173">
        <f t="shared" si="14"/>
        <v>12.833333333333332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45886</v>
      </c>
      <c r="B60" s="312" t="s">
        <v>290</v>
      </c>
      <c r="C60" s="312"/>
      <c r="D60" s="306" t="s">
        <v>291</v>
      </c>
      <c r="E60" s="307"/>
      <c r="F60" s="307"/>
      <c r="G60" s="307"/>
      <c r="H60" s="307"/>
      <c r="I60" s="307"/>
      <c r="J60" s="169">
        <v>60</v>
      </c>
      <c r="K60" s="169">
        <v>48</v>
      </c>
      <c r="L60" s="170">
        <v>157</v>
      </c>
      <c r="M60" s="171">
        <f t="shared" si="12"/>
        <v>12</v>
      </c>
      <c r="N60" s="172">
        <f t="shared" si="13"/>
        <v>0.2</v>
      </c>
      <c r="O60" s="173">
        <f t="shared" si="14"/>
        <v>31.400000000000002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>
        <v>45890</v>
      </c>
      <c r="B61" s="313" t="s">
        <v>298</v>
      </c>
      <c r="C61" s="314"/>
      <c r="D61" s="306" t="s">
        <v>299</v>
      </c>
      <c r="E61" s="307"/>
      <c r="F61" s="307"/>
      <c r="G61" s="307"/>
      <c r="H61" s="307"/>
      <c r="I61" s="307"/>
      <c r="J61" s="169">
        <v>60</v>
      </c>
      <c r="K61" s="169">
        <v>37</v>
      </c>
      <c r="L61" s="170">
        <v>140</v>
      </c>
      <c r="M61" s="171">
        <f t="shared" si="12"/>
        <v>23</v>
      </c>
      <c r="N61" s="172">
        <f t="shared" si="13"/>
        <v>0.38333333333333336</v>
      </c>
      <c r="O61" s="173">
        <f t="shared" si="14"/>
        <v>53.666666666666671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>
        <v>45892</v>
      </c>
      <c r="B62" s="312" t="s">
        <v>301</v>
      </c>
      <c r="C62" s="312"/>
      <c r="D62" s="306" t="s">
        <v>302</v>
      </c>
      <c r="E62" s="307"/>
      <c r="F62" s="307"/>
      <c r="G62" s="307"/>
      <c r="H62" s="307"/>
      <c r="I62" s="307"/>
      <c r="J62" s="169">
        <v>60</v>
      </c>
      <c r="K62" s="169">
        <v>45</v>
      </c>
      <c r="L62" s="170">
        <v>90</v>
      </c>
      <c r="M62" s="171">
        <f t="shared" si="12"/>
        <v>15</v>
      </c>
      <c r="N62" s="172">
        <f t="shared" si="13"/>
        <v>0.25</v>
      </c>
      <c r="O62" s="173">
        <f t="shared" si="14"/>
        <v>22.5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>
        <v>45896</v>
      </c>
      <c r="B63" s="312" t="s">
        <v>303</v>
      </c>
      <c r="C63" s="312"/>
      <c r="D63" s="306" t="s">
        <v>287</v>
      </c>
      <c r="E63" s="307"/>
      <c r="F63" s="307"/>
      <c r="G63" s="307"/>
      <c r="H63" s="307"/>
      <c r="I63" s="307"/>
      <c r="J63" s="169">
        <v>60</v>
      </c>
      <c r="K63" s="169">
        <v>45</v>
      </c>
      <c r="L63" s="170">
        <v>110</v>
      </c>
      <c r="M63" s="171">
        <f t="shared" si="12"/>
        <v>15</v>
      </c>
      <c r="N63" s="172">
        <f t="shared" si="13"/>
        <v>0.25</v>
      </c>
      <c r="O63" s="173">
        <f t="shared" si="14"/>
        <v>27.5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>
        <v>45896</v>
      </c>
      <c r="B64" s="302" t="s">
        <v>304</v>
      </c>
      <c r="C64" s="303"/>
      <c r="D64" s="306" t="s">
        <v>162</v>
      </c>
      <c r="E64" s="307"/>
      <c r="F64" s="307"/>
      <c r="G64" s="307"/>
      <c r="H64" s="307"/>
      <c r="I64" s="307"/>
      <c r="J64" s="169">
        <v>60</v>
      </c>
      <c r="K64" s="181">
        <v>50</v>
      </c>
      <c r="L64" s="170">
        <v>50</v>
      </c>
      <c r="M64" s="171">
        <f t="shared" si="12"/>
        <v>10</v>
      </c>
      <c r="N64" s="172">
        <f t="shared" si="13"/>
        <v>0.16666666666666666</v>
      </c>
      <c r="O64" s="173">
        <f t="shared" si="14"/>
        <v>8.3333333333333321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79"/>
      <c r="S67" s="279"/>
      <c r="T67" s="279"/>
      <c r="U67" s="279"/>
      <c r="V67" s="279"/>
      <c r="W67" s="279"/>
      <c r="X67" s="279"/>
      <c r="Y67" s="279"/>
      <c r="Z67" s="279"/>
      <c r="AA67" s="279"/>
      <c r="AB67" s="279"/>
      <c r="AC67" s="279"/>
      <c r="AD67" s="279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79">
        <f>SUM(Q38:R38)*65</f>
        <v>14495</v>
      </c>
      <c r="S73" s="279"/>
      <c r="T73" s="279"/>
      <c r="U73" s="279"/>
      <c r="V73" s="279"/>
      <c r="W73" s="279"/>
      <c r="X73" s="279"/>
      <c r="Y73" s="279"/>
      <c r="Z73" s="190"/>
      <c r="AA73" s="190"/>
      <c r="AB73" s="58"/>
      <c r="AC73" s="58"/>
      <c r="AD73" s="191">
        <f>SUM(R73:AC73)</f>
        <v>14495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79"/>
      <c r="S74" s="279"/>
      <c r="T74" s="279"/>
      <c r="U74" s="279"/>
      <c r="V74" s="279"/>
      <c r="W74" s="279"/>
      <c r="X74" s="279"/>
      <c r="Y74" s="279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14495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14495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241.23333333333332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89"/>
  <sheetViews>
    <sheetView zoomScale="90" zoomScaleNormal="90" workbookViewId="0">
      <selection activeCell="O39" sqref="O39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2.625" style="8" customWidth="1"/>
    <col min="29" max="31" width="11.375" style="8" customWidth="1"/>
    <col min="32" max="32" width="10.5" style="8" bestFit="1" customWidth="1"/>
    <col min="33" max="33" width="9.875" style="8" customWidth="1"/>
    <col min="34" max="34" width="9" style="6" customWidth="1"/>
    <col min="35" max="35" width="10.5" style="6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306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82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170</v>
      </c>
      <c r="AI5" s="354"/>
      <c r="AJ5" s="250" t="s">
        <v>169</v>
      </c>
      <c r="AK5" s="249" t="s">
        <v>168</v>
      </c>
      <c r="AL5" s="248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258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173</v>
      </c>
      <c r="AN6" s="7"/>
      <c r="AO6" s="7"/>
      <c r="AP6" s="7"/>
      <c r="AQ6"/>
    </row>
    <row r="7" spans="1:43" x14ac:dyDescent="0.3">
      <c r="A7" s="40">
        <v>1</v>
      </c>
      <c r="B7" s="41">
        <v>1337</v>
      </c>
      <c r="C7" s="214">
        <f t="shared" ref="C7:C37" si="0">B7/24</f>
        <v>55.708333333333336</v>
      </c>
      <c r="D7" s="43">
        <v>936</v>
      </c>
      <c r="E7" s="44">
        <v>713</v>
      </c>
      <c r="F7" s="44">
        <v>1649</v>
      </c>
      <c r="G7" s="45">
        <v>337</v>
      </c>
      <c r="H7" s="218">
        <v>92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343</v>
      </c>
      <c r="P7" s="52">
        <f t="shared" ref="P7:P37" si="3">O7/24</f>
        <v>14.291666666666666</v>
      </c>
      <c r="Q7" s="283">
        <v>0</v>
      </c>
      <c r="R7" s="53">
        <v>130</v>
      </c>
      <c r="S7" s="54">
        <v>383</v>
      </c>
      <c r="T7" s="223">
        <v>483</v>
      </c>
      <c r="U7" s="55">
        <f>SUM(B7,I7,M7,O7,Q7,R7,S7)</f>
        <v>2193</v>
      </c>
      <c r="V7" s="231">
        <f t="shared" ref="V7:V37" si="4">U7/24</f>
        <v>91.375</v>
      </c>
      <c r="W7" s="235">
        <v>0</v>
      </c>
      <c r="X7" s="56">
        <v>4.67</v>
      </c>
      <c r="Y7" s="57">
        <v>24</v>
      </c>
      <c r="Z7" s="6"/>
      <c r="AA7" s="348" t="s">
        <v>319</v>
      </c>
      <c r="AB7" s="348"/>
      <c r="AC7" s="348"/>
      <c r="AD7" s="348"/>
      <c r="AE7" s="350"/>
      <c r="AF7" s="351"/>
      <c r="AG7" s="351"/>
      <c r="AH7" s="352"/>
      <c r="AI7" s="58"/>
      <c r="AJ7" s="58">
        <v>280</v>
      </c>
      <c r="AK7" s="59">
        <v>124</v>
      </c>
      <c r="AL7" s="60">
        <f t="shared" ref="AL7:AL37" si="5">AK7/24</f>
        <v>5.166666666666667</v>
      </c>
      <c r="AM7" s="6">
        <v>1268</v>
      </c>
      <c r="AO7" s="61"/>
      <c r="AP7" s="61">
        <f t="shared" ref="AP7:AP37" si="6">S7-AO7</f>
        <v>383</v>
      </c>
      <c r="AQ7"/>
    </row>
    <row r="8" spans="1:43" x14ac:dyDescent="0.3">
      <c r="A8" s="62">
        <v>2</v>
      </c>
      <c r="B8" s="41">
        <v>1110</v>
      </c>
      <c r="C8" s="42">
        <f t="shared" si="0"/>
        <v>46.25</v>
      </c>
      <c r="D8" s="63">
        <v>777</v>
      </c>
      <c r="E8" s="44">
        <v>586</v>
      </c>
      <c r="F8" s="64">
        <v>1363</v>
      </c>
      <c r="G8" s="20">
        <v>326</v>
      </c>
      <c r="H8" s="216">
        <v>71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328</v>
      </c>
      <c r="P8" s="52">
        <f t="shared" si="3"/>
        <v>13.666666666666666</v>
      </c>
      <c r="Q8" s="283">
        <v>0</v>
      </c>
      <c r="R8" s="53">
        <v>17</v>
      </c>
      <c r="S8" s="54">
        <v>158</v>
      </c>
      <c r="T8" s="223">
        <v>308</v>
      </c>
      <c r="U8" s="55">
        <f>SUM(B8,I8,M8,O8,Q8,R8,S8)</f>
        <v>1613</v>
      </c>
      <c r="V8" s="231">
        <f t="shared" si="4"/>
        <v>67.208333333333329</v>
      </c>
      <c r="W8" s="236">
        <v>0</v>
      </c>
      <c r="X8" s="65">
        <v>0.5</v>
      </c>
      <c r="Y8" s="66">
        <v>11.17</v>
      </c>
      <c r="Z8" s="6"/>
      <c r="AA8" s="359" t="s">
        <v>318</v>
      </c>
      <c r="AB8" s="348"/>
      <c r="AC8" s="348"/>
      <c r="AD8" s="348"/>
      <c r="AE8" s="350"/>
      <c r="AF8" s="351"/>
      <c r="AG8" s="351"/>
      <c r="AH8" s="352"/>
      <c r="AI8" s="58"/>
      <c r="AJ8" s="58">
        <v>1090</v>
      </c>
      <c r="AK8" s="59">
        <v>37</v>
      </c>
      <c r="AL8" s="60">
        <f t="shared" si="5"/>
        <v>1.5416666666666667</v>
      </c>
      <c r="AM8" s="6">
        <v>410</v>
      </c>
      <c r="AO8" s="61"/>
      <c r="AP8" s="61">
        <f t="shared" si="6"/>
        <v>158</v>
      </c>
      <c r="AQ8"/>
    </row>
    <row r="9" spans="1:43" x14ac:dyDescent="0.3">
      <c r="A9" s="62">
        <v>3</v>
      </c>
      <c r="B9" s="67">
        <v>1506</v>
      </c>
      <c r="C9" s="42">
        <f t="shared" si="0"/>
        <v>62.75</v>
      </c>
      <c r="D9" s="63">
        <v>1054</v>
      </c>
      <c r="E9" s="44">
        <v>731</v>
      </c>
      <c r="F9" s="64">
        <v>1785</v>
      </c>
      <c r="G9" s="20">
        <v>332</v>
      </c>
      <c r="H9" s="216">
        <v>96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345</v>
      </c>
      <c r="P9" s="52">
        <f t="shared" si="3"/>
        <v>14.375</v>
      </c>
      <c r="Q9" s="283">
        <v>0</v>
      </c>
      <c r="R9" s="53">
        <v>0</v>
      </c>
      <c r="S9" s="54">
        <v>369</v>
      </c>
      <c r="T9" s="223">
        <v>508</v>
      </c>
      <c r="U9" s="55">
        <f t="shared" ref="U9:U37" si="7">SUM(B9,I9,M9,O9,Q9,R9,S9)</f>
        <v>2220</v>
      </c>
      <c r="V9" s="231">
        <f t="shared" si="4"/>
        <v>92.5</v>
      </c>
      <c r="W9" s="236">
        <v>0</v>
      </c>
      <c r="X9" s="65">
        <v>0</v>
      </c>
      <c r="Y9" s="66">
        <v>24</v>
      </c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>
        <v>107</v>
      </c>
      <c r="AL9" s="60">
        <f t="shared" si="5"/>
        <v>4.458333333333333</v>
      </c>
      <c r="AM9" s="6">
        <v>1440</v>
      </c>
      <c r="AO9" s="61"/>
      <c r="AP9" s="61">
        <f t="shared" si="6"/>
        <v>369</v>
      </c>
      <c r="AQ9"/>
    </row>
    <row r="10" spans="1:43" x14ac:dyDescent="0.3">
      <c r="A10" s="62">
        <v>4</v>
      </c>
      <c r="B10" s="67">
        <v>1602</v>
      </c>
      <c r="C10" s="42">
        <f t="shared" si="0"/>
        <v>66.75</v>
      </c>
      <c r="D10" s="63">
        <v>1121</v>
      </c>
      <c r="E10" s="44">
        <v>750</v>
      </c>
      <c r="F10" s="64">
        <v>1871</v>
      </c>
      <c r="G10" s="20">
        <v>335</v>
      </c>
      <c r="H10" s="216">
        <v>98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351</v>
      </c>
      <c r="P10" s="52">
        <f t="shared" si="3"/>
        <v>14.625</v>
      </c>
      <c r="Q10" s="283">
        <v>3</v>
      </c>
      <c r="R10" s="53">
        <v>0</v>
      </c>
      <c r="S10" s="54">
        <v>372</v>
      </c>
      <c r="T10" s="223">
        <v>483</v>
      </c>
      <c r="U10" s="55">
        <f t="shared" si="7"/>
        <v>2328</v>
      </c>
      <c r="V10" s="231">
        <f t="shared" si="4"/>
        <v>97</v>
      </c>
      <c r="W10" s="236">
        <v>0.83</v>
      </c>
      <c r="X10" s="65">
        <v>0</v>
      </c>
      <c r="Y10" s="66">
        <v>24</v>
      </c>
      <c r="Z10" s="6"/>
      <c r="AA10" s="348"/>
      <c r="AB10" s="348"/>
      <c r="AC10" s="348"/>
      <c r="AD10" s="348"/>
      <c r="AE10" s="350"/>
      <c r="AF10" s="351"/>
      <c r="AG10" s="351"/>
      <c r="AH10" s="352"/>
      <c r="AI10" s="58"/>
      <c r="AJ10" s="58"/>
      <c r="AK10" s="59">
        <v>97</v>
      </c>
      <c r="AL10" s="60">
        <f t="shared" si="5"/>
        <v>4.041666666666667</v>
      </c>
      <c r="AM10" s="6">
        <v>1440</v>
      </c>
      <c r="AO10" s="61"/>
      <c r="AP10" s="61">
        <f t="shared" si="6"/>
        <v>372</v>
      </c>
      <c r="AQ10"/>
    </row>
    <row r="11" spans="1:43" x14ac:dyDescent="0.3">
      <c r="A11" s="62">
        <v>5</v>
      </c>
      <c r="B11" s="67">
        <v>1551</v>
      </c>
      <c r="C11" s="42">
        <f t="shared" si="0"/>
        <v>64.625</v>
      </c>
      <c r="D11" s="69">
        <v>1086</v>
      </c>
      <c r="E11" s="44">
        <v>776</v>
      </c>
      <c r="F11" s="70">
        <v>1862</v>
      </c>
      <c r="G11" s="20">
        <v>335</v>
      </c>
      <c r="H11" s="216">
        <v>101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355</v>
      </c>
      <c r="P11" s="52">
        <f t="shared" si="3"/>
        <v>14.791666666666666</v>
      </c>
      <c r="Q11" s="283">
        <v>0</v>
      </c>
      <c r="R11" s="53">
        <v>0</v>
      </c>
      <c r="S11" s="54">
        <v>355</v>
      </c>
      <c r="T11" s="223">
        <v>481</v>
      </c>
      <c r="U11" s="55">
        <f t="shared" si="7"/>
        <v>2261</v>
      </c>
      <c r="V11" s="231">
        <f t="shared" si="4"/>
        <v>94.208333333333329</v>
      </c>
      <c r="W11" s="236">
        <v>0</v>
      </c>
      <c r="X11" s="65">
        <v>0</v>
      </c>
      <c r="Y11" s="66">
        <v>24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113</v>
      </c>
      <c r="AL11" s="60">
        <f t="shared" si="5"/>
        <v>4.708333333333333</v>
      </c>
      <c r="AM11" s="6">
        <v>1440</v>
      </c>
      <c r="AO11" s="61"/>
      <c r="AP11" s="61">
        <f t="shared" si="6"/>
        <v>355</v>
      </c>
      <c r="AQ11"/>
    </row>
    <row r="12" spans="1:43" x14ac:dyDescent="0.3">
      <c r="A12" s="62">
        <v>6</v>
      </c>
      <c r="B12" s="67">
        <v>1483</v>
      </c>
      <c r="C12" s="42">
        <f t="shared" si="0"/>
        <v>61.791666666666664</v>
      </c>
      <c r="D12" s="69">
        <v>1038</v>
      </c>
      <c r="E12" s="44">
        <v>716</v>
      </c>
      <c r="F12" s="70">
        <v>1754</v>
      </c>
      <c r="G12" s="75">
        <v>330</v>
      </c>
      <c r="H12" s="219">
        <v>90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302</v>
      </c>
      <c r="P12" s="52">
        <f t="shared" si="3"/>
        <v>12.583333333333334</v>
      </c>
      <c r="Q12" s="283">
        <v>0</v>
      </c>
      <c r="R12" s="53">
        <v>0</v>
      </c>
      <c r="S12" s="54">
        <v>398</v>
      </c>
      <c r="T12" s="223">
        <v>496</v>
      </c>
      <c r="U12" s="55">
        <f t="shared" si="7"/>
        <v>2183</v>
      </c>
      <c r="V12" s="231">
        <f t="shared" si="4"/>
        <v>90.958333333333329</v>
      </c>
      <c r="W12" s="236">
        <v>0</v>
      </c>
      <c r="X12" s="65">
        <v>0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148</v>
      </c>
      <c r="AL12" s="60">
        <f t="shared" si="5"/>
        <v>6.166666666666667</v>
      </c>
      <c r="AM12" s="6">
        <v>1440</v>
      </c>
      <c r="AO12" s="61"/>
      <c r="AP12" s="61">
        <f t="shared" si="6"/>
        <v>398</v>
      </c>
      <c r="AQ12"/>
    </row>
    <row r="13" spans="1:43" x14ac:dyDescent="0.3">
      <c r="A13" s="62">
        <v>7</v>
      </c>
      <c r="B13" s="67">
        <v>1327</v>
      </c>
      <c r="C13" s="42">
        <f t="shared" si="0"/>
        <v>55.291666666666664</v>
      </c>
      <c r="D13" s="69">
        <v>929</v>
      </c>
      <c r="E13" s="44">
        <v>652</v>
      </c>
      <c r="F13" s="70">
        <v>1581</v>
      </c>
      <c r="G13" s="20">
        <v>321</v>
      </c>
      <c r="H13" s="216">
        <v>90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0</v>
      </c>
      <c r="P13" s="52">
        <f t="shared" si="3"/>
        <v>0</v>
      </c>
      <c r="Q13" s="283">
        <v>0</v>
      </c>
      <c r="R13" s="53">
        <v>0</v>
      </c>
      <c r="S13" s="54">
        <v>346</v>
      </c>
      <c r="T13" s="223">
        <v>490</v>
      </c>
      <c r="U13" s="55">
        <f t="shared" si="7"/>
        <v>1673</v>
      </c>
      <c r="V13" s="231">
        <f t="shared" si="4"/>
        <v>69.708333333333329</v>
      </c>
      <c r="W13" s="236">
        <v>0</v>
      </c>
      <c r="X13" s="65">
        <v>0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125</v>
      </c>
      <c r="AL13" s="60">
        <f t="shared" si="5"/>
        <v>5.208333333333333</v>
      </c>
      <c r="AM13" s="6">
        <v>1440</v>
      </c>
      <c r="AO13" s="61"/>
      <c r="AP13" s="61">
        <f t="shared" si="6"/>
        <v>346</v>
      </c>
      <c r="AQ13"/>
    </row>
    <row r="14" spans="1:43" x14ac:dyDescent="0.3">
      <c r="A14" s="62">
        <v>8</v>
      </c>
      <c r="B14" s="67">
        <v>1397</v>
      </c>
      <c r="C14" s="42">
        <f t="shared" si="0"/>
        <v>58.208333333333336</v>
      </c>
      <c r="D14" s="69">
        <v>978</v>
      </c>
      <c r="E14" s="44">
        <v>674</v>
      </c>
      <c r="F14" s="70">
        <v>1652</v>
      </c>
      <c r="G14" s="20">
        <v>296</v>
      </c>
      <c r="H14" s="216">
        <v>95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0</v>
      </c>
      <c r="P14" s="52">
        <f t="shared" si="3"/>
        <v>0</v>
      </c>
      <c r="Q14" s="283">
        <v>0</v>
      </c>
      <c r="R14" s="53">
        <v>0</v>
      </c>
      <c r="S14" s="54">
        <v>360</v>
      </c>
      <c r="T14" s="223">
        <v>508</v>
      </c>
      <c r="U14" s="55">
        <f t="shared" si="7"/>
        <v>1757</v>
      </c>
      <c r="V14" s="231">
        <f t="shared" si="4"/>
        <v>73.208333333333329</v>
      </c>
      <c r="W14" s="236">
        <v>0</v>
      </c>
      <c r="X14" s="65">
        <v>0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>
        <v>137</v>
      </c>
      <c r="AL14" s="60">
        <f t="shared" si="5"/>
        <v>5.708333333333333</v>
      </c>
      <c r="AM14" s="6">
        <v>1440</v>
      </c>
      <c r="AO14" s="61"/>
      <c r="AP14" s="61">
        <f t="shared" si="6"/>
        <v>360</v>
      </c>
      <c r="AQ14"/>
    </row>
    <row r="15" spans="1:43" x14ac:dyDescent="0.3">
      <c r="A15" s="62">
        <v>9</v>
      </c>
      <c r="B15" s="67">
        <v>1335</v>
      </c>
      <c r="C15" s="42">
        <f t="shared" si="0"/>
        <v>55.625</v>
      </c>
      <c r="D15" s="69">
        <v>935</v>
      </c>
      <c r="E15" s="44">
        <v>732</v>
      </c>
      <c r="F15" s="70">
        <v>1666</v>
      </c>
      <c r="G15" s="20">
        <v>304</v>
      </c>
      <c r="H15" s="216">
        <v>89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0</v>
      </c>
      <c r="P15" s="52">
        <f t="shared" si="3"/>
        <v>0</v>
      </c>
      <c r="Q15" s="283">
        <v>0</v>
      </c>
      <c r="R15" s="53">
        <v>0</v>
      </c>
      <c r="S15" s="54">
        <v>274</v>
      </c>
      <c r="T15" s="223">
        <v>500</v>
      </c>
      <c r="U15" s="55">
        <f t="shared" si="7"/>
        <v>1609</v>
      </c>
      <c r="V15" s="231">
        <f t="shared" si="4"/>
        <v>67.041666666666671</v>
      </c>
      <c r="W15" s="236">
        <v>0</v>
      </c>
      <c r="X15" s="65">
        <v>0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>
        <v>96</v>
      </c>
      <c r="AL15" s="60">
        <f t="shared" si="5"/>
        <v>4</v>
      </c>
      <c r="AM15" s="6">
        <v>1440</v>
      </c>
      <c r="AO15" s="61"/>
      <c r="AP15" s="61">
        <f t="shared" si="6"/>
        <v>274</v>
      </c>
      <c r="AQ15"/>
    </row>
    <row r="16" spans="1:43" x14ac:dyDescent="0.3">
      <c r="A16" s="62">
        <v>10</v>
      </c>
      <c r="B16" s="67">
        <v>1320</v>
      </c>
      <c r="C16" s="42">
        <f t="shared" si="0"/>
        <v>55</v>
      </c>
      <c r="D16" s="69">
        <v>924</v>
      </c>
      <c r="E16" s="44">
        <v>663</v>
      </c>
      <c r="F16" s="70">
        <v>1587</v>
      </c>
      <c r="G16" s="20">
        <v>290</v>
      </c>
      <c r="H16" s="216">
        <v>86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0</v>
      </c>
      <c r="P16" s="52">
        <f t="shared" si="3"/>
        <v>0</v>
      </c>
      <c r="Q16" s="283">
        <v>0</v>
      </c>
      <c r="R16" s="53">
        <v>0</v>
      </c>
      <c r="S16" s="54">
        <v>271</v>
      </c>
      <c r="T16" s="223">
        <v>494</v>
      </c>
      <c r="U16" s="55">
        <f t="shared" si="7"/>
        <v>1591</v>
      </c>
      <c r="V16" s="231">
        <f t="shared" si="4"/>
        <v>66.291666666666671</v>
      </c>
      <c r="W16" s="236">
        <v>0</v>
      </c>
      <c r="X16" s="65">
        <v>0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103</v>
      </c>
      <c r="AL16" s="60">
        <f t="shared" si="5"/>
        <v>4.291666666666667</v>
      </c>
      <c r="AM16" s="6">
        <v>1440</v>
      </c>
      <c r="AO16" s="61"/>
      <c r="AP16" s="61">
        <f t="shared" si="6"/>
        <v>271</v>
      </c>
      <c r="AQ16"/>
    </row>
    <row r="17" spans="1:43" x14ac:dyDescent="0.3">
      <c r="A17" s="62">
        <v>11</v>
      </c>
      <c r="B17" s="67">
        <v>1403</v>
      </c>
      <c r="C17" s="42">
        <f t="shared" si="0"/>
        <v>58.458333333333336</v>
      </c>
      <c r="D17" s="69">
        <v>982</v>
      </c>
      <c r="E17" s="44">
        <v>706</v>
      </c>
      <c r="F17" s="70">
        <v>1688</v>
      </c>
      <c r="G17" s="20">
        <v>295</v>
      </c>
      <c r="H17" s="216">
        <v>95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0</v>
      </c>
      <c r="P17" s="52">
        <f t="shared" si="3"/>
        <v>0</v>
      </c>
      <c r="Q17" s="283">
        <v>0</v>
      </c>
      <c r="R17" s="53">
        <v>0</v>
      </c>
      <c r="S17" s="54">
        <v>279</v>
      </c>
      <c r="T17" s="223">
        <v>495</v>
      </c>
      <c r="U17" s="55">
        <f t="shared" si="7"/>
        <v>1682</v>
      </c>
      <c r="V17" s="231">
        <f t="shared" si="4"/>
        <v>70.083333333333329</v>
      </c>
      <c r="W17" s="236">
        <v>0</v>
      </c>
      <c r="X17" s="65">
        <v>0</v>
      </c>
      <c r="Y17" s="66">
        <v>24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106</v>
      </c>
      <c r="AL17" s="60">
        <f t="shared" si="5"/>
        <v>4.416666666666667</v>
      </c>
      <c r="AM17" s="6">
        <v>1440</v>
      </c>
      <c r="AO17" s="61"/>
      <c r="AP17" s="61">
        <f t="shared" si="6"/>
        <v>279</v>
      </c>
      <c r="AQ17"/>
    </row>
    <row r="18" spans="1:43" x14ac:dyDescent="0.3">
      <c r="A18" s="62">
        <v>12</v>
      </c>
      <c r="B18" s="67">
        <v>1428</v>
      </c>
      <c r="C18" s="42">
        <f t="shared" si="0"/>
        <v>59.5</v>
      </c>
      <c r="D18" s="69">
        <v>1000</v>
      </c>
      <c r="E18" s="44">
        <v>687</v>
      </c>
      <c r="F18" s="70">
        <v>1687</v>
      </c>
      <c r="G18" s="20">
        <v>294</v>
      </c>
      <c r="H18" s="216">
        <v>99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0</v>
      </c>
      <c r="P18" s="52">
        <f t="shared" si="3"/>
        <v>0</v>
      </c>
      <c r="Q18" s="283">
        <v>0</v>
      </c>
      <c r="R18" s="53">
        <v>0</v>
      </c>
      <c r="S18" s="54">
        <v>309</v>
      </c>
      <c r="T18" s="223">
        <v>484</v>
      </c>
      <c r="U18" s="55">
        <f t="shared" si="7"/>
        <v>1737</v>
      </c>
      <c r="V18" s="231">
        <f t="shared" si="4"/>
        <v>72.375</v>
      </c>
      <c r="W18" s="236">
        <v>0</v>
      </c>
      <c r="X18" s="65">
        <v>0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128</v>
      </c>
      <c r="AL18" s="60">
        <f t="shared" si="5"/>
        <v>5.333333333333333</v>
      </c>
      <c r="AM18" s="6">
        <v>1440</v>
      </c>
      <c r="AO18" s="61"/>
      <c r="AP18" s="61">
        <f t="shared" si="6"/>
        <v>309</v>
      </c>
      <c r="AQ18"/>
    </row>
    <row r="19" spans="1:43" x14ac:dyDescent="0.3">
      <c r="A19" s="62">
        <v>13</v>
      </c>
      <c r="B19" s="67">
        <v>1340</v>
      </c>
      <c r="C19" s="42">
        <f t="shared" si="0"/>
        <v>55.833333333333336</v>
      </c>
      <c r="D19" s="282">
        <v>938</v>
      </c>
      <c r="E19" s="44">
        <v>667</v>
      </c>
      <c r="F19" s="19">
        <v>1605</v>
      </c>
      <c r="G19" s="20">
        <v>294</v>
      </c>
      <c r="H19" s="216">
        <v>91</v>
      </c>
      <c r="I19" s="210">
        <v>0</v>
      </c>
      <c r="J19" s="46">
        <f t="shared" si="1"/>
        <v>0</v>
      </c>
      <c r="K19" s="239">
        <v>0</v>
      </c>
      <c r="L19" s="21">
        <v>0</v>
      </c>
      <c r="M19" s="49">
        <v>0</v>
      </c>
      <c r="N19" s="50">
        <f t="shared" si="2"/>
        <v>0</v>
      </c>
      <c r="O19" s="68">
        <v>0</v>
      </c>
      <c r="P19" s="52">
        <f t="shared" si="3"/>
        <v>0</v>
      </c>
      <c r="Q19" s="283">
        <v>1</v>
      </c>
      <c r="R19" s="53">
        <v>0</v>
      </c>
      <c r="S19" s="54">
        <v>272</v>
      </c>
      <c r="T19" s="223">
        <v>496</v>
      </c>
      <c r="U19" s="55">
        <f t="shared" si="7"/>
        <v>1613</v>
      </c>
      <c r="V19" s="231">
        <f t="shared" si="4"/>
        <v>67.208333333333329</v>
      </c>
      <c r="W19" s="236">
        <v>0.5</v>
      </c>
      <c r="X19" s="65">
        <v>0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>
        <v>119</v>
      </c>
      <c r="AL19" s="60">
        <f t="shared" si="5"/>
        <v>4.958333333333333</v>
      </c>
      <c r="AM19" s="6">
        <v>1440</v>
      </c>
      <c r="AO19" s="61"/>
      <c r="AP19" s="61">
        <f t="shared" si="6"/>
        <v>272</v>
      </c>
      <c r="AQ19"/>
    </row>
    <row r="20" spans="1:43" x14ac:dyDescent="0.3">
      <c r="A20" s="62">
        <v>14</v>
      </c>
      <c r="B20" s="67">
        <v>1271</v>
      </c>
      <c r="C20" s="42">
        <f t="shared" si="0"/>
        <v>52.958333333333336</v>
      </c>
      <c r="D20" s="282">
        <v>890</v>
      </c>
      <c r="E20" s="44">
        <v>688</v>
      </c>
      <c r="F20" s="19">
        <v>1578</v>
      </c>
      <c r="G20" s="20">
        <v>296</v>
      </c>
      <c r="H20" s="216">
        <v>89</v>
      </c>
      <c r="I20" s="211">
        <v>0</v>
      </c>
      <c r="J20" s="46">
        <f t="shared" si="1"/>
        <v>0</v>
      </c>
      <c r="K20" s="239">
        <v>0</v>
      </c>
      <c r="L20" s="21">
        <v>0</v>
      </c>
      <c r="M20" s="49">
        <v>0</v>
      </c>
      <c r="N20" s="50">
        <f t="shared" si="2"/>
        <v>0</v>
      </c>
      <c r="O20" s="51">
        <v>84</v>
      </c>
      <c r="P20" s="52">
        <f t="shared" si="3"/>
        <v>3.5</v>
      </c>
      <c r="Q20" s="283">
        <v>37</v>
      </c>
      <c r="R20" s="53">
        <v>0</v>
      </c>
      <c r="S20" s="54">
        <v>339</v>
      </c>
      <c r="T20" s="223">
        <v>513</v>
      </c>
      <c r="U20" s="55">
        <f t="shared" si="7"/>
        <v>1731</v>
      </c>
      <c r="V20" s="231">
        <f t="shared" si="4"/>
        <v>72.125</v>
      </c>
      <c r="W20" s="236">
        <v>5</v>
      </c>
      <c r="X20" s="65">
        <v>0</v>
      </c>
      <c r="Y20" s="66">
        <v>24</v>
      </c>
      <c r="Z20" s="6"/>
      <c r="AA20" s="359" t="s">
        <v>315</v>
      </c>
      <c r="AB20" s="348"/>
      <c r="AC20" s="348"/>
      <c r="AD20" s="348"/>
      <c r="AE20" s="350"/>
      <c r="AF20" s="351"/>
      <c r="AG20" s="351"/>
      <c r="AH20" s="352"/>
      <c r="AI20" s="58">
        <v>270</v>
      </c>
      <c r="AJ20" s="58"/>
      <c r="AK20" s="59">
        <v>131</v>
      </c>
      <c r="AL20" s="60">
        <f t="shared" si="5"/>
        <v>5.458333333333333</v>
      </c>
      <c r="AM20" s="6">
        <v>1440</v>
      </c>
      <c r="AO20" s="61"/>
      <c r="AP20" s="61">
        <f t="shared" si="6"/>
        <v>339</v>
      </c>
      <c r="AQ20"/>
    </row>
    <row r="21" spans="1:43" x14ac:dyDescent="0.3">
      <c r="A21" s="62">
        <v>15</v>
      </c>
      <c r="B21" s="67">
        <v>529</v>
      </c>
      <c r="C21" s="42">
        <f t="shared" si="0"/>
        <v>22.041666666666668</v>
      </c>
      <c r="D21" s="282">
        <v>370</v>
      </c>
      <c r="E21" s="44">
        <v>432</v>
      </c>
      <c r="F21" s="19">
        <v>802</v>
      </c>
      <c r="G21" s="20">
        <v>239</v>
      </c>
      <c r="H21" s="216">
        <v>46</v>
      </c>
      <c r="I21" s="211">
        <v>0</v>
      </c>
      <c r="J21" s="46">
        <f t="shared" si="1"/>
        <v>0</v>
      </c>
      <c r="K21" s="239">
        <v>0</v>
      </c>
      <c r="L21" s="21">
        <v>0</v>
      </c>
      <c r="M21" s="49">
        <v>0</v>
      </c>
      <c r="N21" s="50">
        <f t="shared" si="2"/>
        <v>0</v>
      </c>
      <c r="O21" s="51">
        <v>288</v>
      </c>
      <c r="P21" s="52">
        <f t="shared" si="3"/>
        <v>12</v>
      </c>
      <c r="Q21" s="283">
        <v>11</v>
      </c>
      <c r="R21" s="53">
        <v>0</v>
      </c>
      <c r="S21" s="54">
        <v>293</v>
      </c>
      <c r="T21" s="223">
        <v>502</v>
      </c>
      <c r="U21" s="55">
        <f t="shared" si="7"/>
        <v>1121</v>
      </c>
      <c r="V21" s="231">
        <f t="shared" si="4"/>
        <v>46.708333333333336</v>
      </c>
      <c r="W21" s="236">
        <v>1.17</v>
      </c>
      <c r="X21" s="65">
        <v>0</v>
      </c>
      <c r="Y21" s="66">
        <v>24</v>
      </c>
      <c r="Z21" s="6"/>
      <c r="AA21" s="348" t="s">
        <v>317</v>
      </c>
      <c r="AB21" s="348"/>
      <c r="AC21" s="348"/>
      <c r="AD21" s="349"/>
      <c r="AE21" s="350"/>
      <c r="AF21" s="351"/>
      <c r="AG21" s="351"/>
      <c r="AH21" s="352"/>
      <c r="AI21" s="58">
        <v>475</v>
      </c>
      <c r="AJ21" s="58">
        <v>655</v>
      </c>
      <c r="AK21" s="59">
        <v>29</v>
      </c>
      <c r="AL21" s="60">
        <f t="shared" si="5"/>
        <v>1.2083333333333333</v>
      </c>
      <c r="AM21" s="6">
        <v>300</v>
      </c>
      <c r="AO21" s="61"/>
      <c r="AP21" s="61">
        <f t="shared" si="6"/>
        <v>293</v>
      </c>
      <c r="AQ21"/>
    </row>
    <row r="22" spans="1:43" x14ac:dyDescent="0.3">
      <c r="A22" s="62">
        <v>16</v>
      </c>
      <c r="B22" s="67">
        <v>1487</v>
      </c>
      <c r="C22" s="42">
        <f t="shared" si="0"/>
        <v>61.958333333333336</v>
      </c>
      <c r="D22" s="282">
        <v>1041</v>
      </c>
      <c r="E22" s="44">
        <v>704</v>
      </c>
      <c r="F22" s="19">
        <v>1745</v>
      </c>
      <c r="G22" s="20">
        <v>249</v>
      </c>
      <c r="H22" s="216">
        <v>83</v>
      </c>
      <c r="I22" s="211">
        <v>0</v>
      </c>
      <c r="J22" s="46">
        <f t="shared" si="1"/>
        <v>0</v>
      </c>
      <c r="K22" s="239">
        <v>0</v>
      </c>
      <c r="L22" s="21">
        <v>0</v>
      </c>
      <c r="M22" s="49">
        <v>0</v>
      </c>
      <c r="N22" s="50">
        <f t="shared" si="2"/>
        <v>0</v>
      </c>
      <c r="O22" s="68">
        <v>322</v>
      </c>
      <c r="P22" s="52">
        <f t="shared" si="3"/>
        <v>13.416666666666666</v>
      </c>
      <c r="Q22" s="283">
        <v>0</v>
      </c>
      <c r="R22" s="53">
        <v>0</v>
      </c>
      <c r="S22" s="54">
        <v>349</v>
      </c>
      <c r="T22" s="223">
        <v>486</v>
      </c>
      <c r="U22" s="55">
        <f t="shared" si="7"/>
        <v>2158</v>
      </c>
      <c r="V22" s="231">
        <f t="shared" si="4"/>
        <v>89.916666666666671</v>
      </c>
      <c r="W22" s="236">
        <v>0</v>
      </c>
      <c r="X22" s="65">
        <v>0</v>
      </c>
      <c r="Y22" s="66">
        <v>24</v>
      </c>
      <c r="Z22" s="6"/>
      <c r="AA22" s="359" t="s">
        <v>316</v>
      </c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155</v>
      </c>
      <c r="AL22" s="60">
        <f t="shared" si="5"/>
        <v>6.458333333333333</v>
      </c>
      <c r="AM22" s="6">
        <v>1440</v>
      </c>
      <c r="AO22" s="61"/>
      <c r="AP22" s="61">
        <f t="shared" si="6"/>
        <v>349</v>
      </c>
      <c r="AQ22"/>
    </row>
    <row r="23" spans="1:43" x14ac:dyDescent="0.3">
      <c r="A23" s="62">
        <v>17</v>
      </c>
      <c r="B23" s="67">
        <v>1457</v>
      </c>
      <c r="C23" s="42">
        <f t="shared" si="0"/>
        <v>60.708333333333336</v>
      </c>
      <c r="D23" s="282">
        <v>1020</v>
      </c>
      <c r="E23" s="44">
        <v>713</v>
      </c>
      <c r="F23" s="19">
        <v>1733</v>
      </c>
      <c r="G23" s="20">
        <v>270</v>
      </c>
      <c r="H23" s="216">
        <v>80</v>
      </c>
      <c r="I23" s="211">
        <v>0</v>
      </c>
      <c r="J23" s="46">
        <f t="shared" si="1"/>
        <v>0</v>
      </c>
      <c r="K23" s="239">
        <v>0</v>
      </c>
      <c r="L23" s="21">
        <v>0</v>
      </c>
      <c r="M23" s="49">
        <v>0</v>
      </c>
      <c r="N23" s="50">
        <f t="shared" si="2"/>
        <v>0</v>
      </c>
      <c r="O23" s="68">
        <v>329</v>
      </c>
      <c r="P23" s="52">
        <f t="shared" si="3"/>
        <v>13.708333333333334</v>
      </c>
      <c r="Q23" s="283">
        <v>0</v>
      </c>
      <c r="R23" s="53">
        <v>0</v>
      </c>
      <c r="S23" s="54">
        <v>315</v>
      </c>
      <c r="T23" s="223">
        <v>472</v>
      </c>
      <c r="U23" s="55">
        <f t="shared" si="7"/>
        <v>2101</v>
      </c>
      <c r="V23" s="231">
        <f t="shared" si="4"/>
        <v>87.541666666666671</v>
      </c>
      <c r="W23" s="236">
        <v>0</v>
      </c>
      <c r="X23" s="65">
        <v>0</v>
      </c>
      <c r="Y23" s="66">
        <v>24</v>
      </c>
      <c r="Z23" s="6"/>
      <c r="AA23" s="348"/>
      <c r="AB23" s="348"/>
      <c r="AC23" s="348"/>
      <c r="AD23" s="349"/>
      <c r="AE23" s="350"/>
      <c r="AF23" s="351"/>
      <c r="AG23" s="351"/>
      <c r="AH23" s="352"/>
      <c r="AI23" s="58"/>
      <c r="AJ23" s="58"/>
      <c r="AK23" s="59">
        <v>134</v>
      </c>
      <c r="AL23" s="60">
        <f t="shared" si="5"/>
        <v>5.583333333333333</v>
      </c>
      <c r="AM23" s="6">
        <v>1440</v>
      </c>
      <c r="AO23" s="61"/>
      <c r="AP23" s="61">
        <f t="shared" si="6"/>
        <v>315</v>
      </c>
      <c r="AQ23"/>
    </row>
    <row r="24" spans="1:43" x14ac:dyDescent="0.3">
      <c r="A24" s="62">
        <v>18</v>
      </c>
      <c r="B24" s="67">
        <v>1456</v>
      </c>
      <c r="C24" s="42">
        <f t="shared" si="0"/>
        <v>60.666666666666664</v>
      </c>
      <c r="D24" s="282">
        <v>1019</v>
      </c>
      <c r="E24" s="44">
        <v>704</v>
      </c>
      <c r="F24" s="19">
        <v>1723</v>
      </c>
      <c r="G24" s="20">
        <v>264</v>
      </c>
      <c r="H24" s="216">
        <v>82</v>
      </c>
      <c r="I24" s="211">
        <v>0</v>
      </c>
      <c r="J24" s="46">
        <f t="shared" si="1"/>
        <v>0</v>
      </c>
      <c r="K24" s="239">
        <v>0</v>
      </c>
      <c r="L24" s="21">
        <v>0</v>
      </c>
      <c r="M24" s="49">
        <v>0</v>
      </c>
      <c r="N24" s="50">
        <f t="shared" si="2"/>
        <v>0</v>
      </c>
      <c r="O24" s="198">
        <v>335</v>
      </c>
      <c r="P24" s="52">
        <f t="shared" si="3"/>
        <v>13.958333333333334</v>
      </c>
      <c r="Q24" s="283">
        <v>0</v>
      </c>
      <c r="R24" s="53">
        <v>0</v>
      </c>
      <c r="S24" s="54">
        <v>337</v>
      </c>
      <c r="T24" s="223">
        <v>472</v>
      </c>
      <c r="U24" s="55">
        <f t="shared" si="7"/>
        <v>2128</v>
      </c>
      <c r="V24" s="231">
        <f t="shared" si="4"/>
        <v>88.666666666666671</v>
      </c>
      <c r="W24" s="236">
        <v>0</v>
      </c>
      <c r="X24" s="65">
        <v>0</v>
      </c>
      <c r="Y24" s="66">
        <v>24</v>
      </c>
      <c r="Z24" s="6"/>
      <c r="AA24" s="359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120</v>
      </c>
      <c r="AL24" s="60">
        <f t="shared" si="5"/>
        <v>5</v>
      </c>
      <c r="AM24" s="6">
        <v>1440</v>
      </c>
      <c r="AO24" s="61"/>
      <c r="AP24" s="61">
        <f t="shared" si="6"/>
        <v>337</v>
      </c>
      <c r="AQ24"/>
    </row>
    <row r="25" spans="1:43" x14ac:dyDescent="0.3">
      <c r="A25" s="62">
        <v>19</v>
      </c>
      <c r="B25" s="67">
        <v>1459</v>
      </c>
      <c r="C25" s="42">
        <f t="shared" si="0"/>
        <v>60.791666666666664</v>
      </c>
      <c r="D25" s="282">
        <v>1021</v>
      </c>
      <c r="E25" s="44">
        <v>699</v>
      </c>
      <c r="F25" s="19">
        <v>1720</v>
      </c>
      <c r="G25" s="20">
        <v>253</v>
      </c>
      <c r="H25" s="216">
        <v>98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0</v>
      </c>
      <c r="N25" s="50">
        <f t="shared" si="2"/>
        <v>0</v>
      </c>
      <c r="O25" s="198">
        <v>334</v>
      </c>
      <c r="P25" s="52">
        <f t="shared" si="3"/>
        <v>13.916666666666666</v>
      </c>
      <c r="Q25" s="283">
        <v>0</v>
      </c>
      <c r="R25" s="53">
        <v>0</v>
      </c>
      <c r="S25" s="54">
        <v>345</v>
      </c>
      <c r="T25" s="223">
        <v>484</v>
      </c>
      <c r="U25" s="55">
        <f t="shared" si="7"/>
        <v>2138</v>
      </c>
      <c r="V25" s="231">
        <f t="shared" si="4"/>
        <v>89.083333333333329</v>
      </c>
      <c r="W25" s="236">
        <v>0</v>
      </c>
      <c r="X25" s="65">
        <v>0</v>
      </c>
      <c r="Y25" s="66">
        <v>24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123</v>
      </c>
      <c r="AL25" s="60">
        <f t="shared" si="5"/>
        <v>5.125</v>
      </c>
      <c r="AM25" s="6">
        <v>1440</v>
      </c>
      <c r="AO25" s="61"/>
      <c r="AP25" s="61">
        <f t="shared" si="6"/>
        <v>345</v>
      </c>
      <c r="AQ25"/>
    </row>
    <row r="26" spans="1:43" x14ac:dyDescent="0.3">
      <c r="A26" s="62">
        <v>20</v>
      </c>
      <c r="B26" s="67">
        <v>1534</v>
      </c>
      <c r="C26" s="42">
        <f t="shared" si="0"/>
        <v>63.916666666666664</v>
      </c>
      <c r="D26" s="282">
        <v>1074</v>
      </c>
      <c r="E26" s="44">
        <v>705</v>
      </c>
      <c r="F26" s="19">
        <v>1779</v>
      </c>
      <c r="G26" s="20">
        <v>240</v>
      </c>
      <c r="H26" s="216">
        <v>88</v>
      </c>
      <c r="I26" s="211">
        <v>0</v>
      </c>
      <c r="J26" s="46">
        <f t="shared" si="1"/>
        <v>0</v>
      </c>
      <c r="K26" s="239">
        <v>0</v>
      </c>
      <c r="L26" s="21">
        <v>0</v>
      </c>
      <c r="M26" s="49">
        <v>0</v>
      </c>
      <c r="N26" s="50">
        <f t="shared" si="2"/>
        <v>0</v>
      </c>
      <c r="O26" s="198">
        <v>336</v>
      </c>
      <c r="P26" s="52">
        <f t="shared" si="3"/>
        <v>14</v>
      </c>
      <c r="Q26" s="283">
        <v>0</v>
      </c>
      <c r="R26" s="53">
        <v>0</v>
      </c>
      <c r="S26" s="54">
        <v>399</v>
      </c>
      <c r="T26" s="223">
        <v>495</v>
      </c>
      <c r="U26" s="55">
        <f t="shared" si="7"/>
        <v>2269</v>
      </c>
      <c r="V26" s="231">
        <f t="shared" si="4"/>
        <v>94.541666666666671</v>
      </c>
      <c r="W26" s="236">
        <v>0</v>
      </c>
      <c r="X26" s="65">
        <v>0</v>
      </c>
      <c r="Y26" s="66">
        <v>24</v>
      </c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>
        <v>190</v>
      </c>
      <c r="AL26" s="60">
        <f t="shared" si="5"/>
        <v>7.916666666666667</v>
      </c>
      <c r="AM26" s="6">
        <v>1440</v>
      </c>
      <c r="AO26" s="61"/>
      <c r="AP26" s="61">
        <f t="shared" si="6"/>
        <v>399</v>
      </c>
      <c r="AQ26"/>
    </row>
    <row r="27" spans="1:43" x14ac:dyDescent="0.3">
      <c r="A27" s="62">
        <v>21</v>
      </c>
      <c r="B27" s="67">
        <v>1578</v>
      </c>
      <c r="C27" s="42">
        <f t="shared" si="0"/>
        <v>65.75</v>
      </c>
      <c r="D27" s="282">
        <v>1105</v>
      </c>
      <c r="E27" s="44">
        <v>749</v>
      </c>
      <c r="F27" s="19">
        <v>1854</v>
      </c>
      <c r="G27" s="20">
        <v>262</v>
      </c>
      <c r="H27" s="216">
        <v>93</v>
      </c>
      <c r="I27" s="211">
        <v>0</v>
      </c>
      <c r="J27" s="46">
        <f t="shared" si="1"/>
        <v>0</v>
      </c>
      <c r="K27" s="239">
        <v>0</v>
      </c>
      <c r="L27" s="21">
        <v>0</v>
      </c>
      <c r="M27" s="49">
        <v>0</v>
      </c>
      <c r="N27" s="50">
        <f t="shared" si="2"/>
        <v>0</v>
      </c>
      <c r="O27" s="198">
        <v>325</v>
      </c>
      <c r="P27" s="52">
        <f t="shared" si="3"/>
        <v>13.541666666666666</v>
      </c>
      <c r="Q27" s="283">
        <v>0</v>
      </c>
      <c r="R27" s="53">
        <v>0</v>
      </c>
      <c r="S27" s="54">
        <v>419</v>
      </c>
      <c r="T27" s="223">
        <v>462</v>
      </c>
      <c r="U27" s="55">
        <f t="shared" si="7"/>
        <v>2322</v>
      </c>
      <c r="V27" s="231">
        <f t="shared" si="4"/>
        <v>96.75</v>
      </c>
      <c r="W27" s="236">
        <v>0</v>
      </c>
      <c r="X27" s="65">
        <v>0</v>
      </c>
      <c r="Y27" s="66">
        <v>24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208</v>
      </c>
      <c r="AL27" s="60">
        <f t="shared" si="5"/>
        <v>8.6666666666666661</v>
      </c>
      <c r="AM27" s="6">
        <v>1440</v>
      </c>
      <c r="AO27" s="61"/>
      <c r="AP27" s="61">
        <f t="shared" si="6"/>
        <v>419</v>
      </c>
      <c r="AQ27"/>
    </row>
    <row r="28" spans="1:43" x14ac:dyDescent="0.3">
      <c r="A28" s="62">
        <v>22</v>
      </c>
      <c r="B28" s="67">
        <v>1535</v>
      </c>
      <c r="C28" s="42">
        <f t="shared" si="0"/>
        <v>63.958333333333336</v>
      </c>
      <c r="D28" s="282">
        <v>1075</v>
      </c>
      <c r="E28" s="44">
        <v>738</v>
      </c>
      <c r="F28" s="19">
        <v>1812</v>
      </c>
      <c r="G28" s="20">
        <v>252</v>
      </c>
      <c r="H28" s="216">
        <v>90</v>
      </c>
      <c r="I28" s="211">
        <v>0</v>
      </c>
      <c r="J28" s="46">
        <f t="shared" si="1"/>
        <v>0</v>
      </c>
      <c r="K28" s="239">
        <v>0</v>
      </c>
      <c r="L28" s="21">
        <v>0</v>
      </c>
      <c r="M28" s="49">
        <v>0</v>
      </c>
      <c r="N28" s="50">
        <f t="shared" si="2"/>
        <v>0</v>
      </c>
      <c r="O28" s="198">
        <v>331</v>
      </c>
      <c r="P28" s="52">
        <f t="shared" si="3"/>
        <v>13.791666666666666</v>
      </c>
      <c r="Q28" s="283">
        <v>69</v>
      </c>
      <c r="R28" s="53">
        <v>0</v>
      </c>
      <c r="S28" s="54">
        <v>383</v>
      </c>
      <c r="T28" s="223">
        <v>499</v>
      </c>
      <c r="U28" s="55">
        <f t="shared" si="7"/>
        <v>2318</v>
      </c>
      <c r="V28" s="231">
        <f t="shared" si="4"/>
        <v>96.583333333333329</v>
      </c>
      <c r="W28" s="236">
        <v>14.83</v>
      </c>
      <c r="X28" s="65">
        <v>0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157</v>
      </c>
      <c r="AL28" s="60">
        <f t="shared" si="5"/>
        <v>6.541666666666667</v>
      </c>
      <c r="AM28" s="6">
        <v>1196</v>
      </c>
      <c r="AO28" s="61"/>
      <c r="AP28" s="61">
        <f t="shared" si="6"/>
        <v>383</v>
      </c>
      <c r="AQ28"/>
    </row>
    <row r="29" spans="1:43" x14ac:dyDescent="0.3">
      <c r="A29" s="62">
        <v>23</v>
      </c>
      <c r="B29" s="67">
        <v>1636</v>
      </c>
      <c r="C29" s="42">
        <f t="shared" si="0"/>
        <v>68.166666666666671</v>
      </c>
      <c r="D29" s="282">
        <v>1145</v>
      </c>
      <c r="E29" s="44">
        <v>759</v>
      </c>
      <c r="F29" s="19">
        <v>1904</v>
      </c>
      <c r="G29" s="20">
        <v>283</v>
      </c>
      <c r="H29" s="216">
        <v>92</v>
      </c>
      <c r="I29" s="211">
        <v>0</v>
      </c>
      <c r="J29" s="46">
        <f t="shared" si="1"/>
        <v>0</v>
      </c>
      <c r="K29" s="239">
        <v>0</v>
      </c>
      <c r="L29" s="21">
        <v>0</v>
      </c>
      <c r="M29" s="49">
        <v>0</v>
      </c>
      <c r="N29" s="50">
        <f t="shared" si="2"/>
        <v>0</v>
      </c>
      <c r="O29" s="198">
        <v>300</v>
      </c>
      <c r="P29" s="52">
        <f t="shared" si="3"/>
        <v>12.5</v>
      </c>
      <c r="Q29" s="283">
        <v>80</v>
      </c>
      <c r="R29" s="53">
        <v>0</v>
      </c>
      <c r="S29" s="54">
        <v>426</v>
      </c>
      <c r="T29" s="223">
        <v>498</v>
      </c>
      <c r="U29" s="55">
        <f t="shared" si="7"/>
        <v>2442</v>
      </c>
      <c r="V29" s="231">
        <f t="shared" si="4"/>
        <v>101.75</v>
      </c>
      <c r="W29" s="236">
        <v>24</v>
      </c>
      <c r="X29" s="65">
        <v>0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189</v>
      </c>
      <c r="AL29" s="60">
        <f t="shared" si="5"/>
        <v>7.875</v>
      </c>
      <c r="AM29" s="6">
        <v>1440</v>
      </c>
      <c r="AO29" s="61"/>
      <c r="AP29" s="61">
        <f t="shared" si="6"/>
        <v>426</v>
      </c>
      <c r="AQ29"/>
    </row>
    <row r="30" spans="1:43" x14ac:dyDescent="0.3">
      <c r="A30" s="62">
        <v>24</v>
      </c>
      <c r="B30" s="67">
        <v>1624</v>
      </c>
      <c r="C30" s="42">
        <f t="shared" si="0"/>
        <v>67.666666666666671</v>
      </c>
      <c r="D30" s="282">
        <v>1137</v>
      </c>
      <c r="E30" s="44">
        <v>756</v>
      </c>
      <c r="F30" s="19">
        <v>1893</v>
      </c>
      <c r="G30" s="20">
        <v>312</v>
      </c>
      <c r="H30" s="216">
        <v>100</v>
      </c>
      <c r="I30" s="211">
        <v>0</v>
      </c>
      <c r="J30" s="46">
        <f t="shared" si="1"/>
        <v>0</v>
      </c>
      <c r="K30" s="239">
        <v>0</v>
      </c>
      <c r="L30" s="21">
        <v>0</v>
      </c>
      <c r="M30" s="49">
        <v>0</v>
      </c>
      <c r="N30" s="50">
        <f t="shared" si="2"/>
        <v>0</v>
      </c>
      <c r="O30" s="198">
        <v>308</v>
      </c>
      <c r="P30" s="52">
        <f t="shared" si="3"/>
        <v>12.833333333333334</v>
      </c>
      <c r="Q30" s="283">
        <v>137</v>
      </c>
      <c r="R30" s="53">
        <v>0</v>
      </c>
      <c r="S30" s="54">
        <v>422</v>
      </c>
      <c r="T30" s="223">
        <v>488</v>
      </c>
      <c r="U30" s="55">
        <f t="shared" si="7"/>
        <v>2491</v>
      </c>
      <c r="V30" s="231">
        <f t="shared" si="4"/>
        <v>103.79166666666667</v>
      </c>
      <c r="W30" s="236">
        <v>24</v>
      </c>
      <c r="X30" s="65">
        <v>0</v>
      </c>
      <c r="Y30" s="66">
        <v>24</v>
      </c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>
        <v>191</v>
      </c>
      <c r="AL30" s="60">
        <f t="shared" si="5"/>
        <v>7.958333333333333</v>
      </c>
      <c r="AM30" s="6">
        <v>1440</v>
      </c>
      <c r="AO30" s="61"/>
      <c r="AP30" s="61">
        <f t="shared" si="6"/>
        <v>422</v>
      </c>
      <c r="AQ30"/>
    </row>
    <row r="31" spans="1:43" x14ac:dyDescent="0.3">
      <c r="A31" s="62">
        <v>25</v>
      </c>
      <c r="B31" s="67">
        <v>1583</v>
      </c>
      <c r="C31" s="42">
        <f t="shared" si="0"/>
        <v>65.958333333333329</v>
      </c>
      <c r="D31" s="282">
        <v>1108</v>
      </c>
      <c r="E31" s="44">
        <v>735</v>
      </c>
      <c r="F31" s="19">
        <v>1843</v>
      </c>
      <c r="G31" s="20">
        <v>319</v>
      </c>
      <c r="H31" s="216">
        <v>91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0</v>
      </c>
      <c r="N31" s="50">
        <f t="shared" si="2"/>
        <v>0</v>
      </c>
      <c r="O31" s="198">
        <v>296</v>
      </c>
      <c r="P31" s="52">
        <f t="shared" si="3"/>
        <v>12.333333333333334</v>
      </c>
      <c r="Q31" s="283">
        <v>187</v>
      </c>
      <c r="R31" s="53">
        <v>0</v>
      </c>
      <c r="S31" s="54">
        <v>425</v>
      </c>
      <c r="T31" s="223">
        <v>489</v>
      </c>
      <c r="U31" s="55">
        <f t="shared" si="7"/>
        <v>2491</v>
      </c>
      <c r="V31" s="231">
        <f t="shared" si="4"/>
        <v>103.79166666666667</v>
      </c>
      <c r="W31" s="236">
        <v>24</v>
      </c>
      <c r="X31" s="65">
        <v>0</v>
      </c>
      <c r="Y31" s="66">
        <v>24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>
        <v>189</v>
      </c>
      <c r="AL31" s="60">
        <f t="shared" si="5"/>
        <v>7.875</v>
      </c>
      <c r="AM31" s="6">
        <v>1440</v>
      </c>
      <c r="AO31" s="61"/>
      <c r="AP31" s="61">
        <f t="shared" si="6"/>
        <v>425</v>
      </c>
      <c r="AQ31"/>
    </row>
    <row r="32" spans="1:43" x14ac:dyDescent="0.3">
      <c r="A32" s="62">
        <v>26</v>
      </c>
      <c r="B32" s="67">
        <v>1520</v>
      </c>
      <c r="C32" s="42">
        <f t="shared" si="0"/>
        <v>63.333333333333336</v>
      </c>
      <c r="D32" s="282">
        <v>1064</v>
      </c>
      <c r="E32" s="44">
        <v>730</v>
      </c>
      <c r="F32" s="19">
        <v>1794</v>
      </c>
      <c r="G32" s="20">
        <v>307</v>
      </c>
      <c r="H32" s="216">
        <v>91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200">
        <v>0</v>
      </c>
      <c r="N32" s="50">
        <f t="shared" si="2"/>
        <v>0</v>
      </c>
      <c r="O32" s="198">
        <v>307</v>
      </c>
      <c r="P32" s="52">
        <f t="shared" si="3"/>
        <v>12.791666666666666</v>
      </c>
      <c r="Q32" s="283">
        <v>57</v>
      </c>
      <c r="R32" s="53">
        <v>0</v>
      </c>
      <c r="S32" s="54">
        <v>398</v>
      </c>
      <c r="T32" s="223">
        <v>503</v>
      </c>
      <c r="U32" s="55">
        <f t="shared" si="7"/>
        <v>2282</v>
      </c>
      <c r="V32" s="231">
        <f t="shared" si="4"/>
        <v>95.083333333333329</v>
      </c>
      <c r="W32" s="236">
        <v>15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174</v>
      </c>
      <c r="AL32" s="60">
        <f t="shared" si="5"/>
        <v>7.25</v>
      </c>
      <c r="AM32" s="6">
        <v>1440</v>
      </c>
      <c r="AO32" s="61"/>
      <c r="AP32" s="61">
        <f t="shared" si="6"/>
        <v>398</v>
      </c>
      <c r="AQ32"/>
    </row>
    <row r="33" spans="1:43" x14ac:dyDescent="0.3">
      <c r="A33" s="62">
        <v>27</v>
      </c>
      <c r="B33" s="67">
        <v>1263</v>
      </c>
      <c r="C33" s="42">
        <f t="shared" si="0"/>
        <v>52.625</v>
      </c>
      <c r="D33" s="282">
        <v>884</v>
      </c>
      <c r="E33" s="44">
        <v>638</v>
      </c>
      <c r="F33" s="19">
        <v>1522</v>
      </c>
      <c r="G33" s="20">
        <v>280</v>
      </c>
      <c r="H33" s="216">
        <v>89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200">
        <v>0</v>
      </c>
      <c r="N33" s="50">
        <f t="shared" si="2"/>
        <v>0</v>
      </c>
      <c r="O33" s="198">
        <v>312</v>
      </c>
      <c r="P33" s="52">
        <f t="shared" si="3"/>
        <v>13</v>
      </c>
      <c r="Q33" s="283">
        <v>0</v>
      </c>
      <c r="R33" s="53">
        <v>0</v>
      </c>
      <c r="S33" s="54">
        <v>319</v>
      </c>
      <c r="T33" s="223">
        <v>486</v>
      </c>
      <c r="U33" s="55">
        <f t="shared" si="7"/>
        <v>1894</v>
      </c>
      <c r="V33" s="231">
        <f t="shared" si="4"/>
        <v>78.916666666666671</v>
      </c>
      <c r="W33" s="236">
        <v>0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187</v>
      </c>
      <c r="AL33" s="60">
        <f t="shared" si="5"/>
        <v>7.791666666666667</v>
      </c>
      <c r="AM33" s="6">
        <v>1440</v>
      </c>
      <c r="AO33" s="61"/>
      <c r="AP33" s="61">
        <f t="shared" si="6"/>
        <v>319</v>
      </c>
      <c r="AQ33"/>
    </row>
    <row r="34" spans="1:43" x14ac:dyDescent="0.3">
      <c r="A34" s="62">
        <v>28</v>
      </c>
      <c r="B34" s="67">
        <v>1271</v>
      </c>
      <c r="C34" s="42">
        <f t="shared" si="0"/>
        <v>52.958333333333336</v>
      </c>
      <c r="D34" s="282">
        <v>890</v>
      </c>
      <c r="E34" s="44">
        <v>635</v>
      </c>
      <c r="F34" s="19">
        <v>1525</v>
      </c>
      <c r="G34" s="20">
        <v>274</v>
      </c>
      <c r="H34" s="216">
        <v>81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200">
        <v>0</v>
      </c>
      <c r="N34" s="50">
        <f t="shared" si="2"/>
        <v>0</v>
      </c>
      <c r="O34" s="198">
        <v>309</v>
      </c>
      <c r="P34" s="52">
        <f t="shared" si="3"/>
        <v>12.875</v>
      </c>
      <c r="Q34" s="283">
        <v>0</v>
      </c>
      <c r="R34" s="53">
        <v>0</v>
      </c>
      <c r="S34" s="54">
        <v>301</v>
      </c>
      <c r="T34" s="223">
        <v>491</v>
      </c>
      <c r="U34" s="55">
        <f t="shared" si="7"/>
        <v>1881</v>
      </c>
      <c r="V34" s="231">
        <f t="shared" si="4"/>
        <v>78.375</v>
      </c>
      <c r="W34" s="236">
        <v>0</v>
      </c>
      <c r="X34" s="65">
        <v>0</v>
      </c>
      <c r="Y34" s="66">
        <v>24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>
        <v>176</v>
      </c>
      <c r="AL34" s="60">
        <f t="shared" si="5"/>
        <v>7.333333333333333</v>
      </c>
      <c r="AM34" s="6">
        <v>1440</v>
      </c>
      <c r="AO34" s="61"/>
      <c r="AP34" s="61">
        <f t="shared" si="6"/>
        <v>301</v>
      </c>
      <c r="AQ34"/>
    </row>
    <row r="35" spans="1:43" x14ac:dyDescent="0.3">
      <c r="A35" s="62">
        <v>29</v>
      </c>
      <c r="B35" s="67">
        <v>1315</v>
      </c>
      <c r="C35" s="42">
        <f t="shared" si="0"/>
        <v>54.791666666666664</v>
      </c>
      <c r="D35" s="282">
        <v>921</v>
      </c>
      <c r="E35" s="44">
        <v>640</v>
      </c>
      <c r="F35" s="19">
        <v>1560</v>
      </c>
      <c r="G35" s="20">
        <v>286</v>
      </c>
      <c r="H35" s="216">
        <v>89</v>
      </c>
      <c r="I35" s="211">
        <v>0</v>
      </c>
      <c r="J35" s="46">
        <f t="shared" si="1"/>
        <v>0</v>
      </c>
      <c r="K35" s="239">
        <v>0</v>
      </c>
      <c r="L35" s="21">
        <v>0</v>
      </c>
      <c r="M35" s="200">
        <v>0</v>
      </c>
      <c r="N35" s="50">
        <f t="shared" si="2"/>
        <v>0</v>
      </c>
      <c r="O35" s="198">
        <v>313</v>
      </c>
      <c r="P35" s="52">
        <f t="shared" si="3"/>
        <v>13.041666666666666</v>
      </c>
      <c r="Q35" s="283">
        <v>0</v>
      </c>
      <c r="R35" s="53">
        <v>0</v>
      </c>
      <c r="S35" s="54">
        <v>309</v>
      </c>
      <c r="T35" s="223">
        <v>481</v>
      </c>
      <c r="U35" s="55">
        <f t="shared" si="7"/>
        <v>1937</v>
      </c>
      <c r="V35" s="231">
        <f t="shared" si="4"/>
        <v>80.708333333333329</v>
      </c>
      <c r="W35" s="236">
        <v>0</v>
      </c>
      <c r="X35" s="65">
        <v>0</v>
      </c>
      <c r="Y35" s="66">
        <v>24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>
        <v>175</v>
      </c>
      <c r="AL35" s="60">
        <f t="shared" si="5"/>
        <v>7.291666666666667</v>
      </c>
      <c r="AM35" s="6">
        <v>1440</v>
      </c>
      <c r="AO35" s="61"/>
      <c r="AP35" s="61">
        <f t="shared" si="6"/>
        <v>309</v>
      </c>
      <c r="AQ35"/>
    </row>
    <row r="36" spans="1:43" x14ac:dyDescent="0.3">
      <c r="A36" s="62">
        <v>30</v>
      </c>
      <c r="B36" s="67">
        <v>1314</v>
      </c>
      <c r="C36" s="42">
        <f t="shared" si="0"/>
        <v>54.75</v>
      </c>
      <c r="D36" s="282">
        <v>920</v>
      </c>
      <c r="E36" s="44">
        <v>658</v>
      </c>
      <c r="F36" s="19">
        <v>1578</v>
      </c>
      <c r="G36" s="20">
        <v>283</v>
      </c>
      <c r="H36" s="216">
        <v>90</v>
      </c>
      <c r="I36" s="211">
        <v>0</v>
      </c>
      <c r="J36" s="46">
        <f t="shared" si="1"/>
        <v>0</v>
      </c>
      <c r="K36" s="239">
        <v>0</v>
      </c>
      <c r="L36" s="21">
        <v>0</v>
      </c>
      <c r="M36" s="200">
        <v>0</v>
      </c>
      <c r="N36" s="50">
        <f t="shared" si="2"/>
        <v>0</v>
      </c>
      <c r="O36" s="198">
        <v>301</v>
      </c>
      <c r="P36" s="52">
        <f t="shared" si="3"/>
        <v>12.541666666666666</v>
      </c>
      <c r="Q36" s="283">
        <v>0</v>
      </c>
      <c r="R36" s="53">
        <v>0</v>
      </c>
      <c r="S36" s="54">
        <v>227</v>
      </c>
      <c r="T36" s="223">
        <v>479</v>
      </c>
      <c r="U36" s="55">
        <f t="shared" si="7"/>
        <v>1842</v>
      </c>
      <c r="V36" s="231">
        <f t="shared" si="4"/>
        <v>76.75</v>
      </c>
      <c r="W36" s="236">
        <v>0</v>
      </c>
      <c r="X36" s="65">
        <v>0</v>
      </c>
      <c r="Y36" s="66">
        <v>24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>
        <v>166</v>
      </c>
      <c r="AL36" s="60">
        <f t="shared" si="5"/>
        <v>6.916666666666667</v>
      </c>
      <c r="AM36" s="6">
        <v>1440</v>
      </c>
      <c r="AO36" s="61"/>
      <c r="AP36" s="61">
        <f t="shared" si="6"/>
        <v>227</v>
      </c>
      <c r="AQ36"/>
    </row>
    <row r="37" spans="1:43" ht="17.25" thickBot="1" x14ac:dyDescent="0.35">
      <c r="A37" s="62">
        <v>31</v>
      </c>
      <c r="B37" s="67"/>
      <c r="C37" s="42">
        <f t="shared" si="0"/>
        <v>0</v>
      </c>
      <c r="D37" s="76"/>
      <c r="E37" s="44"/>
      <c r="F37" s="77"/>
      <c r="G37" s="78"/>
      <c r="H37" s="220"/>
      <c r="I37" s="211">
        <v>0</v>
      </c>
      <c r="J37" s="46">
        <f t="shared" si="1"/>
        <v>0</v>
      </c>
      <c r="K37" s="79">
        <v>0</v>
      </c>
      <c r="L37" s="80">
        <v>0</v>
      </c>
      <c r="M37" s="201"/>
      <c r="N37" s="50">
        <f t="shared" si="2"/>
        <v>0</v>
      </c>
      <c r="O37" s="199"/>
      <c r="P37" s="81">
        <f t="shared" si="3"/>
        <v>0</v>
      </c>
      <c r="Q37" s="227"/>
      <c r="R37" s="82"/>
      <c r="S37" s="54"/>
      <c r="T37" s="223"/>
      <c r="U37" s="55">
        <f t="shared" si="7"/>
        <v>0</v>
      </c>
      <c r="V37" s="232">
        <f t="shared" si="4"/>
        <v>0</v>
      </c>
      <c r="W37" s="237"/>
      <c r="X37" s="83"/>
      <c r="Y37" s="84"/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/>
      <c r="AL37" s="60">
        <f t="shared" si="5"/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41971</v>
      </c>
      <c r="C38" s="88">
        <f t="shared" si="8"/>
        <v>1748.7916666666667</v>
      </c>
      <c r="D38" s="89">
        <f t="shared" si="8"/>
        <v>29382</v>
      </c>
      <c r="E38" s="89">
        <f t="shared" si="8"/>
        <v>20736</v>
      </c>
      <c r="F38" s="89">
        <f t="shared" si="8"/>
        <v>50115</v>
      </c>
      <c r="G38" s="90">
        <f t="shared" si="8"/>
        <v>8758</v>
      </c>
      <c r="H38" s="221">
        <f t="shared" si="8"/>
        <v>2665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7154</v>
      </c>
      <c r="P38" s="93"/>
      <c r="Q38" s="212">
        <f>SUM(Q7:Q37)</f>
        <v>582</v>
      </c>
      <c r="R38" s="87">
        <f>SUM(R7:R37)</f>
        <v>147</v>
      </c>
      <c r="S38" s="87">
        <f>SUM(S7:S37)</f>
        <v>10152</v>
      </c>
      <c r="T38" s="87">
        <f>SUM(T7:T37)</f>
        <v>14526</v>
      </c>
      <c r="U38" s="94">
        <f>SUM(U7:U37)</f>
        <v>60006</v>
      </c>
      <c r="V38" s="207"/>
      <c r="W38" s="238">
        <f>SUM(W7:W37)</f>
        <v>109.33</v>
      </c>
      <c r="X38" s="89">
        <f>SUM(X7:X37)</f>
        <v>5.17</v>
      </c>
      <c r="Y38" s="91">
        <f>SUM(Y7:Y37)</f>
        <v>707.17000000000007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12.416666666666666</v>
      </c>
      <c r="AJ38" s="242">
        <f>SUM(AJ7:AJ37)/60</f>
        <v>33.75</v>
      </c>
      <c r="AK38" s="245">
        <f>SUM(AK7:AK37)</f>
        <v>4134</v>
      </c>
      <c r="AL38" s="97">
        <f>SUM(AL7:AL37)/60</f>
        <v>2.8708333333333327</v>
      </c>
      <c r="AM38" s="240">
        <f>SUM(AM7:AM37)/60</f>
        <v>676.9</v>
      </c>
      <c r="AP38"/>
      <c r="AQ38"/>
    </row>
    <row r="39" spans="1:43" ht="17.25" thickBot="1" x14ac:dyDescent="0.35">
      <c r="A39" s="98" t="s">
        <v>37</v>
      </c>
      <c r="B39" s="99">
        <f>AVERAGE(B7:B37)</f>
        <v>1399.0333333333333</v>
      </c>
      <c r="C39" s="100">
        <f>B39/24</f>
        <v>58.293055555555554</v>
      </c>
      <c r="D39" s="101">
        <f t="shared" ref="D39:I39" si="9">AVERAGE(D7:D37)</f>
        <v>979.4</v>
      </c>
      <c r="E39" s="101">
        <f t="shared" si="9"/>
        <v>691.2</v>
      </c>
      <c r="F39" s="101">
        <f t="shared" si="9"/>
        <v>1670.5</v>
      </c>
      <c r="G39" s="208">
        <f t="shared" si="9"/>
        <v>291.93333333333334</v>
      </c>
      <c r="H39" s="102">
        <f t="shared" si="9"/>
        <v>88.833333333333329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238.46666666666667</v>
      </c>
      <c r="P39" s="229">
        <f>O39/24</f>
        <v>9.9361111111111118</v>
      </c>
      <c r="Q39" s="228">
        <f>AVERAGE(Q7:Q37)</f>
        <v>19.399999999999999</v>
      </c>
      <c r="R39" s="106">
        <f>AVERAGE(R7:R37)</f>
        <v>4.9000000000000004</v>
      </c>
      <c r="S39" s="102">
        <f>AVERAGE(S7:S37)</f>
        <v>338.4</v>
      </c>
      <c r="T39" s="102">
        <f>AVERAGE(T7:T37)</f>
        <v>484.2</v>
      </c>
      <c r="U39" s="107">
        <f>AVERAGE(U7:U37)</f>
        <v>1935.6774193548388</v>
      </c>
      <c r="V39" s="233">
        <f>U39/24</f>
        <v>80.653225806451616</v>
      </c>
      <c r="W39" s="105">
        <f>AVERAGE(W7:W37)</f>
        <v>3.6443333333333334</v>
      </c>
      <c r="X39" s="101">
        <f>AVERAGE(X7:X37)</f>
        <v>0.17233333333333334</v>
      </c>
      <c r="Y39" s="104">
        <f>AVERAGE(Y7:Y37)</f>
        <v>23.572333333333336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46.166666666666664</v>
      </c>
      <c r="AI39" s="354"/>
      <c r="AJ39" s="246">
        <f>AI39/24</f>
        <v>0</v>
      </c>
      <c r="AK39" s="245">
        <f>(AJ38/31)/24</f>
        <v>4.5362903225806446E-2</v>
      </c>
      <c r="AP39"/>
      <c r="AQ39"/>
    </row>
    <row r="40" spans="1:43" ht="17.25" thickBot="1" x14ac:dyDescent="0.35">
      <c r="A40" s="7"/>
      <c r="M40" s="108">
        <f>M38+O38</f>
        <v>7154</v>
      </c>
      <c r="P40" s="109"/>
      <c r="Q40" s="110" t="s">
        <v>39</v>
      </c>
      <c r="R40" s="6">
        <f>Q38+R38</f>
        <v>729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42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1.0125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14.1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58.293055555555554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9.9361111111111118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83.341666666666669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84" t="s">
        <v>50</v>
      </c>
      <c r="E49" s="284" t="s">
        <v>305</v>
      </c>
      <c r="F49" s="140" t="s">
        <v>51</v>
      </c>
      <c r="G49" s="140" t="s">
        <v>52</v>
      </c>
      <c r="H49" s="284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433</v>
      </c>
      <c r="F50" s="148">
        <v>204</v>
      </c>
      <c r="G50" s="148">
        <v>511</v>
      </c>
      <c r="H50" s="148">
        <v>514</v>
      </c>
      <c r="I50" s="148">
        <v>454</v>
      </c>
      <c r="J50" s="148">
        <v>504</v>
      </c>
      <c r="K50" s="148">
        <v>504</v>
      </c>
      <c r="L50" s="148">
        <v>504</v>
      </c>
      <c r="M50" s="148">
        <v>504</v>
      </c>
      <c r="N50" s="148">
        <v>518</v>
      </c>
      <c r="O50" s="148">
        <v>519</v>
      </c>
      <c r="P50" s="148">
        <v>512</v>
      </c>
      <c r="Q50" s="148">
        <v>530</v>
      </c>
      <c r="R50" s="148">
        <v>539</v>
      </c>
      <c r="S50" s="148">
        <v>528</v>
      </c>
      <c r="T50" s="148">
        <v>511</v>
      </c>
      <c r="U50" s="148">
        <v>496</v>
      </c>
      <c r="V50" s="148">
        <v>492</v>
      </c>
      <c r="W50" s="148">
        <v>509</v>
      </c>
      <c r="X50" s="148">
        <v>521</v>
      </c>
      <c r="Y50" s="148">
        <v>519</v>
      </c>
      <c r="Z50" s="148">
        <v>527</v>
      </c>
      <c r="AA50" s="148">
        <v>522</v>
      </c>
      <c r="AB50" s="148">
        <v>514</v>
      </c>
      <c r="AC50" s="148">
        <v>520</v>
      </c>
      <c r="AD50" s="148">
        <v>529</v>
      </c>
      <c r="AE50" s="148">
        <v>510</v>
      </c>
      <c r="AF50" s="148">
        <v>517</v>
      </c>
      <c r="AG50" s="148">
        <v>503</v>
      </c>
      <c r="AH50" s="148">
        <v>506</v>
      </c>
      <c r="AI50" s="148"/>
      <c r="AJ50" s="149">
        <f>SUM(E50:AI50)</f>
        <v>14974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33.51</v>
      </c>
      <c r="G51" s="148">
        <v>72</v>
      </c>
      <c r="H51" s="148">
        <v>72</v>
      </c>
      <c r="I51" s="148">
        <v>72</v>
      </c>
      <c r="J51" s="148">
        <v>72</v>
      </c>
      <c r="K51" s="148">
        <v>72</v>
      </c>
      <c r="L51" s="148">
        <v>72</v>
      </c>
      <c r="M51" s="148">
        <v>72</v>
      </c>
      <c r="N51" s="148">
        <v>72</v>
      </c>
      <c r="O51" s="148">
        <v>72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72</v>
      </c>
      <c r="X51" s="148">
        <v>72</v>
      </c>
      <c r="Y51" s="148">
        <v>72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72</v>
      </c>
      <c r="AG51" s="148">
        <v>72</v>
      </c>
      <c r="AH51" s="148">
        <v>72</v>
      </c>
      <c r="AI51" s="148">
        <v>0</v>
      </c>
      <c r="AJ51" s="149">
        <f>SUM(E51:AI51)</f>
        <v>2121.5100000000002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383</v>
      </c>
      <c r="F52" s="148">
        <f>$S8</f>
        <v>158</v>
      </c>
      <c r="G52" s="148">
        <f>$S9</f>
        <v>369</v>
      </c>
      <c r="H52" s="148">
        <f>$S10</f>
        <v>372</v>
      </c>
      <c r="I52" s="148">
        <f>$S11</f>
        <v>355</v>
      </c>
      <c r="J52" s="148">
        <f>$S12</f>
        <v>398</v>
      </c>
      <c r="K52" s="148">
        <f>$S13</f>
        <v>346</v>
      </c>
      <c r="L52" s="148">
        <f>$S14</f>
        <v>360</v>
      </c>
      <c r="M52" s="148">
        <f>$S15</f>
        <v>274</v>
      </c>
      <c r="N52" s="148">
        <f>$S16</f>
        <v>271</v>
      </c>
      <c r="O52" s="148">
        <f>$S17</f>
        <v>279</v>
      </c>
      <c r="P52" s="148">
        <f>$S18</f>
        <v>309</v>
      </c>
      <c r="Q52" s="148">
        <f>$S19</f>
        <v>272</v>
      </c>
      <c r="R52" s="148">
        <f>$S20</f>
        <v>339</v>
      </c>
      <c r="S52" s="148">
        <f>$S21</f>
        <v>293</v>
      </c>
      <c r="T52" s="148">
        <f>$S22</f>
        <v>349</v>
      </c>
      <c r="U52" s="148">
        <f>$S23</f>
        <v>315</v>
      </c>
      <c r="V52" s="148">
        <f>$S24</f>
        <v>337</v>
      </c>
      <c r="W52" s="148">
        <f>$S25</f>
        <v>345</v>
      </c>
      <c r="X52" s="148">
        <f>$S26</f>
        <v>399</v>
      </c>
      <c r="Y52" s="148">
        <f>$S27</f>
        <v>419</v>
      </c>
      <c r="Z52" s="148">
        <f>$S28</f>
        <v>383</v>
      </c>
      <c r="AA52" s="148">
        <f>$S29</f>
        <v>426</v>
      </c>
      <c r="AB52" s="148">
        <f>$S30</f>
        <v>422</v>
      </c>
      <c r="AC52" s="148">
        <f>$S31</f>
        <v>425</v>
      </c>
      <c r="AD52" s="148">
        <f>$S32</f>
        <v>398</v>
      </c>
      <c r="AE52" s="148">
        <f>$S33</f>
        <v>319</v>
      </c>
      <c r="AF52" s="148">
        <f>$S34</f>
        <v>301</v>
      </c>
      <c r="AG52" s="148">
        <f>$S35</f>
        <v>309</v>
      </c>
      <c r="AH52" s="148">
        <f>$S36</f>
        <v>227</v>
      </c>
      <c r="AI52" s="148">
        <f>$S37</f>
        <v>0</v>
      </c>
      <c r="AJ52" s="154">
        <f>SUM(E52:AI52)</f>
        <v>10152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0</v>
      </c>
      <c r="F53" s="157">
        <f t="shared" si="10"/>
        <v>12.490000000000009</v>
      </c>
      <c r="G53" s="157">
        <f t="shared" si="10"/>
        <v>70</v>
      </c>
      <c r="H53" s="157">
        <f t="shared" si="10"/>
        <v>70</v>
      </c>
      <c r="I53" s="157">
        <f t="shared" si="10"/>
        <v>27</v>
      </c>
      <c r="J53" s="157">
        <f t="shared" si="10"/>
        <v>34</v>
      </c>
      <c r="K53" s="157">
        <f t="shared" si="10"/>
        <v>86</v>
      </c>
      <c r="L53" s="157">
        <f t="shared" si="10"/>
        <v>72</v>
      </c>
      <c r="M53" s="157">
        <f t="shared" si="10"/>
        <v>158</v>
      </c>
      <c r="N53" s="157">
        <f t="shared" si="10"/>
        <v>175</v>
      </c>
      <c r="O53" s="157">
        <f t="shared" si="10"/>
        <v>168</v>
      </c>
      <c r="P53" s="157">
        <f t="shared" si="10"/>
        <v>131</v>
      </c>
      <c r="Q53" s="157">
        <f t="shared" si="10"/>
        <v>186</v>
      </c>
      <c r="R53" s="157">
        <f t="shared" si="10"/>
        <v>128</v>
      </c>
      <c r="S53" s="157">
        <f t="shared" si="10"/>
        <v>163</v>
      </c>
      <c r="T53" s="157">
        <f t="shared" si="10"/>
        <v>90</v>
      </c>
      <c r="U53" s="157">
        <f t="shared" si="10"/>
        <v>109</v>
      </c>
      <c r="V53" s="157">
        <f t="shared" si="10"/>
        <v>83</v>
      </c>
      <c r="W53" s="157">
        <f t="shared" si="10"/>
        <v>92</v>
      </c>
      <c r="X53" s="157">
        <f t="shared" si="10"/>
        <v>50</v>
      </c>
      <c r="Y53" s="157">
        <f t="shared" si="10"/>
        <v>28</v>
      </c>
      <c r="Z53" s="157">
        <f t="shared" si="10"/>
        <v>72</v>
      </c>
      <c r="AA53" s="157">
        <f t="shared" si="10"/>
        <v>24</v>
      </c>
      <c r="AB53" s="157">
        <f t="shared" si="10"/>
        <v>20</v>
      </c>
      <c r="AC53" s="157">
        <f t="shared" si="10"/>
        <v>23</v>
      </c>
      <c r="AD53" s="157">
        <f t="shared" si="10"/>
        <v>59</v>
      </c>
      <c r="AE53" s="157">
        <f t="shared" si="10"/>
        <v>119</v>
      </c>
      <c r="AF53" s="157">
        <f t="shared" si="10"/>
        <v>144</v>
      </c>
      <c r="AG53" s="157">
        <f t="shared" si="10"/>
        <v>122</v>
      </c>
      <c r="AH53" s="157">
        <f t="shared" si="10"/>
        <v>207</v>
      </c>
      <c r="AI53" s="157">
        <f t="shared" si="10"/>
        <v>0</v>
      </c>
      <c r="AJ53" s="154">
        <f>SUM(E53:AI53)</f>
        <v>2722.49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 t="str">
        <f t="shared" ref="E54:AI54" si="11">IFERROR(IF(E53&gt;0,E53*$D$54," ")," ")</f>
        <v xml:space="preserve"> </v>
      </c>
      <c r="F54" s="160">
        <f t="shared" si="11"/>
        <v>212.33000000000015</v>
      </c>
      <c r="G54" s="160">
        <f t="shared" si="11"/>
        <v>1190</v>
      </c>
      <c r="H54" s="160">
        <f t="shared" si="11"/>
        <v>1190</v>
      </c>
      <c r="I54" s="160">
        <f t="shared" si="11"/>
        <v>459</v>
      </c>
      <c r="J54" s="160">
        <f t="shared" si="11"/>
        <v>578</v>
      </c>
      <c r="K54" s="160">
        <f t="shared" si="11"/>
        <v>1462</v>
      </c>
      <c r="L54" s="160">
        <f t="shared" si="11"/>
        <v>1224</v>
      </c>
      <c r="M54" s="160">
        <f t="shared" si="11"/>
        <v>2686</v>
      </c>
      <c r="N54" s="160">
        <f t="shared" si="11"/>
        <v>2975</v>
      </c>
      <c r="O54" s="160">
        <f t="shared" si="11"/>
        <v>2856</v>
      </c>
      <c r="P54" s="160">
        <f t="shared" si="11"/>
        <v>2227</v>
      </c>
      <c r="Q54" s="160">
        <f t="shared" si="11"/>
        <v>3162</v>
      </c>
      <c r="R54" s="160">
        <f t="shared" si="11"/>
        <v>2176</v>
      </c>
      <c r="S54" s="160">
        <f t="shared" si="11"/>
        <v>2771</v>
      </c>
      <c r="T54" s="160">
        <f t="shared" si="11"/>
        <v>1530</v>
      </c>
      <c r="U54" s="160">
        <f t="shared" si="11"/>
        <v>1853</v>
      </c>
      <c r="V54" s="160">
        <f t="shared" si="11"/>
        <v>1411</v>
      </c>
      <c r="W54" s="160">
        <f t="shared" si="11"/>
        <v>1564</v>
      </c>
      <c r="X54" s="160">
        <f t="shared" si="11"/>
        <v>850</v>
      </c>
      <c r="Y54" s="160">
        <f t="shared" si="11"/>
        <v>476</v>
      </c>
      <c r="Z54" s="160">
        <f t="shared" si="11"/>
        <v>1224</v>
      </c>
      <c r="AA54" s="160">
        <f t="shared" si="11"/>
        <v>408</v>
      </c>
      <c r="AB54" s="160">
        <f t="shared" si="11"/>
        <v>340</v>
      </c>
      <c r="AC54" s="160">
        <f t="shared" si="11"/>
        <v>391</v>
      </c>
      <c r="AD54" s="160">
        <f t="shared" si="11"/>
        <v>1003</v>
      </c>
      <c r="AE54" s="160">
        <f t="shared" si="11"/>
        <v>2023</v>
      </c>
      <c r="AF54" s="160">
        <f t="shared" si="11"/>
        <v>2448</v>
      </c>
      <c r="AG54" s="160">
        <f t="shared" si="11"/>
        <v>2074</v>
      </c>
      <c r="AH54" s="160">
        <f t="shared" si="11"/>
        <v>3519</v>
      </c>
      <c r="AI54" s="160" t="str">
        <f t="shared" si="11"/>
        <v xml:space="preserve"> </v>
      </c>
      <c r="AJ54" s="161">
        <f>SUM(E54:AI54)</f>
        <v>46282.33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45905</v>
      </c>
      <c r="B58" s="312" t="s">
        <v>307</v>
      </c>
      <c r="C58" s="312"/>
      <c r="D58" s="306" t="s">
        <v>308</v>
      </c>
      <c r="E58" s="307"/>
      <c r="F58" s="307"/>
      <c r="G58" s="307"/>
      <c r="H58" s="307"/>
      <c r="I58" s="307"/>
      <c r="J58" s="169">
        <v>60</v>
      </c>
      <c r="K58" s="169">
        <v>55</v>
      </c>
      <c r="L58" s="170">
        <v>140</v>
      </c>
      <c r="M58" s="171">
        <f t="shared" ref="M58:M83" si="12">J58-K58</f>
        <v>5</v>
      </c>
      <c r="N58" s="172">
        <f t="shared" ref="N58:N83" si="13">M58/60</f>
        <v>8.3333333333333329E-2</v>
      </c>
      <c r="O58" s="173">
        <f t="shared" ref="O58:O83" si="14">L58*N58</f>
        <v>11.666666666666666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45909</v>
      </c>
      <c r="B59" s="312" t="s">
        <v>309</v>
      </c>
      <c r="C59" s="312"/>
      <c r="D59" s="306" t="s">
        <v>310</v>
      </c>
      <c r="E59" s="307"/>
      <c r="F59" s="307"/>
      <c r="G59" s="307"/>
      <c r="H59" s="307"/>
      <c r="I59" s="307"/>
      <c r="J59" s="169">
        <v>60</v>
      </c>
      <c r="K59" s="169">
        <v>44</v>
      </c>
      <c r="L59" s="170">
        <v>185</v>
      </c>
      <c r="M59" s="171">
        <f t="shared" si="12"/>
        <v>16</v>
      </c>
      <c r="N59" s="172">
        <f t="shared" si="13"/>
        <v>0.26666666666666666</v>
      </c>
      <c r="O59" s="173">
        <f t="shared" si="14"/>
        <v>49.333333333333336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45909</v>
      </c>
      <c r="B60" s="312" t="s">
        <v>311</v>
      </c>
      <c r="C60" s="312"/>
      <c r="D60" s="306" t="s">
        <v>312</v>
      </c>
      <c r="E60" s="307"/>
      <c r="F60" s="307"/>
      <c r="G60" s="307"/>
      <c r="H60" s="307"/>
      <c r="I60" s="307"/>
      <c r="J60" s="169">
        <v>60</v>
      </c>
      <c r="K60" s="169">
        <v>45</v>
      </c>
      <c r="L60" s="170">
        <v>30</v>
      </c>
      <c r="M60" s="171">
        <f t="shared" si="12"/>
        <v>15</v>
      </c>
      <c r="N60" s="172">
        <f t="shared" si="13"/>
        <v>0.25</v>
      </c>
      <c r="O60" s="173">
        <f t="shared" si="14"/>
        <v>7.5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>
        <v>45911</v>
      </c>
      <c r="B61" s="313" t="s">
        <v>313</v>
      </c>
      <c r="C61" s="314"/>
      <c r="D61" s="306" t="s">
        <v>314</v>
      </c>
      <c r="E61" s="307"/>
      <c r="F61" s="307"/>
      <c r="G61" s="307"/>
      <c r="H61" s="307"/>
      <c r="I61" s="307"/>
      <c r="J61" s="169">
        <v>60</v>
      </c>
      <c r="K61" s="169">
        <v>48</v>
      </c>
      <c r="L61" s="170">
        <v>45</v>
      </c>
      <c r="M61" s="171">
        <f t="shared" si="12"/>
        <v>12</v>
      </c>
      <c r="N61" s="172">
        <f t="shared" si="13"/>
        <v>0.2</v>
      </c>
      <c r="O61" s="173">
        <f t="shared" si="14"/>
        <v>9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85"/>
      <c r="S67" s="285"/>
      <c r="T67" s="285"/>
      <c r="U67" s="285"/>
      <c r="V67" s="285"/>
      <c r="W67" s="285"/>
      <c r="X67" s="285"/>
      <c r="Y67" s="285"/>
      <c r="Z67" s="285"/>
      <c r="AA67" s="285"/>
      <c r="AB67" s="285"/>
      <c r="AC67" s="285"/>
      <c r="AD67" s="285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85">
        <f>SUM(Q38:R38)*65</f>
        <v>47385</v>
      </c>
      <c r="S73" s="285"/>
      <c r="T73" s="285"/>
      <c r="U73" s="285"/>
      <c r="V73" s="285"/>
      <c r="W73" s="285"/>
      <c r="X73" s="285"/>
      <c r="Y73" s="285"/>
      <c r="Z73" s="190"/>
      <c r="AA73" s="190"/>
      <c r="AB73" s="58"/>
      <c r="AC73" s="58"/>
      <c r="AD73" s="191">
        <f>SUM(R73:AC73)</f>
        <v>47385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85"/>
      <c r="S74" s="285"/>
      <c r="T74" s="285"/>
      <c r="U74" s="285"/>
      <c r="V74" s="285"/>
      <c r="W74" s="285"/>
      <c r="X74" s="285"/>
      <c r="Y74" s="285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47385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47385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77.5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topLeftCell="A29" zoomScale="90" zoomScaleNormal="90" workbookViewId="0">
      <selection activeCell="M39" sqref="M39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2.625" style="8" customWidth="1"/>
    <col min="29" max="31" width="11.375" style="8" customWidth="1"/>
    <col min="32" max="32" width="10.5" style="8" bestFit="1" customWidth="1"/>
    <col min="33" max="33" width="9.875" style="8" customWidth="1"/>
    <col min="34" max="34" width="9" style="6" customWidth="1"/>
    <col min="35" max="35" width="10.5" style="6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320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86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170</v>
      </c>
      <c r="AI5" s="354"/>
      <c r="AJ5" s="250" t="s">
        <v>169</v>
      </c>
      <c r="AK5" s="249" t="s">
        <v>168</v>
      </c>
      <c r="AL5" s="248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258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173</v>
      </c>
      <c r="AN6" s="7"/>
      <c r="AO6" s="7"/>
      <c r="AP6" s="7"/>
      <c r="AQ6"/>
    </row>
    <row r="7" spans="1:43" x14ac:dyDescent="0.3">
      <c r="A7" s="40">
        <v>1</v>
      </c>
      <c r="B7" s="41">
        <v>1142</v>
      </c>
      <c r="C7" s="214">
        <f t="shared" ref="C7:C37" si="0">B7/24</f>
        <v>47.583333333333336</v>
      </c>
      <c r="D7" s="43">
        <v>799</v>
      </c>
      <c r="E7" s="44">
        <v>636</v>
      </c>
      <c r="F7" s="44">
        <v>1435</v>
      </c>
      <c r="G7" s="45">
        <v>268</v>
      </c>
      <c r="H7" s="218">
        <v>81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0</v>
      </c>
      <c r="P7" s="52">
        <f t="shared" ref="P7:P37" si="3">O7/24</f>
        <v>0</v>
      </c>
      <c r="Q7" s="287">
        <v>48</v>
      </c>
      <c r="R7" s="53">
        <v>0</v>
      </c>
      <c r="S7" s="54">
        <v>293</v>
      </c>
      <c r="T7" s="223">
        <v>476</v>
      </c>
      <c r="U7" s="55">
        <f>SUM(B7,I7,M7,O7,Q7,R7,S7)</f>
        <v>1483</v>
      </c>
      <c r="V7" s="231">
        <f t="shared" ref="V7:V37" si="4">U7/24</f>
        <v>61.791666666666664</v>
      </c>
      <c r="W7" s="235">
        <v>5</v>
      </c>
      <c r="X7" s="56">
        <v>0</v>
      </c>
      <c r="Y7" s="57">
        <v>24</v>
      </c>
      <c r="Z7" s="6"/>
      <c r="AA7" s="348" t="s">
        <v>331</v>
      </c>
      <c r="AB7" s="348"/>
      <c r="AC7" s="348"/>
      <c r="AD7" s="348"/>
      <c r="AE7" s="350"/>
      <c r="AF7" s="351"/>
      <c r="AG7" s="351"/>
      <c r="AH7" s="352"/>
      <c r="AI7" s="58">
        <v>260</v>
      </c>
      <c r="AJ7" s="58"/>
      <c r="AK7" s="59">
        <v>134</v>
      </c>
      <c r="AL7" s="60">
        <f t="shared" ref="AL7:AL37" si="5">AK7/24</f>
        <v>5.583333333333333</v>
      </c>
      <c r="AM7" s="6">
        <v>1440</v>
      </c>
      <c r="AO7" s="61"/>
      <c r="AP7" s="61">
        <f t="shared" ref="AP7:AP37" si="6">S7-AO7</f>
        <v>293</v>
      </c>
      <c r="AQ7"/>
    </row>
    <row r="8" spans="1:43" x14ac:dyDescent="0.3">
      <c r="A8" s="62">
        <v>2</v>
      </c>
      <c r="B8" s="41">
        <v>469</v>
      </c>
      <c r="C8" s="42">
        <f t="shared" si="0"/>
        <v>19.541666666666668</v>
      </c>
      <c r="D8" s="63">
        <v>328</v>
      </c>
      <c r="E8" s="44">
        <v>391</v>
      </c>
      <c r="F8" s="64">
        <v>719</v>
      </c>
      <c r="G8" s="20">
        <v>228</v>
      </c>
      <c r="H8" s="216">
        <v>42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0</v>
      </c>
      <c r="P8" s="52">
        <f t="shared" si="3"/>
        <v>0</v>
      </c>
      <c r="Q8" s="287">
        <v>4</v>
      </c>
      <c r="R8" s="53">
        <v>0</v>
      </c>
      <c r="S8" s="54">
        <v>161</v>
      </c>
      <c r="T8" s="223">
        <v>427</v>
      </c>
      <c r="U8" s="55">
        <f>SUM(B8,I8,M8,O8,Q8,R8,S8)</f>
        <v>634</v>
      </c>
      <c r="V8" s="231">
        <f t="shared" si="4"/>
        <v>26.416666666666668</v>
      </c>
      <c r="W8" s="236">
        <v>0.33</v>
      </c>
      <c r="X8" s="65">
        <v>0</v>
      </c>
      <c r="Y8" s="66">
        <v>24</v>
      </c>
      <c r="Z8" s="6"/>
      <c r="AA8" s="359" t="s">
        <v>322</v>
      </c>
      <c r="AB8" s="348"/>
      <c r="AC8" s="348"/>
      <c r="AD8" s="348"/>
      <c r="AE8" s="350"/>
      <c r="AF8" s="351"/>
      <c r="AG8" s="351"/>
      <c r="AH8" s="352"/>
      <c r="AI8" s="58">
        <v>850</v>
      </c>
      <c r="AJ8" s="58">
        <v>805</v>
      </c>
      <c r="AK8" s="59">
        <v>32</v>
      </c>
      <c r="AL8" s="60">
        <f t="shared" si="5"/>
        <v>1.3333333333333333</v>
      </c>
      <c r="AM8" s="6">
        <v>360</v>
      </c>
      <c r="AO8" s="61"/>
      <c r="AP8" s="61">
        <f t="shared" si="6"/>
        <v>161</v>
      </c>
      <c r="AQ8"/>
    </row>
    <row r="9" spans="1:43" x14ac:dyDescent="0.3">
      <c r="A9" s="62">
        <v>3</v>
      </c>
      <c r="B9" s="67">
        <v>1173</v>
      </c>
      <c r="C9" s="42">
        <f t="shared" si="0"/>
        <v>48.875</v>
      </c>
      <c r="D9" s="63">
        <v>821</v>
      </c>
      <c r="E9" s="44">
        <v>615</v>
      </c>
      <c r="F9" s="64">
        <v>1436</v>
      </c>
      <c r="G9" s="20">
        <v>236</v>
      </c>
      <c r="H9" s="216">
        <v>79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0</v>
      </c>
      <c r="P9" s="52">
        <f t="shared" si="3"/>
        <v>0</v>
      </c>
      <c r="Q9" s="287">
        <v>0</v>
      </c>
      <c r="R9" s="53">
        <v>0</v>
      </c>
      <c r="S9" s="54">
        <v>234</v>
      </c>
      <c r="T9" s="223">
        <v>464</v>
      </c>
      <c r="U9" s="55">
        <f t="shared" ref="U9:U37" si="7">SUM(B9,I9,M9,O9,Q9,R9,S9)</f>
        <v>1407</v>
      </c>
      <c r="V9" s="231">
        <f t="shared" si="4"/>
        <v>58.625</v>
      </c>
      <c r="W9" s="236">
        <v>0</v>
      </c>
      <c r="X9" s="65">
        <v>0</v>
      </c>
      <c r="Y9" s="66">
        <v>24</v>
      </c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>
        <v>114</v>
      </c>
      <c r="AL9" s="60">
        <f t="shared" si="5"/>
        <v>4.75</v>
      </c>
      <c r="AM9" s="6">
        <v>1440</v>
      </c>
      <c r="AO9" s="61"/>
      <c r="AP9" s="61">
        <f t="shared" si="6"/>
        <v>234</v>
      </c>
      <c r="AQ9"/>
    </row>
    <row r="10" spans="1:43" x14ac:dyDescent="0.3">
      <c r="A10" s="62">
        <v>4</v>
      </c>
      <c r="B10" s="67">
        <v>1191</v>
      </c>
      <c r="C10" s="42">
        <f t="shared" si="0"/>
        <v>49.625</v>
      </c>
      <c r="D10" s="63">
        <v>834</v>
      </c>
      <c r="E10" s="44">
        <v>639</v>
      </c>
      <c r="F10" s="64">
        <v>1473</v>
      </c>
      <c r="G10" s="20">
        <v>255</v>
      </c>
      <c r="H10" s="216">
        <v>80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0</v>
      </c>
      <c r="P10" s="52">
        <f t="shared" si="3"/>
        <v>0</v>
      </c>
      <c r="Q10" s="287">
        <v>0</v>
      </c>
      <c r="R10" s="53">
        <v>0</v>
      </c>
      <c r="S10" s="54">
        <v>245</v>
      </c>
      <c r="T10" s="223">
        <v>469</v>
      </c>
      <c r="U10" s="55">
        <f t="shared" si="7"/>
        <v>1436</v>
      </c>
      <c r="V10" s="231">
        <f t="shared" si="4"/>
        <v>59.833333333333336</v>
      </c>
      <c r="W10" s="236">
        <v>0</v>
      </c>
      <c r="X10" s="65">
        <v>0</v>
      </c>
      <c r="Y10" s="66">
        <v>24</v>
      </c>
      <c r="Z10" s="6"/>
      <c r="AA10" s="348"/>
      <c r="AB10" s="348"/>
      <c r="AC10" s="348"/>
      <c r="AD10" s="348"/>
      <c r="AE10" s="350"/>
      <c r="AF10" s="351"/>
      <c r="AG10" s="351"/>
      <c r="AH10" s="352"/>
      <c r="AI10" s="58"/>
      <c r="AJ10" s="58"/>
      <c r="AK10" s="59">
        <v>123</v>
      </c>
      <c r="AL10" s="60">
        <f t="shared" si="5"/>
        <v>5.125</v>
      </c>
      <c r="AM10" s="6">
        <v>1440</v>
      </c>
      <c r="AO10" s="61"/>
      <c r="AP10" s="61">
        <f t="shared" si="6"/>
        <v>245</v>
      </c>
      <c r="AQ10"/>
    </row>
    <row r="11" spans="1:43" x14ac:dyDescent="0.3">
      <c r="A11" s="62">
        <v>5</v>
      </c>
      <c r="B11" s="67">
        <v>1186</v>
      </c>
      <c r="C11" s="42">
        <f t="shared" si="0"/>
        <v>49.416666666666664</v>
      </c>
      <c r="D11" s="69">
        <v>830</v>
      </c>
      <c r="E11" s="44">
        <v>613</v>
      </c>
      <c r="F11" s="70">
        <v>1443</v>
      </c>
      <c r="G11" s="20">
        <v>246</v>
      </c>
      <c r="H11" s="216">
        <v>79</v>
      </c>
      <c r="I11" s="210">
        <v>0</v>
      </c>
      <c r="J11" s="46">
        <f t="shared" si="1"/>
        <v>0</v>
      </c>
      <c r="K11" s="71">
        <v>0</v>
      </c>
      <c r="L11" s="72">
        <v>0</v>
      </c>
      <c r="M11" s="73">
        <v>0</v>
      </c>
      <c r="N11" s="50">
        <f t="shared" si="2"/>
        <v>0</v>
      </c>
      <c r="O11" s="74">
        <v>0</v>
      </c>
      <c r="P11" s="52">
        <f t="shared" si="3"/>
        <v>0</v>
      </c>
      <c r="Q11" s="287">
        <v>0</v>
      </c>
      <c r="R11" s="53">
        <v>0</v>
      </c>
      <c r="S11" s="54">
        <v>231</v>
      </c>
      <c r="T11" s="223">
        <v>463</v>
      </c>
      <c r="U11" s="55">
        <f t="shared" si="7"/>
        <v>1417</v>
      </c>
      <c r="V11" s="231">
        <f t="shared" si="4"/>
        <v>59.041666666666664</v>
      </c>
      <c r="W11" s="236">
        <v>0</v>
      </c>
      <c r="X11" s="65">
        <v>0</v>
      </c>
      <c r="Y11" s="66">
        <v>24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110</v>
      </c>
      <c r="AL11" s="60">
        <f t="shared" si="5"/>
        <v>4.583333333333333</v>
      </c>
      <c r="AM11" s="6">
        <v>1440</v>
      </c>
      <c r="AO11" s="61"/>
      <c r="AP11" s="61">
        <f t="shared" si="6"/>
        <v>231</v>
      </c>
      <c r="AQ11"/>
    </row>
    <row r="12" spans="1:43" x14ac:dyDescent="0.3">
      <c r="A12" s="62">
        <v>6</v>
      </c>
      <c r="B12" s="67">
        <v>1285</v>
      </c>
      <c r="C12" s="42">
        <f t="shared" si="0"/>
        <v>53.541666666666664</v>
      </c>
      <c r="D12" s="69">
        <v>900</v>
      </c>
      <c r="E12" s="44">
        <v>662</v>
      </c>
      <c r="F12" s="70">
        <v>1561</v>
      </c>
      <c r="G12" s="75">
        <v>260</v>
      </c>
      <c r="H12" s="219">
        <v>80</v>
      </c>
      <c r="I12" s="210">
        <v>0</v>
      </c>
      <c r="J12" s="46">
        <f t="shared" si="1"/>
        <v>0</v>
      </c>
      <c r="K12" s="71">
        <v>0</v>
      </c>
      <c r="L12" s="72">
        <v>0</v>
      </c>
      <c r="M12" s="73">
        <v>0</v>
      </c>
      <c r="N12" s="50">
        <f t="shared" si="2"/>
        <v>0</v>
      </c>
      <c r="O12" s="74">
        <v>0</v>
      </c>
      <c r="P12" s="52">
        <f t="shared" si="3"/>
        <v>0</v>
      </c>
      <c r="Q12" s="287">
        <v>0</v>
      </c>
      <c r="R12" s="53">
        <v>0</v>
      </c>
      <c r="S12" s="54">
        <v>0</v>
      </c>
      <c r="T12" s="223">
        <v>0</v>
      </c>
      <c r="U12" s="55">
        <f t="shared" si="7"/>
        <v>1285</v>
      </c>
      <c r="V12" s="231">
        <f t="shared" si="4"/>
        <v>53.541666666666664</v>
      </c>
      <c r="W12" s="236">
        <v>0</v>
      </c>
      <c r="X12" s="65">
        <v>0</v>
      </c>
      <c r="Y12" s="66">
        <v>0</v>
      </c>
      <c r="Z12" s="6"/>
      <c r="AA12" s="359"/>
      <c r="AB12" s="348"/>
      <c r="AC12" s="348"/>
      <c r="AD12" s="348"/>
      <c r="AE12" s="360" t="s">
        <v>325</v>
      </c>
      <c r="AF12" s="351"/>
      <c r="AG12" s="351"/>
      <c r="AH12" s="352"/>
      <c r="AI12" s="58"/>
      <c r="AJ12" s="58"/>
      <c r="AK12" s="59">
        <v>92</v>
      </c>
      <c r="AL12" s="60">
        <f t="shared" si="5"/>
        <v>3.8333333333333335</v>
      </c>
      <c r="AM12" s="6">
        <v>1440</v>
      </c>
      <c r="AO12" s="61"/>
      <c r="AP12" s="61">
        <f t="shared" si="6"/>
        <v>0</v>
      </c>
      <c r="AQ12"/>
    </row>
    <row r="13" spans="1:43" x14ac:dyDescent="0.3">
      <c r="A13" s="62">
        <v>7</v>
      </c>
      <c r="B13" s="67">
        <v>1383</v>
      </c>
      <c r="C13" s="42">
        <f t="shared" si="0"/>
        <v>57.625</v>
      </c>
      <c r="D13" s="69">
        <v>968</v>
      </c>
      <c r="E13" s="44">
        <v>686</v>
      </c>
      <c r="F13" s="70">
        <v>1654</v>
      </c>
      <c r="G13" s="20">
        <v>269</v>
      </c>
      <c r="H13" s="216">
        <v>81</v>
      </c>
      <c r="I13" s="210">
        <v>0</v>
      </c>
      <c r="J13" s="46">
        <f t="shared" si="1"/>
        <v>0</v>
      </c>
      <c r="K13" s="71">
        <v>0</v>
      </c>
      <c r="L13" s="72">
        <v>0</v>
      </c>
      <c r="M13" s="73">
        <v>0</v>
      </c>
      <c r="N13" s="50">
        <f t="shared" si="2"/>
        <v>0</v>
      </c>
      <c r="O13" s="74">
        <v>0</v>
      </c>
      <c r="P13" s="52">
        <f t="shared" si="3"/>
        <v>0</v>
      </c>
      <c r="Q13" s="287">
        <v>0</v>
      </c>
      <c r="R13" s="53">
        <v>0</v>
      </c>
      <c r="S13" s="54">
        <v>0</v>
      </c>
      <c r="T13" s="223">
        <v>0</v>
      </c>
      <c r="U13" s="55">
        <f t="shared" si="7"/>
        <v>1383</v>
      </c>
      <c r="V13" s="231">
        <f t="shared" si="4"/>
        <v>57.625</v>
      </c>
      <c r="W13" s="236">
        <v>0</v>
      </c>
      <c r="X13" s="65">
        <v>0</v>
      </c>
      <c r="Y13" s="66">
        <v>0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119</v>
      </c>
      <c r="AL13" s="60">
        <f t="shared" si="5"/>
        <v>4.958333333333333</v>
      </c>
      <c r="AM13" s="6">
        <v>1440</v>
      </c>
      <c r="AO13" s="61"/>
      <c r="AP13" s="61">
        <f t="shared" si="6"/>
        <v>0</v>
      </c>
      <c r="AQ13"/>
    </row>
    <row r="14" spans="1:43" x14ac:dyDescent="0.3">
      <c r="A14" s="62">
        <v>8</v>
      </c>
      <c r="B14" s="67">
        <v>1319</v>
      </c>
      <c r="C14" s="42">
        <f t="shared" si="0"/>
        <v>54.958333333333336</v>
      </c>
      <c r="D14" s="69">
        <v>923</v>
      </c>
      <c r="E14" s="44">
        <v>714</v>
      </c>
      <c r="F14" s="70">
        <v>1637</v>
      </c>
      <c r="G14" s="20">
        <v>268</v>
      </c>
      <c r="H14" s="216">
        <v>86</v>
      </c>
      <c r="I14" s="210">
        <v>0</v>
      </c>
      <c r="J14" s="46">
        <f t="shared" si="1"/>
        <v>0</v>
      </c>
      <c r="K14" s="71">
        <v>0</v>
      </c>
      <c r="L14" s="72">
        <v>0</v>
      </c>
      <c r="M14" s="73">
        <v>0</v>
      </c>
      <c r="N14" s="50">
        <f t="shared" si="2"/>
        <v>0</v>
      </c>
      <c r="O14" s="74">
        <v>0</v>
      </c>
      <c r="P14" s="52">
        <f t="shared" si="3"/>
        <v>0</v>
      </c>
      <c r="Q14" s="287">
        <v>0</v>
      </c>
      <c r="R14" s="53">
        <v>0</v>
      </c>
      <c r="S14" s="54">
        <v>158</v>
      </c>
      <c r="T14" s="223">
        <v>254</v>
      </c>
      <c r="U14" s="55">
        <f t="shared" si="7"/>
        <v>1477</v>
      </c>
      <c r="V14" s="231">
        <f t="shared" si="4"/>
        <v>61.541666666666664</v>
      </c>
      <c r="W14" s="236">
        <v>0</v>
      </c>
      <c r="X14" s="65">
        <v>0</v>
      </c>
      <c r="Y14" s="66">
        <v>13.17</v>
      </c>
      <c r="Z14" s="6"/>
      <c r="AA14" s="348"/>
      <c r="AB14" s="348"/>
      <c r="AC14" s="348"/>
      <c r="AD14" s="348"/>
      <c r="AE14" s="350" t="s">
        <v>326</v>
      </c>
      <c r="AF14" s="351"/>
      <c r="AG14" s="351"/>
      <c r="AH14" s="352"/>
      <c r="AI14" s="58"/>
      <c r="AJ14" s="58"/>
      <c r="AK14" s="59">
        <v>132</v>
      </c>
      <c r="AL14" s="60">
        <f t="shared" si="5"/>
        <v>5.5</v>
      </c>
      <c r="AM14" s="6">
        <v>1200</v>
      </c>
      <c r="AO14" s="61"/>
      <c r="AP14" s="61">
        <f t="shared" si="6"/>
        <v>158</v>
      </c>
      <c r="AQ14"/>
    </row>
    <row r="15" spans="1:43" x14ac:dyDescent="0.3">
      <c r="A15" s="62">
        <v>9</v>
      </c>
      <c r="B15" s="67">
        <v>1305</v>
      </c>
      <c r="C15" s="42">
        <f t="shared" si="0"/>
        <v>54.375</v>
      </c>
      <c r="D15" s="69">
        <v>914</v>
      </c>
      <c r="E15" s="44">
        <v>659</v>
      </c>
      <c r="F15" s="70">
        <v>1572</v>
      </c>
      <c r="G15" s="20">
        <v>255</v>
      </c>
      <c r="H15" s="216">
        <v>82</v>
      </c>
      <c r="I15" s="210">
        <v>0</v>
      </c>
      <c r="J15" s="46">
        <f t="shared" si="1"/>
        <v>0</v>
      </c>
      <c r="K15" s="71">
        <v>0</v>
      </c>
      <c r="L15" s="72">
        <v>0</v>
      </c>
      <c r="M15" s="73">
        <v>0</v>
      </c>
      <c r="N15" s="50">
        <f t="shared" si="2"/>
        <v>0</v>
      </c>
      <c r="O15" s="74">
        <v>0</v>
      </c>
      <c r="P15" s="52">
        <f t="shared" si="3"/>
        <v>0</v>
      </c>
      <c r="Q15" s="287">
        <v>0</v>
      </c>
      <c r="R15" s="53">
        <v>0</v>
      </c>
      <c r="S15" s="54">
        <v>288</v>
      </c>
      <c r="T15" s="223">
        <v>456</v>
      </c>
      <c r="U15" s="55">
        <f t="shared" si="7"/>
        <v>1593</v>
      </c>
      <c r="V15" s="231">
        <f t="shared" si="4"/>
        <v>66.375</v>
      </c>
      <c r="W15" s="236">
        <v>0</v>
      </c>
      <c r="X15" s="65">
        <v>0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>
        <v>156</v>
      </c>
      <c r="AL15" s="60">
        <f t="shared" si="5"/>
        <v>6.5</v>
      </c>
      <c r="AM15" s="6">
        <v>1440</v>
      </c>
      <c r="AO15" s="61"/>
      <c r="AP15" s="61">
        <f t="shared" si="6"/>
        <v>288</v>
      </c>
      <c r="AQ15"/>
    </row>
    <row r="16" spans="1:43" x14ac:dyDescent="0.3">
      <c r="A16" s="62">
        <v>10</v>
      </c>
      <c r="B16" s="67">
        <v>1308</v>
      </c>
      <c r="C16" s="42">
        <f t="shared" si="0"/>
        <v>54.5</v>
      </c>
      <c r="D16" s="69">
        <v>916</v>
      </c>
      <c r="E16" s="44">
        <v>683</v>
      </c>
      <c r="F16" s="70">
        <v>1599</v>
      </c>
      <c r="G16" s="20">
        <v>281</v>
      </c>
      <c r="H16" s="216">
        <v>84</v>
      </c>
      <c r="I16" s="210">
        <v>0</v>
      </c>
      <c r="J16" s="46">
        <f t="shared" si="1"/>
        <v>0</v>
      </c>
      <c r="K16" s="71">
        <v>0</v>
      </c>
      <c r="L16" s="72">
        <v>0</v>
      </c>
      <c r="M16" s="73">
        <v>0</v>
      </c>
      <c r="N16" s="50">
        <f t="shared" si="2"/>
        <v>0</v>
      </c>
      <c r="O16" s="74">
        <v>0</v>
      </c>
      <c r="P16" s="52">
        <f t="shared" si="3"/>
        <v>0</v>
      </c>
      <c r="Q16" s="287">
        <v>0</v>
      </c>
      <c r="R16" s="53">
        <v>0</v>
      </c>
      <c r="S16" s="54">
        <v>285</v>
      </c>
      <c r="T16" s="223">
        <v>461</v>
      </c>
      <c r="U16" s="55">
        <f t="shared" si="7"/>
        <v>1593</v>
      </c>
      <c r="V16" s="231">
        <f t="shared" si="4"/>
        <v>66.375</v>
      </c>
      <c r="W16" s="236">
        <v>0</v>
      </c>
      <c r="X16" s="65">
        <v>0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143</v>
      </c>
      <c r="AL16" s="60">
        <f t="shared" si="5"/>
        <v>5.958333333333333</v>
      </c>
      <c r="AM16" s="6">
        <v>1440</v>
      </c>
      <c r="AO16" s="61"/>
      <c r="AP16" s="61">
        <f t="shared" si="6"/>
        <v>285</v>
      </c>
      <c r="AQ16"/>
    </row>
    <row r="17" spans="1:43" x14ac:dyDescent="0.3">
      <c r="A17" s="62">
        <v>11</v>
      </c>
      <c r="B17" s="67">
        <v>1274</v>
      </c>
      <c r="C17" s="42">
        <f t="shared" si="0"/>
        <v>53.083333333333336</v>
      </c>
      <c r="D17" s="69">
        <v>892</v>
      </c>
      <c r="E17" s="44">
        <v>648</v>
      </c>
      <c r="F17" s="70">
        <v>1540</v>
      </c>
      <c r="G17" s="20">
        <v>269</v>
      </c>
      <c r="H17" s="216">
        <v>86</v>
      </c>
      <c r="I17" s="210">
        <v>0</v>
      </c>
      <c r="J17" s="46">
        <f t="shared" si="1"/>
        <v>0</v>
      </c>
      <c r="K17" s="71">
        <v>0</v>
      </c>
      <c r="L17" s="72">
        <v>0</v>
      </c>
      <c r="M17" s="73">
        <v>0</v>
      </c>
      <c r="N17" s="50">
        <f t="shared" si="2"/>
        <v>0</v>
      </c>
      <c r="O17" s="74">
        <v>0</v>
      </c>
      <c r="P17" s="52">
        <f t="shared" si="3"/>
        <v>0</v>
      </c>
      <c r="Q17" s="287">
        <v>0</v>
      </c>
      <c r="R17" s="53">
        <v>0</v>
      </c>
      <c r="S17" s="54">
        <v>273</v>
      </c>
      <c r="T17" s="223">
        <v>448</v>
      </c>
      <c r="U17" s="55">
        <f t="shared" si="7"/>
        <v>1547</v>
      </c>
      <c r="V17" s="231">
        <f t="shared" si="4"/>
        <v>64.458333333333329</v>
      </c>
      <c r="W17" s="236">
        <v>0</v>
      </c>
      <c r="X17" s="65">
        <v>0</v>
      </c>
      <c r="Y17" s="66">
        <v>24</v>
      </c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>
        <v>132</v>
      </c>
      <c r="AL17" s="60">
        <f t="shared" si="5"/>
        <v>5.5</v>
      </c>
      <c r="AM17" s="6">
        <v>1440</v>
      </c>
      <c r="AO17" s="61"/>
      <c r="AP17" s="61">
        <f t="shared" si="6"/>
        <v>273</v>
      </c>
      <c r="AQ17"/>
    </row>
    <row r="18" spans="1:43" x14ac:dyDescent="0.3">
      <c r="A18" s="62">
        <v>12</v>
      </c>
      <c r="B18" s="67">
        <v>1359</v>
      </c>
      <c r="C18" s="42">
        <f t="shared" si="0"/>
        <v>56.625</v>
      </c>
      <c r="D18" s="69">
        <v>951</v>
      </c>
      <c r="E18" s="44">
        <v>673</v>
      </c>
      <c r="F18" s="70">
        <v>1624</v>
      </c>
      <c r="G18" s="20">
        <v>275</v>
      </c>
      <c r="H18" s="216">
        <v>81</v>
      </c>
      <c r="I18" s="210">
        <v>0</v>
      </c>
      <c r="J18" s="46">
        <f t="shared" si="1"/>
        <v>0</v>
      </c>
      <c r="K18" s="71">
        <v>0</v>
      </c>
      <c r="L18" s="72">
        <v>0</v>
      </c>
      <c r="M18" s="73">
        <v>0</v>
      </c>
      <c r="N18" s="50">
        <f t="shared" si="2"/>
        <v>0</v>
      </c>
      <c r="O18" s="74">
        <v>0</v>
      </c>
      <c r="P18" s="52">
        <f t="shared" si="3"/>
        <v>0</v>
      </c>
      <c r="Q18" s="287">
        <v>0</v>
      </c>
      <c r="R18" s="53">
        <v>0</v>
      </c>
      <c r="S18" s="54">
        <v>318</v>
      </c>
      <c r="T18" s="223">
        <v>463</v>
      </c>
      <c r="U18" s="55">
        <f t="shared" si="7"/>
        <v>1677</v>
      </c>
      <c r="V18" s="231">
        <f t="shared" si="4"/>
        <v>69.875</v>
      </c>
      <c r="W18" s="236">
        <v>0</v>
      </c>
      <c r="X18" s="65">
        <v>0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>
        <v>157</v>
      </c>
      <c r="AL18" s="60">
        <f t="shared" si="5"/>
        <v>6.541666666666667</v>
      </c>
      <c r="AM18" s="6">
        <v>1440</v>
      </c>
      <c r="AO18" s="61"/>
      <c r="AP18" s="61">
        <f t="shared" si="6"/>
        <v>318</v>
      </c>
      <c r="AQ18"/>
    </row>
    <row r="19" spans="1:43" x14ac:dyDescent="0.3">
      <c r="A19" s="62">
        <v>13</v>
      </c>
      <c r="B19" s="67">
        <v>1388</v>
      </c>
      <c r="C19" s="42">
        <f t="shared" si="0"/>
        <v>57.833333333333336</v>
      </c>
      <c r="D19" s="286">
        <v>972</v>
      </c>
      <c r="E19" s="44">
        <v>699</v>
      </c>
      <c r="F19" s="19">
        <v>1671</v>
      </c>
      <c r="G19" s="20">
        <v>276</v>
      </c>
      <c r="H19" s="216">
        <v>88</v>
      </c>
      <c r="I19" s="210">
        <v>0</v>
      </c>
      <c r="J19" s="46">
        <f t="shared" si="1"/>
        <v>0</v>
      </c>
      <c r="K19" s="239">
        <v>0</v>
      </c>
      <c r="L19" s="21">
        <v>0</v>
      </c>
      <c r="M19" s="49">
        <v>0</v>
      </c>
      <c r="N19" s="50">
        <f t="shared" si="2"/>
        <v>0</v>
      </c>
      <c r="O19" s="68">
        <v>91</v>
      </c>
      <c r="P19" s="52">
        <f t="shared" si="3"/>
        <v>3.7916666666666665</v>
      </c>
      <c r="Q19" s="287">
        <v>10</v>
      </c>
      <c r="R19" s="53">
        <v>48</v>
      </c>
      <c r="S19" s="54">
        <v>368</v>
      </c>
      <c r="T19" s="223">
        <v>456</v>
      </c>
      <c r="U19" s="55">
        <f t="shared" si="7"/>
        <v>1905</v>
      </c>
      <c r="V19" s="231">
        <f t="shared" si="4"/>
        <v>79.375</v>
      </c>
      <c r="W19" s="236">
        <v>2</v>
      </c>
      <c r="X19" s="65">
        <v>4.5</v>
      </c>
      <c r="Y19" s="66">
        <v>24</v>
      </c>
      <c r="Z19" s="6"/>
      <c r="AA19" s="348" t="s">
        <v>327</v>
      </c>
      <c r="AB19" s="348"/>
      <c r="AC19" s="348"/>
      <c r="AD19" s="349"/>
      <c r="AE19" s="350"/>
      <c r="AF19" s="351"/>
      <c r="AG19" s="351"/>
      <c r="AH19" s="352"/>
      <c r="AI19" s="58"/>
      <c r="AJ19" s="58">
        <v>270</v>
      </c>
      <c r="AK19" s="59">
        <v>160</v>
      </c>
      <c r="AL19" s="60">
        <f t="shared" si="5"/>
        <v>6.666666666666667</v>
      </c>
      <c r="AM19" s="6">
        <v>1440</v>
      </c>
      <c r="AO19" s="61"/>
      <c r="AP19" s="61">
        <f t="shared" si="6"/>
        <v>368</v>
      </c>
      <c r="AQ19"/>
    </row>
    <row r="20" spans="1:43" x14ac:dyDescent="0.3">
      <c r="A20" s="62">
        <v>14</v>
      </c>
      <c r="B20" s="67">
        <v>410</v>
      </c>
      <c r="C20" s="42">
        <f t="shared" si="0"/>
        <v>17.083333333333332</v>
      </c>
      <c r="D20" s="286">
        <v>287</v>
      </c>
      <c r="E20" s="44">
        <v>352</v>
      </c>
      <c r="F20" s="19">
        <v>639</v>
      </c>
      <c r="G20" s="20">
        <v>255</v>
      </c>
      <c r="H20" s="216">
        <v>37</v>
      </c>
      <c r="I20" s="211">
        <v>0</v>
      </c>
      <c r="J20" s="46">
        <f t="shared" si="1"/>
        <v>0</v>
      </c>
      <c r="K20" s="239">
        <v>0</v>
      </c>
      <c r="L20" s="21">
        <v>0</v>
      </c>
      <c r="M20" s="49">
        <v>0</v>
      </c>
      <c r="N20" s="50">
        <f t="shared" si="2"/>
        <v>0</v>
      </c>
      <c r="O20" s="51">
        <v>337</v>
      </c>
      <c r="P20" s="52">
        <f t="shared" si="3"/>
        <v>14.041666666666666</v>
      </c>
      <c r="Q20" s="287">
        <v>0</v>
      </c>
      <c r="R20" s="53">
        <v>10</v>
      </c>
      <c r="S20" s="54">
        <v>310</v>
      </c>
      <c r="T20" s="223">
        <v>470</v>
      </c>
      <c r="U20" s="55">
        <f t="shared" si="7"/>
        <v>1067</v>
      </c>
      <c r="V20" s="231">
        <f t="shared" si="4"/>
        <v>44.458333333333336</v>
      </c>
      <c r="W20" s="236">
        <v>0</v>
      </c>
      <c r="X20" s="65">
        <v>1</v>
      </c>
      <c r="Y20" s="66">
        <v>24</v>
      </c>
      <c r="Z20" s="6"/>
      <c r="AA20" s="359" t="s">
        <v>328</v>
      </c>
      <c r="AB20" s="348"/>
      <c r="AC20" s="348"/>
      <c r="AD20" s="348"/>
      <c r="AE20" s="350"/>
      <c r="AF20" s="351"/>
      <c r="AG20" s="351"/>
      <c r="AH20" s="352"/>
      <c r="AI20" s="58">
        <v>820</v>
      </c>
      <c r="AJ20" s="58">
        <v>900</v>
      </c>
      <c r="AK20" s="59">
        <v>25</v>
      </c>
      <c r="AL20" s="60">
        <f t="shared" si="5"/>
        <v>1.0416666666666667</v>
      </c>
      <c r="AM20" s="6">
        <v>300</v>
      </c>
      <c r="AO20" s="61"/>
      <c r="AP20" s="61">
        <f t="shared" si="6"/>
        <v>310</v>
      </c>
      <c r="AQ20"/>
    </row>
    <row r="21" spans="1:43" x14ac:dyDescent="0.3">
      <c r="A21" s="62">
        <v>15</v>
      </c>
      <c r="B21" s="67">
        <v>1553</v>
      </c>
      <c r="C21" s="42">
        <f t="shared" si="0"/>
        <v>64.708333333333329</v>
      </c>
      <c r="D21" s="286">
        <v>1087</v>
      </c>
      <c r="E21" s="44">
        <v>727</v>
      </c>
      <c r="F21" s="19">
        <v>1812</v>
      </c>
      <c r="G21" s="20">
        <v>310</v>
      </c>
      <c r="H21" s="216">
        <v>80</v>
      </c>
      <c r="I21" s="211">
        <v>0</v>
      </c>
      <c r="J21" s="46">
        <f t="shared" si="1"/>
        <v>0</v>
      </c>
      <c r="K21" s="239">
        <v>0</v>
      </c>
      <c r="L21" s="21">
        <v>0</v>
      </c>
      <c r="M21" s="49">
        <v>0</v>
      </c>
      <c r="N21" s="50">
        <f t="shared" si="2"/>
        <v>0</v>
      </c>
      <c r="O21" s="51">
        <v>375</v>
      </c>
      <c r="P21" s="52">
        <f t="shared" si="3"/>
        <v>15.625</v>
      </c>
      <c r="Q21" s="287">
        <v>105</v>
      </c>
      <c r="R21" s="53">
        <v>0</v>
      </c>
      <c r="S21" s="54">
        <v>409</v>
      </c>
      <c r="T21" s="223">
        <v>475</v>
      </c>
      <c r="U21" s="55">
        <f t="shared" si="7"/>
        <v>2442</v>
      </c>
      <c r="V21" s="231">
        <f t="shared" si="4"/>
        <v>101.75</v>
      </c>
      <c r="W21" s="236">
        <v>20.67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171</v>
      </c>
      <c r="AL21" s="60">
        <f t="shared" si="5"/>
        <v>7.125</v>
      </c>
      <c r="AM21" s="6">
        <v>1440</v>
      </c>
      <c r="AO21" s="61"/>
      <c r="AP21" s="61">
        <f t="shared" si="6"/>
        <v>409</v>
      </c>
      <c r="AQ21"/>
    </row>
    <row r="22" spans="1:43" x14ac:dyDescent="0.3">
      <c r="A22" s="62">
        <v>16</v>
      </c>
      <c r="B22" s="67">
        <v>1509</v>
      </c>
      <c r="C22" s="42">
        <f t="shared" si="0"/>
        <v>62.875</v>
      </c>
      <c r="D22" s="286">
        <v>1056</v>
      </c>
      <c r="E22" s="44">
        <v>744</v>
      </c>
      <c r="F22" s="19">
        <v>1800</v>
      </c>
      <c r="G22" s="20">
        <v>315</v>
      </c>
      <c r="H22" s="216">
        <v>79</v>
      </c>
      <c r="I22" s="211">
        <v>0</v>
      </c>
      <c r="J22" s="46">
        <f t="shared" si="1"/>
        <v>0</v>
      </c>
      <c r="K22" s="239">
        <v>0</v>
      </c>
      <c r="L22" s="21">
        <v>0</v>
      </c>
      <c r="M22" s="49">
        <v>0</v>
      </c>
      <c r="N22" s="50">
        <f t="shared" si="2"/>
        <v>0</v>
      </c>
      <c r="O22" s="68">
        <v>299</v>
      </c>
      <c r="P22" s="52">
        <f t="shared" si="3"/>
        <v>12.458333333333334</v>
      </c>
      <c r="Q22" s="287">
        <v>90</v>
      </c>
      <c r="R22" s="53">
        <v>92</v>
      </c>
      <c r="S22" s="54">
        <v>329</v>
      </c>
      <c r="T22" s="223">
        <v>471</v>
      </c>
      <c r="U22" s="55">
        <f t="shared" si="7"/>
        <v>2319</v>
      </c>
      <c r="V22" s="231">
        <f t="shared" si="4"/>
        <v>96.625</v>
      </c>
      <c r="W22" s="236">
        <v>15.83</v>
      </c>
      <c r="X22" s="65">
        <v>7.67</v>
      </c>
      <c r="Y22" s="66">
        <v>24</v>
      </c>
      <c r="Z22" s="6"/>
      <c r="AA22" s="359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129</v>
      </c>
      <c r="AL22" s="60">
        <f t="shared" si="5"/>
        <v>5.375</v>
      </c>
      <c r="AM22" s="6">
        <v>1440</v>
      </c>
      <c r="AO22" s="61"/>
      <c r="AP22" s="61">
        <f t="shared" si="6"/>
        <v>329</v>
      </c>
      <c r="AQ22"/>
    </row>
    <row r="23" spans="1:43" x14ac:dyDescent="0.3">
      <c r="A23" s="62">
        <v>17</v>
      </c>
      <c r="B23" s="67">
        <v>1636</v>
      </c>
      <c r="C23" s="42">
        <f t="shared" si="0"/>
        <v>68.166666666666671</v>
      </c>
      <c r="D23" s="286">
        <v>1145</v>
      </c>
      <c r="E23" s="44">
        <v>801</v>
      </c>
      <c r="F23" s="19">
        <v>1946</v>
      </c>
      <c r="G23" s="20">
        <v>310</v>
      </c>
      <c r="H23" s="216">
        <v>79</v>
      </c>
      <c r="I23" s="211">
        <v>0</v>
      </c>
      <c r="J23" s="46">
        <f t="shared" si="1"/>
        <v>0</v>
      </c>
      <c r="K23" s="239">
        <v>0</v>
      </c>
      <c r="L23" s="21">
        <v>0</v>
      </c>
      <c r="M23" s="49">
        <v>0</v>
      </c>
      <c r="N23" s="50">
        <f t="shared" si="2"/>
        <v>0</v>
      </c>
      <c r="O23" s="68">
        <v>189</v>
      </c>
      <c r="P23" s="52">
        <f t="shared" si="3"/>
        <v>7.875</v>
      </c>
      <c r="Q23" s="287">
        <v>27</v>
      </c>
      <c r="R23" s="53">
        <v>163</v>
      </c>
      <c r="S23" s="54">
        <v>417</v>
      </c>
      <c r="T23" s="223">
        <v>471</v>
      </c>
      <c r="U23" s="55">
        <f t="shared" si="7"/>
        <v>2432</v>
      </c>
      <c r="V23" s="231">
        <f t="shared" si="4"/>
        <v>101.33333333333333</v>
      </c>
      <c r="W23" s="236">
        <v>9.83</v>
      </c>
      <c r="X23" s="65">
        <v>11.67</v>
      </c>
      <c r="Y23" s="66">
        <v>24</v>
      </c>
      <c r="Z23" s="6"/>
      <c r="AA23" s="348"/>
      <c r="AB23" s="348"/>
      <c r="AC23" s="348"/>
      <c r="AD23" s="349"/>
      <c r="AE23" s="350"/>
      <c r="AF23" s="351"/>
      <c r="AG23" s="351"/>
      <c r="AH23" s="352"/>
      <c r="AI23" s="58"/>
      <c r="AJ23" s="58"/>
      <c r="AK23" s="59">
        <v>176</v>
      </c>
      <c r="AL23" s="60">
        <f t="shared" si="5"/>
        <v>7.333333333333333</v>
      </c>
      <c r="AM23" s="6">
        <v>1440</v>
      </c>
      <c r="AO23" s="61"/>
      <c r="AP23" s="61">
        <f t="shared" si="6"/>
        <v>417</v>
      </c>
      <c r="AQ23"/>
    </row>
    <row r="24" spans="1:43" x14ac:dyDescent="0.3">
      <c r="A24" s="62">
        <v>18</v>
      </c>
      <c r="B24" s="67">
        <v>1628</v>
      </c>
      <c r="C24" s="42">
        <f t="shared" si="0"/>
        <v>67.833333333333329</v>
      </c>
      <c r="D24" s="286">
        <v>1140</v>
      </c>
      <c r="E24" s="44">
        <v>781</v>
      </c>
      <c r="F24" s="19">
        <v>1921</v>
      </c>
      <c r="G24" s="20">
        <v>289</v>
      </c>
      <c r="H24" s="216">
        <v>81</v>
      </c>
      <c r="I24" s="211">
        <v>0</v>
      </c>
      <c r="J24" s="46">
        <f t="shared" si="1"/>
        <v>0</v>
      </c>
      <c r="K24" s="239">
        <v>0</v>
      </c>
      <c r="L24" s="21">
        <v>0</v>
      </c>
      <c r="M24" s="49">
        <v>0</v>
      </c>
      <c r="N24" s="50">
        <f t="shared" si="2"/>
        <v>0</v>
      </c>
      <c r="O24" s="198">
        <v>368</v>
      </c>
      <c r="P24" s="52">
        <f t="shared" si="3"/>
        <v>15.333333333333334</v>
      </c>
      <c r="Q24" s="287">
        <v>0</v>
      </c>
      <c r="R24" s="53">
        <v>0</v>
      </c>
      <c r="S24" s="54">
        <v>409</v>
      </c>
      <c r="T24" s="223">
        <v>488</v>
      </c>
      <c r="U24" s="55">
        <f t="shared" si="7"/>
        <v>2405</v>
      </c>
      <c r="V24" s="231">
        <f t="shared" si="4"/>
        <v>100.20833333333333</v>
      </c>
      <c r="W24" s="236">
        <v>0</v>
      </c>
      <c r="X24" s="65">
        <v>0</v>
      </c>
      <c r="Y24" s="66">
        <v>24</v>
      </c>
      <c r="Z24" s="6"/>
      <c r="AA24" s="359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183</v>
      </c>
      <c r="AL24" s="60">
        <f t="shared" si="5"/>
        <v>7.625</v>
      </c>
      <c r="AM24" s="6">
        <v>1440</v>
      </c>
      <c r="AO24" s="61"/>
      <c r="AP24" s="61">
        <f t="shared" si="6"/>
        <v>409</v>
      </c>
      <c r="AQ24"/>
    </row>
    <row r="25" spans="1:43" x14ac:dyDescent="0.3">
      <c r="A25" s="62">
        <v>19</v>
      </c>
      <c r="B25" s="67">
        <v>1611</v>
      </c>
      <c r="C25" s="42">
        <f t="shared" si="0"/>
        <v>67.125</v>
      </c>
      <c r="D25" s="286">
        <v>1128</v>
      </c>
      <c r="E25" s="44">
        <v>772</v>
      </c>
      <c r="F25" s="19">
        <v>1900</v>
      </c>
      <c r="G25" s="20">
        <v>305</v>
      </c>
      <c r="H25" s="216">
        <v>80</v>
      </c>
      <c r="I25" s="211">
        <v>0</v>
      </c>
      <c r="J25" s="46">
        <f t="shared" si="1"/>
        <v>0</v>
      </c>
      <c r="K25" s="239">
        <v>0</v>
      </c>
      <c r="L25" s="21">
        <v>0</v>
      </c>
      <c r="M25" s="49">
        <v>0</v>
      </c>
      <c r="N25" s="50">
        <f t="shared" si="2"/>
        <v>0</v>
      </c>
      <c r="O25" s="198">
        <v>182</v>
      </c>
      <c r="P25" s="52">
        <f t="shared" si="3"/>
        <v>7.583333333333333</v>
      </c>
      <c r="Q25" s="287">
        <v>16</v>
      </c>
      <c r="R25" s="53">
        <v>166</v>
      </c>
      <c r="S25" s="54">
        <v>419</v>
      </c>
      <c r="T25" s="223">
        <v>485</v>
      </c>
      <c r="U25" s="55">
        <f t="shared" si="7"/>
        <v>2394</v>
      </c>
      <c r="V25" s="231">
        <f t="shared" si="4"/>
        <v>99.75</v>
      </c>
      <c r="W25" s="236">
        <v>1.83</v>
      </c>
      <c r="X25" s="65">
        <v>11.17</v>
      </c>
      <c r="Y25" s="66">
        <v>24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183</v>
      </c>
      <c r="AL25" s="60">
        <f t="shared" si="5"/>
        <v>7.625</v>
      </c>
      <c r="AM25" s="6">
        <v>1440</v>
      </c>
      <c r="AO25" s="61"/>
      <c r="AP25" s="61">
        <f t="shared" si="6"/>
        <v>419</v>
      </c>
      <c r="AQ25"/>
    </row>
    <row r="26" spans="1:43" x14ac:dyDescent="0.3">
      <c r="A26" s="62">
        <v>20</v>
      </c>
      <c r="B26" s="67">
        <v>1646</v>
      </c>
      <c r="C26" s="42">
        <f t="shared" si="0"/>
        <v>68.583333333333329</v>
      </c>
      <c r="D26" s="286">
        <v>1152</v>
      </c>
      <c r="E26" s="44">
        <v>793</v>
      </c>
      <c r="F26" s="19">
        <v>1945</v>
      </c>
      <c r="G26" s="20">
        <v>302</v>
      </c>
      <c r="H26" s="216">
        <v>81</v>
      </c>
      <c r="I26" s="211">
        <v>0</v>
      </c>
      <c r="J26" s="46">
        <f t="shared" si="1"/>
        <v>0</v>
      </c>
      <c r="K26" s="239">
        <v>0</v>
      </c>
      <c r="L26" s="21">
        <v>0</v>
      </c>
      <c r="M26" s="49">
        <v>0</v>
      </c>
      <c r="N26" s="50">
        <f t="shared" si="2"/>
        <v>0</v>
      </c>
      <c r="O26" s="198">
        <v>0</v>
      </c>
      <c r="P26" s="52">
        <f t="shared" si="3"/>
        <v>0</v>
      </c>
      <c r="Q26" s="287">
        <v>0</v>
      </c>
      <c r="R26" s="53">
        <v>509</v>
      </c>
      <c r="S26" s="54">
        <v>464</v>
      </c>
      <c r="T26" s="223">
        <v>522</v>
      </c>
      <c r="U26" s="55">
        <f t="shared" si="7"/>
        <v>2619</v>
      </c>
      <c r="V26" s="231">
        <f t="shared" si="4"/>
        <v>109.125</v>
      </c>
      <c r="W26" s="236">
        <v>0</v>
      </c>
      <c r="X26" s="65">
        <v>24</v>
      </c>
      <c r="Y26" s="66">
        <v>24</v>
      </c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>
        <v>188</v>
      </c>
      <c r="AL26" s="60">
        <f t="shared" si="5"/>
        <v>7.833333333333333</v>
      </c>
      <c r="AM26" s="6">
        <v>1440</v>
      </c>
      <c r="AO26" s="61"/>
      <c r="AP26" s="61">
        <f t="shared" si="6"/>
        <v>464</v>
      </c>
      <c r="AQ26"/>
    </row>
    <row r="27" spans="1:43" x14ac:dyDescent="0.3">
      <c r="A27" s="62">
        <v>21</v>
      </c>
      <c r="B27" s="67">
        <v>1644</v>
      </c>
      <c r="C27" s="42">
        <f t="shared" si="0"/>
        <v>68.5</v>
      </c>
      <c r="D27" s="286">
        <v>1151</v>
      </c>
      <c r="E27" s="44">
        <v>792</v>
      </c>
      <c r="F27" s="19">
        <v>1943</v>
      </c>
      <c r="G27" s="20">
        <v>286</v>
      </c>
      <c r="H27" s="216">
        <v>90</v>
      </c>
      <c r="I27" s="211">
        <v>0</v>
      </c>
      <c r="J27" s="46">
        <f t="shared" si="1"/>
        <v>0</v>
      </c>
      <c r="K27" s="239">
        <v>0</v>
      </c>
      <c r="L27" s="21">
        <v>0</v>
      </c>
      <c r="M27" s="49">
        <v>0</v>
      </c>
      <c r="N27" s="50">
        <f t="shared" si="2"/>
        <v>0</v>
      </c>
      <c r="O27" s="198">
        <v>0</v>
      </c>
      <c r="P27" s="52">
        <f t="shared" si="3"/>
        <v>0</v>
      </c>
      <c r="Q27" s="287">
        <v>0</v>
      </c>
      <c r="R27" s="53">
        <v>434</v>
      </c>
      <c r="S27" s="54">
        <v>430</v>
      </c>
      <c r="T27" s="223">
        <v>516</v>
      </c>
      <c r="U27" s="55">
        <f t="shared" si="7"/>
        <v>2508</v>
      </c>
      <c r="V27" s="231">
        <f t="shared" si="4"/>
        <v>104.5</v>
      </c>
      <c r="W27" s="236">
        <v>0</v>
      </c>
      <c r="X27" s="65">
        <v>21.83</v>
      </c>
      <c r="Y27" s="66">
        <v>24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165</v>
      </c>
      <c r="AL27" s="60">
        <f t="shared" si="5"/>
        <v>6.875</v>
      </c>
      <c r="AM27" s="6">
        <v>1200</v>
      </c>
      <c r="AO27" s="61"/>
      <c r="AP27" s="61">
        <f t="shared" si="6"/>
        <v>430</v>
      </c>
      <c r="AQ27"/>
    </row>
    <row r="28" spans="1:43" x14ac:dyDescent="0.3">
      <c r="A28" s="62">
        <v>22</v>
      </c>
      <c r="B28" s="67">
        <v>1695</v>
      </c>
      <c r="C28" s="42">
        <f t="shared" si="0"/>
        <v>70.625</v>
      </c>
      <c r="D28" s="286">
        <v>1187</v>
      </c>
      <c r="E28" s="44">
        <v>757</v>
      </c>
      <c r="F28" s="19">
        <v>1943</v>
      </c>
      <c r="G28" s="20">
        <v>278</v>
      </c>
      <c r="H28" s="216">
        <v>88</v>
      </c>
      <c r="I28" s="211">
        <v>0</v>
      </c>
      <c r="J28" s="46">
        <f t="shared" si="1"/>
        <v>0</v>
      </c>
      <c r="K28" s="239">
        <v>0</v>
      </c>
      <c r="L28" s="21">
        <v>0</v>
      </c>
      <c r="M28" s="49">
        <v>0</v>
      </c>
      <c r="N28" s="50">
        <f t="shared" si="2"/>
        <v>0</v>
      </c>
      <c r="O28" s="198">
        <v>287</v>
      </c>
      <c r="P28" s="52">
        <f t="shared" si="3"/>
        <v>11.958333333333334</v>
      </c>
      <c r="Q28" s="287">
        <v>33</v>
      </c>
      <c r="R28" s="53">
        <v>75</v>
      </c>
      <c r="S28" s="54">
        <v>434</v>
      </c>
      <c r="T28" s="223">
        <v>512</v>
      </c>
      <c r="U28" s="55">
        <f t="shared" si="7"/>
        <v>2524</v>
      </c>
      <c r="V28" s="231">
        <f t="shared" si="4"/>
        <v>105.16666666666667</v>
      </c>
      <c r="W28" s="236">
        <v>8.67</v>
      </c>
      <c r="X28" s="65">
        <v>4.5</v>
      </c>
      <c r="Y28" s="66">
        <v>24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175</v>
      </c>
      <c r="AL28" s="60">
        <f t="shared" si="5"/>
        <v>7.291666666666667</v>
      </c>
      <c r="AM28" s="6">
        <v>1440</v>
      </c>
      <c r="AO28" s="61"/>
      <c r="AP28" s="61">
        <f t="shared" si="6"/>
        <v>434</v>
      </c>
      <c r="AQ28"/>
    </row>
    <row r="29" spans="1:43" x14ac:dyDescent="0.3">
      <c r="A29" s="62">
        <v>23</v>
      </c>
      <c r="B29" s="67">
        <v>1578</v>
      </c>
      <c r="C29" s="42">
        <f t="shared" si="0"/>
        <v>65.75</v>
      </c>
      <c r="D29" s="286">
        <v>1105</v>
      </c>
      <c r="E29" s="44">
        <v>720</v>
      </c>
      <c r="F29" s="19">
        <v>1825</v>
      </c>
      <c r="G29" s="20">
        <v>264</v>
      </c>
      <c r="H29" s="216">
        <v>85</v>
      </c>
      <c r="I29" s="211">
        <v>0</v>
      </c>
      <c r="J29" s="46">
        <f t="shared" si="1"/>
        <v>0</v>
      </c>
      <c r="K29" s="239">
        <v>0</v>
      </c>
      <c r="L29" s="21">
        <v>0</v>
      </c>
      <c r="M29" s="49">
        <v>0</v>
      </c>
      <c r="N29" s="50">
        <f t="shared" si="2"/>
        <v>0</v>
      </c>
      <c r="O29" s="198">
        <v>337</v>
      </c>
      <c r="P29" s="52">
        <f t="shared" si="3"/>
        <v>14.041666666666666</v>
      </c>
      <c r="Q29" s="287">
        <v>33</v>
      </c>
      <c r="R29" s="53">
        <v>108</v>
      </c>
      <c r="S29" s="54">
        <v>440</v>
      </c>
      <c r="T29" s="223">
        <v>508</v>
      </c>
      <c r="U29" s="55">
        <f t="shared" si="7"/>
        <v>2496</v>
      </c>
      <c r="V29" s="231">
        <f t="shared" si="4"/>
        <v>104</v>
      </c>
      <c r="W29" s="236">
        <v>5</v>
      </c>
      <c r="X29" s="65">
        <v>8.83</v>
      </c>
      <c r="Y29" s="66">
        <v>24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161</v>
      </c>
      <c r="AL29" s="60">
        <f t="shared" si="5"/>
        <v>6.708333333333333</v>
      </c>
      <c r="AM29" s="6">
        <v>1440</v>
      </c>
      <c r="AO29" s="61"/>
      <c r="AP29" s="61">
        <f t="shared" si="6"/>
        <v>440</v>
      </c>
      <c r="AQ29"/>
    </row>
    <row r="30" spans="1:43" x14ac:dyDescent="0.3">
      <c r="A30" s="62">
        <v>24</v>
      </c>
      <c r="B30" s="67">
        <v>1506</v>
      </c>
      <c r="C30" s="42">
        <f t="shared" si="0"/>
        <v>62.75</v>
      </c>
      <c r="D30" s="286">
        <v>1054</v>
      </c>
      <c r="E30" s="44">
        <v>680</v>
      </c>
      <c r="F30" s="19">
        <v>1734</v>
      </c>
      <c r="G30" s="20">
        <v>261</v>
      </c>
      <c r="H30" s="216">
        <v>89</v>
      </c>
      <c r="I30" s="211">
        <v>0</v>
      </c>
      <c r="J30" s="46">
        <f t="shared" si="1"/>
        <v>0</v>
      </c>
      <c r="K30" s="239">
        <v>0</v>
      </c>
      <c r="L30" s="21">
        <v>0</v>
      </c>
      <c r="M30" s="49">
        <v>0</v>
      </c>
      <c r="N30" s="50">
        <f t="shared" si="2"/>
        <v>0</v>
      </c>
      <c r="O30" s="198">
        <v>346</v>
      </c>
      <c r="P30" s="52">
        <f t="shared" si="3"/>
        <v>14.416666666666666</v>
      </c>
      <c r="Q30" s="287">
        <v>3</v>
      </c>
      <c r="R30" s="53">
        <v>0</v>
      </c>
      <c r="S30" s="54">
        <v>397</v>
      </c>
      <c r="T30" s="223">
        <v>493</v>
      </c>
      <c r="U30" s="55">
        <f t="shared" si="7"/>
        <v>2252</v>
      </c>
      <c r="V30" s="231">
        <f t="shared" si="4"/>
        <v>93.833333333333329</v>
      </c>
      <c r="W30" s="236">
        <v>1.33</v>
      </c>
      <c r="X30" s="65">
        <v>0</v>
      </c>
      <c r="Y30" s="66">
        <v>24</v>
      </c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>
        <v>136</v>
      </c>
      <c r="AL30" s="60">
        <f t="shared" si="5"/>
        <v>5.666666666666667</v>
      </c>
      <c r="AM30" s="6">
        <v>1440</v>
      </c>
      <c r="AO30" s="61"/>
      <c r="AP30" s="61">
        <f t="shared" si="6"/>
        <v>397</v>
      </c>
      <c r="AQ30"/>
    </row>
    <row r="31" spans="1:43" x14ac:dyDescent="0.3">
      <c r="A31" s="62">
        <v>25</v>
      </c>
      <c r="B31" s="67">
        <v>1362</v>
      </c>
      <c r="C31" s="42">
        <f t="shared" si="0"/>
        <v>56.75</v>
      </c>
      <c r="D31" s="286">
        <v>953</v>
      </c>
      <c r="E31" s="44">
        <v>663</v>
      </c>
      <c r="F31" s="19">
        <v>1616</v>
      </c>
      <c r="G31" s="20">
        <v>248</v>
      </c>
      <c r="H31" s="216">
        <v>82</v>
      </c>
      <c r="I31" s="211">
        <v>0</v>
      </c>
      <c r="J31" s="46">
        <f t="shared" si="1"/>
        <v>0</v>
      </c>
      <c r="K31" s="239">
        <v>0</v>
      </c>
      <c r="L31" s="21">
        <v>0</v>
      </c>
      <c r="M31" s="49">
        <v>0</v>
      </c>
      <c r="N31" s="50">
        <f t="shared" si="2"/>
        <v>0</v>
      </c>
      <c r="O31" s="198">
        <v>336</v>
      </c>
      <c r="P31" s="52">
        <f t="shared" si="3"/>
        <v>14</v>
      </c>
      <c r="Q31" s="287">
        <v>0</v>
      </c>
      <c r="R31" s="53">
        <v>0</v>
      </c>
      <c r="S31" s="54">
        <v>296</v>
      </c>
      <c r="T31" s="223">
        <v>468</v>
      </c>
      <c r="U31" s="55">
        <f t="shared" si="7"/>
        <v>1994</v>
      </c>
      <c r="V31" s="231">
        <f t="shared" si="4"/>
        <v>83.083333333333329</v>
      </c>
      <c r="W31" s="236">
        <v>0</v>
      </c>
      <c r="X31" s="65">
        <v>0</v>
      </c>
      <c r="Y31" s="66">
        <v>24</v>
      </c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>
        <v>119</v>
      </c>
      <c r="AL31" s="60">
        <f t="shared" si="5"/>
        <v>4.958333333333333</v>
      </c>
      <c r="AM31" s="6">
        <v>1440</v>
      </c>
      <c r="AO31" s="61"/>
      <c r="AP31" s="61">
        <f t="shared" si="6"/>
        <v>296</v>
      </c>
      <c r="AQ31"/>
    </row>
    <row r="32" spans="1:43" x14ac:dyDescent="0.3">
      <c r="A32" s="62">
        <v>26</v>
      </c>
      <c r="B32" s="67">
        <v>1135</v>
      </c>
      <c r="C32" s="42">
        <f t="shared" si="0"/>
        <v>47.291666666666664</v>
      </c>
      <c r="D32" s="286">
        <v>795</v>
      </c>
      <c r="E32" s="44">
        <v>574</v>
      </c>
      <c r="F32" s="19">
        <v>1368</v>
      </c>
      <c r="G32" s="20">
        <v>276</v>
      </c>
      <c r="H32" s="216">
        <v>79</v>
      </c>
      <c r="I32" s="211">
        <v>0</v>
      </c>
      <c r="J32" s="46">
        <f t="shared" si="1"/>
        <v>0</v>
      </c>
      <c r="K32" s="239">
        <v>0</v>
      </c>
      <c r="L32" s="21">
        <v>0</v>
      </c>
      <c r="M32" s="49">
        <v>0</v>
      </c>
      <c r="N32" s="50">
        <f t="shared" si="2"/>
        <v>0</v>
      </c>
      <c r="O32" s="198">
        <v>306</v>
      </c>
      <c r="P32" s="52">
        <f t="shared" si="3"/>
        <v>12.75</v>
      </c>
      <c r="Q32" s="287">
        <v>0</v>
      </c>
      <c r="R32" s="53">
        <v>0</v>
      </c>
      <c r="S32" s="54">
        <v>208</v>
      </c>
      <c r="T32" s="223">
        <v>466</v>
      </c>
      <c r="U32" s="55">
        <f t="shared" si="7"/>
        <v>1649</v>
      </c>
      <c r="V32" s="231">
        <f t="shared" si="4"/>
        <v>68.708333333333329</v>
      </c>
      <c r="W32" s="236">
        <v>0</v>
      </c>
      <c r="X32" s="65">
        <v>0</v>
      </c>
      <c r="Y32" s="66">
        <v>24</v>
      </c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>
        <v>97</v>
      </c>
      <c r="AL32" s="60">
        <f t="shared" si="5"/>
        <v>4.041666666666667</v>
      </c>
      <c r="AM32" s="6">
        <v>1440</v>
      </c>
      <c r="AO32" s="61"/>
      <c r="AP32" s="61">
        <f t="shared" si="6"/>
        <v>208</v>
      </c>
      <c r="AQ32"/>
    </row>
    <row r="33" spans="1:43" x14ac:dyDescent="0.3">
      <c r="A33" s="62">
        <v>27</v>
      </c>
      <c r="B33" s="67">
        <v>1184</v>
      </c>
      <c r="C33" s="42">
        <f t="shared" si="0"/>
        <v>49.333333333333336</v>
      </c>
      <c r="D33" s="286">
        <v>829</v>
      </c>
      <c r="E33" s="44">
        <v>579</v>
      </c>
      <c r="F33" s="19">
        <v>1408</v>
      </c>
      <c r="G33" s="20">
        <v>301</v>
      </c>
      <c r="H33" s="216">
        <v>81</v>
      </c>
      <c r="I33" s="211">
        <v>0</v>
      </c>
      <c r="J33" s="46">
        <f t="shared" si="1"/>
        <v>0</v>
      </c>
      <c r="K33" s="239">
        <v>0</v>
      </c>
      <c r="L33" s="21">
        <v>0</v>
      </c>
      <c r="M33" s="49">
        <v>0</v>
      </c>
      <c r="N33" s="50">
        <f t="shared" si="2"/>
        <v>0</v>
      </c>
      <c r="O33" s="198">
        <v>295</v>
      </c>
      <c r="P33" s="52">
        <f t="shared" si="3"/>
        <v>12.291666666666666</v>
      </c>
      <c r="Q33" s="287">
        <v>0</v>
      </c>
      <c r="R33" s="53">
        <v>0</v>
      </c>
      <c r="S33" s="54">
        <v>210</v>
      </c>
      <c r="T33" s="223">
        <v>486</v>
      </c>
      <c r="U33" s="55">
        <f t="shared" si="7"/>
        <v>1689</v>
      </c>
      <c r="V33" s="231">
        <f t="shared" si="4"/>
        <v>70.375</v>
      </c>
      <c r="W33" s="236">
        <v>0</v>
      </c>
      <c r="X33" s="65">
        <v>0</v>
      </c>
      <c r="Y33" s="66">
        <v>24</v>
      </c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79</v>
      </c>
      <c r="AL33" s="60">
        <f t="shared" si="5"/>
        <v>3.2916666666666665</v>
      </c>
      <c r="AM33" s="6">
        <v>1440</v>
      </c>
      <c r="AO33" s="61"/>
      <c r="AP33" s="61">
        <f t="shared" si="6"/>
        <v>210</v>
      </c>
      <c r="AQ33"/>
    </row>
    <row r="34" spans="1:43" x14ac:dyDescent="0.3">
      <c r="A34" s="62">
        <v>28</v>
      </c>
      <c r="B34" s="67">
        <v>1296</v>
      </c>
      <c r="C34" s="42">
        <f t="shared" si="0"/>
        <v>54</v>
      </c>
      <c r="D34" s="286">
        <v>907</v>
      </c>
      <c r="E34" s="44">
        <v>651</v>
      </c>
      <c r="F34" s="19">
        <v>1558</v>
      </c>
      <c r="G34" s="20">
        <v>311</v>
      </c>
      <c r="H34" s="216">
        <v>83</v>
      </c>
      <c r="I34" s="211">
        <v>0</v>
      </c>
      <c r="J34" s="46">
        <f t="shared" si="1"/>
        <v>0</v>
      </c>
      <c r="K34" s="239">
        <v>0</v>
      </c>
      <c r="L34" s="21">
        <v>0</v>
      </c>
      <c r="M34" s="49">
        <v>0</v>
      </c>
      <c r="N34" s="50">
        <f t="shared" si="2"/>
        <v>0</v>
      </c>
      <c r="O34" s="198">
        <v>301</v>
      </c>
      <c r="P34" s="52">
        <f t="shared" si="3"/>
        <v>12.541666666666666</v>
      </c>
      <c r="Q34" s="287">
        <v>0</v>
      </c>
      <c r="R34" s="53">
        <v>82</v>
      </c>
      <c r="S34" s="54">
        <v>300</v>
      </c>
      <c r="T34" s="223">
        <v>472</v>
      </c>
      <c r="U34" s="55">
        <f t="shared" si="7"/>
        <v>1979</v>
      </c>
      <c r="V34" s="231">
        <f t="shared" si="4"/>
        <v>82.458333333333329</v>
      </c>
      <c r="W34" s="236">
        <v>0</v>
      </c>
      <c r="X34" s="65">
        <v>5.17</v>
      </c>
      <c r="Y34" s="66">
        <v>24</v>
      </c>
      <c r="Z34" s="6"/>
      <c r="AA34" s="348" t="s">
        <v>332</v>
      </c>
      <c r="AB34" s="348"/>
      <c r="AC34" s="348"/>
      <c r="AD34" s="349"/>
      <c r="AE34" s="350"/>
      <c r="AF34" s="351"/>
      <c r="AG34" s="351"/>
      <c r="AH34" s="352"/>
      <c r="AI34" s="58">
        <v>270</v>
      </c>
      <c r="AJ34" s="58"/>
      <c r="AK34" s="59">
        <v>134</v>
      </c>
      <c r="AL34" s="60">
        <f t="shared" si="5"/>
        <v>5.583333333333333</v>
      </c>
      <c r="AM34" s="6">
        <v>1440</v>
      </c>
      <c r="AO34" s="61"/>
      <c r="AP34" s="61">
        <f t="shared" si="6"/>
        <v>300</v>
      </c>
      <c r="AQ34"/>
    </row>
    <row r="35" spans="1:43" x14ac:dyDescent="0.3">
      <c r="A35" s="62">
        <v>29</v>
      </c>
      <c r="B35" s="67">
        <v>1083</v>
      </c>
      <c r="C35" s="42">
        <f t="shared" si="0"/>
        <v>45.125</v>
      </c>
      <c r="D35" s="286">
        <v>758</v>
      </c>
      <c r="E35" s="44">
        <v>546</v>
      </c>
      <c r="F35" s="19">
        <v>1304</v>
      </c>
      <c r="G35" s="20">
        <v>259</v>
      </c>
      <c r="H35" s="216">
        <v>70</v>
      </c>
      <c r="I35" s="211">
        <v>0</v>
      </c>
      <c r="J35" s="46">
        <f t="shared" si="1"/>
        <v>0</v>
      </c>
      <c r="K35" s="239">
        <v>0</v>
      </c>
      <c r="L35" s="21">
        <v>0</v>
      </c>
      <c r="M35" s="49">
        <v>0</v>
      </c>
      <c r="N35" s="50">
        <f t="shared" si="2"/>
        <v>0</v>
      </c>
      <c r="O35" s="198">
        <v>124</v>
      </c>
      <c r="P35" s="52">
        <f t="shared" si="3"/>
        <v>5.166666666666667</v>
      </c>
      <c r="Q35" s="287">
        <v>1</v>
      </c>
      <c r="R35" s="53">
        <v>18</v>
      </c>
      <c r="S35" s="54">
        <v>210</v>
      </c>
      <c r="T35" s="223">
        <v>429</v>
      </c>
      <c r="U35" s="55">
        <f t="shared" si="7"/>
        <v>1436</v>
      </c>
      <c r="V35" s="231">
        <f t="shared" si="4"/>
        <v>59.833333333333336</v>
      </c>
      <c r="W35" s="236">
        <v>0.33</v>
      </c>
      <c r="X35" s="65">
        <v>1.67</v>
      </c>
      <c r="Y35" s="66">
        <v>24</v>
      </c>
      <c r="Z35" s="6"/>
      <c r="AA35" s="348" t="s">
        <v>333</v>
      </c>
      <c r="AB35" s="348"/>
      <c r="AC35" s="348"/>
      <c r="AD35" s="349"/>
      <c r="AE35" s="350"/>
      <c r="AF35" s="351"/>
      <c r="AG35" s="351"/>
      <c r="AH35" s="352"/>
      <c r="AI35" s="58">
        <v>660</v>
      </c>
      <c r="AJ35" s="58"/>
      <c r="AK35" s="59">
        <v>27</v>
      </c>
      <c r="AL35" s="60">
        <f t="shared" si="5"/>
        <v>1.125</v>
      </c>
      <c r="AM35" s="6">
        <v>706</v>
      </c>
      <c r="AO35" s="61"/>
      <c r="AP35" s="61">
        <f t="shared" si="6"/>
        <v>210</v>
      </c>
      <c r="AQ35"/>
    </row>
    <row r="36" spans="1:43" x14ac:dyDescent="0.3">
      <c r="A36" s="62">
        <v>30</v>
      </c>
      <c r="B36" s="67">
        <v>1386</v>
      </c>
      <c r="C36" s="42">
        <f t="shared" si="0"/>
        <v>57.75</v>
      </c>
      <c r="D36" s="286">
        <v>970</v>
      </c>
      <c r="E36" s="44">
        <v>652</v>
      </c>
      <c r="F36" s="19">
        <v>1622</v>
      </c>
      <c r="G36" s="20">
        <v>241</v>
      </c>
      <c r="H36" s="216">
        <v>90</v>
      </c>
      <c r="I36" s="211">
        <v>0</v>
      </c>
      <c r="J36" s="46">
        <f t="shared" si="1"/>
        <v>0</v>
      </c>
      <c r="K36" s="239">
        <v>0</v>
      </c>
      <c r="L36" s="21">
        <v>0</v>
      </c>
      <c r="M36" s="49">
        <v>0</v>
      </c>
      <c r="N36" s="50">
        <f t="shared" si="2"/>
        <v>0</v>
      </c>
      <c r="O36" s="198">
        <v>347</v>
      </c>
      <c r="P36" s="52">
        <f t="shared" si="3"/>
        <v>14.458333333333334</v>
      </c>
      <c r="Q36" s="287">
        <v>0</v>
      </c>
      <c r="R36" s="53">
        <v>0</v>
      </c>
      <c r="S36" s="54">
        <v>315</v>
      </c>
      <c r="T36" s="223">
        <v>468</v>
      </c>
      <c r="U36" s="55">
        <f t="shared" si="7"/>
        <v>2048</v>
      </c>
      <c r="V36" s="231">
        <f t="shared" si="4"/>
        <v>85.333333333333329</v>
      </c>
      <c r="W36" s="236">
        <v>0</v>
      </c>
      <c r="X36" s="65">
        <v>0</v>
      </c>
      <c r="Y36" s="66">
        <v>24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>
        <v>134</v>
      </c>
      <c r="AL36" s="60">
        <f t="shared" si="5"/>
        <v>5.583333333333333</v>
      </c>
      <c r="AM36" s="6">
        <v>1440</v>
      </c>
      <c r="AO36" s="61"/>
      <c r="AP36" s="61">
        <f t="shared" si="6"/>
        <v>315</v>
      </c>
      <c r="AQ36"/>
    </row>
    <row r="37" spans="1:43" ht="17.25" thickBot="1" x14ac:dyDescent="0.35">
      <c r="A37" s="62">
        <v>31</v>
      </c>
      <c r="B37" s="67">
        <v>1346</v>
      </c>
      <c r="C37" s="42">
        <f t="shared" si="0"/>
        <v>56.083333333333336</v>
      </c>
      <c r="D37" s="76">
        <v>942</v>
      </c>
      <c r="E37" s="44">
        <v>637</v>
      </c>
      <c r="F37" s="77">
        <v>1579</v>
      </c>
      <c r="G37" s="78">
        <v>244</v>
      </c>
      <c r="H37" s="220">
        <v>81</v>
      </c>
      <c r="I37" s="211">
        <v>0</v>
      </c>
      <c r="J37" s="46">
        <f t="shared" si="1"/>
        <v>0</v>
      </c>
      <c r="K37" s="79">
        <v>0</v>
      </c>
      <c r="L37" s="80">
        <v>0</v>
      </c>
      <c r="M37" s="49">
        <v>0</v>
      </c>
      <c r="N37" s="50">
        <f t="shared" si="2"/>
        <v>0</v>
      </c>
      <c r="O37" s="199">
        <v>351</v>
      </c>
      <c r="P37" s="81">
        <f t="shared" si="3"/>
        <v>14.625</v>
      </c>
      <c r="Q37" s="227">
        <v>0</v>
      </c>
      <c r="R37" s="82">
        <v>0</v>
      </c>
      <c r="S37" s="54">
        <v>287</v>
      </c>
      <c r="T37" s="223">
        <v>470</v>
      </c>
      <c r="U37" s="55">
        <f t="shared" si="7"/>
        <v>1984</v>
      </c>
      <c r="V37" s="232">
        <f t="shared" si="4"/>
        <v>82.666666666666671</v>
      </c>
      <c r="W37" s="237">
        <v>0</v>
      </c>
      <c r="X37" s="83">
        <v>0</v>
      </c>
      <c r="Y37" s="84">
        <v>24</v>
      </c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>
        <v>135</v>
      </c>
      <c r="AL37" s="60">
        <f t="shared" si="5"/>
        <v>5.625</v>
      </c>
      <c r="AM37" s="6">
        <v>1440</v>
      </c>
      <c r="AN37" s="85"/>
      <c r="AO37" s="85"/>
      <c r="AP37" s="61">
        <f t="shared" si="6"/>
        <v>287</v>
      </c>
      <c r="AQ37"/>
    </row>
    <row r="38" spans="1:43" ht="17.25" thickBot="1" x14ac:dyDescent="0.35">
      <c r="A38" s="86" t="s">
        <v>35</v>
      </c>
      <c r="B38" s="87">
        <f t="shared" ref="B38:I38" si="8">SUM(B7:B37)</f>
        <v>40990</v>
      </c>
      <c r="C38" s="88">
        <f t="shared" si="8"/>
        <v>1707.9166666666667</v>
      </c>
      <c r="D38" s="89">
        <f t="shared" si="8"/>
        <v>28694</v>
      </c>
      <c r="E38" s="89">
        <f t="shared" si="8"/>
        <v>20539</v>
      </c>
      <c r="F38" s="89">
        <f t="shared" si="8"/>
        <v>49227</v>
      </c>
      <c r="G38" s="90">
        <f t="shared" si="8"/>
        <v>8441</v>
      </c>
      <c r="H38" s="221">
        <f t="shared" si="8"/>
        <v>2464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4871</v>
      </c>
      <c r="P38" s="93"/>
      <c r="Q38" s="212">
        <f>SUM(Q7:Q37)</f>
        <v>370</v>
      </c>
      <c r="R38" s="87">
        <f>SUM(R7:R37)</f>
        <v>1705</v>
      </c>
      <c r="S38" s="87">
        <f>SUM(S7:S37)</f>
        <v>9138</v>
      </c>
      <c r="T38" s="87">
        <f>SUM(T7:T37)</f>
        <v>13507</v>
      </c>
      <c r="U38" s="94">
        <f>SUM(U7:U37)</f>
        <v>57074</v>
      </c>
      <c r="V38" s="207"/>
      <c r="W38" s="238">
        <f>SUM(W7:W37)</f>
        <v>70.819999999999993</v>
      </c>
      <c r="X38" s="89">
        <f>SUM(X7:X37)</f>
        <v>102.01</v>
      </c>
      <c r="Y38" s="91">
        <f>SUM(Y7:Y37)</f>
        <v>685.17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47.666666666666664</v>
      </c>
      <c r="AJ38" s="242">
        <f>SUM(AJ7:AJ37)/60</f>
        <v>32.916666666666664</v>
      </c>
      <c r="AK38" s="245">
        <f>SUM(AK7:AK37)</f>
        <v>4021</v>
      </c>
      <c r="AL38" s="97">
        <f>SUM(AL7:AL37)/60</f>
        <v>2.7923611111111111</v>
      </c>
      <c r="AM38" s="240">
        <f>SUM(AM7:AM37)/60</f>
        <v>686.76666666666665</v>
      </c>
      <c r="AP38"/>
      <c r="AQ38"/>
    </row>
    <row r="39" spans="1:43" ht="17.25" thickBot="1" x14ac:dyDescent="0.35">
      <c r="A39" s="98" t="s">
        <v>37</v>
      </c>
      <c r="B39" s="99">
        <f>AVERAGE(B7:B37)</f>
        <v>1322.258064516129</v>
      </c>
      <c r="C39" s="100">
        <f>B39/24</f>
        <v>55.094086021505376</v>
      </c>
      <c r="D39" s="101">
        <f t="shared" ref="D39:I39" si="9">AVERAGE(D7:D37)</f>
        <v>925.61290322580646</v>
      </c>
      <c r="E39" s="101">
        <f t="shared" si="9"/>
        <v>662.54838709677415</v>
      </c>
      <c r="F39" s="101">
        <f t="shared" si="9"/>
        <v>1587.9677419354839</v>
      </c>
      <c r="G39" s="208">
        <f t="shared" si="9"/>
        <v>272.29032258064518</v>
      </c>
      <c r="H39" s="102">
        <f t="shared" si="9"/>
        <v>79.483870967741936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157.12903225806451</v>
      </c>
      <c r="P39" s="229">
        <f>O39/24</f>
        <v>6.547043010752688</v>
      </c>
      <c r="Q39" s="228">
        <f>AVERAGE(Q7:Q37)</f>
        <v>11.935483870967742</v>
      </c>
      <c r="R39" s="106">
        <f>AVERAGE(R7:R37)</f>
        <v>55</v>
      </c>
      <c r="S39" s="102">
        <f>AVERAGE(S7:S37)</f>
        <v>294.77419354838707</v>
      </c>
      <c r="T39" s="102">
        <f>AVERAGE(T7:T37)</f>
        <v>435.70967741935482</v>
      </c>
      <c r="U39" s="107">
        <f>AVERAGE(U7:U37)</f>
        <v>1841.0967741935483</v>
      </c>
      <c r="V39" s="233">
        <f>U39/24</f>
        <v>76.712365591397841</v>
      </c>
      <c r="W39" s="105">
        <f>AVERAGE(W7:W37)</f>
        <v>2.2845161290322578</v>
      </c>
      <c r="X39" s="101">
        <f>AVERAGE(X7:X37)</f>
        <v>3.2906451612903229</v>
      </c>
      <c r="Y39" s="104">
        <f>AVERAGE(Y7:Y37)</f>
        <v>22.102258064516128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80.583333333333329</v>
      </c>
      <c r="AI39" s="354"/>
      <c r="AJ39" s="246">
        <f>AI39/24</f>
        <v>0</v>
      </c>
      <c r="AK39" s="245">
        <f>(AJ38/31)/24</f>
        <v>4.4242831541218636E-2</v>
      </c>
      <c r="AP39"/>
      <c r="AQ39"/>
    </row>
    <row r="40" spans="1:43" ht="17.25" thickBot="1" x14ac:dyDescent="0.35">
      <c r="A40" s="7"/>
      <c r="M40" s="108">
        <f>M38+O38</f>
        <v>4871</v>
      </c>
      <c r="P40" s="109"/>
      <c r="Q40" s="110" t="s">
        <v>39</v>
      </c>
      <c r="R40" s="290">
        <f>Q38+R38</f>
        <v>2075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42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2.788978494623656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12.282258064516128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55.094086021505376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6.547043010752688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76.712365591397841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88" t="s">
        <v>50</v>
      </c>
      <c r="E49" s="288" t="s">
        <v>321</v>
      </c>
      <c r="F49" s="140" t="s">
        <v>51</v>
      </c>
      <c r="G49" s="140" t="s">
        <v>52</v>
      </c>
      <c r="H49" s="288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504</v>
      </c>
      <c r="F50" s="148">
        <v>462</v>
      </c>
      <c r="G50" s="148">
        <v>492</v>
      </c>
      <c r="H50" s="148">
        <v>488</v>
      </c>
      <c r="I50" s="148">
        <v>480</v>
      </c>
      <c r="J50" s="148">
        <v>0</v>
      </c>
      <c r="K50" s="148">
        <v>0</v>
      </c>
      <c r="L50" s="148">
        <v>260</v>
      </c>
      <c r="M50" s="148">
        <v>470</v>
      </c>
      <c r="N50" s="148">
        <v>480</v>
      </c>
      <c r="O50" s="148">
        <v>468</v>
      </c>
      <c r="P50" s="148">
        <v>489</v>
      </c>
      <c r="Q50" s="148">
        <v>483</v>
      </c>
      <c r="R50" s="148">
        <v>495</v>
      </c>
      <c r="S50" s="148">
        <v>502</v>
      </c>
      <c r="T50" s="148">
        <v>499</v>
      </c>
      <c r="U50" s="148">
        <v>497</v>
      </c>
      <c r="V50" s="148">
        <v>514</v>
      </c>
      <c r="W50" s="148">
        <v>515</v>
      </c>
      <c r="X50" s="148">
        <v>553</v>
      </c>
      <c r="Y50" s="148">
        <v>542</v>
      </c>
      <c r="Z50" s="148">
        <v>533</v>
      </c>
      <c r="AA50" s="148">
        <v>530</v>
      </c>
      <c r="AB50" s="148">
        <v>513</v>
      </c>
      <c r="AC50" s="148">
        <v>489</v>
      </c>
      <c r="AD50" s="148">
        <v>489</v>
      </c>
      <c r="AE50" s="148">
        <v>512</v>
      </c>
      <c r="AF50" s="148">
        <v>496</v>
      </c>
      <c r="AG50" s="148">
        <v>452</v>
      </c>
      <c r="AH50" s="148">
        <v>490</v>
      </c>
      <c r="AI50" s="148">
        <v>494</v>
      </c>
      <c r="AJ50" s="149">
        <f>SUM(E50:AI50)</f>
        <v>14191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72</v>
      </c>
      <c r="I51" s="148">
        <v>72</v>
      </c>
      <c r="J51" s="148">
        <v>0</v>
      </c>
      <c r="K51" s="148">
        <v>0</v>
      </c>
      <c r="L51" s="148">
        <v>39.51</v>
      </c>
      <c r="M51" s="148">
        <v>72</v>
      </c>
      <c r="N51" s="148">
        <v>72</v>
      </c>
      <c r="O51" s="148">
        <v>72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72</v>
      </c>
      <c r="W51" s="148">
        <v>72</v>
      </c>
      <c r="X51" s="148">
        <v>72</v>
      </c>
      <c r="Y51" s="148">
        <v>72</v>
      </c>
      <c r="Z51" s="148">
        <v>72</v>
      </c>
      <c r="AA51" s="148">
        <v>72</v>
      </c>
      <c r="AB51" s="148">
        <v>72</v>
      </c>
      <c r="AC51" s="148">
        <v>72</v>
      </c>
      <c r="AD51" s="148">
        <v>72</v>
      </c>
      <c r="AE51" s="148">
        <v>72</v>
      </c>
      <c r="AF51" s="148">
        <v>72</v>
      </c>
      <c r="AG51" s="148">
        <v>72</v>
      </c>
      <c r="AH51" s="148">
        <v>72</v>
      </c>
      <c r="AI51" s="148">
        <v>72</v>
      </c>
      <c r="AJ51" s="149">
        <f>SUM(E51:AI51)</f>
        <v>2055.5100000000002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293</v>
      </c>
      <c r="F52" s="148">
        <f>$S8</f>
        <v>161</v>
      </c>
      <c r="G52" s="148">
        <f>$S9</f>
        <v>234</v>
      </c>
      <c r="H52" s="148">
        <f>$S10</f>
        <v>245</v>
      </c>
      <c r="I52" s="148">
        <f>$S11</f>
        <v>231</v>
      </c>
      <c r="J52" s="148">
        <f>$S12</f>
        <v>0</v>
      </c>
      <c r="K52" s="148">
        <f>$S13</f>
        <v>0</v>
      </c>
      <c r="L52" s="148">
        <f>$S14</f>
        <v>158</v>
      </c>
      <c r="M52" s="148">
        <f>$S15</f>
        <v>288</v>
      </c>
      <c r="N52" s="148">
        <f>$S16</f>
        <v>285</v>
      </c>
      <c r="O52" s="148">
        <f>$S17</f>
        <v>273</v>
      </c>
      <c r="P52" s="148">
        <f>$S18</f>
        <v>318</v>
      </c>
      <c r="Q52" s="148">
        <f>$S19</f>
        <v>368</v>
      </c>
      <c r="R52" s="148">
        <f>$S20</f>
        <v>310</v>
      </c>
      <c r="S52" s="148">
        <f>$S21</f>
        <v>409</v>
      </c>
      <c r="T52" s="148">
        <f>$S22</f>
        <v>329</v>
      </c>
      <c r="U52" s="148">
        <f>$S23</f>
        <v>417</v>
      </c>
      <c r="V52" s="148">
        <f>$S24</f>
        <v>409</v>
      </c>
      <c r="W52" s="148">
        <f>$S25</f>
        <v>419</v>
      </c>
      <c r="X52" s="148">
        <f>$S26</f>
        <v>464</v>
      </c>
      <c r="Y52" s="148">
        <f>$S27</f>
        <v>430</v>
      </c>
      <c r="Z52" s="148">
        <f>$S28</f>
        <v>434</v>
      </c>
      <c r="AA52" s="148">
        <f>$S29</f>
        <v>440</v>
      </c>
      <c r="AB52" s="148">
        <f>$S30</f>
        <v>397</v>
      </c>
      <c r="AC52" s="148">
        <f>$S31</f>
        <v>296</v>
      </c>
      <c r="AD52" s="148">
        <f>$S32</f>
        <v>208</v>
      </c>
      <c r="AE52" s="148">
        <f>$S33</f>
        <v>210</v>
      </c>
      <c r="AF52" s="148">
        <f>$S34</f>
        <v>300</v>
      </c>
      <c r="AG52" s="148">
        <f>$S35</f>
        <v>210</v>
      </c>
      <c r="AH52" s="148">
        <f>$S36</f>
        <v>315</v>
      </c>
      <c r="AI52" s="148">
        <f>$S37</f>
        <v>287</v>
      </c>
      <c r="AJ52" s="154">
        <f>SUM(E52:AI52)</f>
        <v>9138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139</v>
      </c>
      <c r="F53" s="157">
        <f t="shared" si="10"/>
        <v>229</v>
      </c>
      <c r="G53" s="157">
        <f t="shared" si="10"/>
        <v>186</v>
      </c>
      <c r="H53" s="157">
        <f t="shared" si="10"/>
        <v>171</v>
      </c>
      <c r="I53" s="157">
        <f t="shared" si="10"/>
        <v>177</v>
      </c>
      <c r="J53" s="157">
        <f t="shared" si="10"/>
        <v>0</v>
      </c>
      <c r="K53" s="157">
        <f t="shared" si="10"/>
        <v>0</v>
      </c>
      <c r="L53" s="157">
        <f t="shared" si="10"/>
        <v>62.490000000000009</v>
      </c>
      <c r="M53" s="157">
        <f t="shared" si="10"/>
        <v>110</v>
      </c>
      <c r="N53" s="157">
        <f t="shared" si="10"/>
        <v>123</v>
      </c>
      <c r="O53" s="157">
        <f t="shared" si="10"/>
        <v>123</v>
      </c>
      <c r="P53" s="157">
        <f t="shared" si="10"/>
        <v>99</v>
      </c>
      <c r="Q53" s="157">
        <f t="shared" si="10"/>
        <v>43</v>
      </c>
      <c r="R53" s="157">
        <f t="shared" si="10"/>
        <v>113</v>
      </c>
      <c r="S53" s="157">
        <f t="shared" si="10"/>
        <v>21</v>
      </c>
      <c r="T53" s="157">
        <f t="shared" si="10"/>
        <v>98</v>
      </c>
      <c r="U53" s="157">
        <f t="shared" si="10"/>
        <v>8</v>
      </c>
      <c r="V53" s="157">
        <f t="shared" si="10"/>
        <v>33</v>
      </c>
      <c r="W53" s="157">
        <f t="shared" si="10"/>
        <v>24</v>
      </c>
      <c r="X53" s="157">
        <f t="shared" si="10"/>
        <v>17</v>
      </c>
      <c r="Y53" s="157">
        <f t="shared" si="10"/>
        <v>40</v>
      </c>
      <c r="Z53" s="157">
        <f t="shared" si="10"/>
        <v>27</v>
      </c>
      <c r="AA53" s="157">
        <f t="shared" si="10"/>
        <v>18</v>
      </c>
      <c r="AB53" s="157">
        <f t="shared" si="10"/>
        <v>44</v>
      </c>
      <c r="AC53" s="157">
        <f t="shared" si="10"/>
        <v>121</v>
      </c>
      <c r="AD53" s="157">
        <f t="shared" si="10"/>
        <v>209</v>
      </c>
      <c r="AE53" s="157">
        <f t="shared" si="10"/>
        <v>230</v>
      </c>
      <c r="AF53" s="157">
        <f t="shared" si="10"/>
        <v>124</v>
      </c>
      <c r="AG53" s="157">
        <f t="shared" si="10"/>
        <v>170</v>
      </c>
      <c r="AH53" s="157">
        <f t="shared" si="10"/>
        <v>103</v>
      </c>
      <c r="AI53" s="157">
        <f t="shared" si="10"/>
        <v>135</v>
      </c>
      <c r="AJ53" s="154">
        <f>SUM(E53:AI53)</f>
        <v>2997.49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2363</v>
      </c>
      <c r="F54" s="160">
        <f t="shared" si="11"/>
        <v>3893</v>
      </c>
      <c r="G54" s="160">
        <f t="shared" si="11"/>
        <v>3162</v>
      </c>
      <c r="H54" s="160">
        <f t="shared" si="11"/>
        <v>2907</v>
      </c>
      <c r="I54" s="160">
        <f t="shared" si="11"/>
        <v>3009</v>
      </c>
      <c r="J54" s="160" t="str">
        <f t="shared" si="11"/>
        <v xml:space="preserve"> </v>
      </c>
      <c r="K54" s="160" t="str">
        <f t="shared" si="11"/>
        <v xml:space="preserve"> </v>
      </c>
      <c r="L54" s="160">
        <f t="shared" si="11"/>
        <v>1062.3300000000002</v>
      </c>
      <c r="M54" s="160">
        <f t="shared" si="11"/>
        <v>1870</v>
      </c>
      <c r="N54" s="160">
        <f t="shared" si="11"/>
        <v>2091</v>
      </c>
      <c r="O54" s="160">
        <f t="shared" si="11"/>
        <v>2091</v>
      </c>
      <c r="P54" s="160">
        <f t="shared" si="11"/>
        <v>1683</v>
      </c>
      <c r="Q54" s="160">
        <f t="shared" si="11"/>
        <v>731</v>
      </c>
      <c r="R54" s="160">
        <f t="shared" si="11"/>
        <v>1921</v>
      </c>
      <c r="S54" s="160">
        <f t="shared" si="11"/>
        <v>357</v>
      </c>
      <c r="T54" s="160">
        <f t="shared" si="11"/>
        <v>1666</v>
      </c>
      <c r="U54" s="160">
        <f t="shared" si="11"/>
        <v>136</v>
      </c>
      <c r="V54" s="160">
        <f t="shared" si="11"/>
        <v>561</v>
      </c>
      <c r="W54" s="160">
        <f t="shared" si="11"/>
        <v>408</v>
      </c>
      <c r="X54" s="160">
        <f t="shared" si="11"/>
        <v>289</v>
      </c>
      <c r="Y54" s="160">
        <f t="shared" si="11"/>
        <v>680</v>
      </c>
      <c r="Z54" s="160">
        <f t="shared" si="11"/>
        <v>459</v>
      </c>
      <c r="AA54" s="160">
        <f t="shared" si="11"/>
        <v>306</v>
      </c>
      <c r="AB54" s="160">
        <f t="shared" si="11"/>
        <v>748</v>
      </c>
      <c r="AC54" s="160">
        <f t="shared" si="11"/>
        <v>2057</v>
      </c>
      <c r="AD54" s="160">
        <f t="shared" si="11"/>
        <v>3553</v>
      </c>
      <c r="AE54" s="160">
        <f t="shared" si="11"/>
        <v>3910</v>
      </c>
      <c r="AF54" s="160">
        <f t="shared" si="11"/>
        <v>2108</v>
      </c>
      <c r="AG54" s="160">
        <f t="shared" si="11"/>
        <v>2890</v>
      </c>
      <c r="AH54" s="160">
        <f t="shared" si="11"/>
        <v>1751</v>
      </c>
      <c r="AI54" s="160">
        <f t="shared" si="11"/>
        <v>2295</v>
      </c>
      <c r="AJ54" s="161">
        <f>SUM(E54:AI54)</f>
        <v>50957.33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45938</v>
      </c>
      <c r="B58" s="312" t="s">
        <v>324</v>
      </c>
      <c r="C58" s="312"/>
      <c r="D58" s="306" t="s">
        <v>323</v>
      </c>
      <c r="E58" s="307"/>
      <c r="F58" s="307"/>
      <c r="G58" s="307"/>
      <c r="H58" s="307"/>
      <c r="I58" s="307"/>
      <c r="J58" s="169">
        <v>60</v>
      </c>
      <c r="K58" s="169">
        <v>48</v>
      </c>
      <c r="L58" s="170">
        <v>257</v>
      </c>
      <c r="M58" s="171">
        <f t="shared" ref="M58:M83" si="12">J58-K58</f>
        <v>12</v>
      </c>
      <c r="N58" s="172">
        <f t="shared" ref="N58:N83" si="13">M58/60</f>
        <v>0.2</v>
      </c>
      <c r="O58" s="173">
        <f t="shared" ref="O58:O83" si="14">L58*N58</f>
        <v>51.400000000000006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45946</v>
      </c>
      <c r="B59" s="312" t="s">
        <v>330</v>
      </c>
      <c r="C59" s="312"/>
      <c r="D59" s="306" t="s">
        <v>329</v>
      </c>
      <c r="E59" s="307"/>
      <c r="F59" s="307"/>
      <c r="G59" s="307"/>
      <c r="H59" s="307"/>
      <c r="I59" s="307"/>
      <c r="J59" s="169">
        <v>60</v>
      </c>
      <c r="K59" s="169">
        <v>48</v>
      </c>
      <c r="L59" s="170">
        <v>300</v>
      </c>
      <c r="M59" s="171">
        <f t="shared" si="12"/>
        <v>12</v>
      </c>
      <c r="N59" s="172">
        <f t="shared" si="13"/>
        <v>0.2</v>
      </c>
      <c r="O59" s="173">
        <f t="shared" si="14"/>
        <v>60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/>
      <c r="B60" s="312"/>
      <c r="C60" s="312"/>
      <c r="D60" s="306"/>
      <c r="E60" s="307"/>
      <c r="F60" s="307"/>
      <c r="G60" s="307"/>
      <c r="H60" s="307"/>
      <c r="I60" s="307"/>
      <c r="J60" s="169"/>
      <c r="K60" s="169"/>
      <c r="L60" s="170"/>
      <c r="M60" s="171">
        <f t="shared" si="12"/>
        <v>0</v>
      </c>
      <c r="N60" s="172">
        <f t="shared" si="13"/>
        <v>0</v>
      </c>
      <c r="O60" s="173">
        <f t="shared" si="14"/>
        <v>0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/>
      <c r="B61" s="313"/>
      <c r="C61" s="314"/>
      <c r="D61" s="306"/>
      <c r="E61" s="307"/>
      <c r="F61" s="307"/>
      <c r="G61" s="307"/>
      <c r="H61" s="307"/>
      <c r="I61" s="307"/>
      <c r="J61" s="169"/>
      <c r="K61" s="169"/>
      <c r="L61" s="170"/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  <c r="AC67" s="289"/>
      <c r="AD67" s="289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89">
        <f>SUM(Q38:R38)*65</f>
        <v>134875</v>
      </c>
      <c r="S73" s="289"/>
      <c r="T73" s="289"/>
      <c r="U73" s="289"/>
      <c r="V73" s="289"/>
      <c r="W73" s="289"/>
      <c r="X73" s="289"/>
      <c r="Y73" s="289"/>
      <c r="Z73" s="190"/>
      <c r="AA73" s="190"/>
      <c r="AB73" s="58"/>
      <c r="AC73" s="58"/>
      <c r="AD73" s="191">
        <f>SUM(R73:AC73)</f>
        <v>134875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89"/>
      <c r="S74" s="289"/>
      <c r="T74" s="289"/>
      <c r="U74" s="289"/>
      <c r="V74" s="289"/>
      <c r="W74" s="289"/>
      <c r="X74" s="289"/>
      <c r="Y74" s="289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134875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134875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111.4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topLeftCell="A17" zoomScale="90" zoomScaleNormal="90" workbookViewId="0">
      <selection activeCell="R40" sqref="R40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2.625" style="8" customWidth="1"/>
    <col min="29" max="31" width="11.375" style="8" customWidth="1"/>
    <col min="32" max="32" width="10.5" style="8" bestFit="1" customWidth="1"/>
    <col min="33" max="33" width="9.875" style="8" customWidth="1"/>
    <col min="34" max="34" width="9" style="6" customWidth="1"/>
    <col min="35" max="35" width="10.5" style="6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334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93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3</v>
      </c>
      <c r="AI5" s="354"/>
      <c r="AJ5" s="250" t="s">
        <v>169</v>
      </c>
      <c r="AK5" s="249" t="s">
        <v>168</v>
      </c>
      <c r="AL5" s="248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258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173</v>
      </c>
      <c r="AN6" s="7"/>
      <c r="AO6" s="7"/>
      <c r="AP6" s="7"/>
      <c r="AQ6"/>
    </row>
    <row r="7" spans="1:43" x14ac:dyDescent="0.3">
      <c r="A7" s="40">
        <v>1</v>
      </c>
      <c r="B7" s="41">
        <v>1318</v>
      </c>
      <c r="C7" s="214">
        <f t="shared" ref="C7:C37" si="0">B7/24</f>
        <v>54.916666666666664</v>
      </c>
      <c r="D7" s="43">
        <v>923</v>
      </c>
      <c r="E7" s="44">
        <v>634</v>
      </c>
      <c r="F7" s="44">
        <v>1557</v>
      </c>
      <c r="G7" s="45">
        <v>243</v>
      </c>
      <c r="H7" s="218">
        <v>88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362</v>
      </c>
      <c r="P7" s="52">
        <f t="shared" ref="P7:P37" si="3">O7/24</f>
        <v>15.083333333333334</v>
      </c>
      <c r="Q7" s="294">
        <v>0</v>
      </c>
      <c r="R7" s="53">
        <v>0</v>
      </c>
      <c r="S7" s="54">
        <v>269</v>
      </c>
      <c r="T7" s="223">
        <v>457</v>
      </c>
      <c r="U7" s="55">
        <f>SUM(B7,I7,M7,O7,Q7,R7,S7)</f>
        <v>1949</v>
      </c>
      <c r="V7" s="231">
        <f t="shared" ref="V7:V37" si="4">U7/24</f>
        <v>81.208333333333329</v>
      </c>
      <c r="W7" s="235">
        <v>0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>
        <v>137</v>
      </c>
      <c r="AL7" s="60">
        <f t="shared" ref="AL7:AL37" si="5">AK7/24</f>
        <v>5.708333333333333</v>
      </c>
      <c r="AM7" s="6">
        <v>1440</v>
      </c>
      <c r="AO7" s="61"/>
      <c r="AP7" s="61">
        <f t="shared" ref="AP7:AP37" si="6">S7-AO7</f>
        <v>269</v>
      </c>
      <c r="AQ7"/>
    </row>
    <row r="8" spans="1:43" x14ac:dyDescent="0.3">
      <c r="A8" s="62">
        <v>2</v>
      </c>
      <c r="B8" s="41">
        <v>1244</v>
      </c>
      <c r="C8" s="42">
        <f t="shared" si="0"/>
        <v>51.833333333333336</v>
      </c>
      <c r="D8" s="63">
        <v>871</v>
      </c>
      <c r="E8" s="44">
        <v>596</v>
      </c>
      <c r="F8" s="64">
        <v>1467</v>
      </c>
      <c r="G8" s="20">
        <v>235</v>
      </c>
      <c r="H8" s="216">
        <v>82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361</v>
      </c>
      <c r="P8" s="52">
        <f t="shared" si="3"/>
        <v>15.041666666666666</v>
      </c>
      <c r="Q8" s="294">
        <v>0</v>
      </c>
      <c r="R8" s="53">
        <v>0</v>
      </c>
      <c r="S8" s="54">
        <v>264</v>
      </c>
      <c r="T8" s="223">
        <v>446</v>
      </c>
      <c r="U8" s="55">
        <f>SUM(B8,I8,M8,O8,Q8,R8,S8)</f>
        <v>1869</v>
      </c>
      <c r="V8" s="231">
        <f t="shared" si="4"/>
        <v>77.875</v>
      </c>
      <c r="W8" s="236">
        <v>0</v>
      </c>
      <c r="X8" s="65">
        <v>0</v>
      </c>
      <c r="Y8" s="66">
        <v>24</v>
      </c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/>
      <c r="AK8" s="59">
        <v>125</v>
      </c>
      <c r="AL8" s="60">
        <f t="shared" si="5"/>
        <v>5.208333333333333</v>
      </c>
      <c r="AM8" s="6">
        <v>1440</v>
      </c>
      <c r="AO8" s="61"/>
      <c r="AP8" s="61">
        <f t="shared" si="6"/>
        <v>264</v>
      </c>
      <c r="AQ8"/>
    </row>
    <row r="9" spans="1:43" x14ac:dyDescent="0.3">
      <c r="A9" s="62">
        <v>3</v>
      </c>
      <c r="B9" s="67">
        <v>1547</v>
      </c>
      <c r="C9" s="42">
        <f t="shared" si="0"/>
        <v>64.458333333333329</v>
      </c>
      <c r="D9" s="63">
        <v>1083</v>
      </c>
      <c r="E9" s="44">
        <v>689</v>
      </c>
      <c r="F9" s="64">
        <v>1772</v>
      </c>
      <c r="G9" s="20">
        <v>256</v>
      </c>
      <c r="H9" s="216">
        <v>92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200</v>
      </c>
      <c r="P9" s="52">
        <f t="shared" si="3"/>
        <v>8.3333333333333339</v>
      </c>
      <c r="Q9" s="294">
        <v>11</v>
      </c>
      <c r="R9" s="53">
        <v>0</v>
      </c>
      <c r="S9" s="54">
        <v>321</v>
      </c>
      <c r="T9" s="223">
        <v>454</v>
      </c>
      <c r="U9" s="55">
        <f t="shared" ref="U9:U37" si="7">SUM(B9,I9,M9,O9,Q9,R9,S9)</f>
        <v>2079</v>
      </c>
      <c r="V9" s="231">
        <f t="shared" si="4"/>
        <v>86.625</v>
      </c>
      <c r="W9" s="236">
        <v>5.17</v>
      </c>
      <c r="X9" s="65">
        <v>0</v>
      </c>
      <c r="Y9" s="66">
        <v>24</v>
      </c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>
        <v>138</v>
      </c>
      <c r="AL9" s="60">
        <f t="shared" si="5"/>
        <v>5.75</v>
      </c>
      <c r="AM9" s="6">
        <v>1440</v>
      </c>
      <c r="AO9" s="61"/>
      <c r="AP9" s="61">
        <f t="shared" si="6"/>
        <v>321</v>
      </c>
      <c r="AQ9"/>
    </row>
    <row r="10" spans="1:43" x14ac:dyDescent="0.3">
      <c r="A10" s="62">
        <v>4</v>
      </c>
      <c r="B10" s="67">
        <v>1452</v>
      </c>
      <c r="C10" s="42">
        <f t="shared" si="0"/>
        <v>60.5</v>
      </c>
      <c r="D10" s="63">
        <v>1016</v>
      </c>
      <c r="E10" s="44">
        <v>705</v>
      </c>
      <c r="F10" s="64">
        <v>1721</v>
      </c>
      <c r="G10" s="20">
        <v>271</v>
      </c>
      <c r="H10" s="216">
        <v>92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75</v>
      </c>
      <c r="P10" s="52">
        <f t="shared" si="3"/>
        <v>3.125</v>
      </c>
      <c r="Q10" s="294">
        <v>0</v>
      </c>
      <c r="R10" s="53">
        <v>88</v>
      </c>
      <c r="S10" s="54">
        <v>371</v>
      </c>
      <c r="T10" s="223">
        <v>450</v>
      </c>
      <c r="U10" s="55">
        <f t="shared" si="7"/>
        <v>1986</v>
      </c>
      <c r="V10" s="231">
        <f t="shared" si="4"/>
        <v>82.75</v>
      </c>
      <c r="W10" s="236">
        <v>0</v>
      </c>
      <c r="X10" s="65">
        <v>5.5</v>
      </c>
      <c r="Y10" s="66">
        <v>24</v>
      </c>
      <c r="Z10" s="6"/>
      <c r="AA10" s="348" t="s">
        <v>335</v>
      </c>
      <c r="AB10" s="348"/>
      <c r="AC10" s="348"/>
      <c r="AD10" s="348"/>
      <c r="AE10" s="350"/>
      <c r="AF10" s="351"/>
      <c r="AG10" s="351"/>
      <c r="AH10" s="352"/>
      <c r="AI10" s="58"/>
      <c r="AJ10" s="58">
        <v>285</v>
      </c>
      <c r="AK10" s="59">
        <v>130</v>
      </c>
      <c r="AL10" s="60">
        <f t="shared" si="5"/>
        <v>5.416666666666667</v>
      </c>
      <c r="AM10" s="6">
        <v>1440</v>
      </c>
      <c r="AO10" s="61"/>
      <c r="AP10" s="61">
        <f t="shared" si="6"/>
        <v>371</v>
      </c>
      <c r="AQ10"/>
    </row>
    <row r="11" spans="1:43" x14ac:dyDescent="0.3">
      <c r="A11" s="62">
        <v>5</v>
      </c>
      <c r="B11" s="67">
        <v>809</v>
      </c>
      <c r="C11" s="42">
        <f t="shared" si="0"/>
        <v>33.708333333333336</v>
      </c>
      <c r="D11" s="69">
        <v>566</v>
      </c>
      <c r="E11" s="44">
        <v>342</v>
      </c>
      <c r="F11" s="70">
        <v>908</v>
      </c>
      <c r="G11" s="20">
        <v>214</v>
      </c>
      <c r="H11" s="216">
        <v>53</v>
      </c>
      <c r="I11" s="210">
        <v>0</v>
      </c>
      <c r="J11" s="46">
        <f t="shared" si="1"/>
        <v>0</v>
      </c>
      <c r="K11" s="47">
        <v>0</v>
      </c>
      <c r="L11" s="48">
        <v>0</v>
      </c>
      <c r="M11" s="49">
        <v>0</v>
      </c>
      <c r="N11" s="50">
        <f t="shared" si="2"/>
        <v>0</v>
      </c>
      <c r="O11" s="74">
        <v>365</v>
      </c>
      <c r="P11" s="52">
        <f t="shared" si="3"/>
        <v>15.208333333333334</v>
      </c>
      <c r="Q11" s="294">
        <v>0</v>
      </c>
      <c r="R11" s="53">
        <v>459</v>
      </c>
      <c r="S11" s="54">
        <v>392</v>
      </c>
      <c r="T11" s="223">
        <v>452</v>
      </c>
      <c r="U11" s="55">
        <f t="shared" si="7"/>
        <v>2025</v>
      </c>
      <c r="V11" s="231">
        <f t="shared" si="4"/>
        <v>84.375</v>
      </c>
      <c r="W11" s="236">
        <v>0</v>
      </c>
      <c r="X11" s="65">
        <v>24</v>
      </c>
      <c r="Y11" s="66">
        <v>24</v>
      </c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>
        <v>1440</v>
      </c>
      <c r="AK11" s="59">
        <v>131</v>
      </c>
      <c r="AL11" s="60">
        <f t="shared" si="5"/>
        <v>5.458333333333333</v>
      </c>
      <c r="AM11" s="6">
        <v>1440</v>
      </c>
      <c r="AO11" s="61"/>
      <c r="AP11" s="61">
        <f t="shared" si="6"/>
        <v>392</v>
      </c>
      <c r="AQ11"/>
    </row>
    <row r="12" spans="1:43" x14ac:dyDescent="0.3">
      <c r="A12" s="62">
        <v>6</v>
      </c>
      <c r="B12" s="67">
        <v>796</v>
      </c>
      <c r="C12" s="42">
        <f t="shared" si="0"/>
        <v>33.166666666666664</v>
      </c>
      <c r="D12" s="69">
        <v>557</v>
      </c>
      <c r="E12" s="44">
        <v>354</v>
      </c>
      <c r="F12" s="70">
        <v>911</v>
      </c>
      <c r="G12" s="75">
        <v>189</v>
      </c>
      <c r="H12" s="219">
        <v>46</v>
      </c>
      <c r="I12" s="210">
        <v>0</v>
      </c>
      <c r="J12" s="46">
        <f t="shared" si="1"/>
        <v>0</v>
      </c>
      <c r="K12" s="47">
        <v>0</v>
      </c>
      <c r="L12" s="48">
        <v>0</v>
      </c>
      <c r="M12" s="49">
        <v>0</v>
      </c>
      <c r="N12" s="50">
        <f t="shared" si="2"/>
        <v>0</v>
      </c>
      <c r="O12" s="74">
        <v>371</v>
      </c>
      <c r="P12" s="52">
        <f t="shared" si="3"/>
        <v>15.458333333333334</v>
      </c>
      <c r="Q12" s="294">
        <v>61</v>
      </c>
      <c r="R12" s="53">
        <v>179</v>
      </c>
      <c r="S12" s="54">
        <v>406</v>
      </c>
      <c r="T12" s="223">
        <v>466</v>
      </c>
      <c r="U12" s="55">
        <f t="shared" si="7"/>
        <v>1813</v>
      </c>
      <c r="V12" s="231">
        <f t="shared" si="4"/>
        <v>75.541666666666671</v>
      </c>
      <c r="W12" s="236">
        <v>10.5</v>
      </c>
      <c r="X12" s="65">
        <v>11.33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>
        <v>1440</v>
      </c>
      <c r="AK12" s="59">
        <v>106</v>
      </c>
      <c r="AL12" s="60">
        <f t="shared" si="5"/>
        <v>4.416666666666667</v>
      </c>
      <c r="AM12" s="6">
        <v>1200</v>
      </c>
      <c r="AO12" s="61"/>
      <c r="AP12" s="61">
        <f t="shared" si="6"/>
        <v>406</v>
      </c>
      <c r="AQ12"/>
    </row>
    <row r="13" spans="1:43" x14ac:dyDescent="0.3">
      <c r="A13" s="62">
        <v>7</v>
      </c>
      <c r="B13" s="67">
        <v>858</v>
      </c>
      <c r="C13" s="42">
        <f t="shared" si="0"/>
        <v>35.75</v>
      </c>
      <c r="D13" s="69">
        <v>601</v>
      </c>
      <c r="E13" s="44">
        <v>350</v>
      </c>
      <c r="F13" s="70">
        <v>951</v>
      </c>
      <c r="G13" s="20">
        <v>175</v>
      </c>
      <c r="H13" s="216">
        <v>47</v>
      </c>
      <c r="I13" s="210">
        <v>0</v>
      </c>
      <c r="J13" s="46">
        <f t="shared" si="1"/>
        <v>0</v>
      </c>
      <c r="K13" s="47">
        <v>0</v>
      </c>
      <c r="L13" s="48">
        <v>0</v>
      </c>
      <c r="M13" s="49">
        <v>0</v>
      </c>
      <c r="N13" s="50">
        <f t="shared" si="2"/>
        <v>0</v>
      </c>
      <c r="O13" s="74">
        <v>343</v>
      </c>
      <c r="P13" s="52">
        <f t="shared" si="3"/>
        <v>14.291666666666666</v>
      </c>
      <c r="Q13" s="294">
        <v>99</v>
      </c>
      <c r="R13" s="53">
        <v>0</v>
      </c>
      <c r="S13" s="54">
        <v>406</v>
      </c>
      <c r="T13" s="223">
        <v>472</v>
      </c>
      <c r="U13" s="55">
        <f t="shared" si="7"/>
        <v>1706</v>
      </c>
      <c r="V13" s="231">
        <f t="shared" si="4"/>
        <v>71.083333333333329</v>
      </c>
      <c r="W13" s="236">
        <v>20.329999999999998</v>
      </c>
      <c r="X13" s="65">
        <v>0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>
        <v>1440</v>
      </c>
      <c r="AK13" s="59">
        <v>131</v>
      </c>
      <c r="AL13" s="60">
        <f t="shared" si="5"/>
        <v>5.458333333333333</v>
      </c>
      <c r="AM13" s="6">
        <v>1440</v>
      </c>
      <c r="AO13" s="61"/>
      <c r="AP13" s="61">
        <f t="shared" si="6"/>
        <v>406</v>
      </c>
      <c r="AQ13"/>
    </row>
    <row r="14" spans="1:43" x14ac:dyDescent="0.3">
      <c r="A14" s="62">
        <v>8</v>
      </c>
      <c r="B14" s="67">
        <v>836</v>
      </c>
      <c r="C14" s="42">
        <f t="shared" si="0"/>
        <v>34.833333333333336</v>
      </c>
      <c r="D14" s="69">
        <v>585</v>
      </c>
      <c r="E14" s="44">
        <v>383</v>
      </c>
      <c r="F14" s="70">
        <v>968</v>
      </c>
      <c r="G14" s="20">
        <v>178</v>
      </c>
      <c r="H14" s="216">
        <v>45</v>
      </c>
      <c r="I14" s="210">
        <v>0</v>
      </c>
      <c r="J14" s="46">
        <f t="shared" si="1"/>
        <v>0</v>
      </c>
      <c r="K14" s="47">
        <v>0</v>
      </c>
      <c r="L14" s="48">
        <v>0</v>
      </c>
      <c r="M14" s="49">
        <v>0</v>
      </c>
      <c r="N14" s="50">
        <f t="shared" si="2"/>
        <v>0</v>
      </c>
      <c r="O14" s="74">
        <v>372</v>
      </c>
      <c r="P14" s="52">
        <f t="shared" si="3"/>
        <v>15.5</v>
      </c>
      <c r="Q14" s="294">
        <v>0</v>
      </c>
      <c r="R14" s="53">
        <v>0</v>
      </c>
      <c r="S14" s="54">
        <v>403</v>
      </c>
      <c r="T14" s="223">
        <v>473</v>
      </c>
      <c r="U14" s="55">
        <f t="shared" si="7"/>
        <v>1611</v>
      </c>
      <c r="V14" s="231">
        <f t="shared" si="4"/>
        <v>67.125</v>
      </c>
      <c r="W14" s="236">
        <v>0</v>
      </c>
      <c r="X14" s="65">
        <v>0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>
        <v>1440</v>
      </c>
      <c r="AK14" s="59">
        <v>131</v>
      </c>
      <c r="AL14" s="60">
        <f t="shared" si="5"/>
        <v>5.458333333333333</v>
      </c>
      <c r="AM14" s="6">
        <v>1440</v>
      </c>
      <c r="AO14" s="61"/>
      <c r="AP14" s="61">
        <f t="shared" si="6"/>
        <v>403</v>
      </c>
      <c r="AQ14"/>
    </row>
    <row r="15" spans="1:43" x14ac:dyDescent="0.3">
      <c r="A15" s="62">
        <v>9</v>
      </c>
      <c r="B15" s="67">
        <v>822</v>
      </c>
      <c r="C15" s="42">
        <f t="shared" si="0"/>
        <v>34.25</v>
      </c>
      <c r="D15" s="69">
        <v>575</v>
      </c>
      <c r="E15" s="44">
        <v>387</v>
      </c>
      <c r="F15" s="70">
        <v>962</v>
      </c>
      <c r="G15" s="20">
        <v>185</v>
      </c>
      <c r="H15" s="216">
        <v>39</v>
      </c>
      <c r="I15" s="210">
        <v>0</v>
      </c>
      <c r="J15" s="46">
        <f t="shared" si="1"/>
        <v>0</v>
      </c>
      <c r="K15" s="47">
        <v>0</v>
      </c>
      <c r="L15" s="48">
        <v>0</v>
      </c>
      <c r="M15" s="49">
        <v>0</v>
      </c>
      <c r="N15" s="50">
        <f t="shared" si="2"/>
        <v>0</v>
      </c>
      <c r="O15" s="74">
        <v>374</v>
      </c>
      <c r="P15" s="52">
        <f t="shared" si="3"/>
        <v>15.583333333333334</v>
      </c>
      <c r="Q15" s="294">
        <v>34</v>
      </c>
      <c r="R15" s="53">
        <v>0</v>
      </c>
      <c r="S15" s="54">
        <v>403</v>
      </c>
      <c r="T15" s="223">
        <v>471</v>
      </c>
      <c r="U15" s="55">
        <f t="shared" si="7"/>
        <v>1633</v>
      </c>
      <c r="V15" s="231">
        <f t="shared" si="4"/>
        <v>68.041666666666671</v>
      </c>
      <c r="W15" s="236">
        <v>11.33</v>
      </c>
      <c r="X15" s="65">
        <v>0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>
        <v>1440</v>
      </c>
      <c r="AK15" s="59">
        <v>121</v>
      </c>
      <c r="AL15" s="60">
        <f t="shared" si="5"/>
        <v>5.041666666666667</v>
      </c>
      <c r="AM15" s="6">
        <v>1440</v>
      </c>
      <c r="AO15" s="61"/>
      <c r="AP15" s="61">
        <f t="shared" si="6"/>
        <v>403</v>
      </c>
      <c r="AQ15"/>
    </row>
    <row r="16" spans="1:43" x14ac:dyDescent="0.3">
      <c r="A16" s="62">
        <v>10</v>
      </c>
      <c r="B16" s="67">
        <v>580</v>
      </c>
      <c r="C16" s="42">
        <f t="shared" si="0"/>
        <v>24.166666666666668</v>
      </c>
      <c r="D16" s="69">
        <v>406</v>
      </c>
      <c r="E16" s="44">
        <v>262</v>
      </c>
      <c r="F16" s="70">
        <v>668</v>
      </c>
      <c r="G16" s="20">
        <v>146</v>
      </c>
      <c r="H16" s="216">
        <v>45</v>
      </c>
      <c r="I16" s="210">
        <v>0</v>
      </c>
      <c r="J16" s="46">
        <f t="shared" si="1"/>
        <v>0</v>
      </c>
      <c r="K16" s="47">
        <v>0</v>
      </c>
      <c r="L16" s="48">
        <v>0</v>
      </c>
      <c r="M16" s="49">
        <v>0</v>
      </c>
      <c r="N16" s="50">
        <f t="shared" si="2"/>
        <v>0</v>
      </c>
      <c r="O16" s="74">
        <v>0</v>
      </c>
      <c r="P16" s="52">
        <f t="shared" si="3"/>
        <v>0</v>
      </c>
      <c r="Q16" s="294">
        <v>0</v>
      </c>
      <c r="R16" s="53">
        <v>0</v>
      </c>
      <c r="S16" s="54">
        <v>1</v>
      </c>
      <c r="T16" s="223">
        <v>25</v>
      </c>
      <c r="U16" s="55">
        <f t="shared" si="7"/>
        <v>581</v>
      </c>
      <c r="V16" s="231">
        <f t="shared" si="4"/>
        <v>24.208333333333332</v>
      </c>
      <c r="W16" s="236">
        <v>0</v>
      </c>
      <c r="X16" s="65">
        <v>0</v>
      </c>
      <c r="Y16" s="66">
        <v>0.5</v>
      </c>
      <c r="Z16" s="6"/>
      <c r="AA16" s="348"/>
      <c r="AB16" s="348"/>
      <c r="AC16" s="348"/>
      <c r="AD16" s="349"/>
      <c r="AE16" s="350" t="s">
        <v>338</v>
      </c>
      <c r="AF16" s="351"/>
      <c r="AG16" s="351"/>
      <c r="AH16" s="352"/>
      <c r="AI16" s="58"/>
      <c r="AJ16" s="58">
        <v>1440</v>
      </c>
      <c r="AK16" s="59">
        <v>0</v>
      </c>
      <c r="AL16" s="60">
        <f t="shared" si="5"/>
        <v>0</v>
      </c>
      <c r="AM16" s="6">
        <v>0</v>
      </c>
      <c r="AO16" s="61"/>
      <c r="AP16" s="61">
        <f t="shared" si="6"/>
        <v>1</v>
      </c>
      <c r="AQ16"/>
    </row>
    <row r="17" spans="1:43" x14ac:dyDescent="0.3">
      <c r="A17" s="62">
        <v>11</v>
      </c>
      <c r="B17" s="67">
        <v>569</v>
      </c>
      <c r="C17" s="42">
        <f t="shared" si="0"/>
        <v>23.708333333333332</v>
      </c>
      <c r="D17" s="69">
        <v>398</v>
      </c>
      <c r="E17" s="44">
        <v>271</v>
      </c>
      <c r="F17" s="70">
        <v>669</v>
      </c>
      <c r="G17" s="20">
        <v>157</v>
      </c>
      <c r="H17" s="216">
        <v>53</v>
      </c>
      <c r="I17" s="210">
        <v>0</v>
      </c>
      <c r="J17" s="46">
        <f t="shared" si="1"/>
        <v>0</v>
      </c>
      <c r="K17" s="47">
        <v>0</v>
      </c>
      <c r="L17" s="48">
        <v>0</v>
      </c>
      <c r="M17" s="49">
        <v>0</v>
      </c>
      <c r="N17" s="50">
        <f t="shared" si="2"/>
        <v>0</v>
      </c>
      <c r="O17" s="74">
        <v>48</v>
      </c>
      <c r="P17" s="52">
        <f t="shared" si="3"/>
        <v>2</v>
      </c>
      <c r="Q17" s="294">
        <v>0</v>
      </c>
      <c r="R17" s="53">
        <v>0</v>
      </c>
      <c r="S17" s="54">
        <v>38</v>
      </c>
      <c r="T17" s="223">
        <v>93</v>
      </c>
      <c r="U17" s="55">
        <f t="shared" si="7"/>
        <v>655</v>
      </c>
      <c r="V17" s="231">
        <f t="shared" si="4"/>
        <v>27.291666666666668</v>
      </c>
      <c r="W17" s="236">
        <v>0</v>
      </c>
      <c r="X17" s="65">
        <v>0</v>
      </c>
      <c r="Y17" s="66">
        <v>3.67</v>
      </c>
      <c r="Z17" s="6"/>
      <c r="AA17" s="348" t="s">
        <v>340</v>
      </c>
      <c r="AB17" s="348"/>
      <c r="AC17" s="348"/>
      <c r="AD17" s="349"/>
      <c r="AE17" s="350" t="s">
        <v>339</v>
      </c>
      <c r="AF17" s="351"/>
      <c r="AG17" s="351"/>
      <c r="AH17" s="352"/>
      <c r="AI17" s="58">
        <v>120</v>
      </c>
      <c r="AJ17" s="58">
        <v>1440</v>
      </c>
      <c r="AK17" s="59">
        <v>0</v>
      </c>
      <c r="AL17" s="60">
        <f t="shared" si="5"/>
        <v>0</v>
      </c>
      <c r="AM17" s="6">
        <v>0</v>
      </c>
      <c r="AO17" s="61"/>
      <c r="AP17" s="61">
        <f t="shared" si="6"/>
        <v>38</v>
      </c>
      <c r="AQ17"/>
    </row>
    <row r="18" spans="1:43" x14ac:dyDescent="0.3">
      <c r="A18" s="62">
        <v>12</v>
      </c>
      <c r="B18" s="67">
        <v>0</v>
      </c>
      <c r="C18" s="42">
        <f t="shared" si="0"/>
        <v>0</v>
      </c>
      <c r="D18" s="69">
        <v>0</v>
      </c>
      <c r="E18" s="44">
        <v>122</v>
      </c>
      <c r="F18" s="70">
        <v>122</v>
      </c>
      <c r="G18" s="20">
        <v>76</v>
      </c>
      <c r="H18" s="216">
        <v>12</v>
      </c>
      <c r="I18" s="210">
        <v>0</v>
      </c>
      <c r="J18" s="46">
        <f t="shared" si="1"/>
        <v>0</v>
      </c>
      <c r="K18" s="47">
        <v>0</v>
      </c>
      <c r="L18" s="48">
        <v>0</v>
      </c>
      <c r="M18" s="49">
        <v>0</v>
      </c>
      <c r="N18" s="50">
        <f t="shared" si="2"/>
        <v>0</v>
      </c>
      <c r="O18" s="74">
        <v>319</v>
      </c>
      <c r="P18" s="52">
        <f t="shared" si="3"/>
        <v>13.291666666666666</v>
      </c>
      <c r="Q18" s="294">
        <v>0</v>
      </c>
      <c r="R18" s="53">
        <v>0</v>
      </c>
      <c r="S18" s="54">
        <v>360</v>
      </c>
      <c r="T18" s="223">
        <v>460</v>
      </c>
      <c r="U18" s="55">
        <f t="shared" si="7"/>
        <v>679</v>
      </c>
      <c r="V18" s="231">
        <f t="shared" si="4"/>
        <v>28.291666666666668</v>
      </c>
      <c r="W18" s="236">
        <v>0</v>
      </c>
      <c r="X18" s="65">
        <v>0</v>
      </c>
      <c r="Y18" s="66">
        <v>24</v>
      </c>
      <c r="Z18" s="6"/>
      <c r="AA18" s="348"/>
      <c r="AB18" s="348"/>
      <c r="AC18" s="348"/>
      <c r="AD18" s="349"/>
      <c r="AE18" s="350"/>
      <c r="AF18" s="351"/>
      <c r="AG18" s="351"/>
      <c r="AH18" s="352"/>
      <c r="AI18" s="58">
        <v>1440</v>
      </c>
      <c r="AJ18" s="58">
        <v>1440</v>
      </c>
      <c r="AK18" s="59">
        <v>0</v>
      </c>
      <c r="AL18" s="60">
        <f t="shared" si="5"/>
        <v>0</v>
      </c>
      <c r="AM18" s="6">
        <v>0</v>
      </c>
      <c r="AO18" s="61"/>
      <c r="AP18" s="61">
        <f t="shared" si="6"/>
        <v>360</v>
      </c>
      <c r="AQ18"/>
    </row>
    <row r="19" spans="1:43" x14ac:dyDescent="0.3">
      <c r="A19" s="62">
        <v>13</v>
      </c>
      <c r="B19" s="67">
        <v>0</v>
      </c>
      <c r="C19" s="42">
        <f t="shared" si="0"/>
        <v>0</v>
      </c>
      <c r="D19" s="293">
        <v>0</v>
      </c>
      <c r="E19" s="44">
        <v>12</v>
      </c>
      <c r="F19" s="19">
        <v>12</v>
      </c>
      <c r="G19" s="20">
        <v>53</v>
      </c>
      <c r="H19" s="216">
        <v>12</v>
      </c>
      <c r="I19" s="210">
        <v>0</v>
      </c>
      <c r="J19" s="46">
        <f t="shared" si="1"/>
        <v>0</v>
      </c>
      <c r="K19" s="47">
        <v>0</v>
      </c>
      <c r="L19" s="48">
        <v>0</v>
      </c>
      <c r="M19" s="49">
        <v>0</v>
      </c>
      <c r="N19" s="50">
        <f t="shared" si="2"/>
        <v>0</v>
      </c>
      <c r="O19" s="68">
        <v>322</v>
      </c>
      <c r="P19" s="52">
        <f t="shared" si="3"/>
        <v>13.416666666666666</v>
      </c>
      <c r="Q19" s="294">
        <v>0</v>
      </c>
      <c r="R19" s="53">
        <v>0</v>
      </c>
      <c r="S19" s="54">
        <v>348</v>
      </c>
      <c r="T19" s="223">
        <v>460</v>
      </c>
      <c r="U19" s="55">
        <f t="shared" si="7"/>
        <v>670</v>
      </c>
      <c r="V19" s="231">
        <f t="shared" si="4"/>
        <v>27.916666666666668</v>
      </c>
      <c r="W19" s="236">
        <v>0</v>
      </c>
      <c r="X19" s="65">
        <v>0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>
        <v>1440</v>
      </c>
      <c r="AJ19" s="58">
        <v>1440</v>
      </c>
      <c r="AK19" s="59">
        <v>0</v>
      </c>
      <c r="AL19" s="60">
        <f t="shared" si="5"/>
        <v>0</v>
      </c>
      <c r="AM19" s="6">
        <v>0</v>
      </c>
      <c r="AO19" s="61"/>
      <c r="AP19" s="61">
        <f t="shared" si="6"/>
        <v>348</v>
      </c>
      <c r="AQ19"/>
    </row>
    <row r="20" spans="1:43" x14ac:dyDescent="0.3">
      <c r="A20" s="62">
        <v>14</v>
      </c>
      <c r="B20" s="67">
        <v>306</v>
      </c>
      <c r="C20" s="42">
        <f t="shared" si="0"/>
        <v>12.75</v>
      </c>
      <c r="D20" s="293">
        <v>214</v>
      </c>
      <c r="E20" s="44">
        <v>263</v>
      </c>
      <c r="F20" s="19">
        <v>477</v>
      </c>
      <c r="G20" s="20">
        <v>163</v>
      </c>
      <c r="H20" s="216">
        <v>26</v>
      </c>
      <c r="I20" s="210">
        <v>0</v>
      </c>
      <c r="J20" s="46">
        <f t="shared" si="1"/>
        <v>0</v>
      </c>
      <c r="K20" s="47">
        <v>0</v>
      </c>
      <c r="L20" s="48">
        <v>0</v>
      </c>
      <c r="M20" s="49">
        <v>0</v>
      </c>
      <c r="N20" s="50">
        <f t="shared" si="2"/>
        <v>0</v>
      </c>
      <c r="O20" s="51">
        <v>340</v>
      </c>
      <c r="P20" s="52">
        <f t="shared" si="3"/>
        <v>14.166666666666666</v>
      </c>
      <c r="Q20" s="294">
        <v>11</v>
      </c>
      <c r="R20" s="53">
        <v>253</v>
      </c>
      <c r="S20" s="54">
        <v>343</v>
      </c>
      <c r="T20" s="223">
        <v>455</v>
      </c>
      <c r="U20" s="55">
        <f t="shared" si="7"/>
        <v>1253</v>
      </c>
      <c r="V20" s="231">
        <f t="shared" si="4"/>
        <v>52.208333333333336</v>
      </c>
      <c r="W20" s="236">
        <v>1.33</v>
      </c>
      <c r="X20" s="65">
        <v>16.5</v>
      </c>
      <c r="Y20" s="66">
        <v>24</v>
      </c>
      <c r="Z20" s="6"/>
      <c r="AA20" s="359" t="s">
        <v>341</v>
      </c>
      <c r="AB20" s="348"/>
      <c r="AC20" s="348"/>
      <c r="AD20" s="349"/>
      <c r="AE20" s="350"/>
      <c r="AF20" s="351"/>
      <c r="AG20" s="351"/>
      <c r="AH20" s="352"/>
      <c r="AI20" s="58">
        <v>780</v>
      </c>
      <c r="AJ20" s="58">
        <v>1440</v>
      </c>
      <c r="AK20" s="59">
        <v>48</v>
      </c>
      <c r="AL20" s="60">
        <f t="shared" si="5"/>
        <v>2</v>
      </c>
      <c r="AM20" s="6">
        <v>570</v>
      </c>
      <c r="AO20" s="61"/>
      <c r="AP20" s="61">
        <f t="shared" si="6"/>
        <v>343</v>
      </c>
      <c r="AQ20"/>
    </row>
    <row r="21" spans="1:43" x14ac:dyDescent="0.3">
      <c r="A21" s="62">
        <v>15</v>
      </c>
      <c r="B21" s="67">
        <v>879</v>
      </c>
      <c r="C21" s="42">
        <f t="shared" si="0"/>
        <v>36.625</v>
      </c>
      <c r="D21" s="293">
        <v>615</v>
      </c>
      <c r="E21" s="44">
        <v>345</v>
      </c>
      <c r="F21" s="19">
        <v>960</v>
      </c>
      <c r="G21" s="20">
        <v>184</v>
      </c>
      <c r="H21" s="216">
        <v>46</v>
      </c>
      <c r="I21" s="210">
        <v>0</v>
      </c>
      <c r="J21" s="46">
        <f t="shared" si="1"/>
        <v>0</v>
      </c>
      <c r="K21" s="47">
        <v>0</v>
      </c>
      <c r="L21" s="48">
        <v>0</v>
      </c>
      <c r="M21" s="49">
        <v>0</v>
      </c>
      <c r="N21" s="50">
        <f t="shared" si="2"/>
        <v>0</v>
      </c>
      <c r="O21" s="51">
        <v>369</v>
      </c>
      <c r="P21" s="52">
        <f t="shared" si="3"/>
        <v>15.375</v>
      </c>
      <c r="Q21" s="294">
        <v>94</v>
      </c>
      <c r="R21" s="53">
        <v>219</v>
      </c>
      <c r="S21" s="54">
        <v>457</v>
      </c>
      <c r="T21" s="223">
        <v>525</v>
      </c>
      <c r="U21" s="55">
        <f t="shared" si="7"/>
        <v>2018</v>
      </c>
      <c r="V21" s="231">
        <f t="shared" si="4"/>
        <v>84.083333333333329</v>
      </c>
      <c r="W21" s="236">
        <v>7.83</v>
      </c>
      <c r="X21" s="65">
        <v>16.66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>
        <v>1440</v>
      </c>
      <c r="AK21" s="59">
        <v>179</v>
      </c>
      <c r="AL21" s="60">
        <f t="shared" si="5"/>
        <v>7.458333333333333</v>
      </c>
      <c r="AM21" s="6">
        <v>1440</v>
      </c>
      <c r="AO21" s="61"/>
      <c r="AP21" s="61">
        <f t="shared" si="6"/>
        <v>457</v>
      </c>
      <c r="AQ21"/>
    </row>
    <row r="22" spans="1:43" x14ac:dyDescent="0.3">
      <c r="A22" s="62">
        <v>16</v>
      </c>
      <c r="B22" s="67">
        <v>1147</v>
      </c>
      <c r="C22" s="42">
        <f t="shared" si="0"/>
        <v>47.791666666666664</v>
      </c>
      <c r="D22" s="293">
        <v>803</v>
      </c>
      <c r="E22" s="44">
        <v>526</v>
      </c>
      <c r="F22" s="19">
        <v>1329</v>
      </c>
      <c r="G22" s="20">
        <v>245</v>
      </c>
      <c r="H22" s="216">
        <v>61</v>
      </c>
      <c r="I22" s="210">
        <v>0</v>
      </c>
      <c r="J22" s="46">
        <f t="shared" si="1"/>
        <v>0</v>
      </c>
      <c r="K22" s="47">
        <v>0</v>
      </c>
      <c r="L22" s="48">
        <v>0</v>
      </c>
      <c r="M22" s="49">
        <v>0</v>
      </c>
      <c r="N22" s="50">
        <f t="shared" si="2"/>
        <v>0</v>
      </c>
      <c r="O22" s="68">
        <v>371</v>
      </c>
      <c r="P22" s="52">
        <f t="shared" si="3"/>
        <v>15.458333333333334</v>
      </c>
      <c r="Q22" s="294">
        <v>26</v>
      </c>
      <c r="R22" s="53">
        <v>86</v>
      </c>
      <c r="S22" s="54">
        <v>335</v>
      </c>
      <c r="T22" s="223">
        <v>476</v>
      </c>
      <c r="U22" s="55">
        <f t="shared" si="7"/>
        <v>1965</v>
      </c>
      <c r="V22" s="231">
        <f t="shared" si="4"/>
        <v>81.875</v>
      </c>
      <c r="W22" s="236">
        <v>4.33</v>
      </c>
      <c r="X22" s="65">
        <v>7.83</v>
      </c>
      <c r="Y22" s="66">
        <v>24</v>
      </c>
      <c r="Z22" s="6"/>
      <c r="AA22" s="348" t="s">
        <v>342</v>
      </c>
      <c r="AB22" s="348"/>
      <c r="AC22" s="348"/>
      <c r="AD22" s="349"/>
      <c r="AE22" s="350"/>
      <c r="AF22" s="351"/>
      <c r="AG22" s="351"/>
      <c r="AH22" s="352"/>
      <c r="AI22" s="58"/>
      <c r="AJ22" s="58">
        <v>660</v>
      </c>
      <c r="AK22" s="59">
        <v>168</v>
      </c>
      <c r="AL22" s="60">
        <f t="shared" si="5"/>
        <v>7</v>
      </c>
      <c r="AM22" s="6">
        <v>1440</v>
      </c>
      <c r="AO22" s="61"/>
      <c r="AP22" s="61">
        <f t="shared" si="6"/>
        <v>335</v>
      </c>
      <c r="AQ22"/>
    </row>
    <row r="23" spans="1:43" x14ac:dyDescent="0.3">
      <c r="A23" s="62">
        <v>17</v>
      </c>
      <c r="B23" s="67">
        <v>1625</v>
      </c>
      <c r="C23" s="42">
        <f t="shared" si="0"/>
        <v>67.708333333333329</v>
      </c>
      <c r="D23" s="293">
        <v>1138</v>
      </c>
      <c r="E23" s="44">
        <v>651</v>
      </c>
      <c r="F23" s="19">
        <v>1788</v>
      </c>
      <c r="G23" s="20">
        <v>358</v>
      </c>
      <c r="H23" s="216">
        <v>62</v>
      </c>
      <c r="I23" s="210">
        <v>0</v>
      </c>
      <c r="J23" s="46">
        <f t="shared" si="1"/>
        <v>0</v>
      </c>
      <c r="K23" s="47">
        <v>0</v>
      </c>
      <c r="L23" s="48">
        <v>0</v>
      </c>
      <c r="M23" s="49">
        <v>0</v>
      </c>
      <c r="N23" s="50">
        <f t="shared" si="2"/>
        <v>0</v>
      </c>
      <c r="O23" s="68">
        <v>371</v>
      </c>
      <c r="P23" s="52">
        <f t="shared" si="3"/>
        <v>15.458333333333334</v>
      </c>
      <c r="Q23" s="294">
        <v>7</v>
      </c>
      <c r="R23" s="53">
        <v>0</v>
      </c>
      <c r="S23" s="54">
        <v>0</v>
      </c>
      <c r="T23" s="223">
        <v>6</v>
      </c>
      <c r="U23" s="55">
        <f t="shared" si="7"/>
        <v>2003</v>
      </c>
      <c r="V23" s="231">
        <f t="shared" si="4"/>
        <v>83.458333333333329</v>
      </c>
      <c r="W23" s="236">
        <v>3.17</v>
      </c>
      <c r="X23" s="65">
        <v>0</v>
      </c>
      <c r="Y23" s="66">
        <v>0</v>
      </c>
      <c r="Z23" s="6"/>
      <c r="AA23" s="348"/>
      <c r="AB23" s="348"/>
      <c r="AC23" s="348"/>
      <c r="AD23" s="349"/>
      <c r="AE23" s="350" t="s">
        <v>343</v>
      </c>
      <c r="AF23" s="351"/>
      <c r="AG23" s="351"/>
      <c r="AH23" s="352"/>
      <c r="AI23" s="58"/>
      <c r="AJ23" s="58"/>
      <c r="AK23" s="59">
        <v>180</v>
      </c>
      <c r="AL23" s="60">
        <f t="shared" si="5"/>
        <v>7.5</v>
      </c>
      <c r="AM23" s="6">
        <v>1440</v>
      </c>
      <c r="AO23" s="61"/>
      <c r="AP23" s="61">
        <f t="shared" si="6"/>
        <v>0</v>
      </c>
      <c r="AQ23"/>
    </row>
    <row r="24" spans="1:43" x14ac:dyDescent="0.3">
      <c r="A24" s="62">
        <v>18</v>
      </c>
      <c r="B24" s="67">
        <v>1644</v>
      </c>
      <c r="C24" s="42">
        <f t="shared" si="0"/>
        <v>68.5</v>
      </c>
      <c r="D24" s="293">
        <v>1151</v>
      </c>
      <c r="E24" s="44">
        <v>635</v>
      </c>
      <c r="F24" s="19">
        <v>1786</v>
      </c>
      <c r="G24" s="20">
        <v>361</v>
      </c>
      <c r="H24" s="216">
        <v>63</v>
      </c>
      <c r="I24" s="210">
        <v>0</v>
      </c>
      <c r="J24" s="46">
        <f t="shared" si="1"/>
        <v>0</v>
      </c>
      <c r="K24" s="47">
        <v>0</v>
      </c>
      <c r="L24" s="48">
        <v>0</v>
      </c>
      <c r="M24" s="49">
        <v>0</v>
      </c>
      <c r="N24" s="50">
        <f t="shared" si="2"/>
        <v>0</v>
      </c>
      <c r="O24" s="198">
        <v>371</v>
      </c>
      <c r="P24" s="52">
        <f t="shared" si="3"/>
        <v>15.458333333333334</v>
      </c>
      <c r="Q24" s="294">
        <v>12</v>
      </c>
      <c r="R24" s="53">
        <v>0</v>
      </c>
      <c r="S24" s="54">
        <v>0</v>
      </c>
      <c r="T24" s="223">
        <v>0</v>
      </c>
      <c r="U24" s="55">
        <f t="shared" si="7"/>
        <v>2027</v>
      </c>
      <c r="V24" s="231">
        <f t="shared" si="4"/>
        <v>84.458333333333329</v>
      </c>
      <c r="W24" s="236">
        <v>4.83</v>
      </c>
      <c r="X24" s="65">
        <v>0</v>
      </c>
      <c r="Y24" s="66">
        <v>0</v>
      </c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>
        <v>181</v>
      </c>
      <c r="AL24" s="60">
        <f t="shared" si="5"/>
        <v>7.541666666666667</v>
      </c>
      <c r="AM24" s="6">
        <v>1440</v>
      </c>
      <c r="AO24" s="61"/>
      <c r="AP24" s="61">
        <f t="shared" si="6"/>
        <v>0</v>
      </c>
      <c r="AQ24"/>
    </row>
    <row r="25" spans="1:43" x14ac:dyDescent="0.3">
      <c r="A25" s="62">
        <v>19</v>
      </c>
      <c r="B25" s="67">
        <v>1658</v>
      </c>
      <c r="C25" s="42">
        <f t="shared" si="0"/>
        <v>69.083333333333329</v>
      </c>
      <c r="D25" s="293">
        <v>1161</v>
      </c>
      <c r="E25" s="44">
        <v>635</v>
      </c>
      <c r="F25" s="19">
        <v>1796</v>
      </c>
      <c r="G25" s="20">
        <v>280</v>
      </c>
      <c r="H25" s="216">
        <v>78</v>
      </c>
      <c r="I25" s="210">
        <v>0</v>
      </c>
      <c r="J25" s="46">
        <f t="shared" si="1"/>
        <v>0</v>
      </c>
      <c r="K25" s="47">
        <v>0</v>
      </c>
      <c r="L25" s="48">
        <v>0</v>
      </c>
      <c r="M25" s="49">
        <v>0</v>
      </c>
      <c r="N25" s="50">
        <f t="shared" si="2"/>
        <v>0</v>
      </c>
      <c r="O25" s="198">
        <v>366</v>
      </c>
      <c r="P25" s="52">
        <f t="shared" si="3"/>
        <v>15.25</v>
      </c>
      <c r="Q25" s="294">
        <v>7</v>
      </c>
      <c r="R25" s="53">
        <v>0</v>
      </c>
      <c r="S25" s="54">
        <v>0</v>
      </c>
      <c r="T25" s="223">
        <v>0</v>
      </c>
      <c r="U25" s="55">
        <f t="shared" si="7"/>
        <v>2031</v>
      </c>
      <c r="V25" s="231">
        <f t="shared" si="4"/>
        <v>84.625</v>
      </c>
      <c r="W25" s="236">
        <v>2.5</v>
      </c>
      <c r="X25" s="65">
        <v>0</v>
      </c>
      <c r="Y25" s="66">
        <v>0</v>
      </c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>
        <v>182</v>
      </c>
      <c r="AL25" s="60">
        <f t="shared" si="5"/>
        <v>7.583333333333333</v>
      </c>
      <c r="AM25" s="6">
        <v>1440</v>
      </c>
      <c r="AO25" s="61"/>
      <c r="AP25" s="61">
        <f t="shared" si="6"/>
        <v>0</v>
      </c>
      <c r="AQ25"/>
    </row>
    <row r="26" spans="1:43" x14ac:dyDescent="0.3">
      <c r="A26" s="62">
        <v>20</v>
      </c>
      <c r="B26" s="67">
        <v>1534</v>
      </c>
      <c r="C26" s="42">
        <f t="shared" si="0"/>
        <v>63.916666666666664</v>
      </c>
      <c r="D26" s="293">
        <v>1074</v>
      </c>
      <c r="E26" s="44">
        <v>612</v>
      </c>
      <c r="F26" s="19">
        <v>1686</v>
      </c>
      <c r="G26" s="20">
        <v>280</v>
      </c>
      <c r="H26" s="216">
        <v>71</v>
      </c>
      <c r="I26" s="210">
        <v>0</v>
      </c>
      <c r="J26" s="46">
        <f t="shared" si="1"/>
        <v>0</v>
      </c>
      <c r="K26" s="47">
        <v>0</v>
      </c>
      <c r="L26" s="48">
        <v>0</v>
      </c>
      <c r="M26" s="49">
        <v>0</v>
      </c>
      <c r="N26" s="50">
        <f t="shared" si="2"/>
        <v>0</v>
      </c>
      <c r="O26" s="198">
        <v>375</v>
      </c>
      <c r="P26" s="52">
        <f t="shared" si="3"/>
        <v>15.625</v>
      </c>
      <c r="Q26" s="294">
        <v>30</v>
      </c>
      <c r="R26" s="53">
        <v>0</v>
      </c>
      <c r="S26" s="54">
        <v>0</v>
      </c>
      <c r="T26" s="223">
        <v>0</v>
      </c>
      <c r="U26" s="55">
        <f t="shared" si="7"/>
        <v>1939</v>
      </c>
      <c r="V26" s="231">
        <f t="shared" si="4"/>
        <v>80.791666666666671</v>
      </c>
      <c r="W26" s="236">
        <v>4.5</v>
      </c>
      <c r="X26" s="65">
        <v>0</v>
      </c>
      <c r="Y26" s="66">
        <v>0</v>
      </c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>
        <v>178</v>
      </c>
      <c r="AL26" s="60">
        <f t="shared" si="5"/>
        <v>7.416666666666667</v>
      </c>
      <c r="AM26" s="6">
        <v>1440</v>
      </c>
      <c r="AO26" s="61"/>
      <c r="AP26" s="61">
        <f t="shared" si="6"/>
        <v>0</v>
      </c>
      <c r="AQ26"/>
    </row>
    <row r="27" spans="1:43" x14ac:dyDescent="0.3">
      <c r="A27" s="62">
        <v>21</v>
      </c>
      <c r="B27" s="67">
        <v>1391</v>
      </c>
      <c r="C27" s="42">
        <f t="shared" si="0"/>
        <v>57.958333333333336</v>
      </c>
      <c r="D27" s="293">
        <v>974</v>
      </c>
      <c r="E27" s="44">
        <v>585</v>
      </c>
      <c r="F27" s="19">
        <v>1559</v>
      </c>
      <c r="G27" s="20">
        <v>223</v>
      </c>
      <c r="H27" s="216">
        <v>71</v>
      </c>
      <c r="I27" s="210">
        <v>0</v>
      </c>
      <c r="J27" s="46">
        <f t="shared" si="1"/>
        <v>0</v>
      </c>
      <c r="K27" s="47">
        <v>0</v>
      </c>
      <c r="L27" s="48">
        <v>0</v>
      </c>
      <c r="M27" s="49">
        <v>0</v>
      </c>
      <c r="N27" s="50">
        <f t="shared" si="2"/>
        <v>0</v>
      </c>
      <c r="O27" s="198">
        <v>406</v>
      </c>
      <c r="P27" s="52">
        <f t="shared" si="3"/>
        <v>16.916666666666668</v>
      </c>
      <c r="Q27" s="294">
        <v>0</v>
      </c>
      <c r="R27" s="53">
        <v>0</v>
      </c>
      <c r="S27" s="54">
        <v>0</v>
      </c>
      <c r="T27" s="223">
        <v>0</v>
      </c>
      <c r="U27" s="55">
        <f t="shared" si="7"/>
        <v>1797</v>
      </c>
      <c r="V27" s="231">
        <f t="shared" si="4"/>
        <v>74.875</v>
      </c>
      <c r="W27" s="236">
        <v>0</v>
      </c>
      <c r="X27" s="65">
        <v>0</v>
      </c>
      <c r="Y27" s="66">
        <v>0</v>
      </c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>
        <v>119</v>
      </c>
      <c r="AL27" s="60">
        <f t="shared" si="5"/>
        <v>4.958333333333333</v>
      </c>
      <c r="AM27" s="6">
        <v>1110</v>
      </c>
      <c r="AO27" s="61"/>
      <c r="AP27" s="61">
        <f t="shared" si="6"/>
        <v>0</v>
      </c>
      <c r="AQ27"/>
    </row>
    <row r="28" spans="1:43" x14ac:dyDescent="0.3">
      <c r="A28" s="62">
        <v>22</v>
      </c>
      <c r="B28" s="67">
        <v>1622</v>
      </c>
      <c r="C28" s="42">
        <f t="shared" si="0"/>
        <v>67.583333333333329</v>
      </c>
      <c r="D28" s="293">
        <v>1135</v>
      </c>
      <c r="E28" s="44">
        <v>614</v>
      </c>
      <c r="F28" s="19">
        <v>1749</v>
      </c>
      <c r="G28" s="20">
        <v>223</v>
      </c>
      <c r="H28" s="216">
        <v>79</v>
      </c>
      <c r="I28" s="210">
        <v>0</v>
      </c>
      <c r="J28" s="46">
        <f t="shared" si="1"/>
        <v>0</v>
      </c>
      <c r="K28" s="47">
        <v>0</v>
      </c>
      <c r="L28" s="48">
        <v>0</v>
      </c>
      <c r="M28" s="49">
        <v>0</v>
      </c>
      <c r="N28" s="50">
        <f t="shared" si="2"/>
        <v>0</v>
      </c>
      <c r="O28" s="198">
        <v>426</v>
      </c>
      <c r="P28" s="52">
        <f t="shared" si="3"/>
        <v>17.75</v>
      </c>
      <c r="Q28" s="294">
        <v>3</v>
      </c>
      <c r="R28" s="53">
        <v>0</v>
      </c>
      <c r="S28" s="54">
        <v>0</v>
      </c>
      <c r="T28" s="223">
        <v>0</v>
      </c>
      <c r="U28" s="55">
        <f t="shared" si="7"/>
        <v>2051</v>
      </c>
      <c r="V28" s="231">
        <f t="shared" si="4"/>
        <v>85.458333333333329</v>
      </c>
      <c r="W28" s="236">
        <v>1</v>
      </c>
      <c r="X28" s="65">
        <v>0</v>
      </c>
      <c r="Y28" s="66">
        <v>0</v>
      </c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>
        <v>166</v>
      </c>
      <c r="AL28" s="60">
        <f t="shared" si="5"/>
        <v>6.916666666666667</v>
      </c>
      <c r="AM28" s="6">
        <v>1440</v>
      </c>
      <c r="AO28" s="61"/>
      <c r="AP28" s="61">
        <f t="shared" si="6"/>
        <v>0</v>
      </c>
      <c r="AQ28"/>
    </row>
    <row r="29" spans="1:43" x14ac:dyDescent="0.3">
      <c r="A29" s="62">
        <v>23</v>
      </c>
      <c r="B29" s="67">
        <v>1564</v>
      </c>
      <c r="C29" s="42">
        <f t="shared" si="0"/>
        <v>65.166666666666671</v>
      </c>
      <c r="D29" s="293">
        <v>1095</v>
      </c>
      <c r="E29" s="44">
        <v>615</v>
      </c>
      <c r="F29" s="19">
        <v>1710</v>
      </c>
      <c r="G29" s="20">
        <v>233</v>
      </c>
      <c r="H29" s="216">
        <v>80</v>
      </c>
      <c r="I29" s="210">
        <v>0</v>
      </c>
      <c r="J29" s="46">
        <f t="shared" si="1"/>
        <v>0</v>
      </c>
      <c r="K29" s="47">
        <v>0</v>
      </c>
      <c r="L29" s="48">
        <v>0</v>
      </c>
      <c r="M29" s="49">
        <v>0</v>
      </c>
      <c r="N29" s="50">
        <f t="shared" si="2"/>
        <v>0</v>
      </c>
      <c r="O29" s="198">
        <v>363</v>
      </c>
      <c r="P29" s="52">
        <f t="shared" si="3"/>
        <v>15.125</v>
      </c>
      <c r="Q29" s="294">
        <v>2</v>
      </c>
      <c r="R29" s="53">
        <v>0</v>
      </c>
      <c r="S29" s="54">
        <v>0</v>
      </c>
      <c r="T29" s="223">
        <v>0</v>
      </c>
      <c r="U29" s="55">
        <f t="shared" si="7"/>
        <v>1929</v>
      </c>
      <c r="V29" s="231">
        <f t="shared" si="4"/>
        <v>80.375</v>
      </c>
      <c r="W29" s="236">
        <v>0.5</v>
      </c>
      <c r="X29" s="65">
        <v>0</v>
      </c>
      <c r="Y29" s="66">
        <v>0</v>
      </c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>
        <v>164</v>
      </c>
      <c r="AL29" s="60">
        <f t="shared" si="5"/>
        <v>6.833333333333333</v>
      </c>
      <c r="AM29" s="6">
        <v>1440</v>
      </c>
      <c r="AO29" s="61"/>
      <c r="AP29" s="61">
        <f t="shared" si="6"/>
        <v>0</v>
      </c>
      <c r="AQ29"/>
    </row>
    <row r="30" spans="1:43" x14ac:dyDescent="0.3">
      <c r="A30" s="62">
        <v>24</v>
      </c>
      <c r="B30" s="67">
        <v>1499</v>
      </c>
      <c r="C30" s="42">
        <f t="shared" si="0"/>
        <v>62.458333333333336</v>
      </c>
      <c r="D30" s="293">
        <v>1049</v>
      </c>
      <c r="E30" s="44">
        <v>599</v>
      </c>
      <c r="F30" s="19">
        <v>1648</v>
      </c>
      <c r="G30" s="20">
        <v>264</v>
      </c>
      <c r="H30" s="216">
        <v>80</v>
      </c>
      <c r="I30" s="210">
        <v>0</v>
      </c>
      <c r="J30" s="46">
        <f t="shared" si="1"/>
        <v>0</v>
      </c>
      <c r="K30" s="47">
        <v>0</v>
      </c>
      <c r="L30" s="48">
        <v>0</v>
      </c>
      <c r="M30" s="49">
        <v>0</v>
      </c>
      <c r="N30" s="50">
        <f t="shared" si="2"/>
        <v>0</v>
      </c>
      <c r="O30" s="198">
        <v>365</v>
      </c>
      <c r="P30" s="52">
        <f t="shared" si="3"/>
        <v>15.208333333333334</v>
      </c>
      <c r="Q30" s="294">
        <v>1</v>
      </c>
      <c r="R30" s="53">
        <v>0</v>
      </c>
      <c r="S30" s="54">
        <v>0</v>
      </c>
      <c r="T30" s="223">
        <v>0</v>
      </c>
      <c r="U30" s="55">
        <f t="shared" si="7"/>
        <v>1865</v>
      </c>
      <c r="V30" s="231">
        <f t="shared" si="4"/>
        <v>77.708333333333329</v>
      </c>
      <c r="W30" s="236">
        <v>0.33</v>
      </c>
      <c r="X30" s="65">
        <v>0</v>
      </c>
      <c r="Y30" s="66">
        <v>0</v>
      </c>
      <c r="Z30" s="6"/>
      <c r="AA30" s="359"/>
      <c r="AB30" s="348"/>
      <c r="AC30" s="348"/>
      <c r="AD30" s="349"/>
      <c r="AE30" s="350" t="s">
        <v>353</v>
      </c>
      <c r="AF30" s="351"/>
      <c r="AG30" s="351"/>
      <c r="AH30" s="352"/>
      <c r="AI30" s="58"/>
      <c r="AJ30" s="58"/>
      <c r="AK30" s="59">
        <v>122</v>
      </c>
      <c r="AL30" s="60">
        <f t="shared" si="5"/>
        <v>5.083333333333333</v>
      </c>
      <c r="AM30" s="6">
        <v>1440</v>
      </c>
      <c r="AO30" s="61"/>
      <c r="AP30" s="61">
        <f t="shared" si="6"/>
        <v>0</v>
      </c>
      <c r="AQ30"/>
    </row>
    <row r="31" spans="1:43" x14ac:dyDescent="0.3">
      <c r="A31" s="62">
        <v>25</v>
      </c>
      <c r="B31" s="67">
        <v>1352</v>
      </c>
      <c r="C31" s="42">
        <f t="shared" si="0"/>
        <v>56.333333333333336</v>
      </c>
      <c r="D31" s="293">
        <v>946</v>
      </c>
      <c r="E31" s="44">
        <v>584</v>
      </c>
      <c r="F31" s="19">
        <v>1530</v>
      </c>
      <c r="G31" s="20">
        <v>291</v>
      </c>
      <c r="H31" s="216">
        <v>72</v>
      </c>
      <c r="I31" s="210">
        <v>0</v>
      </c>
      <c r="J31" s="46">
        <f t="shared" si="1"/>
        <v>0</v>
      </c>
      <c r="K31" s="47">
        <v>0</v>
      </c>
      <c r="L31" s="48">
        <v>0</v>
      </c>
      <c r="M31" s="49">
        <v>0</v>
      </c>
      <c r="N31" s="50">
        <f t="shared" si="2"/>
        <v>0</v>
      </c>
      <c r="O31" s="198">
        <v>378</v>
      </c>
      <c r="P31" s="52">
        <f t="shared" si="3"/>
        <v>15.75</v>
      </c>
      <c r="Q31" s="294">
        <v>21</v>
      </c>
      <c r="R31" s="53">
        <v>26</v>
      </c>
      <c r="S31" s="54">
        <v>50</v>
      </c>
      <c r="T31" s="223">
        <v>181</v>
      </c>
      <c r="U31" s="55">
        <f t="shared" si="7"/>
        <v>1827</v>
      </c>
      <c r="V31" s="231">
        <f t="shared" si="4"/>
        <v>76.125</v>
      </c>
      <c r="W31" s="236">
        <v>3.17</v>
      </c>
      <c r="X31" s="65">
        <v>3.5</v>
      </c>
      <c r="Y31" s="66">
        <v>6</v>
      </c>
      <c r="Z31" s="6"/>
      <c r="AA31" s="348" t="s">
        <v>348</v>
      </c>
      <c r="AB31" s="348"/>
      <c r="AC31" s="348"/>
      <c r="AD31" s="349"/>
      <c r="AE31" s="350"/>
      <c r="AF31" s="351"/>
      <c r="AG31" s="351"/>
      <c r="AH31" s="352"/>
      <c r="AI31" s="58">
        <v>285</v>
      </c>
      <c r="AJ31" s="58"/>
      <c r="AK31" s="59">
        <v>113</v>
      </c>
      <c r="AL31" s="60">
        <f t="shared" si="5"/>
        <v>4.708333333333333</v>
      </c>
      <c r="AM31" s="6">
        <v>1440</v>
      </c>
      <c r="AO31" s="61"/>
      <c r="AP31" s="61">
        <f t="shared" si="6"/>
        <v>50</v>
      </c>
      <c r="AQ31"/>
    </row>
    <row r="32" spans="1:43" x14ac:dyDescent="0.3">
      <c r="A32" s="62">
        <v>26</v>
      </c>
      <c r="B32" s="67">
        <v>712</v>
      </c>
      <c r="C32" s="42">
        <f t="shared" si="0"/>
        <v>29.666666666666668</v>
      </c>
      <c r="D32" s="293">
        <v>498</v>
      </c>
      <c r="E32" s="44">
        <v>336</v>
      </c>
      <c r="F32" s="19">
        <v>834</v>
      </c>
      <c r="G32" s="20">
        <v>252</v>
      </c>
      <c r="H32" s="216">
        <v>49</v>
      </c>
      <c r="I32" s="210">
        <v>0</v>
      </c>
      <c r="J32" s="46">
        <f t="shared" si="1"/>
        <v>0</v>
      </c>
      <c r="K32" s="47">
        <v>0</v>
      </c>
      <c r="L32" s="48">
        <v>0</v>
      </c>
      <c r="M32" s="49">
        <v>0</v>
      </c>
      <c r="N32" s="50">
        <f t="shared" si="2"/>
        <v>0</v>
      </c>
      <c r="O32" s="198">
        <v>343</v>
      </c>
      <c r="P32" s="52">
        <f t="shared" si="3"/>
        <v>14.291666666666666</v>
      </c>
      <c r="Q32" s="294">
        <v>8</v>
      </c>
      <c r="R32" s="53">
        <v>4</v>
      </c>
      <c r="S32" s="54">
        <v>336</v>
      </c>
      <c r="T32" s="223">
        <v>480</v>
      </c>
      <c r="U32" s="55">
        <f t="shared" si="7"/>
        <v>1403</v>
      </c>
      <c r="V32" s="231">
        <f t="shared" si="4"/>
        <v>58.458333333333336</v>
      </c>
      <c r="W32" s="236">
        <v>2</v>
      </c>
      <c r="X32" s="65">
        <v>0.67</v>
      </c>
      <c r="Y32" s="66">
        <v>24</v>
      </c>
      <c r="Z32" s="6"/>
      <c r="AA32" s="348" t="s">
        <v>349</v>
      </c>
      <c r="AB32" s="348"/>
      <c r="AC32" s="348"/>
      <c r="AD32" s="349"/>
      <c r="AE32" s="350"/>
      <c r="AF32" s="351"/>
      <c r="AG32" s="351"/>
      <c r="AH32" s="352"/>
      <c r="AI32" s="58">
        <v>660</v>
      </c>
      <c r="AJ32" s="58">
        <v>780</v>
      </c>
      <c r="AK32" s="59">
        <v>66</v>
      </c>
      <c r="AL32" s="60">
        <f t="shared" si="5"/>
        <v>2.75</v>
      </c>
      <c r="AM32" s="6">
        <v>570</v>
      </c>
      <c r="AO32" s="61"/>
      <c r="AP32" s="61">
        <f t="shared" si="6"/>
        <v>336</v>
      </c>
      <c r="AQ32"/>
    </row>
    <row r="33" spans="1:43" x14ac:dyDescent="0.3">
      <c r="A33" s="62">
        <v>27</v>
      </c>
      <c r="B33" s="67">
        <v>1391</v>
      </c>
      <c r="C33" s="42">
        <f t="shared" si="0"/>
        <v>57.958333333333336</v>
      </c>
      <c r="D33" s="293">
        <v>974</v>
      </c>
      <c r="E33" s="44">
        <v>553</v>
      </c>
      <c r="F33" s="19">
        <v>1527</v>
      </c>
      <c r="G33" s="20">
        <v>204</v>
      </c>
      <c r="H33" s="216">
        <v>80</v>
      </c>
      <c r="I33" s="210">
        <v>0</v>
      </c>
      <c r="J33" s="46">
        <f t="shared" si="1"/>
        <v>0</v>
      </c>
      <c r="K33" s="47">
        <v>0</v>
      </c>
      <c r="L33" s="48">
        <v>0</v>
      </c>
      <c r="M33" s="49">
        <v>0</v>
      </c>
      <c r="N33" s="50">
        <f t="shared" si="2"/>
        <v>0</v>
      </c>
      <c r="O33" s="198">
        <v>362</v>
      </c>
      <c r="P33" s="52">
        <f t="shared" si="3"/>
        <v>15.083333333333334</v>
      </c>
      <c r="Q33" s="294">
        <v>0</v>
      </c>
      <c r="R33" s="53">
        <v>0</v>
      </c>
      <c r="S33" s="54">
        <v>346</v>
      </c>
      <c r="T33" s="223">
        <v>516</v>
      </c>
      <c r="U33" s="55">
        <f t="shared" si="7"/>
        <v>2099</v>
      </c>
      <c r="V33" s="231">
        <f t="shared" si="4"/>
        <v>87.458333333333329</v>
      </c>
      <c r="W33" s="236">
        <v>0</v>
      </c>
      <c r="X33" s="65">
        <v>0</v>
      </c>
      <c r="Y33" s="66">
        <v>24</v>
      </c>
      <c r="Z33" s="6"/>
      <c r="AA33" s="348" t="s">
        <v>350</v>
      </c>
      <c r="AB33" s="348"/>
      <c r="AC33" s="348"/>
      <c r="AD33" s="349"/>
      <c r="AE33" s="350"/>
      <c r="AF33" s="351"/>
      <c r="AG33" s="351"/>
      <c r="AH33" s="352"/>
      <c r="AI33" s="58"/>
      <c r="AJ33" s="58"/>
      <c r="AK33" s="59">
        <v>183</v>
      </c>
      <c r="AL33" s="60">
        <f t="shared" si="5"/>
        <v>7.625</v>
      </c>
      <c r="AM33" s="6">
        <v>1440</v>
      </c>
      <c r="AO33" s="61"/>
      <c r="AP33" s="61">
        <f t="shared" si="6"/>
        <v>346</v>
      </c>
      <c r="AQ33"/>
    </row>
    <row r="34" spans="1:43" x14ac:dyDescent="0.3">
      <c r="A34" s="62">
        <v>28</v>
      </c>
      <c r="B34" s="67">
        <v>1412</v>
      </c>
      <c r="C34" s="42">
        <f t="shared" si="0"/>
        <v>58.833333333333336</v>
      </c>
      <c r="D34" s="293">
        <v>988</v>
      </c>
      <c r="E34" s="44">
        <v>567</v>
      </c>
      <c r="F34" s="19">
        <v>1555</v>
      </c>
      <c r="G34" s="20">
        <v>217</v>
      </c>
      <c r="H34" s="216">
        <v>81</v>
      </c>
      <c r="I34" s="210">
        <v>0</v>
      </c>
      <c r="J34" s="46">
        <f t="shared" si="1"/>
        <v>0</v>
      </c>
      <c r="K34" s="47">
        <v>0</v>
      </c>
      <c r="L34" s="48">
        <v>0</v>
      </c>
      <c r="M34" s="49">
        <v>0</v>
      </c>
      <c r="N34" s="50">
        <f t="shared" si="2"/>
        <v>0</v>
      </c>
      <c r="O34" s="198">
        <v>351</v>
      </c>
      <c r="P34" s="52">
        <f t="shared" si="3"/>
        <v>14.625</v>
      </c>
      <c r="Q34" s="294">
        <v>0</v>
      </c>
      <c r="R34" s="53">
        <v>0</v>
      </c>
      <c r="S34" s="54">
        <v>341</v>
      </c>
      <c r="T34" s="223">
        <v>499</v>
      </c>
      <c r="U34" s="55">
        <f t="shared" si="7"/>
        <v>2104</v>
      </c>
      <c r="V34" s="231">
        <f t="shared" si="4"/>
        <v>87.666666666666671</v>
      </c>
      <c r="W34" s="236">
        <v>0</v>
      </c>
      <c r="X34" s="65">
        <v>0</v>
      </c>
      <c r="Y34" s="66">
        <v>24</v>
      </c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>
        <v>188</v>
      </c>
      <c r="AL34" s="60">
        <f t="shared" si="5"/>
        <v>7.833333333333333</v>
      </c>
      <c r="AM34" s="6">
        <v>1440</v>
      </c>
      <c r="AO34" s="61"/>
      <c r="AP34" s="61">
        <f t="shared" si="6"/>
        <v>341</v>
      </c>
      <c r="AQ34"/>
    </row>
    <row r="35" spans="1:43" x14ac:dyDescent="0.3">
      <c r="A35" s="62">
        <v>29</v>
      </c>
      <c r="B35" s="67">
        <v>1346</v>
      </c>
      <c r="C35" s="42">
        <f t="shared" si="0"/>
        <v>56.083333333333336</v>
      </c>
      <c r="D35" s="293">
        <v>942</v>
      </c>
      <c r="E35" s="44">
        <v>537</v>
      </c>
      <c r="F35" s="19">
        <v>1479</v>
      </c>
      <c r="G35" s="20">
        <v>208</v>
      </c>
      <c r="H35" s="216">
        <v>81</v>
      </c>
      <c r="I35" s="210">
        <v>0</v>
      </c>
      <c r="J35" s="46">
        <f t="shared" si="1"/>
        <v>0</v>
      </c>
      <c r="K35" s="47">
        <v>0</v>
      </c>
      <c r="L35" s="48">
        <v>0</v>
      </c>
      <c r="M35" s="49">
        <v>0</v>
      </c>
      <c r="N35" s="50">
        <f t="shared" si="2"/>
        <v>0</v>
      </c>
      <c r="O35" s="198">
        <v>350</v>
      </c>
      <c r="P35" s="52">
        <f t="shared" si="3"/>
        <v>14.583333333333334</v>
      </c>
      <c r="Q35" s="294">
        <v>0</v>
      </c>
      <c r="R35" s="53">
        <v>0</v>
      </c>
      <c r="S35" s="54">
        <v>264</v>
      </c>
      <c r="T35" s="223">
        <v>491</v>
      </c>
      <c r="U35" s="55">
        <f t="shared" si="7"/>
        <v>1960</v>
      </c>
      <c r="V35" s="231">
        <f t="shared" si="4"/>
        <v>81.666666666666671</v>
      </c>
      <c r="W35" s="236">
        <v>0</v>
      </c>
      <c r="X35" s="65">
        <v>0</v>
      </c>
      <c r="Y35" s="66">
        <v>24</v>
      </c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>
        <v>138</v>
      </c>
      <c r="AL35" s="60">
        <f t="shared" si="5"/>
        <v>5.75</v>
      </c>
      <c r="AM35" s="6">
        <v>1440</v>
      </c>
      <c r="AO35" s="61"/>
      <c r="AP35" s="61">
        <f t="shared" si="6"/>
        <v>264</v>
      </c>
      <c r="AQ35"/>
    </row>
    <row r="36" spans="1:43" x14ac:dyDescent="0.3">
      <c r="A36" s="62">
        <v>30</v>
      </c>
      <c r="B36" s="67">
        <v>1337</v>
      </c>
      <c r="C36" s="42">
        <f t="shared" si="0"/>
        <v>55.708333333333336</v>
      </c>
      <c r="D36" s="293">
        <v>936</v>
      </c>
      <c r="E36" s="44">
        <v>529</v>
      </c>
      <c r="F36" s="19">
        <v>1465</v>
      </c>
      <c r="G36" s="20">
        <v>276</v>
      </c>
      <c r="H36" s="216">
        <v>80</v>
      </c>
      <c r="I36" s="210">
        <v>0</v>
      </c>
      <c r="J36" s="46">
        <f t="shared" si="1"/>
        <v>0</v>
      </c>
      <c r="K36" s="47">
        <v>0</v>
      </c>
      <c r="L36" s="48">
        <v>0</v>
      </c>
      <c r="M36" s="49">
        <v>0</v>
      </c>
      <c r="N36" s="50">
        <f t="shared" si="2"/>
        <v>0</v>
      </c>
      <c r="O36" s="198">
        <v>346</v>
      </c>
      <c r="P36" s="52">
        <f t="shared" si="3"/>
        <v>14.416666666666666</v>
      </c>
      <c r="Q36" s="294">
        <v>0</v>
      </c>
      <c r="R36" s="53">
        <v>0</v>
      </c>
      <c r="S36" s="54">
        <v>236</v>
      </c>
      <c r="T36" s="223">
        <v>482</v>
      </c>
      <c r="U36" s="55">
        <f t="shared" si="7"/>
        <v>1919</v>
      </c>
      <c r="V36" s="231">
        <f t="shared" si="4"/>
        <v>79.958333333333329</v>
      </c>
      <c r="W36" s="236">
        <v>0</v>
      </c>
      <c r="X36" s="65">
        <v>0</v>
      </c>
      <c r="Y36" s="66">
        <v>24</v>
      </c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>
        <v>132</v>
      </c>
      <c r="AL36" s="60">
        <f t="shared" si="5"/>
        <v>5.5</v>
      </c>
      <c r="AM36" s="6">
        <v>1440</v>
      </c>
      <c r="AO36" s="61"/>
      <c r="AP36" s="61">
        <f t="shared" si="6"/>
        <v>236</v>
      </c>
      <c r="AQ36"/>
    </row>
    <row r="37" spans="1:43" ht="17.25" thickBot="1" x14ac:dyDescent="0.35">
      <c r="A37" s="62">
        <v>31</v>
      </c>
      <c r="B37" s="67"/>
      <c r="C37" s="42">
        <f t="shared" si="0"/>
        <v>0</v>
      </c>
      <c r="D37" s="76"/>
      <c r="E37" s="44"/>
      <c r="F37" s="77"/>
      <c r="G37" s="78"/>
      <c r="H37" s="220"/>
      <c r="I37" s="210">
        <v>0</v>
      </c>
      <c r="J37" s="46">
        <f t="shared" si="1"/>
        <v>0</v>
      </c>
      <c r="K37" s="47">
        <v>0</v>
      </c>
      <c r="L37" s="48">
        <v>0</v>
      </c>
      <c r="M37" s="49">
        <v>0</v>
      </c>
      <c r="N37" s="50">
        <f t="shared" si="2"/>
        <v>0</v>
      </c>
      <c r="O37" s="199"/>
      <c r="P37" s="81">
        <f t="shared" si="3"/>
        <v>0</v>
      </c>
      <c r="Q37" s="227"/>
      <c r="R37" s="82"/>
      <c r="S37" s="54"/>
      <c r="T37" s="223"/>
      <c r="U37" s="55">
        <f t="shared" si="7"/>
        <v>0</v>
      </c>
      <c r="V37" s="232">
        <f t="shared" si="4"/>
        <v>0</v>
      </c>
      <c r="W37" s="237"/>
      <c r="X37" s="83"/>
      <c r="Y37" s="84"/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/>
      <c r="AL37" s="60">
        <f t="shared" si="5"/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33250</v>
      </c>
      <c r="C38" s="88">
        <f t="shared" si="8"/>
        <v>1385.4166666666663</v>
      </c>
      <c r="D38" s="89">
        <f t="shared" si="8"/>
        <v>23274</v>
      </c>
      <c r="E38" s="89">
        <f t="shared" si="8"/>
        <v>14293</v>
      </c>
      <c r="F38" s="89">
        <f t="shared" si="8"/>
        <v>37566</v>
      </c>
      <c r="G38" s="90">
        <f t="shared" si="8"/>
        <v>6640</v>
      </c>
      <c r="H38" s="221">
        <f t="shared" si="8"/>
        <v>1866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9765</v>
      </c>
      <c r="P38" s="93"/>
      <c r="Q38" s="212">
        <f>SUM(Q7:Q37)</f>
        <v>427</v>
      </c>
      <c r="R38" s="87">
        <f>SUM(R7:R37)</f>
        <v>1314</v>
      </c>
      <c r="S38" s="87">
        <f>SUM(S7:S37)</f>
        <v>6690</v>
      </c>
      <c r="T38" s="87">
        <f>SUM(T7:T37)</f>
        <v>9290</v>
      </c>
      <c r="U38" s="94">
        <f>SUM(U7:U37)</f>
        <v>51446</v>
      </c>
      <c r="V38" s="207"/>
      <c r="W38" s="238">
        <f>SUM(W7:W37)</f>
        <v>82.82</v>
      </c>
      <c r="X38" s="89">
        <f>SUM(X7:X37)</f>
        <v>85.99</v>
      </c>
      <c r="Y38" s="91">
        <f>SUM(Y7:Y37)</f>
        <v>466.16999999999996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78.75</v>
      </c>
      <c r="AJ38" s="242">
        <f>SUM(AJ7:AJ37)/60</f>
        <v>292.75</v>
      </c>
      <c r="AK38" s="245">
        <f>SUM(AK7:AK37)</f>
        <v>3657</v>
      </c>
      <c r="AL38" s="97">
        <f>SUM(AL7:AL37)/60</f>
        <v>2.5395833333333333</v>
      </c>
      <c r="AM38" s="240">
        <f>SUM(AM7:AM37)/60</f>
        <v>585.5</v>
      </c>
      <c r="AP38"/>
      <c r="AQ38"/>
    </row>
    <row r="39" spans="1:43" ht="17.25" thickBot="1" x14ac:dyDescent="0.35">
      <c r="A39" s="98" t="s">
        <v>37</v>
      </c>
      <c r="B39" s="99">
        <f>AVERAGE(B7:B37)</f>
        <v>1108.3333333333333</v>
      </c>
      <c r="C39" s="100">
        <f>B39/24</f>
        <v>46.18055555555555</v>
      </c>
      <c r="D39" s="101">
        <f t="shared" ref="D39:I39" si="9">AVERAGE(D7:D37)</f>
        <v>775.8</v>
      </c>
      <c r="E39" s="101">
        <f t="shared" si="9"/>
        <v>476.43333333333334</v>
      </c>
      <c r="F39" s="101">
        <f t="shared" si="9"/>
        <v>1252.2</v>
      </c>
      <c r="G39" s="208">
        <f t="shared" si="9"/>
        <v>221.33333333333334</v>
      </c>
      <c r="H39" s="102">
        <f t="shared" si="9"/>
        <v>62.2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325.5</v>
      </c>
      <c r="P39" s="229">
        <f>O39/24</f>
        <v>13.5625</v>
      </c>
      <c r="Q39" s="228">
        <f>AVERAGE(Q7:Q37)</f>
        <v>14.233333333333333</v>
      </c>
      <c r="R39" s="106">
        <f>AVERAGE(R7:R37)</f>
        <v>43.8</v>
      </c>
      <c r="S39" s="102">
        <f>AVERAGE(S7:S37)</f>
        <v>223</v>
      </c>
      <c r="T39" s="102">
        <f>AVERAGE(T7:T37)</f>
        <v>309.66666666666669</v>
      </c>
      <c r="U39" s="107">
        <f>AVERAGE(U7:U37)</f>
        <v>1659.5483870967741</v>
      </c>
      <c r="V39" s="233">
        <f>U39/24</f>
        <v>69.147849462365585</v>
      </c>
      <c r="W39" s="105">
        <f>AVERAGE(W7:W37)</f>
        <v>2.7606666666666664</v>
      </c>
      <c r="X39" s="101">
        <f>AVERAGE(X7:X37)</f>
        <v>2.866333333333333</v>
      </c>
      <c r="Y39" s="104">
        <f>AVERAGE(Y7:Y37)</f>
        <v>15.538999999999998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371.5</v>
      </c>
      <c r="AI39" s="354"/>
      <c r="AJ39" s="246">
        <f>AI39/24</f>
        <v>0</v>
      </c>
      <c r="AK39" s="245">
        <f>(AJ38/31)/24</f>
        <v>0.39348118279569894</v>
      </c>
      <c r="AP39"/>
      <c r="AQ39"/>
    </row>
    <row r="40" spans="1:43" ht="17.25" thickBot="1" x14ac:dyDescent="0.35">
      <c r="A40" s="7"/>
      <c r="M40" s="108">
        <f>M38+O38</f>
        <v>9765</v>
      </c>
      <c r="P40" s="109"/>
      <c r="Q40" s="110" t="s">
        <v>39</v>
      </c>
      <c r="R40" s="110">
        <f>Q38+R38</f>
        <v>1741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42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2.4180555555555556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9.2916666666666661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46.18055555555555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13.5625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71.452777777777769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91" t="s">
        <v>50</v>
      </c>
      <c r="E49" s="291" t="s">
        <v>133</v>
      </c>
      <c r="F49" s="140" t="s">
        <v>51</v>
      </c>
      <c r="G49" s="140" t="s">
        <v>52</v>
      </c>
      <c r="H49" s="291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483</v>
      </c>
      <c r="F50" s="148">
        <v>470</v>
      </c>
      <c r="G50" s="148">
        <v>477</v>
      </c>
      <c r="H50" s="148">
        <v>472</v>
      </c>
      <c r="I50" s="148">
        <v>470</v>
      </c>
      <c r="J50" s="148">
        <v>488</v>
      </c>
      <c r="K50" s="148">
        <v>495</v>
      </c>
      <c r="L50" s="148">
        <v>499</v>
      </c>
      <c r="M50" s="148">
        <v>498</v>
      </c>
      <c r="N50" s="148">
        <v>7</v>
      </c>
      <c r="O50" s="148">
        <v>83</v>
      </c>
      <c r="P50" s="148">
        <v>490</v>
      </c>
      <c r="Q50" s="148">
        <v>485</v>
      </c>
      <c r="R50" s="148">
        <v>480</v>
      </c>
      <c r="S50" s="148">
        <v>548</v>
      </c>
      <c r="T50" s="148">
        <v>483</v>
      </c>
      <c r="U50" s="148">
        <v>0</v>
      </c>
      <c r="V50" s="148">
        <v>0</v>
      </c>
      <c r="W50" s="148">
        <v>0</v>
      </c>
      <c r="X50" s="148">
        <v>0</v>
      </c>
      <c r="Y50" s="148">
        <v>0</v>
      </c>
      <c r="Z50" s="148">
        <v>0</v>
      </c>
      <c r="AA50" s="148">
        <v>0</v>
      </c>
      <c r="AB50" s="148">
        <v>0</v>
      </c>
      <c r="AC50" s="148">
        <v>0</v>
      </c>
      <c r="AD50" s="148">
        <v>408</v>
      </c>
      <c r="AE50" s="148">
        <v>528</v>
      </c>
      <c r="AF50" s="148">
        <v>513</v>
      </c>
      <c r="AG50" s="148">
        <v>505</v>
      </c>
      <c r="AH50" s="148">
        <v>503</v>
      </c>
      <c r="AI50" s="148"/>
      <c r="AJ50" s="149">
        <f>SUM(E50:AI50)</f>
        <v>9385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72</v>
      </c>
      <c r="H51" s="148">
        <v>72</v>
      </c>
      <c r="I51" s="148">
        <v>72</v>
      </c>
      <c r="J51" s="148">
        <v>72</v>
      </c>
      <c r="K51" s="148">
        <v>72</v>
      </c>
      <c r="L51" s="148">
        <v>72</v>
      </c>
      <c r="M51" s="148">
        <v>72</v>
      </c>
      <c r="N51" s="148">
        <v>1.5</v>
      </c>
      <c r="O51" s="148">
        <v>11.01</v>
      </c>
      <c r="P51" s="148">
        <v>72</v>
      </c>
      <c r="Q51" s="148">
        <v>72</v>
      </c>
      <c r="R51" s="148">
        <v>72</v>
      </c>
      <c r="S51" s="148">
        <v>72</v>
      </c>
      <c r="T51" s="148">
        <v>72</v>
      </c>
      <c r="U51" s="148">
        <v>0</v>
      </c>
      <c r="V51" s="148">
        <v>0</v>
      </c>
      <c r="W51" s="148">
        <v>0</v>
      </c>
      <c r="X51" s="148">
        <v>0</v>
      </c>
      <c r="Y51" s="148">
        <v>0</v>
      </c>
      <c r="Z51" s="148">
        <v>0</v>
      </c>
      <c r="AA51" s="148">
        <v>0</v>
      </c>
      <c r="AB51" s="148">
        <v>0</v>
      </c>
      <c r="AC51" s="148">
        <v>18</v>
      </c>
      <c r="AD51" s="148">
        <v>72</v>
      </c>
      <c r="AE51" s="148">
        <v>72</v>
      </c>
      <c r="AF51" s="148">
        <v>72</v>
      </c>
      <c r="AG51" s="148">
        <v>72</v>
      </c>
      <c r="AH51" s="148">
        <v>72</v>
      </c>
      <c r="AI51" s="148">
        <v>0</v>
      </c>
      <c r="AJ51" s="149">
        <f>SUM(E51:AI51)</f>
        <v>1398.51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269</v>
      </c>
      <c r="F52" s="148">
        <f>$S8</f>
        <v>264</v>
      </c>
      <c r="G52" s="148">
        <f>$S9</f>
        <v>321</v>
      </c>
      <c r="H52" s="148">
        <f>$S10</f>
        <v>371</v>
      </c>
      <c r="I52" s="148">
        <f>$S11</f>
        <v>392</v>
      </c>
      <c r="J52" s="148">
        <f>$S12</f>
        <v>406</v>
      </c>
      <c r="K52" s="148">
        <f>$S13</f>
        <v>406</v>
      </c>
      <c r="L52" s="148">
        <f>$S14</f>
        <v>403</v>
      </c>
      <c r="M52" s="148">
        <f>$S15</f>
        <v>403</v>
      </c>
      <c r="N52" s="148">
        <f>$S16</f>
        <v>1</v>
      </c>
      <c r="O52" s="148">
        <f>$S17</f>
        <v>38</v>
      </c>
      <c r="P52" s="148">
        <f>$S18</f>
        <v>360</v>
      </c>
      <c r="Q52" s="148">
        <f>$S19</f>
        <v>348</v>
      </c>
      <c r="R52" s="148">
        <f>$S20</f>
        <v>343</v>
      </c>
      <c r="S52" s="148">
        <f>$S21</f>
        <v>457</v>
      </c>
      <c r="T52" s="148">
        <f>$S22</f>
        <v>335</v>
      </c>
      <c r="U52" s="148">
        <f>$S23</f>
        <v>0</v>
      </c>
      <c r="V52" s="148">
        <f>$S24</f>
        <v>0</v>
      </c>
      <c r="W52" s="148">
        <f>$S25</f>
        <v>0</v>
      </c>
      <c r="X52" s="148">
        <f>$S26</f>
        <v>0</v>
      </c>
      <c r="Y52" s="148">
        <f>$S27</f>
        <v>0</v>
      </c>
      <c r="Z52" s="148">
        <f>$S28</f>
        <v>0</v>
      </c>
      <c r="AA52" s="148">
        <f>$S29</f>
        <v>0</v>
      </c>
      <c r="AB52" s="148">
        <f>$S30</f>
        <v>0</v>
      </c>
      <c r="AC52" s="148">
        <f>$S31</f>
        <v>50</v>
      </c>
      <c r="AD52" s="148">
        <f>$S32</f>
        <v>336</v>
      </c>
      <c r="AE52" s="148">
        <f>$S33</f>
        <v>346</v>
      </c>
      <c r="AF52" s="148">
        <f>$S34</f>
        <v>341</v>
      </c>
      <c r="AG52" s="148">
        <f>$S35</f>
        <v>264</v>
      </c>
      <c r="AH52" s="148">
        <f>$S36</f>
        <v>236</v>
      </c>
      <c r="AI52" s="148">
        <f>$S37</f>
        <v>0</v>
      </c>
      <c r="AJ52" s="154">
        <f>SUM(E52:AI52)</f>
        <v>6690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142</v>
      </c>
      <c r="F53" s="157">
        <f t="shared" si="10"/>
        <v>134</v>
      </c>
      <c r="G53" s="157">
        <f t="shared" si="10"/>
        <v>84</v>
      </c>
      <c r="H53" s="157">
        <f t="shared" si="10"/>
        <v>29</v>
      </c>
      <c r="I53" s="157">
        <f t="shared" si="10"/>
        <v>6</v>
      </c>
      <c r="J53" s="157">
        <f t="shared" si="10"/>
        <v>10</v>
      </c>
      <c r="K53" s="157">
        <f t="shared" si="10"/>
        <v>17</v>
      </c>
      <c r="L53" s="157">
        <f t="shared" si="10"/>
        <v>24</v>
      </c>
      <c r="M53" s="157">
        <f t="shared" si="10"/>
        <v>23</v>
      </c>
      <c r="N53" s="157">
        <f t="shared" si="10"/>
        <v>4.5</v>
      </c>
      <c r="O53" s="157">
        <f t="shared" si="10"/>
        <v>33.989999999999995</v>
      </c>
      <c r="P53" s="157">
        <f t="shared" si="10"/>
        <v>58</v>
      </c>
      <c r="Q53" s="157">
        <f t="shared" si="10"/>
        <v>65</v>
      </c>
      <c r="R53" s="157">
        <f t="shared" si="10"/>
        <v>65</v>
      </c>
      <c r="S53" s="157">
        <f t="shared" si="10"/>
        <v>19</v>
      </c>
      <c r="T53" s="157">
        <f t="shared" si="10"/>
        <v>76</v>
      </c>
      <c r="U53" s="157">
        <f t="shared" si="10"/>
        <v>0</v>
      </c>
      <c r="V53" s="157">
        <f t="shared" si="10"/>
        <v>0</v>
      </c>
      <c r="W53" s="157">
        <f t="shared" si="10"/>
        <v>0</v>
      </c>
      <c r="X53" s="157">
        <f t="shared" si="10"/>
        <v>0</v>
      </c>
      <c r="Y53" s="157">
        <f t="shared" si="10"/>
        <v>0</v>
      </c>
      <c r="Z53" s="157">
        <f t="shared" si="10"/>
        <v>0</v>
      </c>
      <c r="AA53" s="157">
        <f t="shared" si="10"/>
        <v>0</v>
      </c>
      <c r="AB53" s="157">
        <f t="shared" si="10"/>
        <v>0</v>
      </c>
      <c r="AC53" s="157">
        <f t="shared" si="10"/>
        <v>0</v>
      </c>
      <c r="AD53" s="157">
        <f t="shared" si="10"/>
        <v>0</v>
      </c>
      <c r="AE53" s="157">
        <f t="shared" si="10"/>
        <v>110</v>
      </c>
      <c r="AF53" s="157">
        <f t="shared" si="10"/>
        <v>100</v>
      </c>
      <c r="AG53" s="157">
        <f t="shared" si="10"/>
        <v>169</v>
      </c>
      <c r="AH53" s="157">
        <f t="shared" si="10"/>
        <v>195</v>
      </c>
      <c r="AI53" s="157">
        <f t="shared" si="10"/>
        <v>0</v>
      </c>
      <c r="AJ53" s="154">
        <f>SUM(E53:AI53)</f>
        <v>1364.49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2414</v>
      </c>
      <c r="F54" s="160">
        <f t="shared" si="11"/>
        <v>2278</v>
      </c>
      <c r="G54" s="160">
        <f t="shared" si="11"/>
        <v>1428</v>
      </c>
      <c r="H54" s="160">
        <f t="shared" si="11"/>
        <v>493</v>
      </c>
      <c r="I54" s="160">
        <f t="shared" si="11"/>
        <v>102</v>
      </c>
      <c r="J54" s="160">
        <f t="shared" si="11"/>
        <v>170</v>
      </c>
      <c r="K54" s="160">
        <f t="shared" si="11"/>
        <v>289</v>
      </c>
      <c r="L54" s="160">
        <f t="shared" si="11"/>
        <v>408</v>
      </c>
      <c r="M54" s="160">
        <f t="shared" si="11"/>
        <v>391</v>
      </c>
      <c r="N54" s="160">
        <f t="shared" si="11"/>
        <v>76.5</v>
      </c>
      <c r="O54" s="160">
        <f t="shared" si="11"/>
        <v>577.82999999999993</v>
      </c>
      <c r="P54" s="160">
        <f t="shared" si="11"/>
        <v>986</v>
      </c>
      <c r="Q54" s="160">
        <f t="shared" si="11"/>
        <v>1105</v>
      </c>
      <c r="R54" s="160">
        <f t="shared" si="11"/>
        <v>1105</v>
      </c>
      <c r="S54" s="160">
        <f t="shared" si="11"/>
        <v>323</v>
      </c>
      <c r="T54" s="160">
        <f t="shared" si="11"/>
        <v>1292</v>
      </c>
      <c r="U54" s="160" t="str">
        <f t="shared" si="11"/>
        <v xml:space="preserve"> </v>
      </c>
      <c r="V54" s="160" t="str">
        <f t="shared" si="11"/>
        <v xml:space="preserve"> </v>
      </c>
      <c r="W54" s="160" t="str">
        <f t="shared" si="11"/>
        <v xml:space="preserve"> </v>
      </c>
      <c r="X54" s="160" t="str">
        <f t="shared" si="11"/>
        <v xml:space="preserve"> </v>
      </c>
      <c r="Y54" s="160" t="str">
        <f t="shared" si="11"/>
        <v xml:space="preserve"> </v>
      </c>
      <c r="Z54" s="160" t="str">
        <f t="shared" si="11"/>
        <v xml:space="preserve"> </v>
      </c>
      <c r="AA54" s="160" t="str">
        <f t="shared" si="11"/>
        <v xml:space="preserve"> </v>
      </c>
      <c r="AB54" s="160" t="str">
        <f t="shared" si="11"/>
        <v xml:space="preserve"> </v>
      </c>
      <c r="AC54" s="160" t="str">
        <f t="shared" si="11"/>
        <v xml:space="preserve"> </v>
      </c>
      <c r="AD54" s="160" t="str">
        <f t="shared" si="11"/>
        <v xml:space="preserve"> </v>
      </c>
      <c r="AE54" s="160">
        <f t="shared" si="11"/>
        <v>1870</v>
      </c>
      <c r="AF54" s="160">
        <f t="shared" si="11"/>
        <v>1700</v>
      </c>
      <c r="AG54" s="160">
        <f t="shared" si="11"/>
        <v>2873</v>
      </c>
      <c r="AH54" s="160">
        <f t="shared" si="11"/>
        <v>3315</v>
      </c>
      <c r="AI54" s="160" t="str">
        <f t="shared" si="11"/>
        <v xml:space="preserve"> </v>
      </c>
      <c r="AJ54" s="161">
        <f>SUM(E54:AI54)</f>
        <v>23196.33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45967</v>
      </c>
      <c r="B58" s="312" t="s">
        <v>336</v>
      </c>
      <c r="C58" s="312"/>
      <c r="D58" s="306" t="s">
        <v>337</v>
      </c>
      <c r="E58" s="307"/>
      <c r="F58" s="307"/>
      <c r="G58" s="307"/>
      <c r="H58" s="307"/>
      <c r="I58" s="307"/>
      <c r="J58" s="169">
        <v>30</v>
      </c>
      <c r="K58" s="169">
        <v>21</v>
      </c>
      <c r="L58" s="170">
        <v>165</v>
      </c>
      <c r="M58" s="171">
        <f t="shared" ref="M58:M83" si="12">J58-K58</f>
        <v>9</v>
      </c>
      <c r="N58" s="172">
        <f t="shared" ref="N58:N83" si="13">M58/60</f>
        <v>0.15</v>
      </c>
      <c r="O58" s="173">
        <f t="shared" ref="O58:O83" si="14">L58*N58</f>
        <v>24.75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45982</v>
      </c>
      <c r="B59" s="312" t="s">
        <v>344</v>
      </c>
      <c r="C59" s="312"/>
      <c r="D59" s="306" t="s">
        <v>345</v>
      </c>
      <c r="E59" s="307"/>
      <c r="F59" s="307"/>
      <c r="G59" s="307"/>
      <c r="H59" s="307"/>
      <c r="I59" s="307"/>
      <c r="J59" s="169">
        <v>60</v>
      </c>
      <c r="K59" s="169">
        <v>43</v>
      </c>
      <c r="L59" s="170">
        <v>275</v>
      </c>
      <c r="M59" s="171">
        <f t="shared" si="12"/>
        <v>17</v>
      </c>
      <c r="N59" s="172">
        <f t="shared" si="13"/>
        <v>0.28333333333333333</v>
      </c>
      <c r="O59" s="173">
        <f t="shared" si="14"/>
        <v>77.916666666666671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>
        <v>45985</v>
      </c>
      <c r="B60" s="312" t="s">
        <v>346</v>
      </c>
      <c r="C60" s="312"/>
      <c r="D60" s="306" t="s">
        <v>347</v>
      </c>
      <c r="E60" s="307"/>
      <c r="F60" s="307"/>
      <c r="G60" s="307"/>
      <c r="H60" s="307"/>
      <c r="I60" s="307"/>
      <c r="J60" s="169">
        <v>60</v>
      </c>
      <c r="K60" s="169">
        <v>49</v>
      </c>
      <c r="L60" s="170">
        <v>60</v>
      </c>
      <c r="M60" s="171">
        <f t="shared" si="12"/>
        <v>11</v>
      </c>
      <c r="N60" s="172">
        <f t="shared" si="13"/>
        <v>0.18333333333333332</v>
      </c>
      <c r="O60" s="173">
        <f t="shared" si="14"/>
        <v>11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>
        <v>45988</v>
      </c>
      <c r="B61" s="313" t="s">
        <v>351</v>
      </c>
      <c r="C61" s="314"/>
      <c r="D61" s="306" t="s">
        <v>352</v>
      </c>
      <c r="E61" s="307"/>
      <c r="F61" s="307"/>
      <c r="G61" s="307"/>
      <c r="H61" s="307"/>
      <c r="I61" s="307"/>
      <c r="J61" s="169">
        <v>60</v>
      </c>
      <c r="K61" s="169">
        <v>46</v>
      </c>
      <c r="L61" s="170">
        <v>35</v>
      </c>
      <c r="M61" s="171">
        <f t="shared" si="12"/>
        <v>14</v>
      </c>
      <c r="N61" s="172">
        <f t="shared" si="13"/>
        <v>0.23333333333333334</v>
      </c>
      <c r="O61" s="173">
        <f t="shared" si="14"/>
        <v>8.1666666666666661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92"/>
      <c r="S67" s="292"/>
      <c r="T67" s="292"/>
      <c r="U67" s="292"/>
      <c r="V67" s="292"/>
      <c r="W67" s="292"/>
      <c r="X67" s="292"/>
      <c r="Y67" s="292"/>
      <c r="Z67" s="292"/>
      <c r="AA67" s="292"/>
      <c r="AB67" s="292"/>
      <c r="AC67" s="292"/>
      <c r="AD67" s="292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92"/>
      <c r="S68" s="292"/>
      <c r="T68" s="292"/>
      <c r="U68" s="292"/>
      <c r="V68" s="292"/>
      <c r="W68" s="292"/>
      <c r="X68" s="292"/>
      <c r="Y68" s="292"/>
      <c r="Z68" s="292"/>
      <c r="AA68" s="292"/>
      <c r="AB68" s="292"/>
      <c r="AC68" s="292"/>
      <c r="AD68" s="292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92">
        <f>SUM(Q38:R38)*65</f>
        <v>113165</v>
      </c>
      <c r="S73" s="292"/>
      <c r="T73" s="292"/>
      <c r="U73" s="292"/>
      <c r="V73" s="292"/>
      <c r="W73" s="292"/>
      <c r="X73" s="292"/>
      <c r="Y73" s="292"/>
      <c r="Z73" s="190"/>
      <c r="AA73" s="190"/>
      <c r="AB73" s="58"/>
      <c r="AC73" s="58"/>
      <c r="AD73" s="191">
        <f>SUM(R73:AC73)</f>
        <v>113165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92"/>
      <c r="S74" s="292"/>
      <c r="T74" s="292"/>
      <c r="U74" s="292"/>
      <c r="V74" s="292"/>
      <c r="W74" s="292"/>
      <c r="X74" s="292"/>
      <c r="Y74" s="292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113165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113165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121.83333333333334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tabSelected="1" topLeftCell="A14" zoomScale="90" zoomScaleNormal="90" workbookViewId="0">
      <selection activeCell="H44" sqref="H44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2.625" style="8" customWidth="1"/>
    <col min="29" max="31" width="11.375" style="8" customWidth="1"/>
    <col min="32" max="32" width="10.5" style="8" bestFit="1" customWidth="1"/>
    <col min="33" max="33" width="9.875" style="8" customWidth="1"/>
    <col min="34" max="34" width="9" style="6" customWidth="1"/>
    <col min="35" max="35" width="10.5" style="6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354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95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170</v>
      </c>
      <c r="AI5" s="354"/>
      <c r="AJ5" s="250" t="s">
        <v>169</v>
      </c>
      <c r="AK5" s="249" t="s">
        <v>168</v>
      </c>
      <c r="AL5" s="248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258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173</v>
      </c>
      <c r="AN6" s="7"/>
      <c r="AO6" s="7"/>
      <c r="AP6" s="7"/>
      <c r="AQ6"/>
    </row>
    <row r="7" spans="1:43" x14ac:dyDescent="0.3">
      <c r="A7" s="40">
        <v>1</v>
      </c>
      <c r="B7" s="41">
        <v>1366</v>
      </c>
      <c r="C7" s="214">
        <f t="shared" ref="C7:C37" si="0">B7/24</f>
        <v>56.916666666666664</v>
      </c>
      <c r="D7" s="43">
        <v>956</v>
      </c>
      <c r="E7" s="44">
        <v>640</v>
      </c>
      <c r="F7" s="44">
        <v>1596</v>
      </c>
      <c r="G7" s="45">
        <v>285</v>
      </c>
      <c r="H7" s="218">
        <v>84</v>
      </c>
      <c r="I7" s="210">
        <v>0</v>
      </c>
      <c r="J7" s="46">
        <f t="shared" ref="J7:J37" si="1">I7/24</f>
        <v>0</v>
      </c>
      <c r="K7" s="47">
        <v>0</v>
      </c>
      <c r="L7" s="48">
        <v>0</v>
      </c>
      <c r="M7" s="49">
        <v>0</v>
      </c>
      <c r="N7" s="50">
        <f t="shared" ref="N7:N37" si="2">M7/24</f>
        <v>0</v>
      </c>
      <c r="O7" s="51">
        <v>365</v>
      </c>
      <c r="P7" s="52">
        <f t="shared" ref="P7:P37" si="3">O7/24</f>
        <v>15.208333333333334</v>
      </c>
      <c r="Q7" s="296">
        <v>0</v>
      </c>
      <c r="R7" s="53">
        <v>0</v>
      </c>
      <c r="S7" s="54">
        <v>260</v>
      </c>
      <c r="T7" s="223">
        <v>497</v>
      </c>
      <c r="U7" s="55">
        <f>SUM(B7,I7,M7,O7,Q7,R7,S7)</f>
        <v>1991</v>
      </c>
      <c r="V7" s="231">
        <f t="shared" ref="V7:V37" si="4">U7/24</f>
        <v>82.958333333333329</v>
      </c>
      <c r="W7" s="235">
        <v>0</v>
      </c>
      <c r="X7" s="56">
        <v>0</v>
      </c>
      <c r="Y7" s="57">
        <v>24</v>
      </c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>
        <v>118</v>
      </c>
      <c r="AL7" s="60">
        <f t="shared" ref="AL7:AL37" si="5">AK7/24</f>
        <v>4.916666666666667</v>
      </c>
      <c r="AM7" s="6">
        <v>1440</v>
      </c>
      <c r="AO7" s="61"/>
      <c r="AP7" s="61">
        <f t="shared" ref="AP7:AP37" si="6">S7-AO7</f>
        <v>260</v>
      </c>
      <c r="AQ7"/>
    </row>
    <row r="8" spans="1:43" x14ac:dyDescent="0.3">
      <c r="A8" s="62">
        <v>2</v>
      </c>
      <c r="B8" s="41">
        <v>1413</v>
      </c>
      <c r="C8" s="42">
        <f t="shared" si="0"/>
        <v>58.875</v>
      </c>
      <c r="D8" s="63">
        <v>989</v>
      </c>
      <c r="E8" s="44">
        <v>617</v>
      </c>
      <c r="F8" s="64">
        <v>1606</v>
      </c>
      <c r="G8" s="20">
        <v>326</v>
      </c>
      <c r="H8" s="216">
        <v>87</v>
      </c>
      <c r="I8" s="210">
        <v>0</v>
      </c>
      <c r="J8" s="46">
        <f t="shared" si="1"/>
        <v>0</v>
      </c>
      <c r="K8" s="47">
        <v>0</v>
      </c>
      <c r="L8" s="48">
        <v>0</v>
      </c>
      <c r="M8" s="49">
        <v>0</v>
      </c>
      <c r="N8" s="50">
        <f t="shared" si="2"/>
        <v>0</v>
      </c>
      <c r="O8" s="51">
        <v>361</v>
      </c>
      <c r="P8" s="52">
        <f t="shared" si="3"/>
        <v>15.041666666666666</v>
      </c>
      <c r="Q8" s="296">
        <v>0</v>
      </c>
      <c r="R8" s="53">
        <v>0</v>
      </c>
      <c r="S8" s="54">
        <v>314</v>
      </c>
      <c r="T8" s="223">
        <v>515</v>
      </c>
      <c r="U8" s="55">
        <f>SUM(B8,I8,M8,O8,Q8,R8,S8)</f>
        <v>2088</v>
      </c>
      <c r="V8" s="231">
        <f t="shared" si="4"/>
        <v>87</v>
      </c>
      <c r="W8" s="236">
        <v>0</v>
      </c>
      <c r="X8" s="65">
        <v>0</v>
      </c>
      <c r="Y8" s="66">
        <v>24</v>
      </c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/>
      <c r="AK8" s="59">
        <v>135</v>
      </c>
      <c r="AL8" s="60">
        <f t="shared" si="5"/>
        <v>5.625</v>
      </c>
      <c r="AM8" s="6">
        <v>1440</v>
      </c>
      <c r="AO8" s="61"/>
      <c r="AP8" s="61">
        <f t="shared" si="6"/>
        <v>314</v>
      </c>
      <c r="AQ8"/>
    </row>
    <row r="9" spans="1:43" x14ac:dyDescent="0.3">
      <c r="A9" s="62">
        <v>3</v>
      </c>
      <c r="B9" s="67">
        <v>608</v>
      </c>
      <c r="C9" s="42">
        <f t="shared" si="0"/>
        <v>25.333333333333332</v>
      </c>
      <c r="D9" s="63">
        <v>426</v>
      </c>
      <c r="E9" s="44">
        <v>386</v>
      </c>
      <c r="F9" s="64">
        <v>812</v>
      </c>
      <c r="G9" s="20">
        <v>284</v>
      </c>
      <c r="H9" s="216">
        <v>48</v>
      </c>
      <c r="I9" s="210">
        <v>0</v>
      </c>
      <c r="J9" s="46">
        <f t="shared" si="1"/>
        <v>0</v>
      </c>
      <c r="K9" s="47">
        <v>0</v>
      </c>
      <c r="L9" s="48">
        <v>0</v>
      </c>
      <c r="M9" s="49">
        <v>0</v>
      </c>
      <c r="N9" s="50">
        <f t="shared" si="2"/>
        <v>0</v>
      </c>
      <c r="O9" s="68">
        <v>170</v>
      </c>
      <c r="P9" s="52">
        <f t="shared" si="3"/>
        <v>7.083333333333333</v>
      </c>
      <c r="Q9" s="296">
        <v>58</v>
      </c>
      <c r="R9" s="53">
        <v>1</v>
      </c>
      <c r="S9" s="54">
        <v>265</v>
      </c>
      <c r="T9" s="223">
        <v>313</v>
      </c>
      <c r="U9" s="55">
        <f t="shared" ref="U9:U37" si="7">SUM(B9,I9,M9,O9,Q9,R9,S9)</f>
        <v>1102</v>
      </c>
      <c r="V9" s="231">
        <f t="shared" si="4"/>
        <v>45.916666666666664</v>
      </c>
      <c r="W9" s="236">
        <v>9</v>
      </c>
      <c r="X9" s="65">
        <v>0.67</v>
      </c>
      <c r="Y9" s="66">
        <v>17</v>
      </c>
      <c r="Z9" s="6"/>
      <c r="AA9" s="348" t="s">
        <v>355</v>
      </c>
      <c r="AB9" s="348"/>
      <c r="AC9" s="348"/>
      <c r="AD9" s="348"/>
      <c r="AE9" s="350" t="s">
        <v>356</v>
      </c>
      <c r="AF9" s="351"/>
      <c r="AG9" s="351"/>
      <c r="AH9" s="352"/>
      <c r="AI9" s="58">
        <v>840</v>
      </c>
      <c r="AJ9" s="58">
        <v>840</v>
      </c>
      <c r="AK9" s="59">
        <v>56</v>
      </c>
      <c r="AL9" s="60">
        <f t="shared" si="5"/>
        <v>2.3333333333333335</v>
      </c>
      <c r="AM9" s="6">
        <v>619</v>
      </c>
      <c r="AO9" s="61"/>
      <c r="AP9" s="61">
        <f t="shared" si="6"/>
        <v>265</v>
      </c>
      <c r="AQ9"/>
    </row>
    <row r="10" spans="1:43" x14ac:dyDescent="0.3">
      <c r="A10" s="62">
        <v>4</v>
      </c>
      <c r="B10" s="67">
        <v>859</v>
      </c>
      <c r="C10" s="42">
        <f t="shared" si="0"/>
        <v>35.791666666666664</v>
      </c>
      <c r="D10" s="63">
        <v>601</v>
      </c>
      <c r="E10" s="44">
        <v>334</v>
      </c>
      <c r="F10" s="64">
        <v>935</v>
      </c>
      <c r="G10" s="20">
        <v>366</v>
      </c>
      <c r="H10" s="216">
        <v>54</v>
      </c>
      <c r="I10" s="210">
        <v>0</v>
      </c>
      <c r="J10" s="46">
        <f t="shared" si="1"/>
        <v>0</v>
      </c>
      <c r="K10" s="47">
        <v>0</v>
      </c>
      <c r="L10" s="48">
        <v>0</v>
      </c>
      <c r="M10" s="49">
        <v>0</v>
      </c>
      <c r="N10" s="50">
        <f t="shared" si="2"/>
        <v>0</v>
      </c>
      <c r="O10" s="68">
        <v>321</v>
      </c>
      <c r="P10" s="52">
        <f t="shared" si="3"/>
        <v>13.375</v>
      </c>
      <c r="Q10" s="296">
        <v>90</v>
      </c>
      <c r="R10" s="53">
        <v>274</v>
      </c>
      <c r="S10" s="54">
        <v>407</v>
      </c>
      <c r="T10" s="223">
        <v>521</v>
      </c>
      <c r="U10" s="55">
        <f t="shared" si="7"/>
        <v>1951</v>
      </c>
      <c r="V10" s="231">
        <f t="shared" si="4"/>
        <v>81.291666666666671</v>
      </c>
      <c r="W10" s="236">
        <v>10</v>
      </c>
      <c r="X10" s="65">
        <v>11.67</v>
      </c>
      <c r="Y10" s="66">
        <v>24</v>
      </c>
      <c r="Z10" s="6"/>
      <c r="AA10" s="348" t="s">
        <v>357</v>
      </c>
      <c r="AB10" s="348"/>
      <c r="AC10" s="348"/>
      <c r="AD10" s="348"/>
      <c r="AE10" s="350"/>
      <c r="AF10" s="351"/>
      <c r="AG10" s="351"/>
      <c r="AH10" s="352"/>
      <c r="AI10" s="58">
        <v>470</v>
      </c>
      <c r="AJ10" s="58">
        <v>670</v>
      </c>
      <c r="AK10" s="59">
        <v>97</v>
      </c>
      <c r="AL10" s="60">
        <f t="shared" si="5"/>
        <v>4.041666666666667</v>
      </c>
      <c r="AM10" s="6">
        <v>1200</v>
      </c>
      <c r="AO10" s="61"/>
      <c r="AP10" s="61">
        <f t="shared" si="6"/>
        <v>407</v>
      </c>
      <c r="AQ10"/>
    </row>
    <row r="11" spans="1:43" x14ac:dyDescent="0.3">
      <c r="A11" s="62">
        <v>5</v>
      </c>
      <c r="B11" s="67">
        <v>1657</v>
      </c>
      <c r="C11" s="42">
        <f t="shared" si="0"/>
        <v>69.041666666666671</v>
      </c>
      <c r="D11" s="69">
        <v>1160</v>
      </c>
      <c r="E11" s="44">
        <v>633</v>
      </c>
      <c r="F11" s="70">
        <v>1793</v>
      </c>
      <c r="G11" s="20">
        <v>336</v>
      </c>
      <c r="H11" s="216">
        <v>80</v>
      </c>
      <c r="I11" s="210">
        <v>0</v>
      </c>
      <c r="J11" s="46">
        <f t="shared" si="1"/>
        <v>0</v>
      </c>
      <c r="K11" s="47">
        <v>0</v>
      </c>
      <c r="L11" s="48">
        <v>0</v>
      </c>
      <c r="M11" s="49">
        <v>0</v>
      </c>
      <c r="N11" s="50">
        <f t="shared" si="2"/>
        <v>0</v>
      </c>
      <c r="O11" s="74">
        <v>315</v>
      </c>
      <c r="P11" s="52">
        <f t="shared" si="3"/>
        <v>13.125</v>
      </c>
      <c r="Q11" s="296">
        <v>19</v>
      </c>
      <c r="R11" s="53">
        <v>17</v>
      </c>
      <c r="S11" s="54">
        <v>411</v>
      </c>
      <c r="T11" s="223">
        <v>512</v>
      </c>
      <c r="U11" s="55">
        <f t="shared" si="7"/>
        <v>2419</v>
      </c>
      <c r="V11" s="231">
        <f t="shared" si="4"/>
        <v>100.79166666666667</v>
      </c>
      <c r="W11" s="236">
        <v>4.83</v>
      </c>
      <c r="X11" s="65">
        <v>3.5</v>
      </c>
      <c r="Y11" s="66">
        <v>24</v>
      </c>
      <c r="Z11" s="6"/>
      <c r="AA11" s="348" t="s">
        <v>358</v>
      </c>
      <c r="AB11" s="348"/>
      <c r="AC11" s="348"/>
      <c r="AD11" s="348"/>
      <c r="AE11" s="350"/>
      <c r="AF11" s="351"/>
      <c r="AG11" s="351"/>
      <c r="AH11" s="352"/>
      <c r="AI11" s="58"/>
      <c r="AJ11" s="58"/>
      <c r="AK11" s="59">
        <v>132</v>
      </c>
      <c r="AL11" s="60">
        <f t="shared" si="5"/>
        <v>5.5</v>
      </c>
      <c r="AM11" s="6">
        <v>1440</v>
      </c>
      <c r="AO11" s="61"/>
      <c r="AP11" s="61">
        <f t="shared" si="6"/>
        <v>411</v>
      </c>
      <c r="AQ11"/>
    </row>
    <row r="12" spans="1:43" x14ac:dyDescent="0.3">
      <c r="A12" s="62">
        <v>6</v>
      </c>
      <c r="B12" s="67">
        <v>1482</v>
      </c>
      <c r="C12" s="42">
        <f t="shared" si="0"/>
        <v>61.75</v>
      </c>
      <c r="D12" s="69">
        <v>1037</v>
      </c>
      <c r="E12" s="44">
        <v>619</v>
      </c>
      <c r="F12" s="70">
        <v>1656</v>
      </c>
      <c r="G12" s="75">
        <v>325</v>
      </c>
      <c r="H12" s="219">
        <v>84</v>
      </c>
      <c r="I12" s="210">
        <v>0</v>
      </c>
      <c r="J12" s="46">
        <f t="shared" si="1"/>
        <v>0</v>
      </c>
      <c r="K12" s="47">
        <v>0</v>
      </c>
      <c r="L12" s="48">
        <v>0</v>
      </c>
      <c r="M12" s="49">
        <v>0</v>
      </c>
      <c r="N12" s="50">
        <f t="shared" si="2"/>
        <v>0</v>
      </c>
      <c r="O12" s="74">
        <v>171</v>
      </c>
      <c r="P12" s="52">
        <f t="shared" si="3"/>
        <v>7.125</v>
      </c>
      <c r="Q12" s="296">
        <v>2</v>
      </c>
      <c r="R12" s="53">
        <v>0</v>
      </c>
      <c r="S12" s="54">
        <v>355</v>
      </c>
      <c r="T12" s="223">
        <v>515</v>
      </c>
      <c r="U12" s="55">
        <f t="shared" si="7"/>
        <v>2010</v>
      </c>
      <c r="V12" s="231">
        <f t="shared" si="4"/>
        <v>83.75</v>
      </c>
      <c r="W12" s="236">
        <v>1</v>
      </c>
      <c r="X12" s="65">
        <v>0</v>
      </c>
      <c r="Y12" s="66">
        <v>24</v>
      </c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>
        <v>143</v>
      </c>
      <c r="AL12" s="60">
        <f t="shared" si="5"/>
        <v>5.958333333333333</v>
      </c>
      <c r="AM12" s="6">
        <v>1440</v>
      </c>
      <c r="AO12" s="61"/>
      <c r="AP12" s="61">
        <f t="shared" si="6"/>
        <v>355</v>
      </c>
      <c r="AQ12"/>
    </row>
    <row r="13" spans="1:43" x14ac:dyDescent="0.3">
      <c r="A13" s="62">
        <v>7</v>
      </c>
      <c r="B13" s="67">
        <v>1479</v>
      </c>
      <c r="C13" s="42">
        <f t="shared" si="0"/>
        <v>61.625</v>
      </c>
      <c r="D13" s="69">
        <v>1035</v>
      </c>
      <c r="E13" s="44">
        <v>580</v>
      </c>
      <c r="F13" s="70">
        <v>1615</v>
      </c>
      <c r="G13" s="20">
        <v>345</v>
      </c>
      <c r="H13" s="216">
        <v>77</v>
      </c>
      <c r="I13" s="210">
        <v>0</v>
      </c>
      <c r="J13" s="46">
        <f t="shared" si="1"/>
        <v>0</v>
      </c>
      <c r="K13" s="47">
        <v>0</v>
      </c>
      <c r="L13" s="48">
        <v>0</v>
      </c>
      <c r="M13" s="49">
        <v>0</v>
      </c>
      <c r="N13" s="50">
        <f t="shared" si="2"/>
        <v>0</v>
      </c>
      <c r="O13" s="74">
        <v>0</v>
      </c>
      <c r="P13" s="52">
        <f t="shared" si="3"/>
        <v>0</v>
      </c>
      <c r="Q13" s="296">
        <v>0</v>
      </c>
      <c r="R13" s="53">
        <v>0</v>
      </c>
      <c r="S13" s="54">
        <v>356</v>
      </c>
      <c r="T13" s="223">
        <v>508</v>
      </c>
      <c r="U13" s="55">
        <f t="shared" si="7"/>
        <v>1835</v>
      </c>
      <c r="V13" s="231">
        <f t="shared" si="4"/>
        <v>76.458333333333329</v>
      </c>
      <c r="W13" s="236">
        <v>0</v>
      </c>
      <c r="X13" s="65">
        <v>0</v>
      </c>
      <c r="Y13" s="66">
        <v>24</v>
      </c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>
        <v>150</v>
      </c>
      <c r="AL13" s="60">
        <f t="shared" si="5"/>
        <v>6.25</v>
      </c>
      <c r="AM13" s="6">
        <v>1440</v>
      </c>
      <c r="AO13" s="61"/>
      <c r="AP13" s="61">
        <f t="shared" si="6"/>
        <v>356</v>
      </c>
      <c r="AQ13"/>
    </row>
    <row r="14" spans="1:43" x14ac:dyDescent="0.3">
      <c r="A14" s="62">
        <v>8</v>
      </c>
      <c r="B14" s="67">
        <v>1429</v>
      </c>
      <c r="C14" s="42">
        <f t="shared" si="0"/>
        <v>59.541666666666664</v>
      </c>
      <c r="D14" s="69">
        <v>1000</v>
      </c>
      <c r="E14" s="44">
        <v>603</v>
      </c>
      <c r="F14" s="70">
        <v>1603</v>
      </c>
      <c r="G14" s="20">
        <v>332</v>
      </c>
      <c r="H14" s="216">
        <v>78</v>
      </c>
      <c r="I14" s="210">
        <v>0</v>
      </c>
      <c r="J14" s="46">
        <f t="shared" si="1"/>
        <v>0</v>
      </c>
      <c r="K14" s="47">
        <v>0</v>
      </c>
      <c r="L14" s="48">
        <v>0</v>
      </c>
      <c r="M14" s="49">
        <v>0</v>
      </c>
      <c r="N14" s="50">
        <f t="shared" si="2"/>
        <v>0</v>
      </c>
      <c r="O14" s="74">
        <v>0</v>
      </c>
      <c r="P14" s="52">
        <f t="shared" si="3"/>
        <v>0</v>
      </c>
      <c r="Q14" s="296">
        <v>0</v>
      </c>
      <c r="R14" s="53">
        <v>0</v>
      </c>
      <c r="S14" s="54">
        <v>321</v>
      </c>
      <c r="T14" s="223">
        <v>516</v>
      </c>
      <c r="U14" s="55">
        <f t="shared" si="7"/>
        <v>1750</v>
      </c>
      <c r="V14" s="231">
        <f t="shared" si="4"/>
        <v>72.916666666666671</v>
      </c>
      <c r="W14" s="236">
        <v>0</v>
      </c>
      <c r="X14" s="65">
        <v>0</v>
      </c>
      <c r="Y14" s="66">
        <v>24</v>
      </c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>
        <v>145</v>
      </c>
      <c r="AL14" s="60">
        <f t="shared" si="5"/>
        <v>6.041666666666667</v>
      </c>
      <c r="AM14" s="6">
        <v>1440</v>
      </c>
      <c r="AO14" s="61"/>
      <c r="AP14" s="61">
        <f t="shared" si="6"/>
        <v>321</v>
      </c>
      <c r="AQ14"/>
    </row>
    <row r="15" spans="1:43" x14ac:dyDescent="0.3">
      <c r="A15" s="62">
        <v>9</v>
      </c>
      <c r="B15" s="67">
        <v>1516</v>
      </c>
      <c r="C15" s="42">
        <f t="shared" si="0"/>
        <v>63.166666666666664</v>
      </c>
      <c r="D15" s="69">
        <v>1061</v>
      </c>
      <c r="E15" s="44">
        <v>614</v>
      </c>
      <c r="F15" s="70">
        <v>1675</v>
      </c>
      <c r="G15" s="20">
        <v>317</v>
      </c>
      <c r="H15" s="216">
        <v>83</v>
      </c>
      <c r="I15" s="210">
        <v>0</v>
      </c>
      <c r="J15" s="46">
        <f t="shared" si="1"/>
        <v>0</v>
      </c>
      <c r="K15" s="47">
        <v>0</v>
      </c>
      <c r="L15" s="48">
        <v>0</v>
      </c>
      <c r="M15" s="49">
        <v>0</v>
      </c>
      <c r="N15" s="50">
        <f t="shared" si="2"/>
        <v>0</v>
      </c>
      <c r="O15" s="74">
        <v>0</v>
      </c>
      <c r="P15" s="52">
        <f t="shared" si="3"/>
        <v>0</v>
      </c>
      <c r="Q15" s="296">
        <v>0</v>
      </c>
      <c r="R15" s="53">
        <v>0</v>
      </c>
      <c r="S15" s="54">
        <v>373</v>
      </c>
      <c r="T15" s="223">
        <v>502</v>
      </c>
      <c r="U15" s="55">
        <f t="shared" si="7"/>
        <v>1889</v>
      </c>
      <c r="V15" s="231">
        <f t="shared" si="4"/>
        <v>78.708333333333329</v>
      </c>
      <c r="W15" s="236">
        <v>0</v>
      </c>
      <c r="X15" s="65">
        <v>0</v>
      </c>
      <c r="Y15" s="66">
        <v>24</v>
      </c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>
        <v>131</v>
      </c>
      <c r="AL15" s="60">
        <f t="shared" si="5"/>
        <v>5.458333333333333</v>
      </c>
      <c r="AM15" s="6">
        <v>1440</v>
      </c>
      <c r="AO15" s="61"/>
      <c r="AP15" s="61">
        <f t="shared" si="6"/>
        <v>373</v>
      </c>
      <c r="AQ15"/>
    </row>
    <row r="16" spans="1:43" x14ac:dyDescent="0.3">
      <c r="A16" s="62">
        <v>10</v>
      </c>
      <c r="B16" s="67">
        <v>1483</v>
      </c>
      <c r="C16" s="42">
        <f t="shared" si="0"/>
        <v>61.791666666666664</v>
      </c>
      <c r="D16" s="69">
        <v>1038</v>
      </c>
      <c r="E16" s="44">
        <v>646</v>
      </c>
      <c r="F16" s="70">
        <v>1684</v>
      </c>
      <c r="G16" s="20">
        <v>342</v>
      </c>
      <c r="H16" s="216">
        <v>83</v>
      </c>
      <c r="I16" s="210">
        <v>0</v>
      </c>
      <c r="J16" s="46">
        <f t="shared" si="1"/>
        <v>0</v>
      </c>
      <c r="K16" s="47">
        <v>0</v>
      </c>
      <c r="L16" s="48">
        <v>0</v>
      </c>
      <c r="M16" s="49">
        <v>0</v>
      </c>
      <c r="N16" s="50">
        <f t="shared" si="2"/>
        <v>0</v>
      </c>
      <c r="O16" s="74">
        <v>0</v>
      </c>
      <c r="P16" s="52">
        <f t="shared" si="3"/>
        <v>0</v>
      </c>
      <c r="Q16" s="296">
        <v>0</v>
      </c>
      <c r="R16" s="53">
        <v>0</v>
      </c>
      <c r="S16" s="54">
        <v>360</v>
      </c>
      <c r="T16" s="223">
        <v>502</v>
      </c>
      <c r="U16" s="55">
        <f t="shared" si="7"/>
        <v>1843</v>
      </c>
      <c r="V16" s="231">
        <f t="shared" si="4"/>
        <v>76.791666666666671</v>
      </c>
      <c r="W16" s="236">
        <v>0</v>
      </c>
      <c r="X16" s="65">
        <v>0</v>
      </c>
      <c r="Y16" s="66">
        <v>24</v>
      </c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>
        <v>107</v>
      </c>
      <c r="AL16" s="60">
        <f t="shared" si="5"/>
        <v>4.458333333333333</v>
      </c>
      <c r="AM16" s="6">
        <v>1440</v>
      </c>
      <c r="AO16" s="61"/>
      <c r="AP16" s="61">
        <f t="shared" si="6"/>
        <v>360</v>
      </c>
      <c r="AQ16"/>
    </row>
    <row r="17" spans="1:43" x14ac:dyDescent="0.3">
      <c r="A17" s="62">
        <v>11</v>
      </c>
      <c r="B17" s="67">
        <v>1438</v>
      </c>
      <c r="C17" s="42">
        <f t="shared" si="0"/>
        <v>59.916666666666664</v>
      </c>
      <c r="D17" s="69">
        <v>1007</v>
      </c>
      <c r="E17" s="44">
        <v>676</v>
      </c>
      <c r="F17" s="70">
        <v>1683</v>
      </c>
      <c r="G17" s="20">
        <v>330</v>
      </c>
      <c r="H17" s="216">
        <v>82</v>
      </c>
      <c r="I17" s="210">
        <v>0</v>
      </c>
      <c r="J17" s="46">
        <f t="shared" si="1"/>
        <v>0</v>
      </c>
      <c r="K17" s="47">
        <v>0</v>
      </c>
      <c r="L17" s="48">
        <v>0</v>
      </c>
      <c r="M17" s="49">
        <v>0</v>
      </c>
      <c r="N17" s="50">
        <f t="shared" si="2"/>
        <v>0</v>
      </c>
      <c r="O17" s="74">
        <v>0</v>
      </c>
      <c r="P17" s="52">
        <f t="shared" si="3"/>
        <v>0</v>
      </c>
      <c r="Q17" s="296">
        <v>0</v>
      </c>
      <c r="R17" s="53">
        <v>143</v>
      </c>
      <c r="S17" s="54">
        <v>386</v>
      </c>
      <c r="T17" s="223">
        <v>504</v>
      </c>
      <c r="U17" s="55">
        <f t="shared" si="7"/>
        <v>1967</v>
      </c>
      <c r="V17" s="231">
        <f t="shared" si="4"/>
        <v>81.958333333333329</v>
      </c>
      <c r="W17" s="236">
        <v>0</v>
      </c>
      <c r="X17" s="65">
        <v>5.17</v>
      </c>
      <c r="Y17" s="66">
        <v>24</v>
      </c>
      <c r="Z17" s="6"/>
      <c r="AA17" s="348" t="s">
        <v>363</v>
      </c>
      <c r="AB17" s="348"/>
      <c r="AC17" s="348"/>
      <c r="AD17" s="349"/>
      <c r="AE17" s="350"/>
      <c r="AF17" s="351"/>
      <c r="AG17" s="351"/>
      <c r="AH17" s="352"/>
      <c r="AI17" s="58"/>
      <c r="AJ17" s="58">
        <v>230</v>
      </c>
      <c r="AK17" s="59">
        <v>87</v>
      </c>
      <c r="AL17" s="60">
        <f t="shared" si="5"/>
        <v>3.625</v>
      </c>
      <c r="AM17" s="6">
        <v>1440</v>
      </c>
      <c r="AO17" s="61"/>
      <c r="AP17" s="61">
        <f t="shared" si="6"/>
        <v>386</v>
      </c>
      <c r="AQ17"/>
    </row>
    <row r="18" spans="1:43" x14ac:dyDescent="0.3">
      <c r="A18" s="62">
        <v>12</v>
      </c>
      <c r="B18" s="67">
        <v>723</v>
      </c>
      <c r="C18" s="42">
        <f t="shared" si="0"/>
        <v>30.125</v>
      </c>
      <c r="D18" s="69">
        <v>723</v>
      </c>
      <c r="E18" s="44">
        <v>449</v>
      </c>
      <c r="F18" s="70">
        <v>1172</v>
      </c>
      <c r="G18" s="20">
        <v>334</v>
      </c>
      <c r="H18" s="216">
        <v>65</v>
      </c>
      <c r="I18" s="210">
        <v>0</v>
      </c>
      <c r="J18" s="46">
        <f t="shared" si="1"/>
        <v>0</v>
      </c>
      <c r="K18" s="47">
        <v>0</v>
      </c>
      <c r="L18" s="48">
        <v>0</v>
      </c>
      <c r="M18" s="49">
        <v>0</v>
      </c>
      <c r="N18" s="50">
        <f t="shared" si="2"/>
        <v>0</v>
      </c>
      <c r="O18" s="74">
        <v>143</v>
      </c>
      <c r="P18" s="52">
        <f t="shared" si="3"/>
        <v>5.958333333333333</v>
      </c>
      <c r="Q18" s="296">
        <v>0</v>
      </c>
      <c r="R18" s="53">
        <v>57</v>
      </c>
      <c r="S18" s="54">
        <v>155</v>
      </c>
      <c r="T18" s="223">
        <v>282</v>
      </c>
      <c r="U18" s="55">
        <f t="shared" si="7"/>
        <v>1078</v>
      </c>
      <c r="V18" s="231">
        <f t="shared" si="4"/>
        <v>44.916666666666664</v>
      </c>
      <c r="W18" s="236">
        <v>0</v>
      </c>
      <c r="X18" s="65">
        <v>2</v>
      </c>
      <c r="Y18" s="66">
        <v>10</v>
      </c>
      <c r="Z18" s="6"/>
      <c r="AA18" s="359" t="s">
        <v>364</v>
      </c>
      <c r="AB18" s="348"/>
      <c r="AC18" s="348"/>
      <c r="AD18" s="349"/>
      <c r="AE18" s="350"/>
      <c r="AF18" s="351"/>
      <c r="AG18" s="351"/>
      <c r="AH18" s="352"/>
      <c r="AI18" s="58"/>
      <c r="AJ18" s="58">
        <v>780</v>
      </c>
      <c r="AK18" s="59">
        <v>62</v>
      </c>
      <c r="AL18" s="60">
        <f t="shared" si="5"/>
        <v>2.5833333333333335</v>
      </c>
      <c r="AM18" s="6">
        <v>600</v>
      </c>
      <c r="AO18" s="61"/>
      <c r="AP18" s="61">
        <f t="shared" si="6"/>
        <v>155</v>
      </c>
      <c r="AQ18"/>
    </row>
    <row r="19" spans="1:43" x14ac:dyDescent="0.3">
      <c r="A19" s="62">
        <v>13</v>
      </c>
      <c r="B19" s="67">
        <v>1454</v>
      </c>
      <c r="C19" s="42">
        <f t="shared" si="0"/>
        <v>60.583333333333336</v>
      </c>
      <c r="D19" s="295">
        <v>1018</v>
      </c>
      <c r="E19" s="44">
        <v>612</v>
      </c>
      <c r="F19" s="19">
        <v>1630</v>
      </c>
      <c r="G19" s="20">
        <v>320</v>
      </c>
      <c r="H19" s="216">
        <v>84</v>
      </c>
      <c r="I19" s="210">
        <v>0</v>
      </c>
      <c r="J19" s="46">
        <f t="shared" si="1"/>
        <v>0</v>
      </c>
      <c r="K19" s="47">
        <v>0</v>
      </c>
      <c r="L19" s="48">
        <v>0</v>
      </c>
      <c r="M19" s="49">
        <v>0</v>
      </c>
      <c r="N19" s="50">
        <f t="shared" si="2"/>
        <v>0</v>
      </c>
      <c r="O19" s="68">
        <v>358</v>
      </c>
      <c r="P19" s="52">
        <f t="shared" si="3"/>
        <v>14.916666666666666</v>
      </c>
      <c r="Q19" s="296">
        <v>0</v>
      </c>
      <c r="R19" s="53">
        <v>0</v>
      </c>
      <c r="S19" s="54">
        <v>350</v>
      </c>
      <c r="T19" s="223">
        <v>491</v>
      </c>
      <c r="U19" s="55">
        <f t="shared" si="7"/>
        <v>2162</v>
      </c>
      <c r="V19" s="231">
        <f t="shared" si="4"/>
        <v>90.083333333333329</v>
      </c>
      <c r="W19" s="236">
        <v>0</v>
      </c>
      <c r="X19" s="65">
        <v>0</v>
      </c>
      <c r="Y19" s="66">
        <v>24</v>
      </c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>
        <v>197</v>
      </c>
      <c r="AL19" s="60">
        <f t="shared" si="5"/>
        <v>8.2083333333333339</v>
      </c>
      <c r="AM19" s="6">
        <v>1440</v>
      </c>
      <c r="AO19" s="61"/>
      <c r="AP19" s="61">
        <f>S19-AO19</f>
        <v>350</v>
      </c>
      <c r="AQ19"/>
    </row>
    <row r="20" spans="1:43" x14ac:dyDescent="0.3">
      <c r="A20" s="62">
        <v>14</v>
      </c>
      <c r="B20" s="67">
        <v>1394</v>
      </c>
      <c r="C20" s="42">
        <f t="shared" si="0"/>
        <v>58.083333333333336</v>
      </c>
      <c r="D20" s="295">
        <v>976</v>
      </c>
      <c r="E20" s="44">
        <v>596</v>
      </c>
      <c r="F20" s="19">
        <v>1572</v>
      </c>
      <c r="G20" s="20">
        <v>332</v>
      </c>
      <c r="H20" s="216">
        <v>83</v>
      </c>
      <c r="I20" s="210">
        <v>0</v>
      </c>
      <c r="J20" s="46">
        <f t="shared" si="1"/>
        <v>0</v>
      </c>
      <c r="K20" s="47">
        <v>0</v>
      </c>
      <c r="L20" s="48">
        <v>0</v>
      </c>
      <c r="M20" s="49">
        <v>0</v>
      </c>
      <c r="N20" s="50">
        <f t="shared" si="2"/>
        <v>0</v>
      </c>
      <c r="O20" s="51">
        <v>370</v>
      </c>
      <c r="P20" s="52">
        <f t="shared" si="3"/>
        <v>15.416666666666666</v>
      </c>
      <c r="Q20" s="296">
        <v>0</v>
      </c>
      <c r="R20" s="53">
        <v>0</v>
      </c>
      <c r="S20" s="54">
        <v>335</v>
      </c>
      <c r="T20" s="223">
        <v>446</v>
      </c>
      <c r="U20" s="55">
        <f t="shared" si="7"/>
        <v>2099</v>
      </c>
      <c r="V20" s="231">
        <f t="shared" si="4"/>
        <v>87.458333333333329</v>
      </c>
      <c r="W20" s="236">
        <v>0</v>
      </c>
      <c r="X20" s="65">
        <v>0</v>
      </c>
      <c r="Y20" s="66">
        <v>24</v>
      </c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>
        <v>179</v>
      </c>
      <c r="AL20" s="60">
        <f t="shared" si="5"/>
        <v>7.458333333333333</v>
      </c>
      <c r="AM20" s="6">
        <v>1440</v>
      </c>
      <c r="AO20" s="61"/>
      <c r="AP20" s="61">
        <f t="shared" si="6"/>
        <v>335</v>
      </c>
      <c r="AQ20"/>
    </row>
    <row r="21" spans="1:43" x14ac:dyDescent="0.3">
      <c r="A21" s="62">
        <v>15</v>
      </c>
      <c r="B21" s="67">
        <v>1469</v>
      </c>
      <c r="C21" s="42">
        <f t="shared" si="0"/>
        <v>61.208333333333336</v>
      </c>
      <c r="D21" s="295">
        <v>818</v>
      </c>
      <c r="E21" s="44">
        <v>834</v>
      </c>
      <c r="F21" s="19">
        <v>1652</v>
      </c>
      <c r="G21" s="20">
        <v>440</v>
      </c>
      <c r="H21" s="216">
        <v>85</v>
      </c>
      <c r="I21" s="210">
        <v>0</v>
      </c>
      <c r="J21" s="46">
        <f t="shared" si="1"/>
        <v>0</v>
      </c>
      <c r="K21" s="47">
        <v>0</v>
      </c>
      <c r="L21" s="48">
        <v>0</v>
      </c>
      <c r="M21" s="49">
        <v>0</v>
      </c>
      <c r="N21" s="50">
        <f t="shared" si="2"/>
        <v>0</v>
      </c>
      <c r="O21" s="51">
        <v>367</v>
      </c>
      <c r="P21" s="52">
        <f t="shared" si="3"/>
        <v>15.291666666666666</v>
      </c>
      <c r="Q21" s="296">
        <v>0</v>
      </c>
      <c r="R21" s="53">
        <v>0</v>
      </c>
      <c r="S21" s="54">
        <v>386</v>
      </c>
      <c r="T21" s="223">
        <v>460</v>
      </c>
      <c r="U21" s="55">
        <f t="shared" si="7"/>
        <v>2222</v>
      </c>
      <c r="V21" s="231">
        <f t="shared" si="4"/>
        <v>92.583333333333329</v>
      </c>
      <c r="W21" s="236">
        <v>0</v>
      </c>
      <c r="X21" s="65">
        <v>0</v>
      </c>
      <c r="Y21" s="66">
        <v>24</v>
      </c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>
        <v>176</v>
      </c>
      <c r="AL21" s="60">
        <f t="shared" si="5"/>
        <v>7.333333333333333</v>
      </c>
      <c r="AM21" s="6">
        <v>1440</v>
      </c>
      <c r="AO21" s="61"/>
      <c r="AP21" s="61">
        <f t="shared" si="6"/>
        <v>386</v>
      </c>
      <c r="AQ21"/>
    </row>
    <row r="22" spans="1:43" x14ac:dyDescent="0.3">
      <c r="A22" s="62">
        <v>16</v>
      </c>
      <c r="B22" s="67">
        <v>1423</v>
      </c>
      <c r="C22" s="42">
        <f t="shared" si="0"/>
        <v>59.291666666666664</v>
      </c>
      <c r="D22" s="295">
        <v>996</v>
      </c>
      <c r="E22" s="44">
        <v>651</v>
      </c>
      <c r="F22" s="19">
        <v>1647</v>
      </c>
      <c r="G22" s="20">
        <v>359</v>
      </c>
      <c r="H22" s="216">
        <v>93</v>
      </c>
      <c r="I22" s="210">
        <v>0</v>
      </c>
      <c r="J22" s="46">
        <f t="shared" si="1"/>
        <v>0</v>
      </c>
      <c r="K22" s="47">
        <v>0</v>
      </c>
      <c r="L22" s="48">
        <v>0</v>
      </c>
      <c r="M22" s="49">
        <v>0</v>
      </c>
      <c r="N22" s="50">
        <f t="shared" si="2"/>
        <v>0</v>
      </c>
      <c r="O22" s="68">
        <v>375</v>
      </c>
      <c r="P22" s="52">
        <f t="shared" si="3"/>
        <v>15.625</v>
      </c>
      <c r="Q22" s="296">
        <v>0</v>
      </c>
      <c r="R22" s="53">
        <v>0</v>
      </c>
      <c r="S22" s="54">
        <v>325</v>
      </c>
      <c r="T22" s="223">
        <v>441</v>
      </c>
      <c r="U22" s="55">
        <f t="shared" si="7"/>
        <v>2123</v>
      </c>
      <c r="V22" s="231">
        <f t="shared" si="4"/>
        <v>88.458333333333329</v>
      </c>
      <c r="W22" s="236">
        <v>0</v>
      </c>
      <c r="X22" s="65">
        <v>0</v>
      </c>
      <c r="Y22" s="66">
        <v>24</v>
      </c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>
        <v>166</v>
      </c>
      <c r="AL22" s="60">
        <f t="shared" si="5"/>
        <v>6.916666666666667</v>
      </c>
      <c r="AM22" s="6">
        <v>1440</v>
      </c>
      <c r="AO22" s="61"/>
      <c r="AP22" s="61">
        <f t="shared" si="6"/>
        <v>325</v>
      </c>
      <c r="AQ22"/>
    </row>
    <row r="23" spans="1:43" x14ac:dyDescent="0.3">
      <c r="A23" s="62">
        <v>17</v>
      </c>
      <c r="B23" s="67">
        <v>1469</v>
      </c>
      <c r="C23" s="42">
        <f t="shared" si="0"/>
        <v>61.208333333333336</v>
      </c>
      <c r="D23" s="295">
        <v>1028</v>
      </c>
      <c r="E23" s="44">
        <v>604</v>
      </c>
      <c r="F23" s="19">
        <v>1632</v>
      </c>
      <c r="G23" s="20">
        <v>310</v>
      </c>
      <c r="H23" s="216">
        <v>88</v>
      </c>
      <c r="I23" s="210">
        <v>0</v>
      </c>
      <c r="J23" s="46">
        <f t="shared" si="1"/>
        <v>0</v>
      </c>
      <c r="K23" s="47">
        <v>0</v>
      </c>
      <c r="L23" s="48">
        <v>0</v>
      </c>
      <c r="M23" s="49">
        <v>0</v>
      </c>
      <c r="N23" s="50">
        <f t="shared" si="2"/>
        <v>0</v>
      </c>
      <c r="O23" s="68">
        <v>371</v>
      </c>
      <c r="P23" s="52">
        <f t="shared" si="3"/>
        <v>15.458333333333334</v>
      </c>
      <c r="Q23" s="296">
        <v>0</v>
      </c>
      <c r="R23" s="53">
        <v>0</v>
      </c>
      <c r="S23" s="54">
        <v>370</v>
      </c>
      <c r="T23" s="223">
        <v>466</v>
      </c>
      <c r="U23" s="55">
        <f t="shared" si="7"/>
        <v>2210</v>
      </c>
      <c r="V23" s="231">
        <f t="shared" si="4"/>
        <v>92.083333333333329</v>
      </c>
      <c r="W23" s="236">
        <v>0</v>
      </c>
      <c r="X23" s="65">
        <v>0</v>
      </c>
      <c r="Y23" s="66">
        <v>24</v>
      </c>
      <c r="Z23" s="6"/>
      <c r="AA23" s="348"/>
      <c r="AB23" s="348"/>
      <c r="AC23" s="348"/>
      <c r="AD23" s="349"/>
      <c r="AE23" s="350"/>
      <c r="AF23" s="351"/>
      <c r="AG23" s="351"/>
      <c r="AH23" s="352"/>
      <c r="AI23" s="58"/>
      <c r="AJ23" s="58"/>
      <c r="AK23" s="59">
        <v>185</v>
      </c>
      <c r="AL23" s="60">
        <f t="shared" si="5"/>
        <v>7.708333333333333</v>
      </c>
      <c r="AM23" s="6">
        <v>1440</v>
      </c>
      <c r="AO23" s="61"/>
      <c r="AP23" s="61">
        <f t="shared" si="6"/>
        <v>370</v>
      </c>
      <c r="AQ23"/>
    </row>
    <row r="24" spans="1:43" x14ac:dyDescent="0.3">
      <c r="A24" s="62">
        <v>18</v>
      </c>
      <c r="B24" s="67"/>
      <c r="C24" s="42">
        <f t="shared" si="0"/>
        <v>0</v>
      </c>
      <c r="D24" s="295"/>
      <c r="E24" s="44"/>
      <c r="F24" s="19"/>
      <c r="G24" s="20"/>
      <c r="H24" s="216"/>
      <c r="I24" s="210">
        <v>0</v>
      </c>
      <c r="J24" s="46">
        <f t="shared" si="1"/>
        <v>0</v>
      </c>
      <c r="K24" s="47">
        <v>0</v>
      </c>
      <c r="L24" s="48">
        <v>0</v>
      </c>
      <c r="M24" s="49">
        <v>0</v>
      </c>
      <c r="N24" s="50">
        <f t="shared" si="2"/>
        <v>0</v>
      </c>
      <c r="O24" s="198"/>
      <c r="P24" s="52">
        <f t="shared" si="3"/>
        <v>0</v>
      </c>
      <c r="Q24" s="296"/>
      <c r="R24" s="53"/>
      <c r="S24" s="54"/>
      <c r="T24" s="223"/>
      <c r="U24" s="55">
        <f t="shared" si="7"/>
        <v>0</v>
      </c>
      <c r="V24" s="231">
        <f t="shared" si="4"/>
        <v>0</v>
      </c>
      <c r="W24" s="236"/>
      <c r="X24" s="65"/>
      <c r="Y24" s="66"/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/>
      <c r="AL24" s="60">
        <f t="shared" si="5"/>
        <v>0</v>
      </c>
      <c r="AO24" s="61"/>
      <c r="AP24" s="61">
        <f t="shared" si="6"/>
        <v>0</v>
      </c>
      <c r="AQ24"/>
    </row>
    <row r="25" spans="1:43" x14ac:dyDescent="0.3">
      <c r="A25" s="62">
        <v>19</v>
      </c>
      <c r="B25" s="67"/>
      <c r="C25" s="42">
        <f t="shared" si="0"/>
        <v>0</v>
      </c>
      <c r="D25" s="295"/>
      <c r="E25" s="44"/>
      <c r="F25" s="19"/>
      <c r="G25" s="20"/>
      <c r="H25" s="216"/>
      <c r="I25" s="210">
        <v>0</v>
      </c>
      <c r="J25" s="46">
        <f t="shared" si="1"/>
        <v>0</v>
      </c>
      <c r="K25" s="47">
        <v>0</v>
      </c>
      <c r="L25" s="48">
        <v>0</v>
      </c>
      <c r="M25" s="49">
        <v>0</v>
      </c>
      <c r="N25" s="50">
        <f t="shared" si="2"/>
        <v>0</v>
      </c>
      <c r="O25" s="198"/>
      <c r="P25" s="52">
        <f t="shared" si="3"/>
        <v>0</v>
      </c>
      <c r="Q25" s="296"/>
      <c r="R25" s="53"/>
      <c r="S25" s="54"/>
      <c r="T25" s="223"/>
      <c r="U25" s="55">
        <f t="shared" si="7"/>
        <v>0</v>
      </c>
      <c r="V25" s="231">
        <f t="shared" si="4"/>
        <v>0</v>
      </c>
      <c r="W25" s="236"/>
      <c r="X25" s="65"/>
      <c r="Y25" s="66"/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/>
      <c r="AL25" s="60">
        <f t="shared" si="5"/>
        <v>0</v>
      </c>
      <c r="AO25" s="61"/>
      <c r="AP25" s="61">
        <f t="shared" si="6"/>
        <v>0</v>
      </c>
      <c r="AQ25"/>
    </row>
    <row r="26" spans="1:43" x14ac:dyDescent="0.3">
      <c r="A26" s="62">
        <v>20</v>
      </c>
      <c r="B26" s="67"/>
      <c r="C26" s="42">
        <f t="shared" si="0"/>
        <v>0</v>
      </c>
      <c r="D26" s="295"/>
      <c r="E26" s="44"/>
      <c r="F26" s="19"/>
      <c r="G26" s="20"/>
      <c r="H26" s="216"/>
      <c r="I26" s="210">
        <v>0</v>
      </c>
      <c r="J26" s="46">
        <f t="shared" si="1"/>
        <v>0</v>
      </c>
      <c r="K26" s="47">
        <v>0</v>
      </c>
      <c r="L26" s="48">
        <v>0</v>
      </c>
      <c r="M26" s="49">
        <v>0</v>
      </c>
      <c r="N26" s="50">
        <f t="shared" si="2"/>
        <v>0</v>
      </c>
      <c r="O26" s="198"/>
      <c r="P26" s="52">
        <f t="shared" si="3"/>
        <v>0</v>
      </c>
      <c r="Q26" s="296"/>
      <c r="R26" s="53"/>
      <c r="S26" s="54"/>
      <c r="T26" s="223"/>
      <c r="U26" s="55">
        <f t="shared" si="7"/>
        <v>0</v>
      </c>
      <c r="V26" s="231">
        <f t="shared" si="4"/>
        <v>0</v>
      </c>
      <c r="W26" s="236"/>
      <c r="X26" s="65"/>
      <c r="Y26" s="66"/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/>
      <c r="AL26" s="60">
        <f t="shared" si="5"/>
        <v>0</v>
      </c>
      <c r="AO26" s="61"/>
      <c r="AP26" s="61">
        <f t="shared" si="6"/>
        <v>0</v>
      </c>
      <c r="AQ26"/>
    </row>
    <row r="27" spans="1:43" x14ac:dyDescent="0.3">
      <c r="A27" s="62">
        <v>21</v>
      </c>
      <c r="B27" s="67"/>
      <c r="C27" s="42">
        <f t="shared" si="0"/>
        <v>0</v>
      </c>
      <c r="D27" s="295"/>
      <c r="E27" s="44"/>
      <c r="F27" s="19"/>
      <c r="G27" s="20"/>
      <c r="H27" s="216"/>
      <c r="I27" s="210">
        <v>0</v>
      </c>
      <c r="J27" s="46">
        <f t="shared" si="1"/>
        <v>0</v>
      </c>
      <c r="K27" s="47">
        <v>0</v>
      </c>
      <c r="L27" s="48">
        <v>0</v>
      </c>
      <c r="M27" s="49">
        <v>0</v>
      </c>
      <c r="N27" s="50">
        <f t="shared" si="2"/>
        <v>0</v>
      </c>
      <c r="O27" s="198"/>
      <c r="P27" s="52">
        <f t="shared" si="3"/>
        <v>0</v>
      </c>
      <c r="Q27" s="296"/>
      <c r="R27" s="53"/>
      <c r="S27" s="54"/>
      <c r="T27" s="223"/>
      <c r="U27" s="55">
        <f t="shared" si="7"/>
        <v>0</v>
      </c>
      <c r="V27" s="231">
        <f t="shared" si="4"/>
        <v>0</v>
      </c>
      <c r="W27" s="236"/>
      <c r="X27" s="65"/>
      <c r="Y27" s="66"/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/>
      <c r="AL27" s="60">
        <f t="shared" si="5"/>
        <v>0</v>
      </c>
      <c r="AO27" s="61"/>
      <c r="AP27" s="61">
        <f t="shared" si="6"/>
        <v>0</v>
      </c>
      <c r="AQ27"/>
    </row>
    <row r="28" spans="1:43" x14ac:dyDescent="0.3">
      <c r="A28" s="62">
        <v>22</v>
      </c>
      <c r="B28" s="67"/>
      <c r="C28" s="42">
        <f t="shared" si="0"/>
        <v>0</v>
      </c>
      <c r="D28" s="295"/>
      <c r="E28" s="44"/>
      <c r="F28" s="19"/>
      <c r="G28" s="20"/>
      <c r="H28" s="216"/>
      <c r="I28" s="210">
        <v>0</v>
      </c>
      <c r="J28" s="46">
        <f t="shared" si="1"/>
        <v>0</v>
      </c>
      <c r="K28" s="47">
        <v>0</v>
      </c>
      <c r="L28" s="48">
        <v>0</v>
      </c>
      <c r="M28" s="49">
        <v>0</v>
      </c>
      <c r="N28" s="50">
        <f t="shared" si="2"/>
        <v>0</v>
      </c>
      <c r="O28" s="198"/>
      <c r="P28" s="52">
        <f t="shared" si="3"/>
        <v>0</v>
      </c>
      <c r="Q28" s="296"/>
      <c r="R28" s="53"/>
      <c r="S28" s="54"/>
      <c r="T28" s="223"/>
      <c r="U28" s="55">
        <f t="shared" si="7"/>
        <v>0</v>
      </c>
      <c r="V28" s="231">
        <f t="shared" si="4"/>
        <v>0</v>
      </c>
      <c r="W28" s="236"/>
      <c r="X28" s="65"/>
      <c r="Y28" s="66"/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/>
      <c r="AL28" s="60">
        <f t="shared" si="5"/>
        <v>0</v>
      </c>
      <c r="AO28" s="61"/>
      <c r="AP28" s="61">
        <f t="shared" si="6"/>
        <v>0</v>
      </c>
      <c r="AQ28"/>
    </row>
    <row r="29" spans="1:43" x14ac:dyDescent="0.3">
      <c r="A29" s="62">
        <v>23</v>
      </c>
      <c r="B29" s="67"/>
      <c r="C29" s="42">
        <f t="shared" si="0"/>
        <v>0</v>
      </c>
      <c r="D29" s="295"/>
      <c r="E29" s="44"/>
      <c r="F29" s="19"/>
      <c r="G29" s="20"/>
      <c r="H29" s="216"/>
      <c r="I29" s="210">
        <v>0</v>
      </c>
      <c r="J29" s="46">
        <f t="shared" si="1"/>
        <v>0</v>
      </c>
      <c r="K29" s="47">
        <v>0</v>
      </c>
      <c r="L29" s="48">
        <v>0</v>
      </c>
      <c r="M29" s="49">
        <v>0</v>
      </c>
      <c r="N29" s="50">
        <f t="shared" si="2"/>
        <v>0</v>
      </c>
      <c r="O29" s="198"/>
      <c r="P29" s="52">
        <f t="shared" si="3"/>
        <v>0</v>
      </c>
      <c r="Q29" s="296"/>
      <c r="R29" s="53"/>
      <c r="S29" s="54"/>
      <c r="T29" s="223"/>
      <c r="U29" s="55">
        <f t="shared" si="7"/>
        <v>0</v>
      </c>
      <c r="V29" s="231">
        <f t="shared" si="4"/>
        <v>0</v>
      </c>
      <c r="W29" s="236"/>
      <c r="X29" s="65"/>
      <c r="Y29" s="66"/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/>
      <c r="AL29" s="60">
        <f t="shared" si="5"/>
        <v>0</v>
      </c>
      <c r="AO29" s="61"/>
      <c r="AP29" s="61">
        <f t="shared" si="6"/>
        <v>0</v>
      </c>
      <c r="AQ29"/>
    </row>
    <row r="30" spans="1:43" x14ac:dyDescent="0.3">
      <c r="A30" s="62">
        <v>24</v>
      </c>
      <c r="B30" s="67"/>
      <c r="C30" s="42">
        <f t="shared" si="0"/>
        <v>0</v>
      </c>
      <c r="D30" s="295"/>
      <c r="E30" s="44"/>
      <c r="F30" s="19"/>
      <c r="G30" s="20"/>
      <c r="H30" s="216"/>
      <c r="I30" s="210">
        <v>0</v>
      </c>
      <c r="J30" s="46">
        <f t="shared" si="1"/>
        <v>0</v>
      </c>
      <c r="K30" s="47">
        <v>0</v>
      </c>
      <c r="L30" s="48">
        <v>0</v>
      </c>
      <c r="M30" s="49">
        <v>0</v>
      </c>
      <c r="N30" s="50">
        <f t="shared" si="2"/>
        <v>0</v>
      </c>
      <c r="O30" s="198"/>
      <c r="P30" s="52">
        <f t="shared" si="3"/>
        <v>0</v>
      </c>
      <c r="Q30" s="296"/>
      <c r="R30" s="53"/>
      <c r="S30" s="54"/>
      <c r="T30" s="223"/>
      <c r="U30" s="55">
        <f t="shared" si="7"/>
        <v>0</v>
      </c>
      <c r="V30" s="231">
        <f t="shared" si="4"/>
        <v>0</v>
      </c>
      <c r="W30" s="236"/>
      <c r="X30" s="65"/>
      <c r="Y30" s="66"/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/>
      <c r="AL30" s="60">
        <f t="shared" si="5"/>
        <v>0</v>
      </c>
      <c r="AO30" s="61"/>
      <c r="AP30" s="61">
        <f t="shared" si="6"/>
        <v>0</v>
      </c>
      <c r="AQ30"/>
    </row>
    <row r="31" spans="1:43" x14ac:dyDescent="0.3">
      <c r="A31" s="62">
        <v>25</v>
      </c>
      <c r="B31" s="67"/>
      <c r="C31" s="42">
        <f t="shared" si="0"/>
        <v>0</v>
      </c>
      <c r="D31" s="295"/>
      <c r="E31" s="44"/>
      <c r="F31" s="19"/>
      <c r="G31" s="20"/>
      <c r="H31" s="216"/>
      <c r="I31" s="210">
        <v>0</v>
      </c>
      <c r="J31" s="46">
        <f t="shared" si="1"/>
        <v>0</v>
      </c>
      <c r="K31" s="47">
        <v>0</v>
      </c>
      <c r="L31" s="48">
        <v>0</v>
      </c>
      <c r="M31" s="49">
        <v>0</v>
      </c>
      <c r="N31" s="50">
        <f t="shared" si="2"/>
        <v>0</v>
      </c>
      <c r="O31" s="198"/>
      <c r="P31" s="52">
        <f t="shared" si="3"/>
        <v>0</v>
      </c>
      <c r="Q31" s="296"/>
      <c r="R31" s="53"/>
      <c r="S31" s="54"/>
      <c r="T31" s="223"/>
      <c r="U31" s="55">
        <f t="shared" si="7"/>
        <v>0</v>
      </c>
      <c r="V31" s="231">
        <f t="shared" si="4"/>
        <v>0</v>
      </c>
      <c r="W31" s="236"/>
      <c r="X31" s="65"/>
      <c r="Y31" s="66"/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/>
      <c r="AL31" s="60">
        <f t="shared" si="5"/>
        <v>0</v>
      </c>
      <c r="AO31" s="61"/>
      <c r="AP31" s="61">
        <f t="shared" si="6"/>
        <v>0</v>
      </c>
      <c r="AQ31"/>
    </row>
    <row r="32" spans="1:43" x14ac:dyDescent="0.3">
      <c r="A32" s="62">
        <v>26</v>
      </c>
      <c r="B32" s="67"/>
      <c r="C32" s="42">
        <f t="shared" si="0"/>
        <v>0</v>
      </c>
      <c r="D32" s="295"/>
      <c r="E32" s="44"/>
      <c r="F32" s="19"/>
      <c r="G32" s="20"/>
      <c r="H32" s="216"/>
      <c r="I32" s="210">
        <v>0</v>
      </c>
      <c r="J32" s="46">
        <f t="shared" si="1"/>
        <v>0</v>
      </c>
      <c r="K32" s="47">
        <v>0</v>
      </c>
      <c r="L32" s="48">
        <v>0</v>
      </c>
      <c r="M32" s="49">
        <v>0</v>
      </c>
      <c r="N32" s="50">
        <f t="shared" si="2"/>
        <v>0</v>
      </c>
      <c r="O32" s="198"/>
      <c r="P32" s="52">
        <f t="shared" si="3"/>
        <v>0</v>
      </c>
      <c r="Q32" s="296"/>
      <c r="R32" s="53"/>
      <c r="S32" s="54"/>
      <c r="T32" s="223"/>
      <c r="U32" s="55">
        <f t="shared" si="7"/>
        <v>0</v>
      </c>
      <c r="V32" s="231">
        <f t="shared" si="4"/>
        <v>0</v>
      </c>
      <c r="W32" s="236"/>
      <c r="X32" s="65"/>
      <c r="Y32" s="66"/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/>
      <c r="AL32" s="60">
        <f t="shared" si="5"/>
        <v>0</v>
      </c>
      <c r="AO32" s="61"/>
      <c r="AP32" s="61">
        <f t="shared" si="6"/>
        <v>0</v>
      </c>
      <c r="AQ32"/>
    </row>
    <row r="33" spans="1:43" x14ac:dyDescent="0.3">
      <c r="A33" s="62">
        <v>27</v>
      </c>
      <c r="B33" s="67"/>
      <c r="C33" s="42">
        <f t="shared" si="0"/>
        <v>0</v>
      </c>
      <c r="D33" s="295"/>
      <c r="E33" s="44"/>
      <c r="F33" s="19"/>
      <c r="G33" s="20"/>
      <c r="H33" s="216"/>
      <c r="I33" s="210">
        <v>0</v>
      </c>
      <c r="J33" s="46">
        <f t="shared" si="1"/>
        <v>0</v>
      </c>
      <c r="K33" s="47">
        <v>0</v>
      </c>
      <c r="L33" s="48">
        <v>0</v>
      </c>
      <c r="M33" s="49">
        <v>0</v>
      </c>
      <c r="N33" s="50">
        <f t="shared" si="2"/>
        <v>0</v>
      </c>
      <c r="O33" s="198"/>
      <c r="P33" s="52">
        <f t="shared" si="3"/>
        <v>0</v>
      </c>
      <c r="Q33" s="296"/>
      <c r="R33" s="53"/>
      <c r="S33" s="54"/>
      <c r="T33" s="223"/>
      <c r="U33" s="55">
        <f t="shared" si="7"/>
        <v>0</v>
      </c>
      <c r="V33" s="231">
        <f t="shared" si="4"/>
        <v>0</v>
      </c>
      <c r="W33" s="236"/>
      <c r="X33" s="65"/>
      <c r="Y33" s="66"/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/>
      <c r="AL33" s="60">
        <f t="shared" si="5"/>
        <v>0</v>
      </c>
      <c r="AO33" s="61"/>
      <c r="AP33" s="61">
        <f t="shared" si="6"/>
        <v>0</v>
      </c>
      <c r="AQ33"/>
    </row>
    <row r="34" spans="1:43" x14ac:dyDescent="0.3">
      <c r="A34" s="62">
        <v>28</v>
      </c>
      <c r="B34" s="67"/>
      <c r="C34" s="42">
        <f t="shared" si="0"/>
        <v>0</v>
      </c>
      <c r="D34" s="295"/>
      <c r="E34" s="44"/>
      <c r="F34" s="19"/>
      <c r="G34" s="20"/>
      <c r="H34" s="216"/>
      <c r="I34" s="210">
        <v>0</v>
      </c>
      <c r="J34" s="46">
        <f t="shared" si="1"/>
        <v>0</v>
      </c>
      <c r="K34" s="47">
        <v>0</v>
      </c>
      <c r="L34" s="48">
        <v>0</v>
      </c>
      <c r="M34" s="49">
        <v>0</v>
      </c>
      <c r="N34" s="50">
        <f t="shared" si="2"/>
        <v>0</v>
      </c>
      <c r="O34" s="198"/>
      <c r="P34" s="52">
        <f t="shared" si="3"/>
        <v>0</v>
      </c>
      <c r="Q34" s="296"/>
      <c r="R34" s="53"/>
      <c r="S34" s="54"/>
      <c r="T34" s="223"/>
      <c r="U34" s="55">
        <f t="shared" si="7"/>
        <v>0</v>
      </c>
      <c r="V34" s="231">
        <f t="shared" si="4"/>
        <v>0</v>
      </c>
      <c r="W34" s="236"/>
      <c r="X34" s="65"/>
      <c r="Y34" s="66"/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/>
      <c r="AL34" s="60">
        <f t="shared" si="5"/>
        <v>0</v>
      </c>
      <c r="AO34" s="61"/>
      <c r="AP34" s="61">
        <f t="shared" si="6"/>
        <v>0</v>
      </c>
      <c r="AQ34"/>
    </row>
    <row r="35" spans="1:43" x14ac:dyDescent="0.3">
      <c r="A35" s="62">
        <v>29</v>
      </c>
      <c r="B35" s="67"/>
      <c r="C35" s="42">
        <f t="shared" si="0"/>
        <v>0</v>
      </c>
      <c r="D35" s="295"/>
      <c r="E35" s="44"/>
      <c r="F35" s="19"/>
      <c r="G35" s="20"/>
      <c r="H35" s="216"/>
      <c r="I35" s="210">
        <v>0</v>
      </c>
      <c r="J35" s="46">
        <f t="shared" si="1"/>
        <v>0</v>
      </c>
      <c r="K35" s="47">
        <v>0</v>
      </c>
      <c r="L35" s="48">
        <v>0</v>
      </c>
      <c r="M35" s="49">
        <v>0</v>
      </c>
      <c r="N35" s="50">
        <f t="shared" si="2"/>
        <v>0</v>
      </c>
      <c r="O35" s="198"/>
      <c r="P35" s="52">
        <f t="shared" si="3"/>
        <v>0</v>
      </c>
      <c r="Q35" s="296"/>
      <c r="R35" s="53"/>
      <c r="S35" s="54"/>
      <c r="T35" s="223"/>
      <c r="U35" s="55">
        <f t="shared" si="7"/>
        <v>0</v>
      </c>
      <c r="V35" s="231">
        <f t="shared" si="4"/>
        <v>0</v>
      </c>
      <c r="W35" s="236"/>
      <c r="X35" s="65"/>
      <c r="Y35" s="66"/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/>
      <c r="AL35" s="60">
        <f t="shared" si="5"/>
        <v>0</v>
      </c>
      <c r="AO35" s="61"/>
      <c r="AP35" s="61">
        <f t="shared" si="6"/>
        <v>0</v>
      </c>
      <c r="AQ35"/>
    </row>
    <row r="36" spans="1:43" x14ac:dyDescent="0.3">
      <c r="A36" s="62">
        <v>30</v>
      </c>
      <c r="B36" s="67"/>
      <c r="C36" s="42">
        <f t="shared" si="0"/>
        <v>0</v>
      </c>
      <c r="D36" s="295"/>
      <c r="E36" s="44"/>
      <c r="F36" s="19"/>
      <c r="G36" s="20"/>
      <c r="H36" s="216"/>
      <c r="I36" s="210">
        <v>0</v>
      </c>
      <c r="J36" s="46">
        <f t="shared" si="1"/>
        <v>0</v>
      </c>
      <c r="K36" s="47">
        <v>0</v>
      </c>
      <c r="L36" s="48">
        <v>0</v>
      </c>
      <c r="M36" s="49">
        <v>0</v>
      </c>
      <c r="N36" s="50">
        <f t="shared" si="2"/>
        <v>0</v>
      </c>
      <c r="O36" s="198"/>
      <c r="P36" s="52">
        <f t="shared" si="3"/>
        <v>0</v>
      </c>
      <c r="Q36" s="296"/>
      <c r="R36" s="53"/>
      <c r="S36" s="54"/>
      <c r="T36" s="223"/>
      <c r="U36" s="55">
        <f t="shared" si="7"/>
        <v>0</v>
      </c>
      <c r="V36" s="231">
        <f t="shared" si="4"/>
        <v>0</v>
      </c>
      <c r="W36" s="236"/>
      <c r="X36" s="65"/>
      <c r="Y36" s="66"/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/>
      <c r="AL36" s="60">
        <f t="shared" si="5"/>
        <v>0</v>
      </c>
      <c r="AO36" s="61"/>
      <c r="AP36" s="61">
        <f t="shared" si="6"/>
        <v>0</v>
      </c>
      <c r="AQ36"/>
    </row>
    <row r="37" spans="1:43" ht="17.25" thickBot="1" x14ac:dyDescent="0.35">
      <c r="A37" s="62">
        <v>31</v>
      </c>
      <c r="B37" s="67"/>
      <c r="C37" s="42">
        <f t="shared" si="0"/>
        <v>0</v>
      </c>
      <c r="D37" s="76"/>
      <c r="E37" s="44"/>
      <c r="F37" s="77"/>
      <c r="G37" s="78"/>
      <c r="H37" s="220"/>
      <c r="I37" s="210">
        <v>0</v>
      </c>
      <c r="J37" s="46">
        <f t="shared" si="1"/>
        <v>0</v>
      </c>
      <c r="K37" s="47">
        <v>0</v>
      </c>
      <c r="L37" s="48">
        <v>0</v>
      </c>
      <c r="M37" s="49">
        <v>0</v>
      </c>
      <c r="N37" s="50">
        <f t="shared" si="2"/>
        <v>0</v>
      </c>
      <c r="O37" s="199"/>
      <c r="P37" s="81">
        <f t="shared" si="3"/>
        <v>0</v>
      </c>
      <c r="Q37" s="227"/>
      <c r="R37" s="82"/>
      <c r="S37" s="54"/>
      <c r="T37" s="223"/>
      <c r="U37" s="55">
        <f t="shared" si="7"/>
        <v>0</v>
      </c>
      <c r="V37" s="232">
        <f t="shared" si="4"/>
        <v>0</v>
      </c>
      <c r="W37" s="237"/>
      <c r="X37" s="83"/>
      <c r="Y37" s="84"/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/>
      <c r="AL37" s="60">
        <f t="shared" si="5"/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22662</v>
      </c>
      <c r="C38" s="88">
        <f t="shared" si="8"/>
        <v>944.25000000000011</v>
      </c>
      <c r="D38" s="89">
        <f t="shared" si="8"/>
        <v>15869</v>
      </c>
      <c r="E38" s="89">
        <f t="shared" si="8"/>
        <v>10094</v>
      </c>
      <c r="F38" s="89">
        <f t="shared" si="8"/>
        <v>25963</v>
      </c>
      <c r="G38" s="90">
        <f t="shared" si="8"/>
        <v>5683</v>
      </c>
      <c r="H38" s="221">
        <f t="shared" si="8"/>
        <v>1338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3687</v>
      </c>
      <c r="P38" s="93"/>
      <c r="Q38" s="212">
        <f>SUM(Q7:Q37)</f>
        <v>169</v>
      </c>
      <c r="R38" s="87">
        <f>SUM(R7:R37)</f>
        <v>492</v>
      </c>
      <c r="S38" s="87">
        <f>SUM(S7:S37)</f>
        <v>5729</v>
      </c>
      <c r="T38" s="87">
        <f>SUM(T7:T37)</f>
        <v>7991</v>
      </c>
      <c r="U38" s="94">
        <f>SUM(U7:U37)</f>
        <v>32739</v>
      </c>
      <c r="V38" s="207"/>
      <c r="W38" s="238">
        <f>SUM(W7:W37)</f>
        <v>24.83</v>
      </c>
      <c r="X38" s="89">
        <f>SUM(X7:X37)</f>
        <v>23.009999999999998</v>
      </c>
      <c r="Y38" s="91">
        <f>SUM(Y7:Y37)</f>
        <v>387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21.833333333333332</v>
      </c>
      <c r="AJ38" s="242">
        <f>SUM(AJ7:AJ37)/60</f>
        <v>42</v>
      </c>
      <c r="AK38" s="245">
        <f>SUM(AK7:AK37)</f>
        <v>2266</v>
      </c>
      <c r="AL38" s="97">
        <f>SUM(AL7:AL37)/60</f>
        <v>1.5736111111111108</v>
      </c>
      <c r="AM38" s="240">
        <f>SUM(AM7:AM37)/60</f>
        <v>376.31666666666666</v>
      </c>
      <c r="AP38"/>
      <c r="AQ38"/>
    </row>
    <row r="39" spans="1:43" ht="17.25" thickBot="1" x14ac:dyDescent="0.35">
      <c r="A39" s="98" t="s">
        <v>37</v>
      </c>
      <c r="B39" s="99">
        <f>AVERAGE(B7:B37)</f>
        <v>1333.0588235294117</v>
      </c>
      <c r="C39" s="100">
        <f>B39/24</f>
        <v>55.544117647058819</v>
      </c>
      <c r="D39" s="101">
        <f t="shared" ref="D39:I39" si="9">AVERAGE(D7:D37)</f>
        <v>933.47058823529414</v>
      </c>
      <c r="E39" s="101">
        <f t="shared" si="9"/>
        <v>593.76470588235293</v>
      </c>
      <c r="F39" s="101">
        <f t="shared" si="9"/>
        <v>1527.2352941176471</v>
      </c>
      <c r="G39" s="208">
        <f t="shared" si="9"/>
        <v>334.29411764705884</v>
      </c>
      <c r="H39" s="102">
        <f t="shared" si="9"/>
        <v>78.705882352941174</v>
      </c>
      <c r="I39" s="213">
        <f t="shared" si="9"/>
        <v>0</v>
      </c>
      <c r="J39" s="103">
        <f>I39/24</f>
        <v>0</v>
      </c>
      <c r="K39" s="101">
        <f>AVERAGE(K7:K37)</f>
        <v>0</v>
      </c>
      <c r="L39" s="104">
        <f>AVERAGE(L7:L37)</f>
        <v>0</v>
      </c>
      <c r="M39" s="105">
        <f>AVERAGE(M7:M37)</f>
        <v>0</v>
      </c>
      <c r="N39" s="103">
        <f>M39/24</f>
        <v>0</v>
      </c>
      <c r="O39" s="101">
        <f>AVERAGE(O7:O37)</f>
        <v>216.88235294117646</v>
      </c>
      <c r="P39" s="229">
        <f>O39/24</f>
        <v>9.0367647058823533</v>
      </c>
      <c r="Q39" s="228">
        <f>AVERAGE(Q7:Q37)</f>
        <v>9.9411764705882355</v>
      </c>
      <c r="R39" s="106">
        <f>AVERAGE(R7:R37)</f>
        <v>28.941176470588236</v>
      </c>
      <c r="S39" s="102">
        <f>AVERAGE(S7:S37)</f>
        <v>337</v>
      </c>
      <c r="T39" s="102">
        <f>AVERAGE(T7:T37)</f>
        <v>470.05882352941177</v>
      </c>
      <c r="U39" s="107">
        <f>AVERAGE(U7:U37)</f>
        <v>1056.0967741935483</v>
      </c>
      <c r="V39" s="233">
        <f>U39/24</f>
        <v>44.004032258064512</v>
      </c>
      <c r="W39" s="105">
        <f>AVERAGE(W7:W37)</f>
        <v>1.4605882352941175</v>
      </c>
      <c r="X39" s="101">
        <f>AVERAGE(X7:X37)</f>
        <v>1.3535294117647059</v>
      </c>
      <c r="Y39" s="104">
        <f>AVERAGE(Y7:Y37)</f>
        <v>22.764705882352942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63.833333333333329</v>
      </c>
      <c r="AI39" s="354"/>
      <c r="AJ39" s="246">
        <f>AI39/24</f>
        <v>0</v>
      </c>
      <c r="AK39" s="245">
        <f>(AJ38/31)/24</f>
        <v>5.6451612903225805E-2</v>
      </c>
      <c r="AP39"/>
      <c r="AQ39"/>
    </row>
    <row r="40" spans="1:43" ht="17.25" thickBot="1" x14ac:dyDescent="0.35">
      <c r="A40" s="7"/>
      <c r="M40" s="108">
        <f>M38+O38</f>
        <v>3687</v>
      </c>
      <c r="P40" s="109">
        <f>Q38+R38</f>
        <v>661</v>
      </c>
      <c r="Q40" s="110" t="s">
        <v>39</v>
      </c>
      <c r="R40" s="110">
        <f>Q38+R38</f>
        <v>661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42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>
        <f>(Q39+R39)/24</f>
        <v>1.6200980392156863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>
        <f>S39/24</f>
        <v>14.041666666666666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>
        <f>C39</f>
        <v>55.544117647058819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>
        <f>N39+P39</f>
        <v>9.0367647058823533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>
        <f>J39</f>
        <v>0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>
        <f>SUM(D42:E46)</f>
        <v>80.242647058823522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97" t="s">
        <v>50</v>
      </c>
      <c r="E49" s="297" t="s">
        <v>133</v>
      </c>
      <c r="F49" s="140" t="s">
        <v>51</v>
      </c>
      <c r="G49" s="140" t="s">
        <v>52</v>
      </c>
      <c r="H49" s="297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>
        <v>515</v>
      </c>
      <c r="F50" s="148">
        <v>533</v>
      </c>
      <c r="G50" s="148">
        <v>283</v>
      </c>
      <c r="H50" s="148">
        <v>553</v>
      </c>
      <c r="I50" s="148">
        <v>531</v>
      </c>
      <c r="J50" s="148">
        <v>535</v>
      </c>
      <c r="K50" s="148">
        <v>532</v>
      </c>
      <c r="L50" s="148">
        <v>531</v>
      </c>
      <c r="M50" s="148">
        <v>519</v>
      </c>
      <c r="N50" s="148">
        <v>521</v>
      </c>
      <c r="O50" s="148">
        <v>519</v>
      </c>
      <c r="P50" s="148">
        <v>258</v>
      </c>
      <c r="Q50" s="148">
        <v>496</v>
      </c>
      <c r="R50" s="148">
        <v>488</v>
      </c>
      <c r="S50" s="148">
        <v>490</v>
      </c>
      <c r="T50" s="148">
        <v>486</v>
      </c>
      <c r="U50" s="148">
        <v>497</v>
      </c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9">
        <f>SUM(E50:AI50)</f>
        <v>8287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72</v>
      </c>
      <c r="F51" s="148">
        <v>72</v>
      </c>
      <c r="G51" s="148">
        <v>51</v>
      </c>
      <c r="H51" s="148">
        <v>72</v>
      </c>
      <c r="I51" s="148">
        <v>72</v>
      </c>
      <c r="J51" s="148">
        <v>72</v>
      </c>
      <c r="K51" s="148">
        <v>72</v>
      </c>
      <c r="L51" s="148">
        <v>72</v>
      </c>
      <c r="M51" s="148">
        <v>72</v>
      </c>
      <c r="N51" s="148">
        <v>72</v>
      </c>
      <c r="O51" s="148">
        <v>72</v>
      </c>
      <c r="P51" s="148">
        <v>30</v>
      </c>
      <c r="Q51" s="148">
        <v>72</v>
      </c>
      <c r="R51" s="148">
        <v>72</v>
      </c>
      <c r="S51" s="148">
        <v>72</v>
      </c>
      <c r="T51" s="148">
        <v>72</v>
      </c>
      <c r="U51" s="148">
        <v>72</v>
      </c>
      <c r="V51" s="148">
        <v>0</v>
      </c>
      <c r="W51" s="148">
        <v>0</v>
      </c>
      <c r="X51" s="148">
        <v>0</v>
      </c>
      <c r="Y51" s="148">
        <v>0</v>
      </c>
      <c r="Z51" s="148">
        <v>0</v>
      </c>
      <c r="AA51" s="148">
        <v>0</v>
      </c>
      <c r="AB51" s="148">
        <v>0</v>
      </c>
      <c r="AC51" s="148">
        <v>0</v>
      </c>
      <c r="AD51" s="148">
        <v>0</v>
      </c>
      <c r="AE51" s="148">
        <v>0</v>
      </c>
      <c r="AF51" s="148">
        <v>0</v>
      </c>
      <c r="AG51" s="148">
        <v>0</v>
      </c>
      <c r="AH51" s="148">
        <v>0</v>
      </c>
      <c r="AI51" s="148">
        <v>0</v>
      </c>
      <c r="AJ51" s="149">
        <f>SUM(E51:AI51)</f>
        <v>1161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260</v>
      </c>
      <c r="F52" s="148">
        <f>$S8</f>
        <v>314</v>
      </c>
      <c r="G52" s="148">
        <f>$S9</f>
        <v>265</v>
      </c>
      <c r="H52" s="148">
        <f>$S10</f>
        <v>407</v>
      </c>
      <c r="I52" s="148">
        <f>$S11</f>
        <v>411</v>
      </c>
      <c r="J52" s="148">
        <f>$S12</f>
        <v>355</v>
      </c>
      <c r="K52" s="148">
        <f>$S13</f>
        <v>356</v>
      </c>
      <c r="L52" s="148">
        <f>$S14</f>
        <v>321</v>
      </c>
      <c r="M52" s="148">
        <f>$S15</f>
        <v>373</v>
      </c>
      <c r="N52" s="148">
        <f>$S16</f>
        <v>360</v>
      </c>
      <c r="O52" s="148">
        <f>$S17</f>
        <v>386</v>
      </c>
      <c r="P52" s="148">
        <f>$S18</f>
        <v>155</v>
      </c>
      <c r="Q52" s="148">
        <f>$S19</f>
        <v>350</v>
      </c>
      <c r="R52" s="148">
        <f>$S20</f>
        <v>335</v>
      </c>
      <c r="S52" s="148">
        <f>$S21</f>
        <v>386</v>
      </c>
      <c r="T52" s="148">
        <f>$S22</f>
        <v>325</v>
      </c>
      <c r="U52" s="148">
        <f>$S23</f>
        <v>370</v>
      </c>
      <c r="V52" s="148">
        <f>$S24</f>
        <v>0</v>
      </c>
      <c r="W52" s="148">
        <f>$S25</f>
        <v>0</v>
      </c>
      <c r="X52" s="148">
        <f>$S26</f>
        <v>0</v>
      </c>
      <c r="Y52" s="148">
        <f>$S27</f>
        <v>0</v>
      </c>
      <c r="Z52" s="148">
        <f>$S28</f>
        <v>0</v>
      </c>
      <c r="AA52" s="148">
        <f>$S29</f>
        <v>0</v>
      </c>
      <c r="AB52" s="148">
        <f>$S30</f>
        <v>0</v>
      </c>
      <c r="AC52" s="148">
        <f>$S31</f>
        <v>0</v>
      </c>
      <c r="AD52" s="148">
        <f>$S32</f>
        <v>0</v>
      </c>
      <c r="AE52" s="148">
        <f>$S33</f>
        <v>0</v>
      </c>
      <c r="AF52" s="148">
        <f>$S34</f>
        <v>0</v>
      </c>
      <c r="AG52" s="148">
        <f>$S35</f>
        <v>0</v>
      </c>
      <c r="AH52" s="148">
        <f>$S36</f>
        <v>0</v>
      </c>
      <c r="AI52" s="148">
        <f>$S37</f>
        <v>0</v>
      </c>
      <c r="AJ52" s="154">
        <f>SUM(E52:AI52)</f>
        <v>5729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183</v>
      </c>
      <c r="F53" s="157">
        <f t="shared" si="10"/>
        <v>147</v>
      </c>
      <c r="G53" s="157">
        <f t="shared" si="10"/>
        <v>0</v>
      </c>
      <c r="H53" s="157">
        <f t="shared" si="10"/>
        <v>74</v>
      </c>
      <c r="I53" s="157">
        <f t="shared" si="10"/>
        <v>48</v>
      </c>
      <c r="J53" s="157">
        <f t="shared" si="10"/>
        <v>108</v>
      </c>
      <c r="K53" s="157">
        <f t="shared" si="10"/>
        <v>104</v>
      </c>
      <c r="L53" s="157">
        <f t="shared" si="10"/>
        <v>138</v>
      </c>
      <c r="M53" s="157">
        <f t="shared" si="10"/>
        <v>74</v>
      </c>
      <c r="N53" s="157">
        <f t="shared" si="10"/>
        <v>89</v>
      </c>
      <c r="O53" s="157">
        <f t="shared" si="10"/>
        <v>61</v>
      </c>
      <c r="P53" s="157">
        <f t="shared" si="10"/>
        <v>73</v>
      </c>
      <c r="Q53" s="157">
        <f t="shared" si="10"/>
        <v>74</v>
      </c>
      <c r="R53" s="157">
        <f t="shared" si="10"/>
        <v>81</v>
      </c>
      <c r="S53" s="157">
        <f t="shared" si="10"/>
        <v>32</v>
      </c>
      <c r="T53" s="157">
        <f t="shared" si="10"/>
        <v>89</v>
      </c>
      <c r="U53" s="157">
        <f t="shared" si="10"/>
        <v>55</v>
      </c>
      <c r="V53" s="157">
        <f t="shared" si="10"/>
        <v>0</v>
      </c>
      <c r="W53" s="157">
        <f t="shared" si="10"/>
        <v>0</v>
      </c>
      <c r="X53" s="157">
        <f t="shared" si="10"/>
        <v>0</v>
      </c>
      <c r="Y53" s="157">
        <f t="shared" si="10"/>
        <v>0</v>
      </c>
      <c r="Z53" s="157">
        <f t="shared" si="10"/>
        <v>0</v>
      </c>
      <c r="AA53" s="157">
        <f t="shared" si="10"/>
        <v>0</v>
      </c>
      <c r="AB53" s="157">
        <f t="shared" si="10"/>
        <v>0</v>
      </c>
      <c r="AC53" s="157">
        <f t="shared" si="10"/>
        <v>0</v>
      </c>
      <c r="AD53" s="157">
        <f t="shared" si="10"/>
        <v>0</v>
      </c>
      <c r="AE53" s="157">
        <f t="shared" si="10"/>
        <v>0</v>
      </c>
      <c r="AF53" s="157">
        <f t="shared" si="10"/>
        <v>0</v>
      </c>
      <c r="AG53" s="157">
        <f t="shared" si="10"/>
        <v>0</v>
      </c>
      <c r="AH53" s="157">
        <f t="shared" si="10"/>
        <v>0</v>
      </c>
      <c r="AI53" s="157">
        <f t="shared" si="10"/>
        <v>0</v>
      </c>
      <c r="AJ53" s="154">
        <f>SUM(E53:AI53)</f>
        <v>1430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>
        <f t="shared" ref="E54:AI54" si="11">IFERROR(IF(E53&gt;0,E53*$D$54," ")," ")</f>
        <v>3111</v>
      </c>
      <c r="F54" s="160">
        <f t="shared" si="11"/>
        <v>2499</v>
      </c>
      <c r="G54" s="160" t="str">
        <f t="shared" si="11"/>
        <v xml:space="preserve"> </v>
      </c>
      <c r="H54" s="160">
        <f t="shared" si="11"/>
        <v>1258</v>
      </c>
      <c r="I54" s="160">
        <f t="shared" si="11"/>
        <v>816</v>
      </c>
      <c r="J54" s="160">
        <f t="shared" si="11"/>
        <v>1836</v>
      </c>
      <c r="K54" s="160">
        <f t="shared" si="11"/>
        <v>1768</v>
      </c>
      <c r="L54" s="160">
        <f t="shared" si="11"/>
        <v>2346</v>
      </c>
      <c r="M54" s="160">
        <f t="shared" si="11"/>
        <v>1258</v>
      </c>
      <c r="N54" s="160">
        <f t="shared" si="11"/>
        <v>1513</v>
      </c>
      <c r="O54" s="160">
        <f t="shared" si="11"/>
        <v>1037</v>
      </c>
      <c r="P54" s="160">
        <f t="shared" si="11"/>
        <v>1241</v>
      </c>
      <c r="Q54" s="160">
        <f t="shared" si="11"/>
        <v>1258</v>
      </c>
      <c r="R54" s="160">
        <f t="shared" si="11"/>
        <v>1377</v>
      </c>
      <c r="S54" s="160">
        <f t="shared" si="11"/>
        <v>544</v>
      </c>
      <c r="T54" s="160">
        <f t="shared" si="11"/>
        <v>1513</v>
      </c>
      <c r="U54" s="160">
        <f t="shared" si="11"/>
        <v>935</v>
      </c>
      <c r="V54" s="160" t="str">
        <f t="shared" si="11"/>
        <v xml:space="preserve"> </v>
      </c>
      <c r="W54" s="160" t="str">
        <f t="shared" si="11"/>
        <v xml:space="preserve"> </v>
      </c>
      <c r="X54" s="160" t="str">
        <f t="shared" si="11"/>
        <v xml:space="preserve"> </v>
      </c>
      <c r="Y54" s="160" t="str">
        <f t="shared" si="11"/>
        <v xml:space="preserve"> </v>
      </c>
      <c r="Z54" s="160" t="str">
        <f t="shared" si="11"/>
        <v xml:space="preserve"> </v>
      </c>
      <c r="AA54" s="160" t="str">
        <f t="shared" si="11"/>
        <v xml:space="preserve"> </v>
      </c>
      <c r="AB54" s="160" t="str">
        <f t="shared" si="11"/>
        <v xml:space="preserve"> </v>
      </c>
      <c r="AC54" s="160" t="str">
        <f t="shared" si="11"/>
        <v xml:space="preserve"> </v>
      </c>
      <c r="AD54" s="160" t="str">
        <f t="shared" si="11"/>
        <v xml:space="preserve"> </v>
      </c>
      <c r="AE54" s="160" t="str">
        <f t="shared" si="11"/>
        <v xml:space="preserve"> </v>
      </c>
      <c r="AF54" s="160" t="str">
        <f t="shared" si="11"/>
        <v xml:space="preserve"> </v>
      </c>
      <c r="AG54" s="160" t="str">
        <f t="shared" si="11"/>
        <v xml:space="preserve"> </v>
      </c>
      <c r="AH54" s="160" t="str">
        <f t="shared" si="11"/>
        <v xml:space="preserve"> </v>
      </c>
      <c r="AI54" s="160" t="str">
        <f t="shared" si="11"/>
        <v xml:space="preserve"> </v>
      </c>
      <c r="AJ54" s="161">
        <f>SUM(E54:AI54)</f>
        <v>24310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>
        <v>46001</v>
      </c>
      <c r="B58" s="312" t="s">
        <v>359</v>
      </c>
      <c r="C58" s="312"/>
      <c r="D58" s="306" t="s">
        <v>360</v>
      </c>
      <c r="E58" s="307"/>
      <c r="F58" s="307"/>
      <c r="G58" s="307"/>
      <c r="H58" s="307"/>
      <c r="I58" s="307"/>
      <c r="J58" s="169">
        <v>60</v>
      </c>
      <c r="K58" s="169">
        <v>46</v>
      </c>
      <c r="L58" s="170">
        <v>140</v>
      </c>
      <c r="M58" s="171">
        <f t="shared" ref="M58:M83" si="12">J58-K58</f>
        <v>14</v>
      </c>
      <c r="N58" s="172">
        <f t="shared" ref="N58:N83" si="13">M58/60</f>
        <v>0.23333333333333334</v>
      </c>
      <c r="O58" s="173">
        <f t="shared" ref="O58:O83" si="14">L58*N58</f>
        <v>32.666666666666664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>
        <v>46002</v>
      </c>
      <c r="B59" s="312" t="s">
        <v>361</v>
      </c>
      <c r="C59" s="312"/>
      <c r="D59" s="306" t="s">
        <v>362</v>
      </c>
      <c r="E59" s="307"/>
      <c r="F59" s="307"/>
      <c r="G59" s="307"/>
      <c r="H59" s="307"/>
      <c r="I59" s="307"/>
      <c r="J59" s="169">
        <v>60</v>
      </c>
      <c r="K59" s="169">
        <v>45</v>
      </c>
      <c r="L59" s="170">
        <v>80</v>
      </c>
      <c r="M59" s="171">
        <f t="shared" si="12"/>
        <v>15</v>
      </c>
      <c r="N59" s="172">
        <f t="shared" si="13"/>
        <v>0.25</v>
      </c>
      <c r="O59" s="173">
        <f t="shared" si="14"/>
        <v>20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/>
      <c r="B60" s="312"/>
      <c r="C60" s="312"/>
      <c r="D60" s="306"/>
      <c r="E60" s="307"/>
      <c r="F60" s="307"/>
      <c r="G60" s="307"/>
      <c r="H60" s="307"/>
      <c r="I60" s="307"/>
      <c r="J60" s="169"/>
      <c r="K60" s="169"/>
      <c r="L60" s="170"/>
      <c r="M60" s="171">
        <f t="shared" si="12"/>
        <v>0</v>
      </c>
      <c r="N60" s="172">
        <f t="shared" si="13"/>
        <v>0</v>
      </c>
      <c r="O60" s="173">
        <f t="shared" si="14"/>
        <v>0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/>
      <c r="B61" s="313"/>
      <c r="C61" s="314"/>
      <c r="D61" s="306"/>
      <c r="E61" s="307"/>
      <c r="F61" s="307"/>
      <c r="G61" s="307"/>
      <c r="H61" s="307"/>
      <c r="I61" s="307"/>
      <c r="J61" s="169"/>
      <c r="K61" s="169"/>
      <c r="L61" s="170"/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  <c r="AD67" s="298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8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98">
        <f>SUM(Q38:R38)*65</f>
        <v>42965</v>
      </c>
      <c r="S73" s="298"/>
      <c r="T73" s="298"/>
      <c r="U73" s="298"/>
      <c r="V73" s="298"/>
      <c r="W73" s="298"/>
      <c r="X73" s="298"/>
      <c r="Y73" s="298"/>
      <c r="Z73" s="190"/>
      <c r="AA73" s="190"/>
      <c r="AB73" s="58"/>
      <c r="AC73" s="58"/>
      <c r="AD73" s="191">
        <f>SUM(R73:AC73)</f>
        <v>42965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98"/>
      <c r="S74" s="298"/>
      <c r="T74" s="298"/>
      <c r="U74" s="298"/>
      <c r="V74" s="298"/>
      <c r="W74" s="298"/>
      <c r="X74" s="298"/>
      <c r="Y74" s="298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42965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42965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52.666666666666664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workbookViewId="0">
      <selection activeCell="A29" sqref="A29"/>
    </sheetView>
  </sheetViews>
  <sheetFormatPr defaultRowHeight="16.5" x14ac:dyDescent="0.3"/>
  <cols>
    <col min="1" max="1" width="7" style="1" customWidth="1"/>
    <col min="2" max="2" width="12.375" style="2" customWidth="1"/>
    <col min="3" max="3" width="12.5" style="3" customWidth="1"/>
    <col min="4" max="4" width="12.25" style="2" customWidth="1"/>
    <col min="5" max="5" width="12.375" style="2" customWidth="1"/>
    <col min="6" max="6" width="11.5" style="2" customWidth="1"/>
    <col min="7" max="7" width="12" style="6" customWidth="1"/>
    <col min="8" max="8" width="14.125" style="6" customWidth="1"/>
    <col min="9" max="9" width="10.5" style="6" customWidth="1"/>
    <col min="10" max="10" width="12.375" style="6" customWidth="1"/>
    <col min="11" max="11" width="12.5" style="6" customWidth="1"/>
    <col min="12" max="12" width="11.75" style="6" customWidth="1"/>
    <col min="13" max="15" width="10" style="6" customWidth="1"/>
    <col min="16" max="16" width="10" style="7" customWidth="1"/>
    <col min="17" max="18" width="10.875" style="6" customWidth="1"/>
    <col min="19" max="20" width="10.875" style="7" customWidth="1"/>
    <col min="21" max="21" width="12.5" style="6" customWidth="1"/>
    <col min="22" max="22" width="9.625" style="6" customWidth="1"/>
    <col min="23" max="23" width="9.875" style="8" bestFit="1" customWidth="1"/>
    <col min="24" max="27" width="11.375" style="8" customWidth="1"/>
    <col min="28" max="28" width="12.625" style="8" customWidth="1"/>
    <col min="29" max="31" width="11.375" style="8" customWidth="1"/>
    <col min="32" max="32" width="10.5" style="8" bestFit="1" customWidth="1"/>
    <col min="33" max="33" width="9.875" style="8" customWidth="1"/>
    <col min="34" max="34" width="9" style="6" customWidth="1"/>
    <col min="35" max="35" width="10.5" style="6" customWidth="1"/>
    <col min="36" max="36" width="11.25" style="6" bestFit="1" customWidth="1"/>
    <col min="37" max="37" width="9.5" style="6" bestFit="1" customWidth="1"/>
    <col min="38" max="38" width="9.25" style="6" bestFit="1" customWidth="1"/>
    <col min="39" max="39" width="11.375" style="6" customWidth="1"/>
    <col min="40" max="40" width="10.75" style="6" bestFit="1" customWidth="1"/>
    <col min="41" max="43" width="9" style="6"/>
  </cols>
  <sheetData>
    <row r="1" spans="1:43" x14ac:dyDescent="0.3">
      <c r="D1" s="4"/>
      <c r="E1" s="5" t="s">
        <v>0</v>
      </c>
    </row>
    <row r="2" spans="1:43" x14ac:dyDescent="0.3">
      <c r="A2" s="9"/>
      <c r="B2" s="5"/>
      <c r="C2" s="5"/>
      <c r="D2" s="10"/>
      <c r="E2" s="5" t="s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3" ht="17.25" thickBot="1" x14ac:dyDescent="0.35">
      <c r="A3" s="388" t="s">
        <v>257</v>
      </c>
      <c r="B3" s="388"/>
      <c r="C3" s="11"/>
      <c r="D3" s="12"/>
      <c r="E3" s="13" t="s">
        <v>2</v>
      </c>
      <c r="F3" s="13"/>
      <c r="G3" s="14"/>
      <c r="H3" s="15"/>
      <c r="I3" s="14"/>
      <c r="J3" s="14"/>
      <c r="K3" s="14"/>
      <c r="L3" s="14"/>
      <c r="M3" s="14"/>
      <c r="N3" s="14"/>
      <c r="O3" s="14"/>
      <c r="P3" s="16"/>
      <c r="Q3" s="14"/>
      <c r="R3" s="14"/>
      <c r="S3" s="16"/>
      <c r="T3" s="16"/>
      <c r="U3" s="14"/>
      <c r="V3" s="14"/>
    </row>
    <row r="4" spans="1:43" ht="16.5" customHeight="1" x14ac:dyDescent="0.3">
      <c r="A4" s="17"/>
      <c r="B4" s="389" t="s">
        <v>3</v>
      </c>
      <c r="C4" s="389"/>
      <c r="D4" s="389"/>
      <c r="E4" s="390"/>
      <c r="F4" s="390"/>
      <c r="G4" s="390"/>
      <c r="H4" s="215"/>
      <c r="I4" s="391" t="s">
        <v>4</v>
      </c>
      <c r="J4" s="391"/>
      <c r="K4" s="391"/>
      <c r="L4" s="392"/>
      <c r="M4" s="393" t="s">
        <v>5</v>
      </c>
      <c r="N4" s="394"/>
      <c r="O4" s="394"/>
      <c r="P4" s="395"/>
      <c r="Q4" s="396" t="s">
        <v>6</v>
      </c>
      <c r="R4" s="397"/>
      <c r="S4" s="375" t="s">
        <v>28</v>
      </c>
      <c r="T4" s="376"/>
      <c r="U4" s="365" t="s">
        <v>7</v>
      </c>
      <c r="V4" s="366"/>
      <c r="W4" s="369" t="s">
        <v>8</v>
      </c>
      <c r="X4" s="370"/>
      <c r="Y4" s="371"/>
      <c r="AA4" s="6"/>
      <c r="AB4" s="6"/>
      <c r="AC4" s="6"/>
      <c r="AD4" s="6"/>
      <c r="AE4" s="6"/>
      <c r="AF4" s="6"/>
      <c r="AG4" s="6"/>
      <c r="AP4"/>
      <c r="AQ4"/>
    </row>
    <row r="5" spans="1:43" ht="17.25" thickBot="1" x14ac:dyDescent="0.35">
      <c r="A5" s="18" t="s">
        <v>9</v>
      </c>
      <c r="B5" s="379" t="s">
        <v>10</v>
      </c>
      <c r="C5" s="379"/>
      <c r="D5" s="274" t="s">
        <v>11</v>
      </c>
      <c r="E5" s="19" t="s">
        <v>12</v>
      </c>
      <c r="F5" s="19" t="s">
        <v>13</v>
      </c>
      <c r="G5" s="20" t="s">
        <v>14</v>
      </c>
      <c r="H5" s="216" t="s">
        <v>137</v>
      </c>
      <c r="I5" s="380" t="s">
        <v>10</v>
      </c>
      <c r="J5" s="381"/>
      <c r="K5" s="239" t="s">
        <v>11</v>
      </c>
      <c r="L5" s="21" t="s">
        <v>12</v>
      </c>
      <c r="M5" s="382" t="s">
        <v>15</v>
      </c>
      <c r="N5" s="383"/>
      <c r="O5" s="384" t="s">
        <v>16</v>
      </c>
      <c r="P5" s="385"/>
      <c r="Q5" s="386" t="s">
        <v>17</v>
      </c>
      <c r="R5" s="387"/>
      <c r="S5" s="377"/>
      <c r="T5" s="378"/>
      <c r="U5" s="367"/>
      <c r="V5" s="368"/>
      <c r="W5" s="372"/>
      <c r="X5" s="373"/>
      <c r="Y5" s="374"/>
      <c r="Z5" s="1"/>
      <c r="AA5" s="6"/>
      <c r="AB5" s="6"/>
      <c r="AC5" s="6"/>
      <c r="AD5" s="6"/>
      <c r="AE5" s="6"/>
      <c r="AF5" s="6"/>
      <c r="AG5" s="6"/>
      <c r="AH5" s="354" t="s">
        <v>170</v>
      </c>
      <c r="AI5" s="354"/>
      <c r="AJ5" s="250" t="s">
        <v>169</v>
      </c>
      <c r="AK5" s="249" t="s">
        <v>168</v>
      </c>
      <c r="AL5" s="248" t="s">
        <v>20</v>
      </c>
      <c r="AM5" s="7"/>
      <c r="AN5" s="7"/>
      <c r="AO5" s="7"/>
      <c r="AP5"/>
      <c r="AQ5"/>
    </row>
    <row r="6" spans="1:43" ht="17.25" thickBot="1" x14ac:dyDescent="0.35">
      <c r="A6" s="24" t="s">
        <v>21</v>
      </c>
      <c r="B6" s="25" t="s">
        <v>22</v>
      </c>
      <c r="C6" s="26" t="s">
        <v>23</v>
      </c>
      <c r="D6" s="25" t="s">
        <v>24</v>
      </c>
      <c r="E6" s="25" t="s">
        <v>24</v>
      </c>
      <c r="F6" s="25" t="s">
        <v>24</v>
      </c>
      <c r="G6" s="27" t="s">
        <v>24</v>
      </c>
      <c r="H6" s="217" t="s">
        <v>24</v>
      </c>
      <c r="I6" s="209" t="s">
        <v>22</v>
      </c>
      <c r="J6" s="28" t="s">
        <v>23</v>
      </c>
      <c r="K6" s="29" t="s">
        <v>24</v>
      </c>
      <c r="L6" s="30" t="s">
        <v>24</v>
      </c>
      <c r="M6" s="31" t="s">
        <v>25</v>
      </c>
      <c r="N6" s="32" t="s">
        <v>23</v>
      </c>
      <c r="O6" s="33" t="s">
        <v>25</v>
      </c>
      <c r="P6" s="34" t="s">
        <v>23</v>
      </c>
      <c r="Q6" s="226" t="s">
        <v>26</v>
      </c>
      <c r="R6" s="35" t="s">
        <v>27</v>
      </c>
      <c r="S6" s="36" t="s">
        <v>136</v>
      </c>
      <c r="T6" s="222" t="s">
        <v>135</v>
      </c>
      <c r="U6" s="37" t="s">
        <v>22</v>
      </c>
      <c r="V6" s="230" t="s">
        <v>23</v>
      </c>
      <c r="W6" s="234" t="s">
        <v>26</v>
      </c>
      <c r="X6" s="224" t="s">
        <v>27</v>
      </c>
      <c r="Y6" s="225" t="s">
        <v>28</v>
      </c>
      <c r="Z6" s="1"/>
      <c r="AA6" s="361" t="s">
        <v>29</v>
      </c>
      <c r="AB6" s="361"/>
      <c r="AC6" s="361"/>
      <c r="AD6" s="361"/>
      <c r="AE6" s="362" t="s">
        <v>258</v>
      </c>
      <c r="AF6" s="363"/>
      <c r="AG6" s="363"/>
      <c r="AH6" s="364"/>
      <c r="AI6" s="38" t="s">
        <v>31</v>
      </c>
      <c r="AJ6" s="38" t="s">
        <v>32</v>
      </c>
      <c r="AK6" s="39" t="s">
        <v>33</v>
      </c>
      <c r="AL6" s="23" t="s">
        <v>33</v>
      </c>
      <c r="AM6" s="7" t="s">
        <v>173</v>
      </c>
      <c r="AN6" s="7"/>
      <c r="AO6" s="7"/>
      <c r="AP6" s="7"/>
      <c r="AQ6"/>
    </row>
    <row r="7" spans="1:43" x14ac:dyDescent="0.3">
      <c r="A7" s="40">
        <v>1</v>
      </c>
      <c r="B7" s="41"/>
      <c r="C7" s="214">
        <f t="shared" ref="C7:C37" si="0">B7/24</f>
        <v>0</v>
      </c>
      <c r="D7" s="43"/>
      <c r="E7" s="44"/>
      <c r="F7" s="44"/>
      <c r="G7" s="45"/>
      <c r="H7" s="218"/>
      <c r="I7" s="210"/>
      <c r="J7" s="46">
        <f t="shared" ref="J7:J37" si="1">I7/24</f>
        <v>0</v>
      </c>
      <c r="K7" s="47"/>
      <c r="L7" s="48"/>
      <c r="M7" s="49"/>
      <c r="N7" s="50">
        <f t="shared" ref="N7:N37" si="2">M7/24</f>
        <v>0</v>
      </c>
      <c r="O7" s="51"/>
      <c r="P7" s="52">
        <f t="shared" ref="P7:P37" si="3">O7/24</f>
        <v>0</v>
      </c>
      <c r="Q7" s="275"/>
      <c r="R7" s="53"/>
      <c r="S7" s="54"/>
      <c r="T7" s="223"/>
      <c r="U7" s="55">
        <f>SUM(B7,I7,M7,O7,Q7,R7,S7)</f>
        <v>0</v>
      </c>
      <c r="V7" s="231">
        <f t="shared" ref="V7:V37" si="4">U7/24</f>
        <v>0</v>
      </c>
      <c r="W7" s="235"/>
      <c r="X7" s="56"/>
      <c r="Y7" s="57"/>
      <c r="Z7" s="6"/>
      <c r="AA7" s="348"/>
      <c r="AB7" s="348"/>
      <c r="AC7" s="348"/>
      <c r="AD7" s="348"/>
      <c r="AE7" s="350"/>
      <c r="AF7" s="351"/>
      <c r="AG7" s="351"/>
      <c r="AH7" s="352"/>
      <c r="AI7" s="58"/>
      <c r="AJ7" s="58"/>
      <c r="AK7" s="59"/>
      <c r="AL7" s="60">
        <f t="shared" ref="AL7:AL37" si="5">AK7/24</f>
        <v>0</v>
      </c>
      <c r="AO7" s="61"/>
      <c r="AP7" s="61">
        <f t="shared" ref="AP7:AP37" si="6">S7-AO7</f>
        <v>0</v>
      </c>
      <c r="AQ7"/>
    </row>
    <row r="8" spans="1:43" x14ac:dyDescent="0.3">
      <c r="A8" s="62">
        <v>2</v>
      </c>
      <c r="B8" s="41"/>
      <c r="C8" s="42">
        <f t="shared" si="0"/>
        <v>0</v>
      </c>
      <c r="D8" s="63"/>
      <c r="E8" s="44"/>
      <c r="F8" s="64"/>
      <c r="G8" s="20"/>
      <c r="H8" s="216"/>
      <c r="I8" s="210"/>
      <c r="J8" s="46">
        <f t="shared" si="1"/>
        <v>0</v>
      </c>
      <c r="K8" s="47"/>
      <c r="L8" s="48"/>
      <c r="M8" s="49"/>
      <c r="N8" s="50">
        <f t="shared" si="2"/>
        <v>0</v>
      </c>
      <c r="O8" s="51"/>
      <c r="P8" s="52">
        <f t="shared" si="3"/>
        <v>0</v>
      </c>
      <c r="Q8" s="275"/>
      <c r="R8" s="53"/>
      <c r="S8" s="54"/>
      <c r="T8" s="223"/>
      <c r="U8" s="55">
        <f>SUM(B8,I8,M8,O8,Q8,R8,S8)</f>
        <v>0</v>
      </c>
      <c r="V8" s="231">
        <f t="shared" si="4"/>
        <v>0</v>
      </c>
      <c r="W8" s="236"/>
      <c r="X8" s="65"/>
      <c r="Y8" s="66"/>
      <c r="Z8" s="6"/>
      <c r="AA8" s="359"/>
      <c r="AB8" s="348"/>
      <c r="AC8" s="348"/>
      <c r="AD8" s="348"/>
      <c r="AE8" s="350"/>
      <c r="AF8" s="351"/>
      <c r="AG8" s="351"/>
      <c r="AH8" s="352"/>
      <c r="AI8" s="58"/>
      <c r="AJ8" s="58"/>
      <c r="AK8" s="59"/>
      <c r="AL8" s="60">
        <f t="shared" si="5"/>
        <v>0</v>
      </c>
      <c r="AO8" s="61"/>
      <c r="AP8" s="61">
        <f t="shared" si="6"/>
        <v>0</v>
      </c>
      <c r="AQ8"/>
    </row>
    <row r="9" spans="1:43" x14ac:dyDescent="0.3">
      <c r="A9" s="62">
        <v>3</v>
      </c>
      <c r="B9" s="67"/>
      <c r="C9" s="42">
        <f t="shared" si="0"/>
        <v>0</v>
      </c>
      <c r="D9" s="63"/>
      <c r="E9" s="44"/>
      <c r="F9" s="64"/>
      <c r="G9" s="20"/>
      <c r="H9" s="216"/>
      <c r="I9" s="210"/>
      <c r="J9" s="46">
        <f t="shared" si="1"/>
        <v>0</v>
      </c>
      <c r="K9" s="47"/>
      <c r="L9" s="48"/>
      <c r="M9" s="49"/>
      <c r="N9" s="50">
        <f t="shared" si="2"/>
        <v>0</v>
      </c>
      <c r="O9" s="68"/>
      <c r="P9" s="52">
        <f t="shared" si="3"/>
        <v>0</v>
      </c>
      <c r="Q9" s="275"/>
      <c r="R9" s="53"/>
      <c r="S9" s="54"/>
      <c r="T9" s="223"/>
      <c r="U9" s="55">
        <f t="shared" ref="U9:U37" si="7">SUM(B9,I9,M9,O9,Q9,R9,S9)</f>
        <v>0</v>
      </c>
      <c r="V9" s="231">
        <f t="shared" si="4"/>
        <v>0</v>
      </c>
      <c r="W9" s="236"/>
      <c r="X9" s="65"/>
      <c r="Y9" s="66"/>
      <c r="Z9" s="6"/>
      <c r="AA9" s="348"/>
      <c r="AB9" s="348"/>
      <c r="AC9" s="348"/>
      <c r="AD9" s="348"/>
      <c r="AE9" s="350"/>
      <c r="AF9" s="351"/>
      <c r="AG9" s="351"/>
      <c r="AH9" s="352"/>
      <c r="AI9" s="58"/>
      <c r="AJ9" s="58"/>
      <c r="AK9" s="59"/>
      <c r="AL9" s="60">
        <f t="shared" si="5"/>
        <v>0</v>
      </c>
      <c r="AO9" s="61"/>
      <c r="AP9" s="61">
        <f t="shared" si="6"/>
        <v>0</v>
      </c>
      <c r="AQ9"/>
    </row>
    <row r="10" spans="1:43" x14ac:dyDescent="0.3">
      <c r="A10" s="62">
        <v>4</v>
      </c>
      <c r="B10" s="67"/>
      <c r="C10" s="42">
        <f t="shared" si="0"/>
        <v>0</v>
      </c>
      <c r="D10" s="63"/>
      <c r="E10" s="44"/>
      <c r="F10" s="64"/>
      <c r="G10" s="20"/>
      <c r="H10" s="216"/>
      <c r="I10" s="210"/>
      <c r="J10" s="46">
        <f t="shared" si="1"/>
        <v>0</v>
      </c>
      <c r="K10" s="47"/>
      <c r="L10" s="48"/>
      <c r="M10" s="49"/>
      <c r="N10" s="50">
        <f t="shared" si="2"/>
        <v>0</v>
      </c>
      <c r="O10" s="68"/>
      <c r="P10" s="52">
        <f t="shared" si="3"/>
        <v>0</v>
      </c>
      <c r="Q10" s="275"/>
      <c r="R10" s="53"/>
      <c r="S10" s="54"/>
      <c r="T10" s="223"/>
      <c r="U10" s="55">
        <f t="shared" si="7"/>
        <v>0</v>
      </c>
      <c r="V10" s="231">
        <f t="shared" si="4"/>
        <v>0</v>
      </c>
      <c r="W10" s="236"/>
      <c r="X10" s="65"/>
      <c r="Y10" s="66"/>
      <c r="Z10" s="6"/>
      <c r="AA10" s="348"/>
      <c r="AB10" s="348"/>
      <c r="AC10" s="348"/>
      <c r="AD10" s="348"/>
      <c r="AE10" s="350"/>
      <c r="AF10" s="351"/>
      <c r="AG10" s="351"/>
      <c r="AH10" s="352"/>
      <c r="AI10" s="58"/>
      <c r="AJ10" s="58"/>
      <c r="AK10" s="59"/>
      <c r="AL10" s="60">
        <f t="shared" si="5"/>
        <v>0</v>
      </c>
      <c r="AO10" s="61"/>
      <c r="AP10" s="61">
        <f t="shared" si="6"/>
        <v>0</v>
      </c>
      <c r="AQ10"/>
    </row>
    <row r="11" spans="1:43" x14ac:dyDescent="0.3">
      <c r="A11" s="62">
        <v>5</v>
      </c>
      <c r="B11" s="67"/>
      <c r="C11" s="42">
        <f t="shared" si="0"/>
        <v>0</v>
      </c>
      <c r="D11" s="69"/>
      <c r="E11" s="44"/>
      <c r="F11" s="70"/>
      <c r="G11" s="20"/>
      <c r="H11" s="216"/>
      <c r="I11" s="210"/>
      <c r="J11" s="46">
        <f t="shared" si="1"/>
        <v>0</v>
      </c>
      <c r="K11" s="71"/>
      <c r="L11" s="72"/>
      <c r="M11" s="73"/>
      <c r="N11" s="50">
        <f t="shared" si="2"/>
        <v>0</v>
      </c>
      <c r="O11" s="74"/>
      <c r="P11" s="52">
        <f t="shared" si="3"/>
        <v>0</v>
      </c>
      <c r="Q11" s="275"/>
      <c r="R11" s="53"/>
      <c r="S11" s="54"/>
      <c r="T11" s="223"/>
      <c r="U11" s="55">
        <f t="shared" si="7"/>
        <v>0</v>
      </c>
      <c r="V11" s="231">
        <f t="shared" si="4"/>
        <v>0</v>
      </c>
      <c r="W11" s="236"/>
      <c r="X11" s="65"/>
      <c r="Y11" s="66"/>
      <c r="Z11" s="6"/>
      <c r="AA11" s="348"/>
      <c r="AB11" s="348"/>
      <c r="AC11" s="348"/>
      <c r="AD11" s="348"/>
      <c r="AE11" s="350"/>
      <c r="AF11" s="351"/>
      <c r="AG11" s="351"/>
      <c r="AH11" s="352"/>
      <c r="AI11" s="58"/>
      <c r="AJ11" s="58"/>
      <c r="AK11" s="59"/>
      <c r="AL11" s="60">
        <f t="shared" si="5"/>
        <v>0</v>
      </c>
      <c r="AO11" s="61"/>
      <c r="AP11" s="61">
        <f t="shared" si="6"/>
        <v>0</v>
      </c>
      <c r="AQ11"/>
    </row>
    <row r="12" spans="1:43" x14ac:dyDescent="0.3">
      <c r="A12" s="62">
        <v>6</v>
      </c>
      <c r="B12" s="67"/>
      <c r="C12" s="42">
        <f t="shared" si="0"/>
        <v>0</v>
      </c>
      <c r="D12" s="69"/>
      <c r="E12" s="44"/>
      <c r="F12" s="70"/>
      <c r="G12" s="75"/>
      <c r="H12" s="219"/>
      <c r="I12" s="210"/>
      <c r="J12" s="46">
        <f t="shared" si="1"/>
        <v>0</v>
      </c>
      <c r="K12" s="71"/>
      <c r="L12" s="72"/>
      <c r="M12" s="73"/>
      <c r="N12" s="50">
        <f t="shared" si="2"/>
        <v>0</v>
      </c>
      <c r="O12" s="74"/>
      <c r="P12" s="52">
        <f t="shared" si="3"/>
        <v>0</v>
      </c>
      <c r="Q12" s="275"/>
      <c r="R12" s="53"/>
      <c r="S12" s="54"/>
      <c r="T12" s="223"/>
      <c r="U12" s="55">
        <f t="shared" si="7"/>
        <v>0</v>
      </c>
      <c r="V12" s="231">
        <f t="shared" si="4"/>
        <v>0</v>
      </c>
      <c r="W12" s="236"/>
      <c r="X12" s="65"/>
      <c r="Y12" s="66"/>
      <c r="Z12" s="6"/>
      <c r="AA12" s="359"/>
      <c r="AB12" s="348"/>
      <c r="AC12" s="348"/>
      <c r="AD12" s="348"/>
      <c r="AE12" s="360"/>
      <c r="AF12" s="351"/>
      <c r="AG12" s="351"/>
      <c r="AH12" s="352"/>
      <c r="AI12" s="58"/>
      <c r="AJ12" s="58"/>
      <c r="AK12" s="59"/>
      <c r="AL12" s="60">
        <f t="shared" si="5"/>
        <v>0</v>
      </c>
      <c r="AO12" s="61"/>
      <c r="AP12" s="61">
        <f t="shared" si="6"/>
        <v>0</v>
      </c>
      <c r="AQ12"/>
    </row>
    <row r="13" spans="1:43" x14ac:dyDescent="0.3">
      <c r="A13" s="62">
        <v>7</v>
      </c>
      <c r="B13" s="67"/>
      <c r="C13" s="42">
        <f t="shared" si="0"/>
        <v>0</v>
      </c>
      <c r="D13" s="69"/>
      <c r="E13" s="44"/>
      <c r="F13" s="70"/>
      <c r="G13" s="20"/>
      <c r="H13" s="216"/>
      <c r="I13" s="210"/>
      <c r="J13" s="46">
        <f t="shared" si="1"/>
        <v>0</v>
      </c>
      <c r="K13" s="71"/>
      <c r="L13" s="72"/>
      <c r="M13" s="73"/>
      <c r="N13" s="50">
        <f t="shared" si="2"/>
        <v>0</v>
      </c>
      <c r="O13" s="74"/>
      <c r="P13" s="52">
        <f t="shared" si="3"/>
        <v>0</v>
      </c>
      <c r="Q13" s="275"/>
      <c r="R13" s="53"/>
      <c r="S13" s="54"/>
      <c r="T13" s="223"/>
      <c r="U13" s="55">
        <f t="shared" si="7"/>
        <v>0</v>
      </c>
      <c r="V13" s="231">
        <f t="shared" si="4"/>
        <v>0</v>
      </c>
      <c r="W13" s="236"/>
      <c r="X13" s="65"/>
      <c r="Y13" s="66"/>
      <c r="Z13" s="6"/>
      <c r="AA13" s="348"/>
      <c r="AB13" s="348"/>
      <c r="AC13" s="348"/>
      <c r="AD13" s="348"/>
      <c r="AE13" s="360"/>
      <c r="AF13" s="351"/>
      <c r="AG13" s="351"/>
      <c r="AH13" s="352"/>
      <c r="AI13" s="58"/>
      <c r="AJ13" s="58"/>
      <c r="AK13" s="59"/>
      <c r="AL13" s="60">
        <f t="shared" si="5"/>
        <v>0</v>
      </c>
      <c r="AO13" s="61"/>
      <c r="AP13" s="61">
        <f t="shared" si="6"/>
        <v>0</v>
      </c>
      <c r="AQ13"/>
    </row>
    <row r="14" spans="1:43" x14ac:dyDescent="0.3">
      <c r="A14" s="62">
        <v>8</v>
      </c>
      <c r="B14" s="67"/>
      <c r="C14" s="42">
        <f t="shared" si="0"/>
        <v>0</v>
      </c>
      <c r="D14" s="69"/>
      <c r="E14" s="44"/>
      <c r="F14" s="70"/>
      <c r="G14" s="20"/>
      <c r="H14" s="216"/>
      <c r="I14" s="210"/>
      <c r="J14" s="46">
        <f t="shared" si="1"/>
        <v>0</v>
      </c>
      <c r="K14" s="71"/>
      <c r="L14" s="72"/>
      <c r="M14" s="73"/>
      <c r="N14" s="50">
        <f t="shared" si="2"/>
        <v>0</v>
      </c>
      <c r="O14" s="74"/>
      <c r="P14" s="52">
        <f t="shared" si="3"/>
        <v>0</v>
      </c>
      <c r="Q14" s="275"/>
      <c r="R14" s="53"/>
      <c r="S14" s="54"/>
      <c r="T14" s="223"/>
      <c r="U14" s="55">
        <f t="shared" si="7"/>
        <v>0</v>
      </c>
      <c r="V14" s="231">
        <f t="shared" si="4"/>
        <v>0</v>
      </c>
      <c r="W14" s="236"/>
      <c r="X14" s="65"/>
      <c r="Y14" s="66"/>
      <c r="Z14" s="6"/>
      <c r="AA14" s="348"/>
      <c r="AB14" s="348"/>
      <c r="AC14" s="348"/>
      <c r="AD14" s="348"/>
      <c r="AE14" s="350"/>
      <c r="AF14" s="351"/>
      <c r="AG14" s="351"/>
      <c r="AH14" s="352"/>
      <c r="AI14" s="58"/>
      <c r="AJ14" s="58"/>
      <c r="AK14" s="59"/>
      <c r="AL14" s="60">
        <f t="shared" si="5"/>
        <v>0</v>
      </c>
      <c r="AO14" s="61"/>
      <c r="AP14" s="61">
        <f t="shared" si="6"/>
        <v>0</v>
      </c>
      <c r="AQ14"/>
    </row>
    <row r="15" spans="1:43" x14ac:dyDescent="0.3">
      <c r="A15" s="62">
        <v>9</v>
      </c>
      <c r="B15" s="67"/>
      <c r="C15" s="42">
        <f t="shared" si="0"/>
        <v>0</v>
      </c>
      <c r="D15" s="69"/>
      <c r="E15" s="44"/>
      <c r="F15" s="70"/>
      <c r="G15" s="20"/>
      <c r="H15" s="216"/>
      <c r="I15" s="210"/>
      <c r="J15" s="46">
        <f t="shared" si="1"/>
        <v>0</v>
      </c>
      <c r="K15" s="71"/>
      <c r="L15" s="72"/>
      <c r="M15" s="73"/>
      <c r="N15" s="50">
        <f t="shared" si="2"/>
        <v>0</v>
      </c>
      <c r="O15" s="74"/>
      <c r="P15" s="52">
        <f t="shared" si="3"/>
        <v>0</v>
      </c>
      <c r="Q15" s="275"/>
      <c r="R15" s="53"/>
      <c r="S15" s="54"/>
      <c r="T15" s="223"/>
      <c r="U15" s="55">
        <f t="shared" si="7"/>
        <v>0</v>
      </c>
      <c r="V15" s="231">
        <f t="shared" si="4"/>
        <v>0</v>
      </c>
      <c r="W15" s="236"/>
      <c r="X15" s="65"/>
      <c r="Y15" s="66"/>
      <c r="Z15" s="6"/>
      <c r="AA15" s="348"/>
      <c r="AB15" s="348"/>
      <c r="AC15" s="348"/>
      <c r="AD15" s="348"/>
      <c r="AE15" s="350"/>
      <c r="AF15" s="351"/>
      <c r="AG15" s="351"/>
      <c r="AH15" s="352"/>
      <c r="AI15" s="58"/>
      <c r="AJ15" s="58"/>
      <c r="AK15" s="59"/>
      <c r="AL15" s="60">
        <f t="shared" si="5"/>
        <v>0</v>
      </c>
      <c r="AO15" s="61"/>
      <c r="AP15" s="61">
        <f t="shared" si="6"/>
        <v>0</v>
      </c>
      <c r="AQ15"/>
    </row>
    <row r="16" spans="1:43" x14ac:dyDescent="0.3">
      <c r="A16" s="62">
        <v>10</v>
      </c>
      <c r="B16" s="67"/>
      <c r="C16" s="42">
        <f t="shared" si="0"/>
        <v>0</v>
      </c>
      <c r="D16" s="69"/>
      <c r="E16" s="44"/>
      <c r="F16" s="70"/>
      <c r="G16" s="20"/>
      <c r="H16" s="216"/>
      <c r="I16" s="210"/>
      <c r="J16" s="46">
        <f t="shared" si="1"/>
        <v>0</v>
      </c>
      <c r="K16" s="71"/>
      <c r="L16" s="72"/>
      <c r="M16" s="73"/>
      <c r="N16" s="50">
        <f t="shared" si="2"/>
        <v>0</v>
      </c>
      <c r="O16" s="74"/>
      <c r="P16" s="52">
        <f t="shared" si="3"/>
        <v>0</v>
      </c>
      <c r="Q16" s="275"/>
      <c r="R16" s="53"/>
      <c r="S16" s="54"/>
      <c r="T16" s="223"/>
      <c r="U16" s="55">
        <f t="shared" si="7"/>
        <v>0</v>
      </c>
      <c r="V16" s="231">
        <f t="shared" si="4"/>
        <v>0</v>
      </c>
      <c r="W16" s="236"/>
      <c r="X16" s="65"/>
      <c r="Y16" s="66"/>
      <c r="Z16" s="6"/>
      <c r="AA16" s="348"/>
      <c r="AB16" s="348"/>
      <c r="AC16" s="348"/>
      <c r="AD16" s="349"/>
      <c r="AE16" s="350"/>
      <c r="AF16" s="351"/>
      <c r="AG16" s="351"/>
      <c r="AH16" s="352"/>
      <c r="AI16" s="58"/>
      <c r="AJ16" s="58"/>
      <c r="AK16" s="59"/>
      <c r="AL16" s="60">
        <f t="shared" si="5"/>
        <v>0</v>
      </c>
      <c r="AO16" s="61"/>
      <c r="AP16" s="61">
        <f t="shared" si="6"/>
        <v>0</v>
      </c>
      <c r="AQ16"/>
    </row>
    <row r="17" spans="1:43" x14ac:dyDescent="0.3">
      <c r="A17" s="62">
        <v>11</v>
      </c>
      <c r="B17" s="67"/>
      <c r="C17" s="42">
        <f t="shared" si="0"/>
        <v>0</v>
      </c>
      <c r="D17" s="69"/>
      <c r="E17" s="44"/>
      <c r="F17" s="70"/>
      <c r="G17" s="20"/>
      <c r="H17" s="216"/>
      <c r="I17" s="210"/>
      <c r="J17" s="46">
        <f t="shared" si="1"/>
        <v>0</v>
      </c>
      <c r="K17" s="71"/>
      <c r="L17" s="72"/>
      <c r="M17" s="73"/>
      <c r="N17" s="50">
        <f t="shared" si="2"/>
        <v>0</v>
      </c>
      <c r="O17" s="74"/>
      <c r="P17" s="52">
        <f t="shared" si="3"/>
        <v>0</v>
      </c>
      <c r="Q17" s="275"/>
      <c r="R17" s="53"/>
      <c r="S17" s="54"/>
      <c r="T17" s="223"/>
      <c r="U17" s="55">
        <f t="shared" si="7"/>
        <v>0</v>
      </c>
      <c r="V17" s="231">
        <f t="shared" si="4"/>
        <v>0</v>
      </c>
      <c r="W17" s="236"/>
      <c r="X17" s="65"/>
      <c r="Y17" s="66"/>
      <c r="Z17" s="6"/>
      <c r="AA17" s="348"/>
      <c r="AB17" s="348"/>
      <c r="AC17" s="348"/>
      <c r="AD17" s="349"/>
      <c r="AE17" s="350"/>
      <c r="AF17" s="351"/>
      <c r="AG17" s="351"/>
      <c r="AH17" s="352"/>
      <c r="AI17" s="58"/>
      <c r="AJ17" s="58"/>
      <c r="AK17" s="59"/>
      <c r="AL17" s="60">
        <f t="shared" si="5"/>
        <v>0</v>
      </c>
      <c r="AO17" s="61"/>
      <c r="AP17" s="61">
        <f t="shared" si="6"/>
        <v>0</v>
      </c>
      <c r="AQ17"/>
    </row>
    <row r="18" spans="1:43" x14ac:dyDescent="0.3">
      <c r="A18" s="62">
        <v>12</v>
      </c>
      <c r="B18" s="67"/>
      <c r="C18" s="42">
        <f t="shared" si="0"/>
        <v>0</v>
      </c>
      <c r="D18" s="69"/>
      <c r="E18" s="44"/>
      <c r="F18" s="70"/>
      <c r="G18" s="20"/>
      <c r="H18" s="216"/>
      <c r="I18" s="210"/>
      <c r="J18" s="46">
        <f t="shared" si="1"/>
        <v>0</v>
      </c>
      <c r="K18" s="71"/>
      <c r="L18" s="72"/>
      <c r="M18" s="73"/>
      <c r="N18" s="50">
        <f t="shared" si="2"/>
        <v>0</v>
      </c>
      <c r="O18" s="74"/>
      <c r="P18" s="52">
        <f t="shared" si="3"/>
        <v>0</v>
      </c>
      <c r="Q18" s="275"/>
      <c r="R18" s="53"/>
      <c r="S18" s="54"/>
      <c r="T18" s="223"/>
      <c r="U18" s="55">
        <f t="shared" si="7"/>
        <v>0</v>
      </c>
      <c r="V18" s="231">
        <f t="shared" si="4"/>
        <v>0</v>
      </c>
      <c r="W18" s="236"/>
      <c r="X18" s="65"/>
      <c r="Y18" s="66"/>
      <c r="Z18" s="6"/>
      <c r="AA18" s="348"/>
      <c r="AB18" s="348"/>
      <c r="AC18" s="348"/>
      <c r="AD18" s="349"/>
      <c r="AE18" s="350"/>
      <c r="AF18" s="351"/>
      <c r="AG18" s="351"/>
      <c r="AH18" s="352"/>
      <c r="AI18" s="58"/>
      <c r="AJ18" s="58"/>
      <c r="AK18" s="59"/>
      <c r="AL18" s="60">
        <f t="shared" si="5"/>
        <v>0</v>
      </c>
      <c r="AO18" s="61"/>
      <c r="AP18" s="61">
        <f t="shared" si="6"/>
        <v>0</v>
      </c>
      <c r="AQ18"/>
    </row>
    <row r="19" spans="1:43" x14ac:dyDescent="0.3">
      <c r="A19" s="62">
        <v>13</v>
      </c>
      <c r="B19" s="67"/>
      <c r="C19" s="42">
        <f t="shared" si="0"/>
        <v>0</v>
      </c>
      <c r="D19" s="274"/>
      <c r="E19" s="44"/>
      <c r="F19" s="19"/>
      <c r="G19" s="20"/>
      <c r="H19" s="216"/>
      <c r="I19" s="210"/>
      <c r="J19" s="46">
        <f t="shared" si="1"/>
        <v>0</v>
      </c>
      <c r="K19" s="239"/>
      <c r="L19" s="21"/>
      <c r="M19" s="49"/>
      <c r="N19" s="50">
        <f t="shared" si="2"/>
        <v>0</v>
      </c>
      <c r="O19" s="68"/>
      <c r="P19" s="52">
        <f t="shared" si="3"/>
        <v>0</v>
      </c>
      <c r="Q19" s="275"/>
      <c r="R19" s="53"/>
      <c r="S19" s="54"/>
      <c r="T19" s="223"/>
      <c r="U19" s="55">
        <f t="shared" si="7"/>
        <v>0</v>
      </c>
      <c r="V19" s="231">
        <f t="shared" si="4"/>
        <v>0</v>
      </c>
      <c r="W19" s="236"/>
      <c r="X19" s="65"/>
      <c r="Y19" s="66"/>
      <c r="Z19" s="6"/>
      <c r="AA19" s="348"/>
      <c r="AB19" s="348"/>
      <c r="AC19" s="348"/>
      <c r="AD19" s="349"/>
      <c r="AE19" s="350"/>
      <c r="AF19" s="351"/>
      <c r="AG19" s="351"/>
      <c r="AH19" s="352"/>
      <c r="AI19" s="58"/>
      <c r="AJ19" s="58"/>
      <c r="AK19" s="59"/>
      <c r="AL19" s="60">
        <f t="shared" si="5"/>
        <v>0</v>
      </c>
      <c r="AO19" s="61"/>
      <c r="AP19" s="61">
        <f t="shared" si="6"/>
        <v>0</v>
      </c>
      <c r="AQ19"/>
    </row>
    <row r="20" spans="1:43" x14ac:dyDescent="0.3">
      <c r="A20" s="62">
        <v>14</v>
      </c>
      <c r="B20" s="67"/>
      <c r="C20" s="42">
        <f t="shared" si="0"/>
        <v>0</v>
      </c>
      <c r="D20" s="274"/>
      <c r="E20" s="44"/>
      <c r="F20" s="19"/>
      <c r="G20" s="20"/>
      <c r="H20" s="216"/>
      <c r="I20" s="211"/>
      <c r="J20" s="46">
        <f t="shared" si="1"/>
        <v>0</v>
      </c>
      <c r="K20" s="239"/>
      <c r="L20" s="21"/>
      <c r="M20" s="49"/>
      <c r="N20" s="50">
        <f t="shared" si="2"/>
        <v>0</v>
      </c>
      <c r="O20" s="51"/>
      <c r="P20" s="52">
        <f t="shared" si="3"/>
        <v>0</v>
      </c>
      <c r="Q20" s="275"/>
      <c r="R20" s="53"/>
      <c r="S20" s="54"/>
      <c r="T20" s="223"/>
      <c r="U20" s="55">
        <f t="shared" si="7"/>
        <v>0</v>
      </c>
      <c r="V20" s="231">
        <f t="shared" si="4"/>
        <v>0</v>
      </c>
      <c r="W20" s="236"/>
      <c r="X20" s="65"/>
      <c r="Y20" s="66"/>
      <c r="Z20" s="6"/>
      <c r="AA20" s="348"/>
      <c r="AB20" s="348"/>
      <c r="AC20" s="348"/>
      <c r="AD20" s="349"/>
      <c r="AE20" s="350"/>
      <c r="AF20" s="351"/>
      <c r="AG20" s="351"/>
      <c r="AH20" s="352"/>
      <c r="AI20" s="58"/>
      <c r="AJ20" s="58"/>
      <c r="AK20" s="59"/>
      <c r="AL20" s="60">
        <f t="shared" si="5"/>
        <v>0</v>
      </c>
      <c r="AO20" s="61"/>
      <c r="AP20" s="61">
        <f t="shared" si="6"/>
        <v>0</v>
      </c>
      <c r="AQ20"/>
    </row>
    <row r="21" spans="1:43" x14ac:dyDescent="0.3">
      <c r="A21" s="62">
        <v>15</v>
      </c>
      <c r="B21" s="67"/>
      <c r="C21" s="42">
        <f t="shared" si="0"/>
        <v>0</v>
      </c>
      <c r="D21" s="274"/>
      <c r="E21" s="44"/>
      <c r="F21" s="19"/>
      <c r="G21" s="20"/>
      <c r="H21" s="216"/>
      <c r="I21" s="211"/>
      <c r="J21" s="46">
        <f t="shared" si="1"/>
        <v>0</v>
      </c>
      <c r="K21" s="239"/>
      <c r="L21" s="21"/>
      <c r="M21" s="49"/>
      <c r="N21" s="50">
        <f t="shared" si="2"/>
        <v>0</v>
      </c>
      <c r="O21" s="51"/>
      <c r="P21" s="52">
        <f t="shared" si="3"/>
        <v>0</v>
      </c>
      <c r="Q21" s="275"/>
      <c r="R21" s="53"/>
      <c r="S21" s="54"/>
      <c r="T21" s="223"/>
      <c r="U21" s="55">
        <f t="shared" si="7"/>
        <v>0</v>
      </c>
      <c r="V21" s="231">
        <f t="shared" si="4"/>
        <v>0</v>
      </c>
      <c r="W21" s="236"/>
      <c r="X21" s="65"/>
      <c r="Y21" s="66"/>
      <c r="Z21" s="6"/>
      <c r="AA21" s="348"/>
      <c r="AB21" s="348"/>
      <c r="AC21" s="348"/>
      <c r="AD21" s="349"/>
      <c r="AE21" s="350"/>
      <c r="AF21" s="351"/>
      <c r="AG21" s="351"/>
      <c r="AH21" s="352"/>
      <c r="AI21" s="58"/>
      <c r="AJ21" s="58"/>
      <c r="AK21" s="59"/>
      <c r="AL21" s="60">
        <f t="shared" si="5"/>
        <v>0</v>
      </c>
      <c r="AO21" s="61"/>
      <c r="AP21" s="61">
        <f t="shared" si="6"/>
        <v>0</v>
      </c>
      <c r="AQ21"/>
    </row>
    <row r="22" spans="1:43" x14ac:dyDescent="0.3">
      <c r="A22" s="62">
        <v>16</v>
      </c>
      <c r="B22" s="67"/>
      <c r="C22" s="42">
        <f t="shared" si="0"/>
        <v>0</v>
      </c>
      <c r="D22" s="274"/>
      <c r="E22" s="44"/>
      <c r="F22" s="19"/>
      <c r="G22" s="20"/>
      <c r="H22" s="216"/>
      <c r="I22" s="211"/>
      <c r="J22" s="46">
        <f t="shared" si="1"/>
        <v>0</v>
      </c>
      <c r="K22" s="239"/>
      <c r="L22" s="21"/>
      <c r="M22" s="49"/>
      <c r="N22" s="50">
        <f t="shared" si="2"/>
        <v>0</v>
      </c>
      <c r="O22" s="68"/>
      <c r="P22" s="52">
        <f t="shared" si="3"/>
        <v>0</v>
      </c>
      <c r="Q22" s="275"/>
      <c r="R22" s="53"/>
      <c r="S22" s="54"/>
      <c r="T22" s="223"/>
      <c r="U22" s="55">
        <f t="shared" si="7"/>
        <v>0</v>
      </c>
      <c r="V22" s="231">
        <f t="shared" si="4"/>
        <v>0</v>
      </c>
      <c r="W22" s="236"/>
      <c r="X22" s="65"/>
      <c r="Y22" s="66"/>
      <c r="Z22" s="6"/>
      <c r="AA22" s="348"/>
      <c r="AB22" s="348"/>
      <c r="AC22" s="348"/>
      <c r="AD22" s="349"/>
      <c r="AE22" s="350"/>
      <c r="AF22" s="351"/>
      <c r="AG22" s="351"/>
      <c r="AH22" s="352"/>
      <c r="AI22" s="58"/>
      <c r="AJ22" s="58"/>
      <c r="AK22" s="59"/>
      <c r="AL22" s="60">
        <f t="shared" si="5"/>
        <v>0</v>
      </c>
      <c r="AO22" s="61"/>
      <c r="AP22" s="61">
        <f t="shared" si="6"/>
        <v>0</v>
      </c>
      <c r="AQ22"/>
    </row>
    <row r="23" spans="1:43" x14ac:dyDescent="0.3">
      <c r="A23" s="62">
        <v>17</v>
      </c>
      <c r="B23" s="67"/>
      <c r="C23" s="42">
        <f t="shared" si="0"/>
        <v>0</v>
      </c>
      <c r="D23" s="274"/>
      <c r="E23" s="44"/>
      <c r="F23" s="19"/>
      <c r="G23" s="20"/>
      <c r="H23" s="216"/>
      <c r="I23" s="211"/>
      <c r="J23" s="46">
        <f t="shared" si="1"/>
        <v>0</v>
      </c>
      <c r="K23" s="239"/>
      <c r="L23" s="21"/>
      <c r="M23" s="49"/>
      <c r="N23" s="50">
        <f t="shared" si="2"/>
        <v>0</v>
      </c>
      <c r="O23" s="68"/>
      <c r="P23" s="52">
        <f t="shared" si="3"/>
        <v>0</v>
      </c>
      <c r="Q23" s="275"/>
      <c r="R23" s="53"/>
      <c r="S23" s="54"/>
      <c r="T23" s="223"/>
      <c r="U23" s="55">
        <f t="shared" si="7"/>
        <v>0</v>
      </c>
      <c r="V23" s="231">
        <f t="shared" si="4"/>
        <v>0</v>
      </c>
      <c r="W23" s="236"/>
      <c r="X23" s="65"/>
      <c r="Y23" s="66"/>
      <c r="Z23" s="6"/>
      <c r="AA23" s="348"/>
      <c r="AB23" s="348"/>
      <c r="AC23" s="348"/>
      <c r="AD23" s="349"/>
      <c r="AE23" s="350"/>
      <c r="AF23" s="351"/>
      <c r="AG23" s="351"/>
      <c r="AH23" s="352"/>
      <c r="AI23" s="58"/>
      <c r="AJ23" s="58"/>
      <c r="AK23" s="59"/>
      <c r="AL23" s="60">
        <f t="shared" si="5"/>
        <v>0</v>
      </c>
      <c r="AO23" s="61"/>
      <c r="AP23" s="61">
        <f t="shared" si="6"/>
        <v>0</v>
      </c>
      <c r="AQ23"/>
    </row>
    <row r="24" spans="1:43" x14ac:dyDescent="0.3">
      <c r="A24" s="62">
        <v>18</v>
      </c>
      <c r="B24" s="67"/>
      <c r="C24" s="42">
        <f t="shared" si="0"/>
        <v>0</v>
      </c>
      <c r="D24" s="274"/>
      <c r="E24" s="44"/>
      <c r="F24" s="19"/>
      <c r="G24" s="20"/>
      <c r="H24" s="216"/>
      <c r="I24" s="211"/>
      <c r="J24" s="46">
        <f t="shared" si="1"/>
        <v>0</v>
      </c>
      <c r="K24" s="239"/>
      <c r="L24" s="21"/>
      <c r="M24" s="49"/>
      <c r="N24" s="50">
        <f t="shared" si="2"/>
        <v>0</v>
      </c>
      <c r="O24" s="198"/>
      <c r="P24" s="52">
        <f t="shared" si="3"/>
        <v>0</v>
      </c>
      <c r="Q24" s="275"/>
      <c r="R24" s="53"/>
      <c r="S24" s="54"/>
      <c r="T24" s="223"/>
      <c r="U24" s="55">
        <f t="shared" si="7"/>
        <v>0</v>
      </c>
      <c r="V24" s="231">
        <f t="shared" si="4"/>
        <v>0</v>
      </c>
      <c r="W24" s="236"/>
      <c r="X24" s="65"/>
      <c r="Y24" s="66"/>
      <c r="Z24" s="6"/>
      <c r="AA24" s="348"/>
      <c r="AB24" s="348"/>
      <c r="AC24" s="348"/>
      <c r="AD24" s="349"/>
      <c r="AE24" s="350"/>
      <c r="AF24" s="351"/>
      <c r="AG24" s="351"/>
      <c r="AH24" s="352"/>
      <c r="AI24" s="58"/>
      <c r="AJ24" s="58"/>
      <c r="AK24" s="59"/>
      <c r="AL24" s="60">
        <f t="shared" si="5"/>
        <v>0</v>
      </c>
      <c r="AO24" s="61"/>
      <c r="AP24" s="61">
        <f t="shared" si="6"/>
        <v>0</v>
      </c>
      <c r="AQ24"/>
    </row>
    <row r="25" spans="1:43" x14ac:dyDescent="0.3">
      <c r="A25" s="62">
        <v>19</v>
      </c>
      <c r="B25" s="67"/>
      <c r="C25" s="42">
        <f t="shared" si="0"/>
        <v>0</v>
      </c>
      <c r="D25" s="274"/>
      <c r="E25" s="44"/>
      <c r="F25" s="19"/>
      <c r="G25" s="20"/>
      <c r="H25" s="216"/>
      <c r="I25" s="211"/>
      <c r="J25" s="46">
        <f t="shared" si="1"/>
        <v>0</v>
      </c>
      <c r="K25" s="239"/>
      <c r="L25" s="21"/>
      <c r="M25" s="49"/>
      <c r="N25" s="50">
        <f t="shared" si="2"/>
        <v>0</v>
      </c>
      <c r="O25" s="198"/>
      <c r="P25" s="52">
        <f t="shared" si="3"/>
        <v>0</v>
      </c>
      <c r="Q25" s="275"/>
      <c r="R25" s="53"/>
      <c r="S25" s="54"/>
      <c r="T25" s="223"/>
      <c r="U25" s="55">
        <f t="shared" si="7"/>
        <v>0</v>
      </c>
      <c r="V25" s="231">
        <f t="shared" si="4"/>
        <v>0</v>
      </c>
      <c r="W25" s="236"/>
      <c r="X25" s="65"/>
      <c r="Y25" s="66"/>
      <c r="Z25" s="6"/>
      <c r="AA25" s="348"/>
      <c r="AB25" s="348"/>
      <c r="AC25" s="348"/>
      <c r="AD25" s="349"/>
      <c r="AE25" s="350"/>
      <c r="AF25" s="351"/>
      <c r="AG25" s="351"/>
      <c r="AH25" s="352"/>
      <c r="AI25" s="58"/>
      <c r="AJ25" s="58"/>
      <c r="AK25" s="59"/>
      <c r="AL25" s="60">
        <f t="shared" si="5"/>
        <v>0</v>
      </c>
      <c r="AO25" s="61"/>
      <c r="AP25" s="61">
        <f t="shared" si="6"/>
        <v>0</v>
      </c>
      <c r="AQ25"/>
    </row>
    <row r="26" spans="1:43" x14ac:dyDescent="0.3">
      <c r="A26" s="62">
        <v>20</v>
      </c>
      <c r="B26" s="67"/>
      <c r="C26" s="42">
        <f t="shared" si="0"/>
        <v>0</v>
      </c>
      <c r="D26" s="274"/>
      <c r="E26" s="44"/>
      <c r="F26" s="19"/>
      <c r="G26" s="20"/>
      <c r="H26" s="216"/>
      <c r="I26" s="211"/>
      <c r="J26" s="46">
        <f t="shared" si="1"/>
        <v>0</v>
      </c>
      <c r="K26" s="239"/>
      <c r="L26" s="21"/>
      <c r="M26" s="49"/>
      <c r="N26" s="50">
        <f t="shared" si="2"/>
        <v>0</v>
      </c>
      <c r="O26" s="198"/>
      <c r="P26" s="52">
        <f t="shared" si="3"/>
        <v>0</v>
      </c>
      <c r="Q26" s="275"/>
      <c r="R26" s="53"/>
      <c r="S26" s="54"/>
      <c r="T26" s="223"/>
      <c r="U26" s="55">
        <f t="shared" si="7"/>
        <v>0</v>
      </c>
      <c r="V26" s="231">
        <f t="shared" si="4"/>
        <v>0</v>
      </c>
      <c r="W26" s="236"/>
      <c r="X26" s="65"/>
      <c r="Y26" s="66"/>
      <c r="Z26" s="6"/>
      <c r="AA26" s="348"/>
      <c r="AB26" s="348"/>
      <c r="AC26" s="348"/>
      <c r="AD26" s="349"/>
      <c r="AE26" s="350"/>
      <c r="AF26" s="351"/>
      <c r="AG26" s="351"/>
      <c r="AH26" s="352"/>
      <c r="AI26" s="58"/>
      <c r="AJ26" s="58"/>
      <c r="AK26" s="59"/>
      <c r="AL26" s="60">
        <f t="shared" si="5"/>
        <v>0</v>
      </c>
      <c r="AO26" s="61"/>
      <c r="AP26" s="61">
        <f t="shared" si="6"/>
        <v>0</v>
      </c>
      <c r="AQ26"/>
    </row>
    <row r="27" spans="1:43" x14ac:dyDescent="0.3">
      <c r="A27" s="62">
        <v>21</v>
      </c>
      <c r="B27" s="67"/>
      <c r="C27" s="42">
        <f t="shared" si="0"/>
        <v>0</v>
      </c>
      <c r="D27" s="274"/>
      <c r="E27" s="44"/>
      <c r="F27" s="19"/>
      <c r="G27" s="20"/>
      <c r="H27" s="216"/>
      <c r="I27" s="211"/>
      <c r="J27" s="46">
        <f t="shared" si="1"/>
        <v>0</v>
      </c>
      <c r="K27" s="239"/>
      <c r="L27" s="21"/>
      <c r="M27" s="49"/>
      <c r="N27" s="50">
        <f t="shared" si="2"/>
        <v>0</v>
      </c>
      <c r="O27" s="198"/>
      <c r="P27" s="52">
        <f t="shared" si="3"/>
        <v>0</v>
      </c>
      <c r="Q27" s="275"/>
      <c r="R27" s="53"/>
      <c r="S27" s="54"/>
      <c r="T27" s="223"/>
      <c r="U27" s="55">
        <f t="shared" si="7"/>
        <v>0</v>
      </c>
      <c r="V27" s="231">
        <f t="shared" si="4"/>
        <v>0</v>
      </c>
      <c r="W27" s="236"/>
      <c r="X27" s="65"/>
      <c r="Y27" s="66"/>
      <c r="Z27" s="6"/>
      <c r="AA27" s="348"/>
      <c r="AB27" s="348"/>
      <c r="AC27" s="348"/>
      <c r="AD27" s="349"/>
      <c r="AE27" s="350"/>
      <c r="AF27" s="351"/>
      <c r="AG27" s="351"/>
      <c r="AH27" s="352"/>
      <c r="AI27" s="58"/>
      <c r="AJ27" s="58"/>
      <c r="AK27" s="59"/>
      <c r="AL27" s="60">
        <f t="shared" si="5"/>
        <v>0</v>
      </c>
      <c r="AO27" s="61"/>
      <c r="AP27" s="61">
        <f t="shared" si="6"/>
        <v>0</v>
      </c>
      <c r="AQ27"/>
    </row>
    <row r="28" spans="1:43" x14ac:dyDescent="0.3">
      <c r="A28" s="62">
        <v>22</v>
      </c>
      <c r="B28" s="67"/>
      <c r="C28" s="42">
        <f t="shared" si="0"/>
        <v>0</v>
      </c>
      <c r="D28" s="274"/>
      <c r="E28" s="44"/>
      <c r="F28" s="19"/>
      <c r="G28" s="20"/>
      <c r="H28" s="216"/>
      <c r="I28" s="211"/>
      <c r="J28" s="46">
        <f t="shared" si="1"/>
        <v>0</v>
      </c>
      <c r="K28" s="239"/>
      <c r="L28" s="21"/>
      <c r="M28" s="49"/>
      <c r="N28" s="50">
        <f t="shared" si="2"/>
        <v>0</v>
      </c>
      <c r="O28" s="198"/>
      <c r="P28" s="52">
        <f t="shared" si="3"/>
        <v>0</v>
      </c>
      <c r="Q28" s="275"/>
      <c r="R28" s="53"/>
      <c r="S28" s="54"/>
      <c r="T28" s="223"/>
      <c r="U28" s="55">
        <f t="shared" si="7"/>
        <v>0</v>
      </c>
      <c r="V28" s="231">
        <f t="shared" si="4"/>
        <v>0</v>
      </c>
      <c r="W28" s="236"/>
      <c r="X28" s="65"/>
      <c r="Y28" s="66"/>
      <c r="Z28" s="6"/>
      <c r="AA28" s="348"/>
      <c r="AB28" s="348"/>
      <c r="AC28" s="348"/>
      <c r="AD28" s="349"/>
      <c r="AE28" s="350"/>
      <c r="AF28" s="351"/>
      <c r="AG28" s="351"/>
      <c r="AH28" s="352"/>
      <c r="AI28" s="58"/>
      <c r="AJ28" s="58"/>
      <c r="AK28" s="59"/>
      <c r="AL28" s="60">
        <f t="shared" si="5"/>
        <v>0</v>
      </c>
      <c r="AO28" s="61"/>
      <c r="AP28" s="61">
        <f t="shared" si="6"/>
        <v>0</v>
      </c>
      <c r="AQ28"/>
    </row>
    <row r="29" spans="1:43" x14ac:dyDescent="0.3">
      <c r="A29" s="62">
        <v>23</v>
      </c>
      <c r="B29" s="67"/>
      <c r="C29" s="42">
        <f t="shared" si="0"/>
        <v>0</v>
      </c>
      <c r="D29" s="274"/>
      <c r="E29" s="44"/>
      <c r="F29" s="19"/>
      <c r="G29" s="20"/>
      <c r="H29" s="216"/>
      <c r="I29" s="211"/>
      <c r="J29" s="46">
        <f t="shared" si="1"/>
        <v>0</v>
      </c>
      <c r="K29" s="239"/>
      <c r="L29" s="21"/>
      <c r="M29" s="49"/>
      <c r="N29" s="50">
        <f t="shared" si="2"/>
        <v>0</v>
      </c>
      <c r="O29" s="198"/>
      <c r="P29" s="52">
        <f t="shared" si="3"/>
        <v>0</v>
      </c>
      <c r="Q29" s="275"/>
      <c r="R29" s="53"/>
      <c r="S29" s="54"/>
      <c r="T29" s="223"/>
      <c r="U29" s="55">
        <f t="shared" si="7"/>
        <v>0</v>
      </c>
      <c r="V29" s="231">
        <f t="shared" si="4"/>
        <v>0</v>
      </c>
      <c r="W29" s="236"/>
      <c r="X29" s="65"/>
      <c r="Y29" s="66"/>
      <c r="Z29" s="6"/>
      <c r="AA29" s="348"/>
      <c r="AB29" s="348"/>
      <c r="AC29" s="348"/>
      <c r="AD29" s="349"/>
      <c r="AE29" s="350"/>
      <c r="AF29" s="351"/>
      <c r="AG29" s="351"/>
      <c r="AH29" s="352"/>
      <c r="AI29" s="58"/>
      <c r="AJ29" s="58"/>
      <c r="AK29" s="59"/>
      <c r="AL29" s="60">
        <f t="shared" si="5"/>
        <v>0</v>
      </c>
      <c r="AO29" s="61"/>
      <c r="AP29" s="61">
        <f t="shared" si="6"/>
        <v>0</v>
      </c>
      <c r="AQ29"/>
    </row>
    <row r="30" spans="1:43" x14ac:dyDescent="0.3">
      <c r="A30" s="62">
        <v>24</v>
      </c>
      <c r="B30" s="67"/>
      <c r="C30" s="42">
        <f t="shared" si="0"/>
        <v>0</v>
      </c>
      <c r="D30" s="274"/>
      <c r="E30" s="44"/>
      <c r="F30" s="19"/>
      <c r="G30" s="20"/>
      <c r="H30" s="216"/>
      <c r="I30" s="211"/>
      <c r="J30" s="46">
        <f t="shared" si="1"/>
        <v>0</v>
      </c>
      <c r="K30" s="239"/>
      <c r="L30" s="21"/>
      <c r="M30" s="49"/>
      <c r="N30" s="50">
        <f t="shared" si="2"/>
        <v>0</v>
      </c>
      <c r="O30" s="198"/>
      <c r="P30" s="52">
        <f t="shared" si="3"/>
        <v>0</v>
      </c>
      <c r="Q30" s="275"/>
      <c r="R30" s="53"/>
      <c r="S30" s="54"/>
      <c r="T30" s="223"/>
      <c r="U30" s="55">
        <f t="shared" si="7"/>
        <v>0</v>
      </c>
      <c r="V30" s="231">
        <f t="shared" si="4"/>
        <v>0</v>
      </c>
      <c r="W30" s="236"/>
      <c r="X30" s="65"/>
      <c r="Y30" s="66"/>
      <c r="Z30" s="6"/>
      <c r="AA30" s="359"/>
      <c r="AB30" s="348"/>
      <c r="AC30" s="348"/>
      <c r="AD30" s="349"/>
      <c r="AE30" s="350"/>
      <c r="AF30" s="351"/>
      <c r="AG30" s="351"/>
      <c r="AH30" s="352"/>
      <c r="AI30" s="58"/>
      <c r="AJ30" s="58"/>
      <c r="AK30" s="59"/>
      <c r="AL30" s="60">
        <f t="shared" si="5"/>
        <v>0</v>
      </c>
      <c r="AO30" s="61"/>
      <c r="AP30" s="61">
        <f t="shared" si="6"/>
        <v>0</v>
      </c>
      <c r="AQ30"/>
    </row>
    <row r="31" spans="1:43" x14ac:dyDescent="0.3">
      <c r="A31" s="62">
        <v>25</v>
      </c>
      <c r="B31" s="67"/>
      <c r="C31" s="42">
        <f t="shared" si="0"/>
        <v>0</v>
      </c>
      <c r="D31" s="274"/>
      <c r="E31" s="44"/>
      <c r="F31" s="19"/>
      <c r="G31" s="20"/>
      <c r="H31" s="216"/>
      <c r="I31" s="211"/>
      <c r="J31" s="46">
        <f t="shared" si="1"/>
        <v>0</v>
      </c>
      <c r="K31" s="239"/>
      <c r="L31" s="21"/>
      <c r="M31" s="49"/>
      <c r="N31" s="50">
        <f t="shared" si="2"/>
        <v>0</v>
      </c>
      <c r="O31" s="198"/>
      <c r="P31" s="52">
        <f t="shared" si="3"/>
        <v>0</v>
      </c>
      <c r="Q31" s="275"/>
      <c r="R31" s="53"/>
      <c r="S31" s="54"/>
      <c r="T31" s="223"/>
      <c r="U31" s="55">
        <f t="shared" si="7"/>
        <v>0</v>
      </c>
      <c r="V31" s="231">
        <f t="shared" si="4"/>
        <v>0</v>
      </c>
      <c r="W31" s="236"/>
      <c r="X31" s="65"/>
      <c r="Y31" s="66"/>
      <c r="Z31" s="6"/>
      <c r="AA31" s="348"/>
      <c r="AB31" s="348"/>
      <c r="AC31" s="348"/>
      <c r="AD31" s="349"/>
      <c r="AE31" s="350"/>
      <c r="AF31" s="351"/>
      <c r="AG31" s="351"/>
      <c r="AH31" s="352"/>
      <c r="AI31" s="58"/>
      <c r="AJ31" s="58"/>
      <c r="AK31" s="59"/>
      <c r="AL31" s="60">
        <f t="shared" si="5"/>
        <v>0</v>
      </c>
      <c r="AO31" s="61"/>
      <c r="AP31" s="61">
        <f t="shared" si="6"/>
        <v>0</v>
      </c>
      <c r="AQ31"/>
    </row>
    <row r="32" spans="1:43" x14ac:dyDescent="0.3">
      <c r="A32" s="62">
        <v>26</v>
      </c>
      <c r="B32" s="67"/>
      <c r="C32" s="42">
        <f t="shared" si="0"/>
        <v>0</v>
      </c>
      <c r="D32" s="274"/>
      <c r="E32" s="44"/>
      <c r="F32" s="19"/>
      <c r="G32" s="20"/>
      <c r="H32" s="216"/>
      <c r="I32" s="211"/>
      <c r="J32" s="46">
        <f t="shared" si="1"/>
        <v>0</v>
      </c>
      <c r="K32" s="239"/>
      <c r="L32" s="21"/>
      <c r="M32" s="200"/>
      <c r="N32" s="50">
        <f t="shared" si="2"/>
        <v>0</v>
      </c>
      <c r="O32" s="198"/>
      <c r="P32" s="52">
        <f t="shared" si="3"/>
        <v>0</v>
      </c>
      <c r="Q32" s="275"/>
      <c r="R32" s="53"/>
      <c r="S32" s="54"/>
      <c r="T32" s="223"/>
      <c r="U32" s="55">
        <f t="shared" si="7"/>
        <v>0</v>
      </c>
      <c r="V32" s="231">
        <f t="shared" si="4"/>
        <v>0</v>
      </c>
      <c r="W32" s="236"/>
      <c r="X32" s="65"/>
      <c r="Y32" s="66"/>
      <c r="Z32" s="6"/>
      <c r="AA32" s="348"/>
      <c r="AB32" s="348"/>
      <c r="AC32" s="348"/>
      <c r="AD32" s="349"/>
      <c r="AE32" s="350"/>
      <c r="AF32" s="351"/>
      <c r="AG32" s="351"/>
      <c r="AH32" s="352"/>
      <c r="AI32" s="58"/>
      <c r="AJ32" s="58"/>
      <c r="AK32" s="59"/>
      <c r="AL32" s="60">
        <f t="shared" si="5"/>
        <v>0</v>
      </c>
      <c r="AO32" s="61"/>
      <c r="AP32" s="61">
        <f t="shared" si="6"/>
        <v>0</v>
      </c>
      <c r="AQ32"/>
    </row>
    <row r="33" spans="1:43" x14ac:dyDescent="0.3">
      <c r="A33" s="62">
        <v>27</v>
      </c>
      <c r="B33" s="67"/>
      <c r="C33" s="42">
        <f t="shared" si="0"/>
        <v>0</v>
      </c>
      <c r="D33" s="274"/>
      <c r="E33" s="44"/>
      <c r="F33" s="19"/>
      <c r="G33" s="20"/>
      <c r="H33" s="216"/>
      <c r="I33" s="211"/>
      <c r="J33" s="46">
        <f t="shared" si="1"/>
        <v>0</v>
      </c>
      <c r="K33" s="239"/>
      <c r="L33" s="21"/>
      <c r="M33" s="200"/>
      <c r="N33" s="50">
        <f t="shared" si="2"/>
        <v>0</v>
      </c>
      <c r="O33" s="198"/>
      <c r="P33" s="52">
        <f t="shared" si="3"/>
        <v>0</v>
      </c>
      <c r="Q33" s="275"/>
      <c r="R33" s="53"/>
      <c r="S33" s="54"/>
      <c r="T33" s="223"/>
      <c r="U33" s="55">
        <f t="shared" si="7"/>
        <v>0</v>
      </c>
      <c r="V33" s="231">
        <f t="shared" si="4"/>
        <v>0</v>
      </c>
      <c r="W33" s="236"/>
      <c r="X33" s="65"/>
      <c r="Y33" s="66"/>
      <c r="Z33" s="6"/>
      <c r="AA33" s="348"/>
      <c r="AB33" s="348"/>
      <c r="AC33" s="348"/>
      <c r="AD33" s="349"/>
      <c r="AE33" s="350"/>
      <c r="AF33" s="351"/>
      <c r="AG33" s="351"/>
      <c r="AH33" s="352"/>
      <c r="AI33" s="58"/>
      <c r="AJ33" s="58"/>
      <c r="AK33" s="59"/>
      <c r="AL33" s="60">
        <f t="shared" si="5"/>
        <v>0</v>
      </c>
      <c r="AO33" s="61"/>
      <c r="AP33" s="61">
        <f t="shared" si="6"/>
        <v>0</v>
      </c>
      <c r="AQ33"/>
    </row>
    <row r="34" spans="1:43" x14ac:dyDescent="0.3">
      <c r="A34" s="62">
        <v>28</v>
      </c>
      <c r="B34" s="67"/>
      <c r="C34" s="42">
        <f t="shared" si="0"/>
        <v>0</v>
      </c>
      <c r="D34" s="274"/>
      <c r="E34" s="44"/>
      <c r="F34" s="19"/>
      <c r="G34" s="20"/>
      <c r="H34" s="216"/>
      <c r="I34" s="211"/>
      <c r="J34" s="46">
        <f t="shared" si="1"/>
        <v>0</v>
      </c>
      <c r="K34" s="239"/>
      <c r="L34" s="21"/>
      <c r="M34" s="200"/>
      <c r="N34" s="50">
        <f t="shared" si="2"/>
        <v>0</v>
      </c>
      <c r="O34" s="198"/>
      <c r="P34" s="52">
        <f t="shared" si="3"/>
        <v>0</v>
      </c>
      <c r="Q34" s="275"/>
      <c r="R34" s="53"/>
      <c r="S34" s="54"/>
      <c r="T34" s="223"/>
      <c r="U34" s="55">
        <f t="shared" si="7"/>
        <v>0</v>
      </c>
      <c r="V34" s="231">
        <f t="shared" si="4"/>
        <v>0</v>
      </c>
      <c r="W34" s="236"/>
      <c r="X34" s="65"/>
      <c r="Y34" s="66"/>
      <c r="Z34" s="6"/>
      <c r="AA34" s="348"/>
      <c r="AB34" s="348"/>
      <c r="AC34" s="348"/>
      <c r="AD34" s="349"/>
      <c r="AE34" s="350"/>
      <c r="AF34" s="351"/>
      <c r="AG34" s="351"/>
      <c r="AH34" s="352"/>
      <c r="AI34" s="58"/>
      <c r="AJ34" s="58"/>
      <c r="AK34" s="59"/>
      <c r="AL34" s="60">
        <f t="shared" si="5"/>
        <v>0</v>
      </c>
      <c r="AO34" s="61"/>
      <c r="AP34" s="61">
        <f t="shared" si="6"/>
        <v>0</v>
      </c>
      <c r="AQ34"/>
    </row>
    <row r="35" spans="1:43" x14ac:dyDescent="0.3">
      <c r="A35" s="62">
        <v>29</v>
      </c>
      <c r="B35" s="67"/>
      <c r="C35" s="42">
        <f t="shared" si="0"/>
        <v>0</v>
      </c>
      <c r="D35" s="274"/>
      <c r="E35" s="44"/>
      <c r="F35" s="19"/>
      <c r="G35" s="20"/>
      <c r="H35" s="216"/>
      <c r="I35" s="211"/>
      <c r="J35" s="46">
        <f t="shared" si="1"/>
        <v>0</v>
      </c>
      <c r="K35" s="239"/>
      <c r="L35" s="21"/>
      <c r="M35" s="200"/>
      <c r="N35" s="50">
        <f t="shared" si="2"/>
        <v>0</v>
      </c>
      <c r="O35" s="198"/>
      <c r="P35" s="52">
        <f t="shared" si="3"/>
        <v>0</v>
      </c>
      <c r="Q35" s="275"/>
      <c r="R35" s="53"/>
      <c r="S35" s="54"/>
      <c r="T35" s="223"/>
      <c r="U35" s="55">
        <f t="shared" si="7"/>
        <v>0</v>
      </c>
      <c r="V35" s="231">
        <f t="shared" si="4"/>
        <v>0</v>
      </c>
      <c r="W35" s="236"/>
      <c r="X35" s="65"/>
      <c r="Y35" s="66"/>
      <c r="Z35" s="6"/>
      <c r="AA35" s="348"/>
      <c r="AB35" s="348"/>
      <c r="AC35" s="348"/>
      <c r="AD35" s="349"/>
      <c r="AE35" s="350"/>
      <c r="AF35" s="351"/>
      <c r="AG35" s="351"/>
      <c r="AH35" s="352"/>
      <c r="AI35" s="58"/>
      <c r="AJ35" s="58"/>
      <c r="AK35" s="59"/>
      <c r="AL35" s="60">
        <f t="shared" si="5"/>
        <v>0</v>
      </c>
      <c r="AO35" s="61"/>
      <c r="AP35" s="61">
        <f t="shared" si="6"/>
        <v>0</v>
      </c>
      <c r="AQ35"/>
    </row>
    <row r="36" spans="1:43" x14ac:dyDescent="0.3">
      <c r="A36" s="62">
        <v>30</v>
      </c>
      <c r="B36" s="67"/>
      <c r="C36" s="42">
        <f t="shared" si="0"/>
        <v>0</v>
      </c>
      <c r="D36" s="274"/>
      <c r="E36" s="44"/>
      <c r="F36" s="19"/>
      <c r="G36" s="20"/>
      <c r="H36" s="216"/>
      <c r="I36" s="211"/>
      <c r="J36" s="46">
        <f t="shared" si="1"/>
        <v>0</v>
      </c>
      <c r="K36" s="239"/>
      <c r="L36" s="21"/>
      <c r="M36" s="200"/>
      <c r="N36" s="50">
        <f t="shared" si="2"/>
        <v>0</v>
      </c>
      <c r="O36" s="198"/>
      <c r="P36" s="52">
        <f t="shared" si="3"/>
        <v>0</v>
      </c>
      <c r="Q36" s="275"/>
      <c r="R36" s="53"/>
      <c r="S36" s="54"/>
      <c r="T36" s="223"/>
      <c r="U36" s="55">
        <f t="shared" si="7"/>
        <v>0</v>
      </c>
      <c r="V36" s="231">
        <f t="shared" si="4"/>
        <v>0</v>
      </c>
      <c r="W36" s="236"/>
      <c r="X36" s="65"/>
      <c r="Y36" s="66"/>
      <c r="Z36" s="6"/>
      <c r="AA36" s="348"/>
      <c r="AB36" s="348"/>
      <c r="AC36" s="348"/>
      <c r="AD36" s="349"/>
      <c r="AE36" s="350"/>
      <c r="AF36" s="351"/>
      <c r="AG36" s="351"/>
      <c r="AH36" s="352"/>
      <c r="AI36" s="58"/>
      <c r="AJ36" s="58"/>
      <c r="AK36" s="59"/>
      <c r="AL36" s="60">
        <f t="shared" si="5"/>
        <v>0</v>
      </c>
      <c r="AO36" s="61"/>
      <c r="AP36" s="61">
        <f t="shared" si="6"/>
        <v>0</v>
      </c>
      <c r="AQ36"/>
    </row>
    <row r="37" spans="1:43" ht="17.25" thickBot="1" x14ac:dyDescent="0.35">
      <c r="A37" s="62">
        <v>31</v>
      </c>
      <c r="B37" s="67"/>
      <c r="C37" s="42">
        <f t="shared" si="0"/>
        <v>0</v>
      </c>
      <c r="D37" s="76"/>
      <c r="E37" s="44"/>
      <c r="F37" s="77"/>
      <c r="G37" s="78"/>
      <c r="H37" s="220"/>
      <c r="I37" s="211"/>
      <c r="J37" s="46">
        <f t="shared" si="1"/>
        <v>0</v>
      </c>
      <c r="K37" s="79"/>
      <c r="L37" s="80"/>
      <c r="M37" s="201"/>
      <c r="N37" s="50">
        <f t="shared" si="2"/>
        <v>0</v>
      </c>
      <c r="O37" s="199"/>
      <c r="P37" s="81">
        <f t="shared" si="3"/>
        <v>0</v>
      </c>
      <c r="Q37" s="227"/>
      <c r="R37" s="82"/>
      <c r="S37" s="54"/>
      <c r="T37" s="223"/>
      <c r="U37" s="55">
        <f t="shared" si="7"/>
        <v>0</v>
      </c>
      <c r="V37" s="232">
        <f t="shared" si="4"/>
        <v>0</v>
      </c>
      <c r="W37" s="237"/>
      <c r="X37" s="83"/>
      <c r="Y37" s="84"/>
      <c r="Z37" s="85"/>
      <c r="AA37" s="348"/>
      <c r="AB37" s="348"/>
      <c r="AC37" s="348"/>
      <c r="AD37" s="349"/>
      <c r="AE37" s="350"/>
      <c r="AF37" s="351"/>
      <c r="AG37" s="351"/>
      <c r="AH37" s="352"/>
      <c r="AI37" s="58"/>
      <c r="AJ37" s="58"/>
      <c r="AK37" s="59"/>
      <c r="AL37" s="60">
        <f t="shared" si="5"/>
        <v>0</v>
      </c>
      <c r="AN37" s="85"/>
      <c r="AO37" s="85"/>
      <c r="AP37" s="61">
        <f t="shared" si="6"/>
        <v>0</v>
      </c>
      <c r="AQ37"/>
    </row>
    <row r="38" spans="1:43" ht="17.25" thickBot="1" x14ac:dyDescent="0.35">
      <c r="A38" s="86" t="s">
        <v>35</v>
      </c>
      <c r="B38" s="87">
        <f t="shared" ref="B38:I38" si="8">SUM(B7:B37)</f>
        <v>0</v>
      </c>
      <c r="C38" s="88">
        <f t="shared" si="8"/>
        <v>0</v>
      </c>
      <c r="D38" s="89">
        <f t="shared" si="8"/>
        <v>0</v>
      </c>
      <c r="E38" s="89">
        <f t="shared" si="8"/>
        <v>0</v>
      </c>
      <c r="F38" s="89">
        <f t="shared" si="8"/>
        <v>0</v>
      </c>
      <c r="G38" s="90">
        <f t="shared" si="8"/>
        <v>0</v>
      </c>
      <c r="H38" s="221">
        <f t="shared" si="8"/>
        <v>0</v>
      </c>
      <c r="I38" s="212">
        <f t="shared" si="8"/>
        <v>0</v>
      </c>
      <c r="J38" s="88"/>
      <c r="K38" s="89">
        <f>SUM(K7:K37)</f>
        <v>0</v>
      </c>
      <c r="L38" s="91">
        <f>SUM(L7:L37)</f>
        <v>0</v>
      </c>
      <c r="M38" s="92">
        <f>SUM(M7:M37)</f>
        <v>0</v>
      </c>
      <c r="N38" s="89"/>
      <c r="O38" s="87">
        <f>SUM(O7:O37)</f>
        <v>0</v>
      </c>
      <c r="P38" s="93"/>
      <c r="Q38" s="212">
        <f>SUM(Q7:Q37)</f>
        <v>0</v>
      </c>
      <c r="R38" s="87">
        <f>SUM(R7:R37)</f>
        <v>0</v>
      </c>
      <c r="S38" s="87">
        <f>SUM(S7:S37)</f>
        <v>0</v>
      </c>
      <c r="T38" s="87">
        <f>SUM(T7:T37)</f>
        <v>0</v>
      </c>
      <c r="U38" s="94">
        <f>SUM(U7:U37)</f>
        <v>0</v>
      </c>
      <c r="V38" s="207"/>
      <c r="W38" s="238">
        <f>SUM(W7:W37)</f>
        <v>0</v>
      </c>
      <c r="X38" s="89">
        <f>SUM(X7:X37)</f>
        <v>0</v>
      </c>
      <c r="Y38" s="91">
        <f>SUM(Y7:Y37)</f>
        <v>0</v>
      </c>
      <c r="Z38" s="6"/>
      <c r="AA38" s="5"/>
      <c r="AB38" s="6"/>
      <c r="AC38" s="6"/>
      <c r="AD38" s="6"/>
      <c r="AE38" s="6"/>
      <c r="AF38" s="6"/>
      <c r="AG38" s="7" t="s">
        <v>36</v>
      </c>
      <c r="AH38" s="241"/>
      <c r="AI38" s="95">
        <f>SUM(AI7:AI37)/60</f>
        <v>0</v>
      </c>
      <c r="AJ38" s="242">
        <f>SUM(AJ7:AJ37)/60</f>
        <v>0</v>
      </c>
      <c r="AK38" s="245">
        <f>SUM(AK7:AK37)</f>
        <v>0</v>
      </c>
      <c r="AL38" s="97">
        <f>SUM(AL7:AL37)/60</f>
        <v>0</v>
      </c>
      <c r="AM38" s="240">
        <f>SUM(AM7:AM37)/60</f>
        <v>0</v>
      </c>
      <c r="AP38"/>
      <c r="AQ38"/>
    </row>
    <row r="39" spans="1:43" ht="17.25" thickBot="1" x14ac:dyDescent="0.35">
      <c r="A39" s="98" t="s">
        <v>37</v>
      </c>
      <c r="B39" s="99" t="e">
        <f>AVERAGE(B7:B37)</f>
        <v>#DIV/0!</v>
      </c>
      <c r="C39" s="100" t="e">
        <f>B39/24</f>
        <v>#DIV/0!</v>
      </c>
      <c r="D39" s="101" t="e">
        <f t="shared" ref="D39:I39" si="9">AVERAGE(D7:D37)</f>
        <v>#DIV/0!</v>
      </c>
      <c r="E39" s="101" t="e">
        <f t="shared" si="9"/>
        <v>#DIV/0!</v>
      </c>
      <c r="F39" s="101" t="e">
        <f t="shared" si="9"/>
        <v>#DIV/0!</v>
      </c>
      <c r="G39" s="208" t="e">
        <f t="shared" si="9"/>
        <v>#DIV/0!</v>
      </c>
      <c r="H39" s="102" t="e">
        <f t="shared" si="9"/>
        <v>#DIV/0!</v>
      </c>
      <c r="I39" s="213" t="e">
        <f t="shared" si="9"/>
        <v>#DIV/0!</v>
      </c>
      <c r="J39" s="103" t="e">
        <f>I39/24</f>
        <v>#DIV/0!</v>
      </c>
      <c r="K39" s="101" t="e">
        <f>AVERAGE(K7:K37)</f>
        <v>#DIV/0!</v>
      </c>
      <c r="L39" s="104" t="e">
        <f>AVERAGE(L7:L37)</f>
        <v>#DIV/0!</v>
      </c>
      <c r="M39" s="105" t="e">
        <f>AVERAGE(M7:M37)</f>
        <v>#DIV/0!</v>
      </c>
      <c r="N39" s="103" t="e">
        <f>M39/24</f>
        <v>#DIV/0!</v>
      </c>
      <c r="O39" s="101" t="e">
        <f>AVERAGE(O7:O37)</f>
        <v>#DIV/0!</v>
      </c>
      <c r="P39" s="229" t="e">
        <f>O39/24</f>
        <v>#DIV/0!</v>
      </c>
      <c r="Q39" s="228" t="e">
        <f>AVERAGE(Q7:Q37)</f>
        <v>#DIV/0!</v>
      </c>
      <c r="R39" s="106" t="e">
        <f>AVERAGE(R7:R37)</f>
        <v>#DIV/0!</v>
      </c>
      <c r="S39" s="102" t="e">
        <f>AVERAGE(S7:S37)</f>
        <v>#DIV/0!</v>
      </c>
      <c r="T39" s="102" t="e">
        <f>AVERAGE(T7:T37)</f>
        <v>#DIV/0!</v>
      </c>
      <c r="U39" s="107">
        <f>AVERAGE(U7:U37)</f>
        <v>0</v>
      </c>
      <c r="V39" s="233">
        <f>U39/24</f>
        <v>0</v>
      </c>
      <c r="W39" s="105" t="e">
        <f>AVERAGE(W7:W37)</f>
        <v>#DIV/0!</v>
      </c>
      <c r="X39" s="101" t="e">
        <f>AVERAGE(X7:X37)</f>
        <v>#DIV/0!</v>
      </c>
      <c r="Y39" s="104" t="e">
        <f>AVERAGE(Y7:Y37)</f>
        <v>#DIV/0!</v>
      </c>
      <c r="Z39" s="6"/>
      <c r="AA39" s="5"/>
      <c r="AB39" s="6"/>
      <c r="AC39" s="6"/>
      <c r="AD39" s="6"/>
      <c r="AE39" s="6"/>
      <c r="AF39" s="6"/>
      <c r="AG39" s="6" t="s">
        <v>38</v>
      </c>
      <c r="AH39" s="353">
        <f>AI38+AJ38</f>
        <v>0</v>
      </c>
      <c r="AI39" s="354"/>
      <c r="AJ39" s="246">
        <f>AI39/24</f>
        <v>0</v>
      </c>
      <c r="AK39" s="245">
        <f>(AJ38/31)/24</f>
        <v>0</v>
      </c>
      <c r="AP39"/>
      <c r="AQ39"/>
    </row>
    <row r="40" spans="1:43" ht="17.25" thickBot="1" x14ac:dyDescent="0.35">
      <c r="A40" s="7"/>
      <c r="M40" s="108">
        <f>M38+O38</f>
        <v>0</v>
      </c>
      <c r="P40" s="109">
        <f>Q38+R38</f>
        <v>0</v>
      </c>
      <c r="Q40" s="110" t="s">
        <v>39</v>
      </c>
      <c r="W40" s="7"/>
      <c r="X40" s="7"/>
      <c r="Y40" s="7"/>
      <c r="Z40" s="7"/>
      <c r="AA40" s="7"/>
      <c r="AB40" s="6"/>
      <c r="AC40" s="5"/>
      <c r="AD40" s="6"/>
      <c r="AE40" s="6"/>
      <c r="AF40" s="6"/>
      <c r="AG40" s="6"/>
    </row>
    <row r="41" spans="1:43" x14ac:dyDescent="0.3">
      <c r="A41" s="6"/>
      <c r="B41" s="355" t="s">
        <v>40</v>
      </c>
      <c r="C41" s="356"/>
      <c r="D41" s="357" t="s">
        <v>41</v>
      </c>
      <c r="E41" s="358"/>
      <c r="F41" s="111" t="s">
        <v>42</v>
      </c>
      <c r="H41" s="112"/>
      <c r="I41" s="113"/>
      <c r="J41" s="113"/>
      <c r="K41" s="113"/>
      <c r="L41" s="113"/>
      <c r="M41" s="113"/>
      <c r="N41" s="113"/>
      <c r="O41" s="113"/>
      <c r="P41" s="113"/>
      <c r="Q41" s="112"/>
      <c r="R41" s="113"/>
      <c r="S41" s="113"/>
      <c r="T41" s="113"/>
      <c r="U41" s="113"/>
      <c r="V41" s="113"/>
      <c r="W41" s="113"/>
      <c r="X41" s="113"/>
      <c r="Y41" s="113"/>
      <c r="Z41" s="6"/>
      <c r="AA41" s="6"/>
      <c r="AB41" s="6"/>
      <c r="AC41" s="6"/>
      <c r="AD41" s="6"/>
      <c r="AE41" s="6"/>
      <c r="AF41" s="6"/>
      <c r="AG41" s="6"/>
    </row>
    <row r="42" spans="1:43" x14ac:dyDescent="0.3">
      <c r="A42" s="6"/>
      <c r="B42" s="333" t="s">
        <v>43</v>
      </c>
      <c r="C42" s="334"/>
      <c r="D42" s="345" t="e">
        <f>(Q39+R39)/24</f>
        <v>#DIV/0!</v>
      </c>
      <c r="E42" s="346"/>
      <c r="F42" s="114">
        <v>35156</v>
      </c>
      <c r="G42" s="6" t="s">
        <v>39</v>
      </c>
      <c r="H42" s="115"/>
      <c r="I42" s="116"/>
      <c r="J42" s="116"/>
      <c r="K42" s="116"/>
      <c r="L42" s="116"/>
      <c r="M42" s="116"/>
      <c r="N42" s="116"/>
      <c r="O42" s="116"/>
      <c r="P42" s="115"/>
      <c r="Q42" s="115"/>
      <c r="R42" s="115"/>
      <c r="S42" s="117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5"/>
      <c r="AI42" s="119"/>
      <c r="AJ42" s="120"/>
      <c r="AK42" s="120"/>
      <c r="AL42" s="120"/>
      <c r="AM42" s="120"/>
      <c r="AN42" s="120"/>
      <c r="AO42" s="120"/>
      <c r="AP42" s="120"/>
      <c r="AQ42" s="7"/>
    </row>
    <row r="43" spans="1:43" x14ac:dyDescent="0.3">
      <c r="A43" s="6"/>
      <c r="B43" s="333" t="s">
        <v>44</v>
      </c>
      <c r="C43" s="334"/>
      <c r="D43" s="345" t="e">
        <f>S39/24</f>
        <v>#DIV/0!</v>
      </c>
      <c r="E43" s="346"/>
      <c r="F43" s="114">
        <v>0</v>
      </c>
      <c r="H43" s="115"/>
      <c r="I43" s="121"/>
      <c r="J43" s="115"/>
      <c r="K43" s="115"/>
      <c r="L43" s="121"/>
      <c r="M43" s="121"/>
      <c r="N43" s="121"/>
      <c r="O43" s="121"/>
      <c r="P43" s="113"/>
      <c r="Q43" s="115"/>
      <c r="R43" s="115"/>
      <c r="S43" s="122"/>
      <c r="T43" s="122"/>
      <c r="U43" s="122"/>
      <c r="V43" s="122"/>
      <c r="W43" s="122"/>
      <c r="X43" s="122"/>
      <c r="Y43" s="122"/>
      <c r="Z43" s="122"/>
      <c r="AA43" s="122"/>
      <c r="AB43" s="123"/>
      <c r="AC43" s="122"/>
      <c r="AD43" s="122"/>
      <c r="AE43" s="122"/>
      <c r="AF43" s="122"/>
      <c r="AG43" s="122"/>
      <c r="AH43" s="122"/>
      <c r="AI43" s="121"/>
      <c r="AJ43" s="121"/>
      <c r="AK43" s="121"/>
      <c r="AL43" s="16"/>
      <c r="AM43" s="7"/>
    </row>
    <row r="44" spans="1:43" x14ac:dyDescent="0.3">
      <c r="A44" s="6"/>
      <c r="B44" s="347" t="s">
        <v>45</v>
      </c>
      <c r="C44" s="315"/>
      <c r="D44" s="345" t="e">
        <f>C39</f>
        <v>#DIV/0!</v>
      </c>
      <c r="E44" s="346"/>
      <c r="F44" s="114">
        <v>18100</v>
      </c>
      <c r="H44" s="124"/>
      <c r="I44" s="125"/>
      <c r="J44" s="126"/>
      <c r="K44" s="126"/>
      <c r="L44" s="127"/>
      <c r="M44" s="126"/>
      <c r="N44" s="128"/>
      <c r="O44" s="128"/>
      <c r="P44" s="113"/>
      <c r="Q44" s="124"/>
      <c r="R44" s="121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1"/>
      <c r="AJ44" s="121"/>
      <c r="AK44" s="129"/>
      <c r="AL44" s="16"/>
      <c r="AM44" s="7"/>
    </row>
    <row r="45" spans="1:43" x14ac:dyDescent="0.3">
      <c r="A45" s="6"/>
      <c r="B45" s="333" t="s">
        <v>46</v>
      </c>
      <c r="C45" s="334"/>
      <c r="D45" s="335" t="e">
        <f>N39+P39</f>
        <v>#DIV/0!</v>
      </c>
      <c r="E45" s="336"/>
      <c r="F45" s="114">
        <v>0</v>
      </c>
      <c r="H45" s="121"/>
      <c r="I45" s="121"/>
      <c r="J45" s="121"/>
      <c r="K45" s="121"/>
      <c r="L45" s="121"/>
      <c r="M45" s="121"/>
      <c r="N45" s="121"/>
      <c r="O45" s="121"/>
      <c r="P45" s="113"/>
      <c r="Q45" s="121"/>
      <c r="R45" s="125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9"/>
      <c r="AJ45" s="129"/>
      <c r="AK45" s="129"/>
      <c r="AL45" s="16"/>
      <c r="AM45" s="7"/>
    </row>
    <row r="46" spans="1:43" ht="17.25" thickBot="1" x14ac:dyDescent="0.35">
      <c r="A46" s="6"/>
      <c r="B46" s="337" t="s">
        <v>47</v>
      </c>
      <c r="C46" s="338"/>
      <c r="D46" s="339" t="e">
        <f>J39</f>
        <v>#DIV/0!</v>
      </c>
      <c r="E46" s="340"/>
      <c r="F46" s="114">
        <v>34000</v>
      </c>
      <c r="G46" s="130"/>
      <c r="H46" s="131"/>
      <c r="I46" s="131"/>
      <c r="J46" s="131"/>
      <c r="K46" s="131"/>
      <c r="L46" s="131"/>
      <c r="M46" s="131"/>
      <c r="N46" s="8"/>
      <c r="O46" s="1"/>
      <c r="P46" s="8"/>
      <c r="R46" s="121"/>
      <c r="S46" s="121"/>
      <c r="T46" s="121"/>
      <c r="U46" s="121"/>
      <c r="V46" s="121"/>
      <c r="W46" s="121"/>
      <c r="X46" s="121"/>
      <c r="Y46" s="113"/>
      <c r="Z46" s="113"/>
      <c r="AA46" s="121"/>
      <c r="AB46" s="129"/>
      <c r="AC46" s="129"/>
      <c r="AD46" s="129"/>
      <c r="AE46" s="129"/>
      <c r="AF46" s="129"/>
      <c r="AG46" s="129"/>
      <c r="AH46" s="113"/>
      <c r="AI46" s="113"/>
      <c r="AJ46" s="113"/>
      <c r="AK46" s="121"/>
    </row>
    <row r="47" spans="1:43" ht="17.25" thickBot="1" x14ac:dyDescent="0.35">
      <c r="A47" s="6"/>
      <c r="B47" s="341" t="s">
        <v>48</v>
      </c>
      <c r="C47" s="342"/>
      <c r="D47" s="343" t="e">
        <f>SUM(D42:E46)</f>
        <v>#DIV/0!</v>
      </c>
      <c r="E47" s="344"/>
      <c r="F47" s="132"/>
      <c r="G47" s="133"/>
      <c r="H47" s="133"/>
      <c r="I47" s="133"/>
      <c r="J47" s="133"/>
      <c r="K47" s="133"/>
      <c r="L47" s="133"/>
      <c r="M47" s="133"/>
      <c r="O47" s="7"/>
      <c r="P47" s="6"/>
      <c r="R47" s="7"/>
      <c r="S47" s="6"/>
      <c r="T47" s="6"/>
      <c r="U47" s="134"/>
      <c r="V47" s="135"/>
      <c r="W47" s="135"/>
      <c r="X47" s="135"/>
      <c r="Y47" s="6"/>
      <c r="Z47" s="6"/>
      <c r="AA47" s="6"/>
      <c r="AB47" s="6"/>
      <c r="AC47" s="6"/>
      <c r="AD47" s="6"/>
      <c r="AE47" s="6"/>
      <c r="AF47" s="6"/>
      <c r="AG47" s="6"/>
      <c r="AI47" s="113"/>
      <c r="AJ47" s="113"/>
      <c r="AK47" s="113"/>
    </row>
    <row r="48" spans="1:43" ht="17.25" thickBot="1" x14ac:dyDescent="0.35">
      <c r="A48" s="6"/>
      <c r="B48" s="136"/>
      <c r="C48" s="136"/>
      <c r="D48" s="137"/>
      <c r="E48" s="137"/>
      <c r="F48" s="6"/>
      <c r="G48" s="133"/>
      <c r="H48" s="133"/>
      <c r="I48" s="133"/>
      <c r="J48" s="133"/>
      <c r="K48" s="133"/>
      <c r="L48" s="133"/>
      <c r="M48" s="133"/>
      <c r="O48" s="7"/>
      <c r="P48" s="6"/>
      <c r="R48" s="7"/>
      <c r="S48" s="6"/>
      <c r="T48" s="6"/>
      <c r="U48" s="138"/>
      <c r="V48" s="138"/>
      <c r="W48" s="138"/>
      <c r="X48" s="138"/>
      <c r="Y48" s="6"/>
      <c r="Z48" s="6"/>
      <c r="AA48" s="6"/>
      <c r="AB48" s="6"/>
      <c r="AC48" s="6"/>
      <c r="AD48" s="6"/>
      <c r="AE48" s="6"/>
      <c r="AF48" s="6"/>
      <c r="AG48" s="6"/>
      <c r="AI48" s="113"/>
      <c r="AJ48" s="113"/>
      <c r="AK48" s="113"/>
    </row>
    <row r="49" spans="1:43" ht="17.25" thickBot="1" x14ac:dyDescent="0.35">
      <c r="A49" s="139"/>
      <c r="B49" s="324" t="s">
        <v>49</v>
      </c>
      <c r="C49" s="325"/>
      <c r="D49" s="276" t="s">
        <v>50</v>
      </c>
      <c r="E49" s="276" t="s">
        <v>133</v>
      </c>
      <c r="F49" s="140" t="s">
        <v>51</v>
      </c>
      <c r="G49" s="140" t="s">
        <v>52</v>
      </c>
      <c r="H49" s="276" t="s">
        <v>53</v>
      </c>
      <c r="I49" s="140" t="s">
        <v>54</v>
      </c>
      <c r="J49" s="140" t="s">
        <v>55</v>
      </c>
      <c r="K49" s="140" t="s">
        <v>56</v>
      </c>
      <c r="L49" s="140" t="s">
        <v>57</v>
      </c>
      <c r="M49" s="140" t="s">
        <v>58</v>
      </c>
      <c r="N49" s="140" t="s">
        <v>59</v>
      </c>
      <c r="O49" s="140" t="s">
        <v>60</v>
      </c>
      <c r="P49" s="140" t="s">
        <v>61</v>
      </c>
      <c r="Q49" s="140" t="s">
        <v>62</v>
      </c>
      <c r="R49" s="140" t="s">
        <v>63</v>
      </c>
      <c r="S49" s="140" t="s">
        <v>64</v>
      </c>
      <c r="T49" s="140" t="s">
        <v>65</v>
      </c>
      <c r="U49" s="140" t="s">
        <v>66</v>
      </c>
      <c r="V49" s="140" t="s">
        <v>67</v>
      </c>
      <c r="W49" s="140" t="s">
        <v>68</v>
      </c>
      <c r="X49" s="140" t="s">
        <v>69</v>
      </c>
      <c r="Y49" s="140" t="s">
        <v>70</v>
      </c>
      <c r="Z49" s="140" t="s">
        <v>71</v>
      </c>
      <c r="AA49" s="140" t="s">
        <v>72</v>
      </c>
      <c r="AB49" s="140" t="s">
        <v>73</v>
      </c>
      <c r="AC49" s="140" t="s">
        <v>74</v>
      </c>
      <c r="AD49" s="140" t="s">
        <v>75</v>
      </c>
      <c r="AE49" s="140" t="s">
        <v>76</v>
      </c>
      <c r="AF49" s="140" t="s">
        <v>77</v>
      </c>
      <c r="AG49" s="140" t="s">
        <v>78</v>
      </c>
      <c r="AH49" s="140" t="s">
        <v>79</v>
      </c>
      <c r="AI49" s="141" t="s">
        <v>80</v>
      </c>
      <c r="AJ49" s="142" t="s">
        <v>81</v>
      </c>
      <c r="AK49" s="143"/>
      <c r="AL49" s="144"/>
      <c r="AM49" s="139"/>
      <c r="AN49" s="139"/>
      <c r="AO49" s="139"/>
      <c r="AP49" s="139"/>
      <c r="AQ49" s="139"/>
    </row>
    <row r="50" spans="1:43" ht="27.75" thickBot="1" x14ac:dyDescent="0.35">
      <c r="A50" s="145"/>
      <c r="B50" s="326" t="s">
        <v>82</v>
      </c>
      <c r="C50" s="146" t="s">
        <v>83</v>
      </c>
      <c r="D50" s="147"/>
      <c r="E50" s="148"/>
      <c r="F50" s="148"/>
      <c r="G50" s="148">
        <v>0</v>
      </c>
      <c r="H50" s="148">
        <v>0</v>
      </c>
      <c r="I50" s="148">
        <v>0</v>
      </c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9">
        <f>SUM(E50:AI50)</f>
        <v>0</v>
      </c>
      <c r="AK50" s="145"/>
      <c r="AL50" s="150"/>
      <c r="AM50" s="145"/>
      <c r="AN50" s="145"/>
      <c r="AO50" s="145"/>
      <c r="AP50" s="145"/>
      <c r="AQ50" s="145"/>
    </row>
    <row r="51" spans="1:43" ht="27" x14ac:dyDescent="0.3">
      <c r="A51" s="145"/>
      <c r="B51" s="327"/>
      <c r="C51" s="151" t="s">
        <v>84</v>
      </c>
      <c r="D51" s="147"/>
      <c r="E51" s="148">
        <f t="array" ref="E51:AI51">TRANSPOSE(IF(Y7:Y37&gt;0,3*Y7:Y37,0))</f>
        <v>0</v>
      </c>
      <c r="F51" s="148">
        <v>0</v>
      </c>
      <c r="G51" s="148">
        <v>0</v>
      </c>
      <c r="H51" s="148">
        <v>0</v>
      </c>
      <c r="I51" s="148">
        <v>0</v>
      </c>
      <c r="J51" s="148">
        <v>0</v>
      </c>
      <c r="K51" s="148">
        <v>0</v>
      </c>
      <c r="L51" s="148">
        <v>0</v>
      </c>
      <c r="M51" s="148">
        <v>0</v>
      </c>
      <c r="N51" s="148">
        <v>0</v>
      </c>
      <c r="O51" s="148">
        <v>0</v>
      </c>
      <c r="P51" s="148">
        <v>0</v>
      </c>
      <c r="Q51" s="148">
        <v>0</v>
      </c>
      <c r="R51" s="148">
        <v>0</v>
      </c>
      <c r="S51" s="148">
        <v>0</v>
      </c>
      <c r="T51" s="148">
        <v>0</v>
      </c>
      <c r="U51" s="148">
        <v>0</v>
      </c>
      <c r="V51" s="148">
        <v>0</v>
      </c>
      <c r="W51" s="148">
        <v>0</v>
      </c>
      <c r="X51" s="148">
        <v>0</v>
      </c>
      <c r="Y51" s="148">
        <v>0</v>
      </c>
      <c r="Z51" s="148">
        <v>0</v>
      </c>
      <c r="AA51" s="148">
        <v>0</v>
      </c>
      <c r="AB51" s="148">
        <v>0</v>
      </c>
      <c r="AC51" s="148">
        <v>0</v>
      </c>
      <c r="AD51" s="148">
        <v>0</v>
      </c>
      <c r="AE51" s="148">
        <v>0</v>
      </c>
      <c r="AF51" s="148">
        <v>0</v>
      </c>
      <c r="AG51" s="148">
        <v>0</v>
      </c>
      <c r="AH51" s="148">
        <v>0</v>
      </c>
      <c r="AI51" s="148">
        <v>0</v>
      </c>
      <c r="AJ51" s="149">
        <f>SUM(E51:AI51)</f>
        <v>0</v>
      </c>
      <c r="AK51" s="145"/>
      <c r="AL51" s="150"/>
      <c r="AM51" s="145"/>
      <c r="AN51" s="145"/>
      <c r="AO51" s="145"/>
      <c r="AP51" s="145"/>
      <c r="AQ51" s="145"/>
    </row>
    <row r="52" spans="1:43" ht="27" x14ac:dyDescent="0.3">
      <c r="A52" s="145"/>
      <c r="B52" s="327"/>
      <c r="C52" s="152" t="s">
        <v>85</v>
      </c>
      <c r="D52" s="153"/>
      <c r="E52" s="148">
        <f>$S7</f>
        <v>0</v>
      </c>
      <c r="F52" s="148">
        <f>$S8</f>
        <v>0</v>
      </c>
      <c r="G52" s="148">
        <f>$S9</f>
        <v>0</v>
      </c>
      <c r="H52" s="148">
        <f>$S10</f>
        <v>0</v>
      </c>
      <c r="I52" s="148">
        <f>$S11</f>
        <v>0</v>
      </c>
      <c r="J52" s="148">
        <f>$S12</f>
        <v>0</v>
      </c>
      <c r="K52" s="148">
        <f>$S13</f>
        <v>0</v>
      </c>
      <c r="L52" s="148">
        <f>$S14</f>
        <v>0</v>
      </c>
      <c r="M52" s="148">
        <f>$S15</f>
        <v>0</v>
      </c>
      <c r="N52" s="148">
        <f>$S16</f>
        <v>0</v>
      </c>
      <c r="O52" s="148">
        <f>$S17</f>
        <v>0</v>
      </c>
      <c r="P52" s="148">
        <f>$S18</f>
        <v>0</v>
      </c>
      <c r="Q52" s="148">
        <f>$S19</f>
        <v>0</v>
      </c>
      <c r="R52" s="148">
        <f>$S20</f>
        <v>0</v>
      </c>
      <c r="S52" s="148">
        <f>$S21</f>
        <v>0</v>
      </c>
      <c r="T52" s="148">
        <f>$S22</f>
        <v>0</v>
      </c>
      <c r="U52" s="148">
        <f>$S23</f>
        <v>0</v>
      </c>
      <c r="V52" s="148">
        <f>$S24</f>
        <v>0</v>
      </c>
      <c r="W52" s="148">
        <f>$S25</f>
        <v>0</v>
      </c>
      <c r="X52" s="148">
        <f>$S26</f>
        <v>0</v>
      </c>
      <c r="Y52" s="148">
        <f>$S27</f>
        <v>0</v>
      </c>
      <c r="Z52" s="148">
        <f>$S28</f>
        <v>0</v>
      </c>
      <c r="AA52" s="148">
        <f>$S29</f>
        <v>0</v>
      </c>
      <c r="AB52" s="148">
        <f>$S30</f>
        <v>0</v>
      </c>
      <c r="AC52" s="148">
        <f>$S31</f>
        <v>0</v>
      </c>
      <c r="AD52" s="148">
        <f>$S32</f>
        <v>0</v>
      </c>
      <c r="AE52" s="148">
        <f>$S33</f>
        <v>0</v>
      </c>
      <c r="AF52" s="148">
        <f>$S34</f>
        <v>0</v>
      </c>
      <c r="AG52" s="148">
        <f>$S35</f>
        <v>0</v>
      </c>
      <c r="AH52" s="148">
        <f>$S36</f>
        <v>0</v>
      </c>
      <c r="AI52" s="148">
        <f>$S37</f>
        <v>0</v>
      </c>
      <c r="AJ52" s="154">
        <f>SUM(E52:AI52)</f>
        <v>0</v>
      </c>
      <c r="AK52" s="155"/>
      <c r="AL52" s="150"/>
      <c r="AM52" s="145"/>
      <c r="AN52" s="145"/>
      <c r="AO52" s="145"/>
      <c r="AP52" s="145"/>
      <c r="AQ52" s="145"/>
    </row>
    <row r="53" spans="1:43" ht="40.5" x14ac:dyDescent="0.3">
      <c r="A53" s="145"/>
      <c r="B53" s="327"/>
      <c r="C53" s="152" t="s">
        <v>86</v>
      </c>
      <c r="D53" s="156"/>
      <c r="E53" s="157">
        <f t="shared" ref="E53:AI53" si="10">IF(E50-E51-E52&gt;0,E50-E51-E52,0)</f>
        <v>0</v>
      </c>
      <c r="F53" s="157">
        <f t="shared" si="10"/>
        <v>0</v>
      </c>
      <c r="G53" s="157">
        <f t="shared" si="10"/>
        <v>0</v>
      </c>
      <c r="H53" s="157">
        <f t="shared" si="10"/>
        <v>0</v>
      </c>
      <c r="I53" s="157">
        <f t="shared" si="10"/>
        <v>0</v>
      </c>
      <c r="J53" s="157">
        <f t="shared" si="10"/>
        <v>0</v>
      </c>
      <c r="K53" s="157">
        <f t="shared" si="10"/>
        <v>0</v>
      </c>
      <c r="L53" s="157">
        <f t="shared" si="10"/>
        <v>0</v>
      </c>
      <c r="M53" s="157">
        <f t="shared" si="10"/>
        <v>0</v>
      </c>
      <c r="N53" s="157">
        <f t="shared" si="10"/>
        <v>0</v>
      </c>
      <c r="O53" s="157">
        <f t="shared" si="10"/>
        <v>0</v>
      </c>
      <c r="P53" s="157">
        <f t="shared" si="10"/>
        <v>0</v>
      </c>
      <c r="Q53" s="157">
        <f t="shared" si="10"/>
        <v>0</v>
      </c>
      <c r="R53" s="157">
        <f t="shared" si="10"/>
        <v>0</v>
      </c>
      <c r="S53" s="157">
        <f t="shared" si="10"/>
        <v>0</v>
      </c>
      <c r="T53" s="157">
        <f t="shared" si="10"/>
        <v>0</v>
      </c>
      <c r="U53" s="157">
        <f t="shared" si="10"/>
        <v>0</v>
      </c>
      <c r="V53" s="157">
        <f t="shared" si="10"/>
        <v>0</v>
      </c>
      <c r="W53" s="157">
        <f t="shared" si="10"/>
        <v>0</v>
      </c>
      <c r="X53" s="157">
        <f t="shared" si="10"/>
        <v>0</v>
      </c>
      <c r="Y53" s="157">
        <f t="shared" si="10"/>
        <v>0</v>
      </c>
      <c r="Z53" s="157">
        <f t="shared" si="10"/>
        <v>0</v>
      </c>
      <c r="AA53" s="157">
        <f t="shared" si="10"/>
        <v>0</v>
      </c>
      <c r="AB53" s="157">
        <f t="shared" si="10"/>
        <v>0</v>
      </c>
      <c r="AC53" s="157">
        <f t="shared" si="10"/>
        <v>0</v>
      </c>
      <c r="AD53" s="157">
        <f t="shared" si="10"/>
        <v>0</v>
      </c>
      <c r="AE53" s="157">
        <f t="shared" si="10"/>
        <v>0</v>
      </c>
      <c r="AF53" s="157">
        <f t="shared" si="10"/>
        <v>0</v>
      </c>
      <c r="AG53" s="157">
        <f t="shared" si="10"/>
        <v>0</v>
      </c>
      <c r="AH53" s="157">
        <f t="shared" si="10"/>
        <v>0</v>
      </c>
      <c r="AI53" s="157">
        <f t="shared" si="10"/>
        <v>0</v>
      </c>
      <c r="AJ53" s="154">
        <f>SUM(E53:AI53)</f>
        <v>0</v>
      </c>
      <c r="AK53" s="155"/>
      <c r="AL53" s="150"/>
      <c r="AM53" s="145"/>
      <c r="AN53" s="145"/>
      <c r="AO53" s="145"/>
      <c r="AP53" s="145"/>
      <c r="AQ53" s="145"/>
    </row>
    <row r="54" spans="1:43" ht="17.25" thickBot="1" x14ac:dyDescent="0.35">
      <c r="A54" s="145"/>
      <c r="B54" s="328"/>
      <c r="C54" s="158" t="s">
        <v>87</v>
      </c>
      <c r="D54" s="159">
        <v>17</v>
      </c>
      <c r="E54" s="160" t="str">
        <f t="shared" ref="E54:AI54" si="11">IFERROR(IF(E53&gt;0,E53*$D$54," ")," ")</f>
        <v xml:space="preserve"> </v>
      </c>
      <c r="F54" s="160" t="str">
        <f t="shared" si="11"/>
        <v xml:space="preserve"> </v>
      </c>
      <c r="G54" s="160" t="str">
        <f t="shared" si="11"/>
        <v xml:space="preserve"> </v>
      </c>
      <c r="H54" s="160" t="str">
        <f t="shared" si="11"/>
        <v xml:space="preserve"> </v>
      </c>
      <c r="I54" s="160" t="str">
        <f t="shared" si="11"/>
        <v xml:space="preserve"> </v>
      </c>
      <c r="J54" s="160" t="str">
        <f t="shared" si="11"/>
        <v xml:space="preserve"> </v>
      </c>
      <c r="K54" s="160" t="str">
        <f t="shared" si="11"/>
        <v xml:space="preserve"> </v>
      </c>
      <c r="L54" s="160" t="str">
        <f t="shared" si="11"/>
        <v xml:space="preserve"> </v>
      </c>
      <c r="M54" s="160" t="str">
        <f t="shared" si="11"/>
        <v xml:space="preserve"> </v>
      </c>
      <c r="N54" s="160" t="str">
        <f t="shared" si="11"/>
        <v xml:space="preserve"> </v>
      </c>
      <c r="O54" s="160" t="str">
        <f t="shared" si="11"/>
        <v xml:space="preserve"> </v>
      </c>
      <c r="P54" s="160" t="str">
        <f t="shared" si="11"/>
        <v xml:space="preserve"> </v>
      </c>
      <c r="Q54" s="160" t="str">
        <f t="shared" si="11"/>
        <v xml:space="preserve"> </v>
      </c>
      <c r="R54" s="160" t="str">
        <f t="shared" si="11"/>
        <v xml:space="preserve"> </v>
      </c>
      <c r="S54" s="160" t="str">
        <f t="shared" si="11"/>
        <v xml:space="preserve"> </v>
      </c>
      <c r="T54" s="160" t="str">
        <f t="shared" si="11"/>
        <v xml:space="preserve"> </v>
      </c>
      <c r="U54" s="160" t="str">
        <f t="shared" si="11"/>
        <v xml:space="preserve"> </v>
      </c>
      <c r="V54" s="160" t="str">
        <f t="shared" si="11"/>
        <v xml:space="preserve"> </v>
      </c>
      <c r="W54" s="160" t="str">
        <f t="shared" si="11"/>
        <v xml:space="preserve"> </v>
      </c>
      <c r="X54" s="160" t="str">
        <f t="shared" si="11"/>
        <v xml:space="preserve"> </v>
      </c>
      <c r="Y54" s="160" t="str">
        <f t="shared" si="11"/>
        <v xml:space="preserve"> </v>
      </c>
      <c r="Z54" s="160" t="str">
        <f t="shared" si="11"/>
        <v xml:space="preserve"> </v>
      </c>
      <c r="AA54" s="160" t="str">
        <f t="shared" si="11"/>
        <v xml:space="preserve"> </v>
      </c>
      <c r="AB54" s="160" t="str">
        <f t="shared" si="11"/>
        <v xml:space="preserve"> </v>
      </c>
      <c r="AC54" s="160" t="str">
        <f t="shared" si="11"/>
        <v xml:space="preserve"> </v>
      </c>
      <c r="AD54" s="160" t="str">
        <f t="shared" si="11"/>
        <v xml:space="preserve"> </v>
      </c>
      <c r="AE54" s="160" t="str">
        <f t="shared" si="11"/>
        <v xml:space="preserve"> </v>
      </c>
      <c r="AF54" s="160" t="str">
        <f t="shared" si="11"/>
        <v xml:space="preserve"> </v>
      </c>
      <c r="AG54" s="160" t="str">
        <f t="shared" si="11"/>
        <v xml:space="preserve"> </v>
      </c>
      <c r="AH54" s="160" t="str">
        <f t="shared" si="11"/>
        <v xml:space="preserve"> </v>
      </c>
      <c r="AI54" s="160" t="str">
        <f t="shared" si="11"/>
        <v xml:space="preserve"> </v>
      </c>
      <c r="AJ54" s="161">
        <f>SUM(E54:AI54)</f>
        <v>0</v>
      </c>
      <c r="AK54" s="145"/>
      <c r="AL54" s="150"/>
      <c r="AM54" s="145"/>
      <c r="AN54" s="145"/>
      <c r="AO54" s="145"/>
      <c r="AP54" s="145"/>
      <c r="AQ54" s="145"/>
    </row>
    <row r="55" spans="1:43" x14ac:dyDescent="0.3">
      <c r="A55" s="7"/>
      <c r="W55" s="7"/>
      <c r="X55" s="7"/>
      <c r="Y55" s="7"/>
      <c r="Z55" s="7"/>
      <c r="AA55" s="7"/>
      <c r="AB55" s="6"/>
      <c r="AC55" s="6"/>
      <c r="AD55" s="6"/>
      <c r="AE55" s="6"/>
      <c r="AF55" s="6"/>
      <c r="AG55" s="6"/>
      <c r="AK55" s="113"/>
      <c r="AL55" s="113"/>
      <c r="AM55" s="145"/>
    </row>
    <row r="56" spans="1:43" ht="20.25" x14ac:dyDescent="0.3">
      <c r="A56" s="5"/>
      <c r="B56" s="329" t="s">
        <v>88</v>
      </c>
      <c r="C56" s="329"/>
      <c r="D56" s="329"/>
      <c r="E56" s="329"/>
      <c r="F56" s="329"/>
      <c r="G56" s="329"/>
      <c r="H56" s="329"/>
      <c r="I56" s="329"/>
      <c r="J56" s="329"/>
      <c r="K56" s="329"/>
      <c r="Q56" s="6" t="s">
        <v>89</v>
      </c>
      <c r="W56" s="7"/>
      <c r="X56" s="7"/>
      <c r="Y56" s="7"/>
      <c r="Z56" s="7"/>
      <c r="AA56" s="7"/>
      <c r="AB56" s="6"/>
      <c r="AC56" s="5"/>
      <c r="AD56" s="6"/>
      <c r="AE56" s="6"/>
      <c r="AF56" s="6"/>
      <c r="AG56" s="6"/>
      <c r="AM56" s="145"/>
    </row>
    <row r="57" spans="1:43" x14ac:dyDescent="0.3">
      <c r="A57" s="162" t="s">
        <v>90</v>
      </c>
      <c r="B57" s="330" t="s">
        <v>91</v>
      </c>
      <c r="C57" s="330"/>
      <c r="D57" s="331" t="s">
        <v>92</v>
      </c>
      <c r="E57" s="332"/>
      <c r="F57" s="332"/>
      <c r="G57" s="332"/>
      <c r="H57" s="332"/>
      <c r="I57" s="332"/>
      <c r="J57" s="330" t="s">
        <v>93</v>
      </c>
      <c r="K57" s="330"/>
      <c r="L57" s="163" t="s">
        <v>94</v>
      </c>
      <c r="M57" s="163" t="s">
        <v>95</v>
      </c>
      <c r="N57" s="164" t="s">
        <v>96</v>
      </c>
      <c r="O57" s="164" t="s">
        <v>97</v>
      </c>
      <c r="Q57" s="319" t="s">
        <v>98</v>
      </c>
      <c r="R57" s="320"/>
      <c r="S57" s="165" t="s">
        <v>99</v>
      </c>
      <c r="T57" s="166" t="s">
        <v>100</v>
      </c>
      <c r="U57" s="166" t="s">
        <v>101</v>
      </c>
      <c r="V57" s="166" t="s">
        <v>102</v>
      </c>
      <c r="W57" s="166" t="s">
        <v>103</v>
      </c>
      <c r="X57" s="166" t="s">
        <v>104</v>
      </c>
      <c r="Y57" s="166" t="s">
        <v>105</v>
      </c>
      <c r="Z57" s="166" t="s">
        <v>106</v>
      </c>
      <c r="AA57" s="166" t="s">
        <v>107</v>
      </c>
      <c r="AB57" s="166" t="s">
        <v>108</v>
      </c>
      <c r="AC57" s="166" t="s">
        <v>109</v>
      </c>
      <c r="AD57" s="166" t="s">
        <v>110</v>
      </c>
      <c r="AE57" s="166" t="s">
        <v>111</v>
      </c>
      <c r="AF57" s="166" t="s">
        <v>112</v>
      </c>
      <c r="AG57" s="166" t="s">
        <v>101</v>
      </c>
      <c r="AH57" s="167" t="s">
        <v>113</v>
      </c>
      <c r="AM57" s="145"/>
    </row>
    <row r="58" spans="1:43" x14ac:dyDescent="0.3">
      <c r="A58" s="168"/>
      <c r="B58" s="312"/>
      <c r="C58" s="312"/>
      <c r="D58" s="306"/>
      <c r="E58" s="307"/>
      <c r="F58" s="307"/>
      <c r="G58" s="307"/>
      <c r="H58" s="307"/>
      <c r="I58" s="307"/>
      <c r="J58" s="169"/>
      <c r="K58" s="169"/>
      <c r="L58" s="170"/>
      <c r="M58" s="171">
        <f t="shared" ref="M58:M83" si="12">J58-K58</f>
        <v>0</v>
      </c>
      <c r="N58" s="172">
        <f t="shared" ref="N58:N83" si="13">M58/60</f>
        <v>0</v>
      </c>
      <c r="O58" s="173">
        <f t="shared" ref="O58:O83" si="14">L58*N58</f>
        <v>0</v>
      </c>
      <c r="P58" s="6"/>
      <c r="Q58" s="321" t="s">
        <v>114</v>
      </c>
      <c r="R58" s="174" t="s">
        <v>115</v>
      </c>
      <c r="S58" s="175"/>
      <c r="T58" s="175"/>
      <c r="U58" s="175"/>
      <c r="V58" s="175"/>
      <c r="W58" s="175"/>
      <c r="X58" s="175"/>
      <c r="Y58" s="175"/>
      <c r="Z58" s="176"/>
      <c r="AA58" s="175"/>
      <c r="AB58" s="177"/>
      <c r="AC58" s="175"/>
      <c r="AD58" s="175"/>
      <c r="AE58" s="175"/>
      <c r="AF58" s="175"/>
      <c r="AG58" s="175"/>
      <c r="AH58" s="178">
        <f>SUM(S58:AG58)</f>
        <v>0</v>
      </c>
      <c r="AM58" s="145"/>
    </row>
    <row r="59" spans="1:43" x14ac:dyDescent="0.3">
      <c r="A59" s="168"/>
      <c r="B59" s="312"/>
      <c r="C59" s="312"/>
      <c r="D59" s="306"/>
      <c r="E59" s="307"/>
      <c r="F59" s="307"/>
      <c r="G59" s="307"/>
      <c r="H59" s="307"/>
      <c r="I59" s="307"/>
      <c r="J59" s="169"/>
      <c r="K59" s="169"/>
      <c r="L59" s="170"/>
      <c r="M59" s="171">
        <f t="shared" si="12"/>
        <v>0</v>
      </c>
      <c r="N59" s="172">
        <f t="shared" si="13"/>
        <v>0</v>
      </c>
      <c r="O59" s="173">
        <f t="shared" si="14"/>
        <v>0</v>
      </c>
      <c r="P59" s="6"/>
      <c r="Q59" s="322"/>
      <c r="R59" s="174" t="s">
        <v>116</v>
      </c>
      <c r="S59" s="175"/>
      <c r="T59" s="175"/>
      <c r="U59" s="175"/>
      <c r="V59" s="175"/>
      <c r="W59" s="175"/>
      <c r="X59" s="175"/>
      <c r="Y59" s="175"/>
      <c r="Z59" s="176"/>
      <c r="AA59" s="175"/>
      <c r="AB59" s="177"/>
      <c r="AC59" s="175"/>
      <c r="AD59" s="175"/>
      <c r="AE59" s="175"/>
      <c r="AF59" s="175"/>
      <c r="AG59" s="175"/>
      <c r="AH59" s="178">
        <f>SUM(S59:AG59)</f>
        <v>0</v>
      </c>
      <c r="AM59" s="145"/>
    </row>
    <row r="60" spans="1:43" x14ac:dyDescent="0.3">
      <c r="A60" s="168"/>
      <c r="B60" s="312"/>
      <c r="C60" s="312"/>
      <c r="D60" s="306"/>
      <c r="E60" s="307"/>
      <c r="F60" s="307"/>
      <c r="G60" s="307"/>
      <c r="H60" s="307"/>
      <c r="I60" s="307"/>
      <c r="J60" s="169"/>
      <c r="K60" s="169"/>
      <c r="L60" s="170"/>
      <c r="M60" s="171">
        <f t="shared" si="12"/>
        <v>0</v>
      </c>
      <c r="N60" s="172">
        <f t="shared" si="13"/>
        <v>0</v>
      </c>
      <c r="O60" s="173">
        <f t="shared" si="14"/>
        <v>0</v>
      </c>
      <c r="P60" s="6"/>
      <c r="Q60" s="323"/>
      <c r="R60" s="179" t="s">
        <v>117</v>
      </c>
      <c r="S60" s="178">
        <f t="shared" ref="S60:AG60" si="15">SUM(S58:S59)</f>
        <v>0</v>
      </c>
      <c r="T60" s="178">
        <f t="shared" si="15"/>
        <v>0</v>
      </c>
      <c r="U60" s="178">
        <f t="shared" si="15"/>
        <v>0</v>
      </c>
      <c r="V60" s="178">
        <f t="shared" si="15"/>
        <v>0</v>
      </c>
      <c r="W60" s="178">
        <f t="shared" si="15"/>
        <v>0</v>
      </c>
      <c r="X60" s="178">
        <f t="shared" si="15"/>
        <v>0</v>
      </c>
      <c r="Y60" s="178">
        <f t="shared" si="15"/>
        <v>0</v>
      </c>
      <c r="Z60" s="178">
        <f t="shared" si="15"/>
        <v>0</v>
      </c>
      <c r="AA60" s="178">
        <f t="shared" si="15"/>
        <v>0</v>
      </c>
      <c r="AB60" s="178">
        <f t="shared" si="15"/>
        <v>0</v>
      </c>
      <c r="AC60" s="178">
        <f t="shared" si="15"/>
        <v>0</v>
      </c>
      <c r="AD60" s="178">
        <f t="shared" si="15"/>
        <v>0</v>
      </c>
      <c r="AE60" s="178">
        <f t="shared" si="15"/>
        <v>0</v>
      </c>
      <c r="AF60" s="178">
        <f t="shared" si="15"/>
        <v>0</v>
      </c>
      <c r="AG60" s="178">
        <f t="shared" si="15"/>
        <v>0</v>
      </c>
      <c r="AH60" s="178">
        <f>SUM(S60:AG60)</f>
        <v>0</v>
      </c>
      <c r="AM60" s="145"/>
    </row>
    <row r="61" spans="1:43" x14ac:dyDescent="0.3">
      <c r="A61" s="168"/>
      <c r="B61" s="313"/>
      <c r="C61" s="314"/>
      <c r="D61" s="306"/>
      <c r="E61" s="307"/>
      <c r="F61" s="307"/>
      <c r="G61" s="307"/>
      <c r="H61" s="307"/>
      <c r="I61" s="307"/>
      <c r="J61" s="169"/>
      <c r="K61" s="169"/>
      <c r="L61" s="170"/>
      <c r="M61" s="171">
        <f t="shared" si="12"/>
        <v>0</v>
      </c>
      <c r="N61" s="172">
        <f t="shared" si="13"/>
        <v>0</v>
      </c>
      <c r="O61" s="173">
        <f t="shared" si="14"/>
        <v>0</v>
      </c>
      <c r="P61" s="6"/>
      <c r="Q61" s="315" t="s">
        <v>118</v>
      </c>
      <c r="R61" s="316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8">
        <f>SUM(S61:AG61)</f>
        <v>0</v>
      </c>
      <c r="AI61" s="180"/>
      <c r="AM61" s="145"/>
    </row>
    <row r="62" spans="1:43" x14ac:dyDescent="0.3">
      <c r="A62" s="168"/>
      <c r="B62" s="312"/>
      <c r="C62" s="312"/>
      <c r="D62" s="306"/>
      <c r="E62" s="307"/>
      <c r="F62" s="307"/>
      <c r="G62" s="307"/>
      <c r="H62" s="307"/>
      <c r="I62" s="307"/>
      <c r="J62" s="169"/>
      <c r="K62" s="169"/>
      <c r="L62" s="170"/>
      <c r="M62" s="171">
        <f t="shared" si="12"/>
        <v>0</v>
      </c>
      <c r="N62" s="172">
        <f t="shared" si="13"/>
        <v>0</v>
      </c>
      <c r="O62" s="173">
        <f t="shared" si="14"/>
        <v>0</v>
      </c>
      <c r="P62" s="6"/>
      <c r="Q62" s="317" t="s">
        <v>119</v>
      </c>
      <c r="R62" s="318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8">
        <f>AH61-AH60</f>
        <v>0</v>
      </c>
      <c r="AM62" s="145"/>
    </row>
    <row r="63" spans="1:43" x14ac:dyDescent="0.3">
      <c r="A63" s="168"/>
      <c r="B63" s="312"/>
      <c r="C63" s="312"/>
      <c r="D63" s="306"/>
      <c r="E63" s="307"/>
      <c r="F63" s="307"/>
      <c r="G63" s="307"/>
      <c r="H63" s="307"/>
      <c r="I63" s="307"/>
      <c r="J63" s="169"/>
      <c r="K63" s="169"/>
      <c r="L63" s="170"/>
      <c r="M63" s="171">
        <f t="shared" si="12"/>
        <v>0</v>
      </c>
      <c r="N63" s="172">
        <f t="shared" si="13"/>
        <v>0</v>
      </c>
      <c r="O63" s="173">
        <f t="shared" si="14"/>
        <v>0</v>
      </c>
      <c r="S63" s="6"/>
      <c r="T63" s="6"/>
      <c r="W63" s="7"/>
      <c r="X63" s="7"/>
      <c r="Y63" s="7"/>
      <c r="Z63" s="7"/>
      <c r="AA63" s="7"/>
      <c r="AB63" s="6"/>
      <c r="AC63" s="6"/>
      <c r="AD63" s="6"/>
      <c r="AE63" s="6"/>
      <c r="AF63" s="6"/>
      <c r="AG63" s="6"/>
      <c r="AM63" s="145"/>
    </row>
    <row r="64" spans="1:43" x14ac:dyDescent="0.3">
      <c r="A64" s="168"/>
      <c r="B64" s="302"/>
      <c r="C64" s="303"/>
      <c r="D64" s="306"/>
      <c r="E64" s="307"/>
      <c r="F64" s="307"/>
      <c r="G64" s="307"/>
      <c r="H64" s="307"/>
      <c r="I64" s="307"/>
      <c r="J64" s="169"/>
      <c r="K64" s="181"/>
      <c r="L64" s="170"/>
      <c r="M64" s="171">
        <f t="shared" si="12"/>
        <v>0</v>
      </c>
      <c r="N64" s="172">
        <f t="shared" si="13"/>
        <v>0</v>
      </c>
      <c r="O64" s="173">
        <f t="shared" si="14"/>
        <v>0</v>
      </c>
      <c r="S64" s="6"/>
      <c r="T64" s="6"/>
      <c r="W64" s="7"/>
      <c r="X64" s="7"/>
      <c r="Y64" s="7"/>
      <c r="Z64" s="7"/>
      <c r="AA64" s="7"/>
      <c r="AB64" s="6"/>
      <c r="AC64" s="6"/>
      <c r="AD64" s="6"/>
      <c r="AE64" s="6"/>
      <c r="AF64" s="6"/>
      <c r="AG64" s="6"/>
      <c r="AM64" s="145"/>
    </row>
    <row r="65" spans="1:43" x14ac:dyDescent="0.3">
      <c r="A65" s="168"/>
      <c r="B65" s="302"/>
      <c r="C65" s="303"/>
      <c r="D65" s="306"/>
      <c r="E65" s="307"/>
      <c r="F65" s="307"/>
      <c r="G65" s="307"/>
      <c r="H65" s="307"/>
      <c r="I65" s="307"/>
      <c r="J65" s="181"/>
      <c r="K65" s="181"/>
      <c r="L65" s="170"/>
      <c r="M65" s="171">
        <f t="shared" si="12"/>
        <v>0</v>
      </c>
      <c r="N65" s="172">
        <f t="shared" si="13"/>
        <v>0</v>
      </c>
      <c r="O65" s="173">
        <f t="shared" si="14"/>
        <v>0</v>
      </c>
      <c r="Q65" s="6" t="s">
        <v>120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6"/>
      <c r="AF65" s="6"/>
      <c r="AG65" s="6"/>
      <c r="AM65" s="145"/>
    </row>
    <row r="66" spans="1:43" x14ac:dyDescent="0.3">
      <c r="A66" s="168"/>
      <c r="B66" s="311"/>
      <c r="C66" s="303"/>
      <c r="D66" s="306"/>
      <c r="E66" s="307"/>
      <c r="F66" s="307"/>
      <c r="G66" s="307"/>
      <c r="H66" s="307"/>
      <c r="I66" s="307"/>
      <c r="J66" s="181"/>
      <c r="K66" s="181"/>
      <c r="L66" s="170"/>
      <c r="M66" s="171">
        <f t="shared" si="12"/>
        <v>0</v>
      </c>
      <c r="N66" s="172">
        <f t="shared" si="13"/>
        <v>0</v>
      </c>
      <c r="O66" s="173">
        <f t="shared" si="14"/>
        <v>0</v>
      </c>
      <c r="Q66" s="182" t="s">
        <v>98</v>
      </c>
      <c r="R66" s="182" t="s">
        <v>121</v>
      </c>
      <c r="S66" s="182" t="s">
        <v>122</v>
      </c>
      <c r="T66" s="182" t="s">
        <v>112</v>
      </c>
      <c r="U66" s="182" t="s">
        <v>101</v>
      </c>
      <c r="V66" s="182" t="s">
        <v>102</v>
      </c>
      <c r="W66" s="182" t="s">
        <v>103</v>
      </c>
      <c r="X66" s="182" t="s">
        <v>104</v>
      </c>
      <c r="Y66" s="182" t="s">
        <v>105</v>
      </c>
      <c r="Z66" s="182" t="s">
        <v>123</v>
      </c>
      <c r="AA66" s="182" t="s">
        <v>107</v>
      </c>
      <c r="AB66" s="182" t="s">
        <v>108</v>
      </c>
      <c r="AC66" s="182" t="s">
        <v>109</v>
      </c>
      <c r="AD66" s="182" t="s">
        <v>110</v>
      </c>
      <c r="AE66" s="182" t="s">
        <v>113</v>
      </c>
      <c r="AF66" s="6"/>
      <c r="AG66" s="6"/>
      <c r="AM66" s="145"/>
    </row>
    <row r="67" spans="1:43" x14ac:dyDescent="0.3">
      <c r="A67" s="168"/>
      <c r="B67" s="299"/>
      <c r="C67" s="299"/>
      <c r="D67" s="306"/>
      <c r="E67" s="307"/>
      <c r="F67" s="307"/>
      <c r="G67" s="307"/>
      <c r="H67" s="307"/>
      <c r="I67" s="307"/>
      <c r="J67" s="181"/>
      <c r="K67" s="181"/>
      <c r="L67" s="170"/>
      <c r="M67" s="171">
        <f t="shared" si="12"/>
        <v>0</v>
      </c>
      <c r="N67" s="172">
        <f t="shared" si="13"/>
        <v>0</v>
      </c>
      <c r="O67" s="173">
        <f t="shared" si="14"/>
        <v>0</v>
      </c>
      <c r="Q67" s="58" t="s">
        <v>124</v>
      </c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183">
        <v>148800</v>
      </c>
      <c r="AF67" s="6"/>
      <c r="AG67" s="6"/>
      <c r="AI67" s="7"/>
      <c r="AJ67" s="7"/>
      <c r="AK67" s="7"/>
      <c r="AL67" s="7"/>
      <c r="AM67" s="145"/>
      <c r="AN67" s="7"/>
      <c r="AO67" s="7"/>
      <c r="AP67" s="7"/>
      <c r="AQ67" s="7"/>
    </row>
    <row r="68" spans="1:43" x14ac:dyDescent="0.3">
      <c r="A68" s="168"/>
      <c r="B68" s="299"/>
      <c r="C68" s="299"/>
      <c r="D68" s="306"/>
      <c r="E68" s="307"/>
      <c r="F68" s="307"/>
      <c r="G68" s="307"/>
      <c r="H68" s="307"/>
      <c r="I68" s="307"/>
      <c r="J68" s="181"/>
      <c r="K68" s="181"/>
      <c r="L68" s="170"/>
      <c r="M68" s="171">
        <f t="shared" si="12"/>
        <v>0</v>
      </c>
      <c r="N68" s="172">
        <f t="shared" si="13"/>
        <v>0</v>
      </c>
      <c r="O68" s="173">
        <f t="shared" si="14"/>
        <v>0</v>
      </c>
      <c r="Q68" s="58" t="s">
        <v>118</v>
      </c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183">
        <f>SUM(R68:AD68)</f>
        <v>0</v>
      </c>
      <c r="AF68" s="6"/>
      <c r="AG68" s="6"/>
      <c r="AI68" s="7"/>
      <c r="AJ68" s="7"/>
      <c r="AK68" s="7"/>
      <c r="AL68" s="7"/>
      <c r="AM68" s="145"/>
      <c r="AN68" s="7"/>
      <c r="AO68" s="7"/>
      <c r="AP68" s="7"/>
      <c r="AQ68" s="7"/>
    </row>
    <row r="69" spans="1:43" x14ac:dyDescent="0.3">
      <c r="A69" s="184"/>
      <c r="B69" s="299"/>
      <c r="C69" s="299"/>
      <c r="D69" s="306"/>
      <c r="E69" s="307"/>
      <c r="F69" s="307"/>
      <c r="G69" s="307"/>
      <c r="H69" s="307"/>
      <c r="I69" s="307"/>
      <c r="J69" s="181"/>
      <c r="K69" s="181"/>
      <c r="L69" s="170"/>
      <c r="M69" s="171">
        <f t="shared" si="12"/>
        <v>0</v>
      </c>
      <c r="N69" s="172">
        <f t="shared" si="13"/>
        <v>0</v>
      </c>
      <c r="O69" s="173">
        <f t="shared" si="14"/>
        <v>0</v>
      </c>
      <c r="Q69" s="58" t="s">
        <v>119</v>
      </c>
      <c r="R69" s="185">
        <f t="shared" ref="R69:AE69" si="16">R68-R67</f>
        <v>0</v>
      </c>
      <c r="S69" s="185">
        <f t="shared" si="16"/>
        <v>0</v>
      </c>
      <c r="T69" s="185">
        <f t="shared" si="16"/>
        <v>0</v>
      </c>
      <c r="U69" s="185">
        <f t="shared" si="16"/>
        <v>0</v>
      </c>
      <c r="V69" s="185">
        <f t="shared" si="16"/>
        <v>0</v>
      </c>
      <c r="W69" s="185">
        <f t="shared" si="16"/>
        <v>0</v>
      </c>
      <c r="X69" s="185">
        <f t="shared" si="16"/>
        <v>0</v>
      </c>
      <c r="Y69" s="185">
        <f t="shared" si="16"/>
        <v>0</v>
      </c>
      <c r="Z69" s="185">
        <f t="shared" si="16"/>
        <v>0</v>
      </c>
      <c r="AA69" s="185">
        <f t="shared" si="16"/>
        <v>0</v>
      </c>
      <c r="AB69" s="185">
        <f t="shared" si="16"/>
        <v>0</v>
      </c>
      <c r="AC69" s="185">
        <f t="shared" si="16"/>
        <v>0</v>
      </c>
      <c r="AD69" s="185">
        <f t="shared" si="16"/>
        <v>0</v>
      </c>
      <c r="AE69" s="186">
        <f t="shared" si="16"/>
        <v>-148800</v>
      </c>
      <c r="AF69" s="7"/>
      <c r="AG69" s="7"/>
      <c r="AH69" s="7"/>
      <c r="AI69" s="7"/>
      <c r="AJ69" s="7"/>
      <c r="AK69" s="7"/>
      <c r="AL69" s="7"/>
      <c r="AM69" s="145"/>
      <c r="AN69" s="7"/>
      <c r="AO69" s="7"/>
      <c r="AP69" s="7"/>
      <c r="AQ69" s="7"/>
    </row>
    <row r="70" spans="1:43" x14ac:dyDescent="0.3">
      <c r="A70" s="187"/>
      <c r="B70" s="299"/>
      <c r="C70" s="299"/>
      <c r="D70" s="306"/>
      <c r="E70" s="307"/>
      <c r="F70" s="307"/>
      <c r="G70" s="307"/>
      <c r="H70" s="307"/>
      <c r="I70" s="307"/>
      <c r="J70" s="181"/>
      <c r="K70" s="181"/>
      <c r="L70" s="170"/>
      <c r="M70" s="171">
        <f t="shared" si="12"/>
        <v>0</v>
      </c>
      <c r="N70" s="172">
        <f t="shared" si="13"/>
        <v>0</v>
      </c>
      <c r="O70" s="173">
        <f t="shared" si="14"/>
        <v>0</v>
      </c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45"/>
      <c r="AN70" s="7"/>
      <c r="AO70" s="7"/>
      <c r="AP70" s="7"/>
      <c r="AQ70" s="7"/>
    </row>
    <row r="71" spans="1:43" x14ac:dyDescent="0.3">
      <c r="A71" s="168"/>
      <c r="B71" s="299"/>
      <c r="C71" s="299"/>
      <c r="D71" s="306"/>
      <c r="E71" s="307"/>
      <c r="F71" s="307"/>
      <c r="G71" s="307"/>
      <c r="H71" s="307"/>
      <c r="I71" s="307"/>
      <c r="J71" s="181"/>
      <c r="K71" s="181"/>
      <c r="L71" s="170"/>
      <c r="M71" s="171">
        <f t="shared" si="12"/>
        <v>0</v>
      </c>
      <c r="N71" s="172">
        <f t="shared" si="13"/>
        <v>0</v>
      </c>
      <c r="O71" s="173">
        <f t="shared" si="14"/>
        <v>0</v>
      </c>
      <c r="Q71" s="7" t="s">
        <v>125</v>
      </c>
      <c r="R71" s="2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45"/>
      <c r="AN71" s="7"/>
      <c r="AO71" s="7"/>
      <c r="AP71" s="7"/>
      <c r="AQ71" s="7"/>
    </row>
    <row r="72" spans="1:43" x14ac:dyDescent="0.3">
      <c r="A72" s="168"/>
      <c r="B72" s="305"/>
      <c r="C72" s="299"/>
      <c r="D72" s="306"/>
      <c r="E72" s="307"/>
      <c r="F72" s="307"/>
      <c r="G72" s="307"/>
      <c r="H72" s="307"/>
      <c r="I72" s="307"/>
      <c r="J72" s="181"/>
      <c r="K72" s="181"/>
      <c r="L72" s="170"/>
      <c r="M72" s="171">
        <f t="shared" si="12"/>
        <v>0</v>
      </c>
      <c r="N72" s="172">
        <f t="shared" si="13"/>
        <v>0</v>
      </c>
      <c r="O72" s="173">
        <f t="shared" si="14"/>
        <v>0</v>
      </c>
      <c r="Q72" s="188" t="s">
        <v>49</v>
      </c>
      <c r="R72" s="188" t="s">
        <v>126</v>
      </c>
      <c r="S72" s="188" t="s">
        <v>107</v>
      </c>
      <c r="T72" s="188" t="s">
        <v>108</v>
      </c>
      <c r="U72" s="188" t="s">
        <v>109</v>
      </c>
      <c r="V72" s="188" t="s">
        <v>110</v>
      </c>
      <c r="W72" s="188" t="s">
        <v>111</v>
      </c>
      <c r="X72" s="188" t="s">
        <v>112</v>
      </c>
      <c r="Y72" s="188" t="s">
        <v>101</v>
      </c>
      <c r="Z72" s="188" t="s">
        <v>102</v>
      </c>
      <c r="AA72" s="188" t="s">
        <v>103</v>
      </c>
      <c r="AB72" s="188" t="s">
        <v>104</v>
      </c>
      <c r="AC72" s="188" t="s">
        <v>105</v>
      </c>
      <c r="AD72" s="189" t="s">
        <v>113</v>
      </c>
      <c r="AE72" s="308" t="s">
        <v>127</v>
      </c>
      <c r="AF72" s="309"/>
      <c r="AG72" s="310"/>
      <c r="AH72" s="7"/>
      <c r="AI72" s="7"/>
      <c r="AJ72" s="7"/>
      <c r="AK72" s="7"/>
      <c r="AL72" s="7"/>
      <c r="AM72" s="145"/>
      <c r="AN72" s="7"/>
      <c r="AO72" s="7"/>
      <c r="AP72" s="7"/>
      <c r="AQ72" s="7"/>
    </row>
    <row r="73" spans="1:43" x14ac:dyDescent="0.3">
      <c r="A73" s="168"/>
      <c r="B73" s="302"/>
      <c r="C73" s="303"/>
      <c r="D73" s="300"/>
      <c r="E73" s="301"/>
      <c r="F73" s="301"/>
      <c r="G73" s="301"/>
      <c r="H73" s="301"/>
      <c r="I73" s="301"/>
      <c r="J73" s="181"/>
      <c r="K73" s="181"/>
      <c r="L73" s="170"/>
      <c r="M73" s="171">
        <f t="shared" si="12"/>
        <v>0</v>
      </c>
      <c r="N73" s="172">
        <f t="shared" si="13"/>
        <v>0</v>
      </c>
      <c r="O73" s="173">
        <f t="shared" si="14"/>
        <v>0</v>
      </c>
      <c r="Q73" s="58" t="s">
        <v>128</v>
      </c>
      <c r="R73" s="277">
        <f>SUM(Q38:R38)*65</f>
        <v>0</v>
      </c>
      <c r="S73" s="277"/>
      <c r="T73" s="277"/>
      <c r="U73" s="277"/>
      <c r="V73" s="277"/>
      <c r="W73" s="277"/>
      <c r="X73" s="277"/>
      <c r="Y73" s="277"/>
      <c r="Z73" s="190"/>
      <c r="AA73" s="190"/>
      <c r="AB73" s="58"/>
      <c r="AC73" s="58"/>
      <c r="AD73" s="191">
        <f>SUM(R73:AC73)</f>
        <v>0</v>
      </c>
      <c r="AE73" s="192" t="s">
        <v>129</v>
      </c>
      <c r="AF73" s="192" t="s">
        <v>130</v>
      </c>
      <c r="AG73" s="192" t="s">
        <v>131</v>
      </c>
      <c r="AH73" s="7"/>
      <c r="AI73" s="7"/>
      <c r="AJ73" s="7"/>
      <c r="AK73" s="7"/>
      <c r="AL73" s="7"/>
      <c r="AM73" s="145"/>
      <c r="AN73" s="7"/>
      <c r="AO73" s="7"/>
      <c r="AP73" s="7"/>
      <c r="AQ73" s="7"/>
    </row>
    <row r="74" spans="1:43" x14ac:dyDescent="0.3">
      <c r="A74" s="168"/>
      <c r="B74" s="302"/>
      <c r="C74" s="303"/>
      <c r="D74" s="300"/>
      <c r="E74" s="301"/>
      <c r="F74" s="301"/>
      <c r="G74" s="301"/>
      <c r="H74" s="301"/>
      <c r="I74" s="301"/>
      <c r="J74" s="181"/>
      <c r="K74" s="181"/>
      <c r="L74" s="170"/>
      <c r="M74" s="171">
        <f t="shared" si="12"/>
        <v>0</v>
      </c>
      <c r="N74" s="172">
        <f t="shared" si="13"/>
        <v>0</v>
      </c>
      <c r="O74" s="173">
        <f t="shared" si="14"/>
        <v>0</v>
      </c>
      <c r="Q74" s="58" t="s">
        <v>132</v>
      </c>
      <c r="R74" s="277"/>
      <c r="S74" s="277"/>
      <c r="T74" s="277"/>
      <c r="U74" s="277"/>
      <c r="V74" s="277"/>
      <c r="W74" s="277"/>
      <c r="X74" s="277"/>
      <c r="Y74" s="277"/>
      <c r="Z74" s="190"/>
      <c r="AA74" s="190"/>
      <c r="AB74" s="58"/>
      <c r="AC74" s="58"/>
      <c r="AD74" s="191">
        <f>SUM(R74:AC74)</f>
        <v>0</v>
      </c>
      <c r="AE74" s="193"/>
      <c r="AF74" s="193"/>
      <c r="AG74" s="193"/>
      <c r="AH74" s="7"/>
      <c r="AI74" s="7"/>
      <c r="AJ74" s="7"/>
      <c r="AK74" s="7"/>
      <c r="AL74" s="7"/>
      <c r="AM74" s="145"/>
      <c r="AN74" s="7"/>
      <c r="AO74" s="7"/>
      <c r="AP74" s="7"/>
      <c r="AQ74" s="7"/>
    </row>
    <row r="75" spans="1:43" x14ac:dyDescent="0.3">
      <c r="A75" s="168"/>
      <c r="B75" s="302"/>
      <c r="C75" s="303"/>
      <c r="D75" s="300"/>
      <c r="E75" s="301"/>
      <c r="F75" s="301"/>
      <c r="G75" s="301"/>
      <c r="H75" s="301"/>
      <c r="I75" s="301"/>
      <c r="J75" s="181"/>
      <c r="K75" s="181"/>
      <c r="L75" s="170"/>
      <c r="M75" s="171">
        <f t="shared" si="12"/>
        <v>0</v>
      </c>
      <c r="N75" s="172">
        <f t="shared" si="13"/>
        <v>0</v>
      </c>
      <c r="O75" s="173">
        <f t="shared" si="14"/>
        <v>0</v>
      </c>
      <c r="Q75" s="189" t="s">
        <v>113</v>
      </c>
      <c r="R75" s="191">
        <f t="shared" ref="R75:AC75" si="17">SUM(R73:R74)</f>
        <v>0</v>
      </c>
      <c r="S75" s="191">
        <f t="shared" si="17"/>
        <v>0</v>
      </c>
      <c r="T75" s="191">
        <f t="shared" si="17"/>
        <v>0</v>
      </c>
      <c r="U75" s="191">
        <f t="shared" si="17"/>
        <v>0</v>
      </c>
      <c r="V75" s="191">
        <f t="shared" si="17"/>
        <v>0</v>
      </c>
      <c r="W75" s="191">
        <f t="shared" si="17"/>
        <v>0</v>
      </c>
      <c r="X75" s="191">
        <f t="shared" si="17"/>
        <v>0</v>
      </c>
      <c r="Y75" s="191">
        <f t="shared" si="17"/>
        <v>0</v>
      </c>
      <c r="Z75" s="191">
        <f t="shared" si="17"/>
        <v>0</v>
      </c>
      <c r="AA75" s="191">
        <f t="shared" si="17"/>
        <v>0</v>
      </c>
      <c r="AB75" s="191">
        <f t="shared" si="17"/>
        <v>0</v>
      </c>
      <c r="AC75" s="191">
        <f t="shared" si="17"/>
        <v>0</v>
      </c>
      <c r="AD75" s="191">
        <f>SUM(R75:AC75)</f>
        <v>0</v>
      </c>
      <c r="AE75" s="194" t="e">
        <f>AD75/AE74</f>
        <v>#DIV/0!</v>
      </c>
      <c r="AF75" s="194" t="e">
        <f>AD75/AF74</f>
        <v>#DIV/0!</v>
      </c>
      <c r="AG75" s="194" t="e">
        <f>AD75/AG74</f>
        <v>#DIV/0!</v>
      </c>
      <c r="AI75" s="7"/>
      <c r="AJ75" s="7"/>
      <c r="AK75" s="7"/>
      <c r="AL75" s="7"/>
      <c r="AM75" s="145"/>
      <c r="AN75" s="7"/>
      <c r="AO75" s="7"/>
      <c r="AP75" s="7"/>
      <c r="AQ75" s="7"/>
    </row>
    <row r="76" spans="1:43" x14ac:dyDescent="0.3">
      <c r="A76" s="168"/>
      <c r="B76" s="302"/>
      <c r="C76" s="303"/>
      <c r="D76" s="300"/>
      <c r="E76" s="301"/>
      <c r="F76" s="301"/>
      <c r="G76" s="301"/>
      <c r="H76" s="301"/>
      <c r="I76" s="301"/>
      <c r="J76" s="181"/>
      <c r="K76" s="181"/>
      <c r="L76" s="170"/>
      <c r="M76" s="171">
        <f t="shared" si="12"/>
        <v>0</v>
      </c>
      <c r="N76" s="172">
        <f t="shared" si="13"/>
        <v>0</v>
      </c>
      <c r="O76" s="173">
        <f t="shared" si="14"/>
        <v>0</v>
      </c>
      <c r="Q76" s="7"/>
      <c r="R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45"/>
      <c r="AN76" s="7"/>
      <c r="AO76" s="7"/>
      <c r="AP76" s="7"/>
      <c r="AQ76" s="7"/>
    </row>
    <row r="77" spans="1:43" x14ac:dyDescent="0.3">
      <c r="A77" s="168"/>
      <c r="B77" s="302"/>
      <c r="C77" s="303"/>
      <c r="D77" s="300"/>
      <c r="E77" s="301"/>
      <c r="F77" s="301"/>
      <c r="G77" s="301"/>
      <c r="H77" s="301"/>
      <c r="I77" s="304"/>
      <c r="J77" s="181"/>
      <c r="K77" s="181"/>
      <c r="L77" s="170"/>
      <c r="M77" s="171">
        <f t="shared" si="12"/>
        <v>0</v>
      </c>
      <c r="N77" s="172">
        <f t="shared" si="13"/>
        <v>0</v>
      </c>
      <c r="O77" s="173">
        <f t="shared" si="14"/>
        <v>0</v>
      </c>
      <c r="Q77" s="7"/>
      <c r="R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45"/>
      <c r="AN77" s="7"/>
      <c r="AO77" s="7"/>
      <c r="AP77" s="7"/>
      <c r="AQ77" s="7"/>
    </row>
    <row r="78" spans="1:43" x14ac:dyDescent="0.3">
      <c r="A78" s="168"/>
      <c r="B78" s="302"/>
      <c r="C78" s="303"/>
      <c r="D78" s="300"/>
      <c r="E78" s="301"/>
      <c r="F78" s="301"/>
      <c r="G78" s="301"/>
      <c r="H78" s="301"/>
      <c r="I78" s="301"/>
      <c r="J78" s="181"/>
      <c r="K78" s="181"/>
      <c r="L78" s="170"/>
      <c r="M78" s="171">
        <f t="shared" si="12"/>
        <v>0</v>
      </c>
      <c r="N78" s="172">
        <f t="shared" si="13"/>
        <v>0</v>
      </c>
      <c r="O78" s="173">
        <f t="shared" si="14"/>
        <v>0</v>
      </c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45"/>
      <c r="AN78" s="7"/>
      <c r="AO78" s="7"/>
      <c r="AP78" s="7"/>
      <c r="AQ78" s="7"/>
    </row>
    <row r="79" spans="1:43" x14ac:dyDescent="0.3">
      <c r="A79" s="168"/>
      <c r="B79" s="302"/>
      <c r="C79" s="303"/>
      <c r="D79" s="300"/>
      <c r="E79" s="301"/>
      <c r="F79" s="301"/>
      <c r="G79" s="301"/>
      <c r="H79" s="301"/>
      <c r="I79" s="301"/>
      <c r="J79" s="181"/>
      <c r="K79" s="181"/>
      <c r="L79" s="170"/>
      <c r="M79" s="171">
        <f t="shared" si="12"/>
        <v>0</v>
      </c>
      <c r="N79" s="172">
        <f t="shared" si="13"/>
        <v>0</v>
      </c>
      <c r="O79" s="173">
        <f t="shared" si="14"/>
        <v>0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45"/>
      <c r="AN79" s="7"/>
      <c r="AO79" s="7"/>
      <c r="AP79" s="7"/>
      <c r="AQ79" s="7"/>
    </row>
    <row r="80" spans="1:43" x14ac:dyDescent="0.3">
      <c r="A80" s="168"/>
      <c r="B80" s="302"/>
      <c r="C80" s="303"/>
      <c r="D80" s="300"/>
      <c r="E80" s="301"/>
      <c r="F80" s="301"/>
      <c r="G80" s="301"/>
      <c r="H80" s="301"/>
      <c r="I80" s="304"/>
      <c r="J80" s="181"/>
      <c r="K80" s="181"/>
      <c r="L80" s="170"/>
      <c r="M80" s="171">
        <f t="shared" si="12"/>
        <v>0</v>
      </c>
      <c r="N80" s="172">
        <f t="shared" si="13"/>
        <v>0</v>
      </c>
      <c r="O80" s="173">
        <f t="shared" si="14"/>
        <v>0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45"/>
      <c r="AN80" s="7"/>
      <c r="AO80" s="7"/>
      <c r="AP80" s="7"/>
      <c r="AQ80" s="7"/>
    </row>
    <row r="81" spans="1:43" x14ac:dyDescent="0.3">
      <c r="A81" s="168"/>
      <c r="B81" s="302"/>
      <c r="C81" s="303"/>
      <c r="D81" s="300"/>
      <c r="E81" s="301"/>
      <c r="F81" s="301"/>
      <c r="G81" s="301"/>
      <c r="H81" s="301"/>
      <c r="I81" s="304"/>
      <c r="J81" s="181"/>
      <c r="K81" s="181"/>
      <c r="L81" s="170"/>
      <c r="M81" s="171">
        <f t="shared" si="12"/>
        <v>0</v>
      </c>
      <c r="N81" s="172">
        <f t="shared" si="13"/>
        <v>0</v>
      </c>
      <c r="O81" s="173">
        <f t="shared" si="14"/>
        <v>0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45"/>
      <c r="AN81" s="7"/>
      <c r="AO81" s="7"/>
      <c r="AP81" s="7"/>
      <c r="AQ81" s="7"/>
    </row>
    <row r="82" spans="1:43" x14ac:dyDescent="0.3">
      <c r="A82" s="168"/>
      <c r="B82" s="302"/>
      <c r="C82" s="303"/>
      <c r="D82" s="300"/>
      <c r="E82" s="301"/>
      <c r="F82" s="301"/>
      <c r="G82" s="301"/>
      <c r="H82" s="301"/>
      <c r="I82" s="304"/>
      <c r="J82" s="181"/>
      <c r="K82" s="181"/>
      <c r="L82" s="170"/>
      <c r="M82" s="171">
        <f t="shared" si="12"/>
        <v>0</v>
      </c>
      <c r="N82" s="172">
        <f t="shared" si="13"/>
        <v>0</v>
      </c>
      <c r="O82" s="173">
        <f t="shared" si="14"/>
        <v>0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45"/>
      <c r="AN82" s="7"/>
      <c r="AO82" s="7"/>
      <c r="AP82" s="7"/>
      <c r="AQ82" s="7"/>
    </row>
    <row r="83" spans="1:43" x14ac:dyDescent="0.3">
      <c r="A83" s="168"/>
      <c r="B83" s="302"/>
      <c r="C83" s="303"/>
      <c r="D83" s="300"/>
      <c r="E83" s="301"/>
      <c r="F83" s="301"/>
      <c r="G83" s="301"/>
      <c r="H83" s="301"/>
      <c r="I83" s="304"/>
      <c r="J83" s="181"/>
      <c r="K83" s="181"/>
      <c r="L83" s="170"/>
      <c r="M83" s="171">
        <f t="shared" si="12"/>
        <v>0</v>
      </c>
      <c r="N83" s="172">
        <f t="shared" si="13"/>
        <v>0</v>
      </c>
      <c r="O83" s="173">
        <f t="shared" si="14"/>
        <v>0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45"/>
      <c r="AN83" s="7"/>
      <c r="AO83" s="7"/>
      <c r="AP83" s="7"/>
      <c r="AQ83" s="7"/>
    </row>
    <row r="84" spans="1:43" x14ac:dyDescent="0.3">
      <c r="A84" s="195"/>
      <c r="B84" s="299"/>
      <c r="C84" s="299"/>
      <c r="D84" s="300"/>
      <c r="E84" s="301"/>
      <c r="F84" s="301"/>
      <c r="G84" s="301"/>
      <c r="H84" s="301"/>
      <c r="I84" s="301"/>
      <c r="J84" s="181"/>
      <c r="K84" s="181"/>
      <c r="L84" s="170"/>
      <c r="M84" s="170"/>
      <c r="N84" s="196"/>
      <c r="O84" s="197">
        <f>SUM(O58:O83)</f>
        <v>0</v>
      </c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45"/>
      <c r="AN84" s="7"/>
      <c r="AO84" s="7"/>
      <c r="AP84" s="7"/>
      <c r="AQ84" s="7"/>
    </row>
    <row r="85" spans="1:43" x14ac:dyDescent="0.3">
      <c r="A85" s="7"/>
      <c r="H85" s="2"/>
      <c r="I85" s="3"/>
      <c r="J85" s="2"/>
      <c r="K85" s="2"/>
      <c r="L85" s="7"/>
      <c r="M85" s="7"/>
      <c r="N85" s="7"/>
      <c r="O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45"/>
      <c r="AN85" s="7"/>
      <c r="AO85" s="7"/>
      <c r="AP85" s="7"/>
      <c r="AQ85" s="7"/>
    </row>
    <row r="86" spans="1:43" x14ac:dyDescent="0.3">
      <c r="A86" s="7"/>
      <c r="H86" s="2"/>
      <c r="I86" s="3"/>
      <c r="J86" s="2"/>
      <c r="K86" s="2"/>
      <c r="L86" s="163" t="s">
        <v>94</v>
      </c>
      <c r="M86" s="163" t="s">
        <v>95</v>
      </c>
      <c r="N86" s="164" t="s">
        <v>96</v>
      </c>
      <c r="O86" s="164" t="s">
        <v>97</v>
      </c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45"/>
      <c r="AN86" s="7"/>
      <c r="AO86" s="7"/>
      <c r="AP86" s="7"/>
      <c r="AQ86" s="7"/>
    </row>
    <row r="87" spans="1:43" x14ac:dyDescent="0.3">
      <c r="A87" s="7"/>
      <c r="H87" s="2"/>
      <c r="I87" s="3"/>
      <c r="J87" s="2"/>
      <c r="K87" s="2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M87" s="145"/>
    </row>
    <row r="88" spans="1:43" x14ac:dyDescent="0.3"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M88" s="145"/>
    </row>
    <row r="89" spans="1:43" x14ac:dyDescent="0.3">
      <c r="W89" s="7"/>
      <c r="X89" s="7"/>
      <c r="Y89" s="7"/>
      <c r="Z89" s="7"/>
      <c r="AA89" s="7"/>
      <c r="AB89" s="6"/>
      <c r="AC89" s="6"/>
      <c r="AD89" s="6"/>
      <c r="AE89" s="6"/>
      <c r="AF89" s="6"/>
      <c r="AG89" s="6"/>
      <c r="AM89" s="145"/>
    </row>
  </sheetData>
  <mergeCells count="158">
    <mergeCell ref="B84:C84"/>
    <mergeCell ref="D84:I84"/>
    <mergeCell ref="B81:C81"/>
    <mergeCell ref="D81:I81"/>
    <mergeCell ref="B82:C82"/>
    <mergeCell ref="D82:I82"/>
    <mergeCell ref="B83:C83"/>
    <mergeCell ref="D83:I83"/>
    <mergeCell ref="B78:C78"/>
    <mergeCell ref="D78:I78"/>
    <mergeCell ref="B79:C79"/>
    <mergeCell ref="D79:I79"/>
    <mergeCell ref="B80:C80"/>
    <mergeCell ref="D80:I80"/>
    <mergeCell ref="B75:C75"/>
    <mergeCell ref="D75:I75"/>
    <mergeCell ref="B76:C76"/>
    <mergeCell ref="D76:I76"/>
    <mergeCell ref="B77:C77"/>
    <mergeCell ref="D77:I77"/>
    <mergeCell ref="B72:C72"/>
    <mergeCell ref="D72:I72"/>
    <mergeCell ref="AE72:AG72"/>
    <mergeCell ref="B73:C73"/>
    <mergeCell ref="D73:I73"/>
    <mergeCell ref="B74:C74"/>
    <mergeCell ref="D74:I74"/>
    <mergeCell ref="B69:C69"/>
    <mergeCell ref="D69:I69"/>
    <mergeCell ref="B70:C70"/>
    <mergeCell ref="D70:I70"/>
    <mergeCell ref="B71:C71"/>
    <mergeCell ref="D71:I71"/>
    <mergeCell ref="B66:C66"/>
    <mergeCell ref="D66:I66"/>
    <mergeCell ref="B67:C67"/>
    <mergeCell ref="D67:I67"/>
    <mergeCell ref="B68:C68"/>
    <mergeCell ref="D68:I68"/>
    <mergeCell ref="B63:C63"/>
    <mergeCell ref="D63:I63"/>
    <mergeCell ref="B64:C64"/>
    <mergeCell ref="D64:I64"/>
    <mergeCell ref="B65:C65"/>
    <mergeCell ref="D65:I65"/>
    <mergeCell ref="B61:C61"/>
    <mergeCell ref="D61:I61"/>
    <mergeCell ref="Q61:R61"/>
    <mergeCell ref="B62:C62"/>
    <mergeCell ref="D62:I62"/>
    <mergeCell ref="Q62:R62"/>
    <mergeCell ref="Q57:R57"/>
    <mergeCell ref="B58:C58"/>
    <mergeCell ref="D58:I58"/>
    <mergeCell ref="Q58:Q60"/>
    <mergeCell ref="B59:C59"/>
    <mergeCell ref="D59:I59"/>
    <mergeCell ref="B60:C60"/>
    <mergeCell ref="D60:I60"/>
    <mergeCell ref="B49:C49"/>
    <mergeCell ref="B50:B54"/>
    <mergeCell ref="B56:K56"/>
    <mergeCell ref="B57:C57"/>
    <mergeCell ref="D57:I57"/>
    <mergeCell ref="J57:K57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AA36:AD36"/>
    <mergeCell ref="AE36:AH36"/>
    <mergeCell ref="AA37:AD37"/>
    <mergeCell ref="AE37:AH37"/>
    <mergeCell ref="AH39:AI39"/>
    <mergeCell ref="B41:C41"/>
    <mergeCell ref="D41:E41"/>
    <mergeCell ref="AA33:AD33"/>
    <mergeCell ref="AE33:AH33"/>
    <mergeCell ref="AA34:AD34"/>
    <mergeCell ref="AE34:AH34"/>
    <mergeCell ref="AA35:AD35"/>
    <mergeCell ref="AE35:AH35"/>
    <mergeCell ref="AA30:AD30"/>
    <mergeCell ref="AE30:AH30"/>
    <mergeCell ref="AA31:AD31"/>
    <mergeCell ref="AE31:AH31"/>
    <mergeCell ref="AA32:AD32"/>
    <mergeCell ref="AE32:AH32"/>
    <mergeCell ref="AA27:AD27"/>
    <mergeCell ref="AE27:AH27"/>
    <mergeCell ref="AA28:AD28"/>
    <mergeCell ref="AE28:AH28"/>
    <mergeCell ref="AA29:AD29"/>
    <mergeCell ref="AE29:AH29"/>
    <mergeCell ref="AA24:AD24"/>
    <mergeCell ref="AE24:AH24"/>
    <mergeCell ref="AA25:AD25"/>
    <mergeCell ref="AE25:AH25"/>
    <mergeCell ref="AA26:AD26"/>
    <mergeCell ref="AE26:AH26"/>
    <mergeCell ref="AA21:AD21"/>
    <mergeCell ref="AE21:AH21"/>
    <mergeCell ref="AA22:AD22"/>
    <mergeCell ref="AE22:AH22"/>
    <mergeCell ref="AA23:AD23"/>
    <mergeCell ref="AE23:AH23"/>
    <mergeCell ref="AA18:AD18"/>
    <mergeCell ref="AE18:AH18"/>
    <mergeCell ref="AA19:AD19"/>
    <mergeCell ref="AE19:AH19"/>
    <mergeCell ref="AA20:AD20"/>
    <mergeCell ref="AE20:AH20"/>
    <mergeCell ref="AA15:AD15"/>
    <mergeCell ref="AE15:AH15"/>
    <mergeCell ref="AA16:AD16"/>
    <mergeCell ref="AE16:AH16"/>
    <mergeCell ref="AA17:AD17"/>
    <mergeCell ref="AE17:AH17"/>
    <mergeCell ref="AA12:AD12"/>
    <mergeCell ref="AE12:AH12"/>
    <mergeCell ref="AA13:AD13"/>
    <mergeCell ref="AE13:AH13"/>
    <mergeCell ref="AA14:AD14"/>
    <mergeCell ref="AE14:AH14"/>
    <mergeCell ref="AA9:AD9"/>
    <mergeCell ref="AE9:AH9"/>
    <mergeCell ref="AA10:AD10"/>
    <mergeCell ref="AE10:AH10"/>
    <mergeCell ref="AA11:AD11"/>
    <mergeCell ref="AE11:AH11"/>
    <mergeCell ref="AH5:AI5"/>
    <mergeCell ref="AA6:AD6"/>
    <mergeCell ref="AE6:AH6"/>
    <mergeCell ref="AA7:AD7"/>
    <mergeCell ref="AE7:AH7"/>
    <mergeCell ref="AA8:AD8"/>
    <mergeCell ref="AE8:AH8"/>
    <mergeCell ref="U4:V5"/>
    <mergeCell ref="W4:Y5"/>
    <mergeCell ref="S4:T5"/>
    <mergeCell ref="B5:C5"/>
    <mergeCell ref="I5:J5"/>
    <mergeCell ref="M5:N5"/>
    <mergeCell ref="O5:P5"/>
    <mergeCell ref="Q5:R5"/>
    <mergeCell ref="A3:B3"/>
    <mergeCell ref="B4:G4"/>
    <mergeCell ref="I4:L4"/>
    <mergeCell ref="M4:P4"/>
    <mergeCell ref="Q4:R4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4" sqref="I24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스팀생산실적(1월)</vt:lpstr>
      <vt:lpstr>스팀생산실적(2월)</vt:lpstr>
      <vt:lpstr>스팀생산실적(3월)</vt:lpstr>
      <vt:lpstr>스팀생산실적(4월)</vt:lpstr>
      <vt:lpstr>스팀생산실적(5월)</vt:lpstr>
      <vt:lpstr>스팀생산실적(6월) </vt:lpstr>
      <vt:lpstr>스팀생산실적(7월)</vt:lpstr>
      <vt:lpstr>스팀생산실적(8월) </vt:lpstr>
      <vt:lpstr>스팀생산실적(9월)</vt:lpstr>
      <vt:lpstr>스팀생산실적(10월)</vt:lpstr>
      <vt:lpstr>스팀생산실적(11월)</vt:lpstr>
      <vt:lpstr>스팀생산실적(12월)</vt:lpstr>
      <vt:lpstr>스팀생산실적(양식)</vt:lpstr>
      <vt:lpstr>Sheet3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2025-12-17T22:15:28Z</dcterms:modified>
</cp:coreProperties>
</file>