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5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도급내역" sheetId="1" state="visible" r:id="rId3"/>
    <sheet name="2. 2025년 사업계획대비" sheetId="2" state="visible" r:id="rId4"/>
    <sheet name="3. 2025년(전년)대비 및 절감내역" sheetId="3" state="visible" r:id="rId5"/>
    <sheet name="4. 2025 계획대비 가동실적" sheetId="4" state="visible" r:id="rId6"/>
    <sheet name="5. 폐합성소각로 총 운영비용" sheetId="5" state="visible" r:id="rId7"/>
    <sheet name="6. 25년 사고이력" sheetId="6" state="visible" r:id="rId8"/>
  </sheets>
  <externalReferences>
    <externalReference r:id="rId9"/>
    <externalReference r:id="rId10"/>
  </externalReferences>
  <definedNames>
    <definedName function="false" hidden="false" name="Angle" vbProcedure="false">Angle</definedName>
    <definedName function="false" hidden="false" name="BacktoBF" vbProcedure="false">BacktoBF</definedName>
    <definedName function="false" hidden="false" name="Backtocompressor" vbProcedure="false">Backtocompressor</definedName>
    <definedName function="false" hidden="false" name="Backtoconsum" vbProcedure="false">Backtoconsum</definedName>
    <definedName function="false" hidden="false" name="Backtoconversion" vbProcedure="false">Backtoconversion</definedName>
    <definedName function="false" hidden="false" name="Backtodeltap" vbProcedure="false">Backtodeltap</definedName>
    <definedName function="false" hidden="false" name="Backtoelec" vbProcedure="false">Backtoelec</definedName>
    <definedName function="false" hidden="false" name="Backtoequipments" vbProcedure="false">Backtoequipments</definedName>
    <definedName function="false" hidden="false" name="Backtoexpected" vbProcedure="false">Backtoexpected</definedName>
    <definedName function="false" hidden="false" name="BacktoFGMAXIMECA" vbProcedure="false">BacktoFGMAXIMECA</definedName>
    <definedName function="false" hidden="false" name="BacktoFGMAXIPERF" vbProcedure="false">BacktoFGMAXIPERF</definedName>
    <definedName function="false" hidden="false" name="BacktoFGMINI" vbProcedure="false">BacktoFGMINI</definedName>
    <definedName function="false" hidden="false" name="BacktoFGNOMINAL" vbProcedure="false">BacktoFGNOMINAL</definedName>
    <definedName function="false" hidden="false" name="Backtoguarantee" vbProcedure="false">Backtoguarantee</definedName>
    <definedName function="false" hidden="false" name="Backtokwconsumption" vbProcedure="false">Backtokwconsumption</definedName>
    <definedName function="false" hidden="false" name="Backtomaxiperfbalance" vbProcedure="false">Backtomaxiperfbalance</definedName>
    <definedName function="false" hidden="false" name="Backtomaxiperfmini" vbProcedure="false">Backtomaxiperfmini</definedName>
    <definedName function="false" hidden="false" name="Backtomenu" vbProcedure="false">Backtomenu</definedName>
    <definedName function="false" hidden="false" name="Backtominibalance" vbProcedure="false">Backtominibalance</definedName>
    <definedName function="false" hidden="false" name="Backtonominalbalance" vbProcedure="false">Backtonominalbalance</definedName>
    <definedName function="false" hidden="false" name="Backtopfdnominal" vbProcedure="false">Backtopfdnominal</definedName>
    <definedName function="false" hidden="false" name="Backtopowerfan1" vbProcedure="false">Backtopowerfan1</definedName>
    <definedName function="false" hidden="false" name="Backtoreactor" vbProcedure="false">Backtoreactor</definedName>
    <definedName function="false" hidden="false" name="Backtoscheme" vbProcedure="false">Backtoscheme</definedName>
    <definedName function="false" hidden="false" name="comp" vbProcedure="false">#REF!</definedName>
    <definedName function="false" hidden="false" name="Conseil" vbProcedure="false">Conseil</definedName>
    <definedName function="false" hidden="false" name="CP" vbProcedure="false">[1]DC!$M$3</definedName>
    <definedName function="false" hidden="false" name="Debitpul" vbProcedure="false">Debitpul</definedName>
    <definedName function="false" hidden="false" name="DT" vbProcedure="false">[1]DC!$M$4</definedName>
    <definedName function="false" hidden="false" name="Heldeltap" vbProcedure="false">Heldeltap</definedName>
    <definedName function="false" hidden="false" name="HelpBF" vbProcedure="false">HelpBF</definedName>
    <definedName function="false" hidden="false" name="Helpcompressor" vbProcedure="false">Helpcompressor</definedName>
    <definedName function="false" hidden="false" name="Helpconsum" vbProcedure="false">Helpconsum</definedName>
    <definedName function="false" hidden="false" name="Helpconversion" vbProcedure="false">Helpconversion</definedName>
    <definedName function="false" hidden="false" name="Helpelec" vbProcedure="false">Helpelec</definedName>
    <definedName function="false" hidden="false" name="Helpequipments" vbProcedure="false">Helpequipments</definedName>
    <definedName function="false" hidden="false" name="Helpexpected" vbProcedure="false">Helpexpected</definedName>
    <definedName function="false" hidden="false" name="HelpFGMAXIMECA" vbProcedure="false">HelpFGMAXIMECA</definedName>
    <definedName function="false" hidden="false" name="HelpFGMAXIPERF" vbProcedure="false">HelpFGMAXIPERF</definedName>
    <definedName function="false" hidden="false" name="HelpFGMINI" vbProcedure="false">HelpFGMINI</definedName>
    <definedName function="false" hidden="false" name="HelpFGNOMINAL" vbProcedure="false">HelpFGNOMINAL</definedName>
    <definedName function="false" hidden="false" name="Helpguarantee" vbProcedure="false">Helpguarantee</definedName>
    <definedName function="false" hidden="false" name="Helpkwconsumption" vbProcedure="false">Helpkwconsumption</definedName>
    <definedName function="false" hidden="false" name="Helpmaxiperfbalance" vbProcedure="false">Helpmaxiperfbalance</definedName>
    <definedName function="false" hidden="false" name="Helpmenu" vbProcedure="false">Helpmenu</definedName>
    <definedName function="false" hidden="false" name="Helpminibalance" vbProcedure="false">Helpminibalance</definedName>
    <definedName function="false" hidden="false" name="Helpnominalbalance" vbProcedure="false">Helpnominalbalance</definedName>
    <definedName function="false" hidden="false" name="Helpowerfan1" vbProcedure="false">Helpowerfan1</definedName>
    <definedName function="false" hidden="false" name="Helpreactor" vbProcedure="false">Helpreactor</definedName>
    <definedName function="false" hidden="false" name="Helpscheme" vbProcedure="false">Helpscheme</definedName>
    <definedName function="false" hidden="false" name="LG" vbProcedure="false">"Picture 1"</definedName>
    <definedName function="false" hidden="false" name="Lien" vbProcedure="false">Lien</definedName>
    <definedName function="false" hidden="false" name="Macro7" vbProcedure="false">Macro7</definedName>
    <definedName function="false" hidden="false" name="MASS1" vbProcedure="false">'[2]MEDIUM Balance'!$GU$971</definedName>
    <definedName function="false" hidden="false" name="PN" vbProcedure="false">[1]DC!$M$2</definedName>
    <definedName function="false" hidden="false" name="quantité" vbProcedure="false">quantité</definedName>
    <definedName function="false" hidden="false" name="razpul" vbProcedure="false">razpul</definedName>
    <definedName function="false" hidden="false" name="raztotale" vbProcedure="false">raztotale</definedName>
    <definedName function="false" hidden="false" name="RecopFG1500" vbProcedure="false">RecopFG1500</definedName>
    <definedName function="false" hidden="false" name="RecopFG1500maximéca" vbProcedure="false">RecopFG1500maximéca</definedName>
    <definedName function="false" hidden="false" name="RecopFG1500maxiperf" vbProcedure="false">RecopFG1500maxiperf</definedName>
    <definedName function="false" hidden="false" name="RecopFG1500mini" vbProcedure="false">RecopFG1500mini</definedName>
    <definedName function="false" hidden="false" name="renseigner" vbProcedure="false">renseigner</definedName>
    <definedName function="false" hidden="false" name="sss" vbProcedure="false">sss</definedName>
    <definedName function="false" hidden="false" name="Tabelec" vbProcedure="false">[2]Instructions!$FN$938</definedName>
    <definedName function="false" hidden="false" name="Tabkwconsumption" vbProcedure="false">[2]Instructions!$M$13</definedName>
    <definedName function="false" hidden="false" name="test" vbProcedure="false">test</definedName>
    <definedName function="false" hidden="false" name="WhitePlumeMaxiMéca" vbProcedure="false">WhitePlumeMaxiMéca</definedName>
    <definedName function="false" hidden="false" name="WhitePlumeMaxPerf" vbProcedure="false">WhitePlumeMaxPerf</definedName>
    <definedName function="false" hidden="false" name="WhitePlumeMini" vbProcedure="false">WhitePlumeMini</definedName>
    <definedName function="false" hidden="false" name="WhitePlumeNom" vbProcedure="false">WhitePlumeNom</definedName>
    <definedName function="false" hidden="false" name="_B" vbProcedure="false">'[2]MEDIUM Balance'!$A$1</definedName>
    <definedName function="false" hidden="false" name="_D" vbProcedure="false">'[2]MEDIUM Balance'!$A$1</definedName>
    <definedName function="false" hidden="false" name="_H" vbProcedure="false">'[2]MEDIUM Balance'!$A$1</definedName>
    <definedName function="false" hidden="false" name="_I" vbProcedure="false">'[2]MEDIUM Balance'!$A$1</definedName>
    <definedName function="false" hidden="false" name="_R" vbProcedure="false">'[2]MEDIUM Balance'!$A$1</definedName>
    <definedName function="false" hidden="false" name="_RV1" vbProcedure="false">[1]DC!$M$5</definedName>
    <definedName function="false" hidden="false" name="_RV2" vbProcedure="false">[1]DC!$M$6</definedName>
    <definedName function="false" hidden="false" name="_xlfn_IFERROR" vbProcedure="false">#REF!</definedName>
    <definedName function="false" hidden="false" name="ㅁ" vbProcedure="false">ㅁ</definedName>
    <definedName function="false" hidden="false" name="ㅁㅁ" vbProcedure="false">ㅁㅁ</definedName>
    <definedName function="false" hidden="false" name="ㅁㅁㅁ" vbProcedure="false">ㅁㅁㅁ</definedName>
    <definedName function="false" hidden="false" name="ㅁㅁㅁㅁㅁ" vbProcedure="false">ㅁㅁㅁㅁㅁ</definedName>
    <definedName function="false" hidden="false" name="감1" vbProcedure="false">감1</definedName>
    <definedName function="false" hidden="false" name="견적내역서" vbProcedure="false">견적내역서</definedName>
    <definedName function="false" hidden="false" name="김" vbProcedure="false">김</definedName>
    <definedName function="false" hidden="false" name="김미" vbProcedure="false">김미</definedName>
    <definedName function="false" hidden="false" localSheetId="2" name="comp" vbProcedure="false">#REF!</definedName>
    <definedName function="false" hidden="false" localSheetId="2" name="MASS1" vbProcedure="false">'[2]MEDIUM Balance'!$GU$971</definedName>
    <definedName function="false" hidden="false" localSheetId="2" name="Tabelec" vbProcedure="false">[2]Instructions!$FN$938</definedName>
    <definedName function="false" hidden="false" localSheetId="2" name="Tabkwconsumption" vbProcedure="false">[2]Instructions!$M$13</definedName>
    <definedName function="false" hidden="false" localSheetId="2" name="_B" vbProcedure="false">'[2]MEDIUM Balance'!$A$1</definedName>
    <definedName function="false" hidden="false" localSheetId="2" name="_D" vbProcedure="false">'[2]MEDIUM Balance'!$A$1</definedName>
    <definedName function="false" hidden="false" localSheetId="2" name="_H" vbProcedure="false">'[2]MEDIUM Balance'!$A$1</definedName>
    <definedName function="false" hidden="false" localSheetId="2" name="_I" vbProcedure="false">'[2]MEDIUM Balance'!$A$1</definedName>
    <definedName function="false" hidden="false" localSheetId="2" name="_R" vbProcedure="false">'[2]MEDIUM Balance'!$A$1</definedName>
    <definedName function="false" hidden="false" localSheetId="4" name="comp" vbProcedure="false">#REF!</definedName>
    <definedName function="false" hidden="false" localSheetId="4" name="MASS1" vbProcedure="false">'[2]MEDIUM Balance'!$GU$971</definedName>
    <definedName function="false" hidden="false" localSheetId="4" name="Tabelec" vbProcedure="false">[2]Instructions!$FN$938</definedName>
    <definedName function="false" hidden="false" localSheetId="4" name="Tabkwconsumption" vbProcedure="false">[2]Instructions!$M$13</definedName>
    <definedName function="false" hidden="false" localSheetId="4" name="_B" vbProcedure="false">'[2]MEDIUM Balance'!$A$1</definedName>
    <definedName function="false" hidden="false" localSheetId="4" name="_D" vbProcedure="false">'[2]MEDIUM Balance'!$A$1</definedName>
    <definedName function="false" hidden="false" localSheetId="4" name="_H" vbProcedure="false">'[2]MEDIUM Balance'!$A$1</definedName>
    <definedName function="false" hidden="false" localSheetId="4" name="_I" vbProcedure="false">'[2]MEDIUM Balance'!$A$1</definedName>
    <definedName function="false" hidden="false" localSheetId="4" name="_R" vbProcedure="false">'[2]MEDIUM Balance'!$A$1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알 수 없는 작성자</author>
  </authors>
  <commentList>
    <comment ref="V9" authorId="0">
      <text>
        <r>
          <rPr>
            <b val="true"/>
            <sz val="9"/>
            <color rgb="FF000000"/>
            <rFont val="Tahoma"/>
            <family val="2"/>
          </rPr>
          <t xml:space="preserve">'24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년</t>
        </r>
        <r>
          <rPr>
            <b val="true"/>
            <sz val="9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하반기</t>
        </r>
        <r>
          <rPr>
            <b val="true"/>
            <sz val="9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대기</t>
        </r>
        <r>
          <rPr>
            <b val="true"/>
            <sz val="9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초과부과금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11</xdr:colOff>
                <xdr:row>7</xdr:row>
                <xdr:rowOff>19</xdr:rowOff>
              </xdr:from>
              <xdr:to>
                <xdr:col>23</xdr:col>
                <xdr:colOff>57</xdr:colOff>
                <xdr:row>10</xdr:row>
                <xdr:rowOff>22</xdr:rowOff>
              </xdr:to>
            </anchor>
          </commentPr>
        </mc:Choice>
        <mc:Fallback/>
      </mc:AlternateContent>
    </comment>
    <comment ref="V13" authorId="0">
      <text>
        <r>
          <rPr>
            <b val="true"/>
            <sz val="9"/>
            <color rgb="FF000000"/>
            <rFont val="Tahoma"/>
            <family val="2"/>
          </rPr>
          <t xml:space="preserve">'25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년</t>
        </r>
        <r>
          <rPr>
            <b val="true"/>
            <sz val="9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상반기</t>
        </r>
        <r>
          <rPr>
            <b val="true"/>
            <sz val="9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대기</t>
        </r>
        <r>
          <rPr>
            <b val="true"/>
            <sz val="9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초과배출</t>
        </r>
        <r>
          <rPr>
            <b val="true"/>
            <sz val="9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9"/>
            <color rgb="FF000000"/>
            <rFont val="돋움"/>
            <family val="3"/>
            <charset val="129"/>
          </rPr>
          <t xml:space="preserve">부과금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11</xdr:colOff>
                <xdr:row>11</xdr:row>
                <xdr:rowOff>19</xdr:rowOff>
              </xdr:from>
              <xdr:to>
                <xdr:col>23</xdr:col>
                <xdr:colOff>57</xdr:colOff>
                <xdr:row>14</xdr:row>
                <xdr:rowOff>22</xdr:rowOff>
              </xdr:to>
            </anchor>
          </commentPr>
        </mc:Choice>
        <mc:Fallback/>
      </mc:AlternateContent>
    </comment>
    <comment ref="W26" authorId="0">
      <text>
        <r>
          <rPr>
            <b val="true"/>
            <sz val="10"/>
            <color rgb="FF000000"/>
            <rFont val="Tahoma"/>
            <family val="2"/>
          </rPr>
          <t xml:space="preserve">'25</t>
        </r>
        <r>
          <rPr>
            <b val="true"/>
            <sz val="10"/>
            <color rgb="FF000000"/>
            <rFont val="돋움"/>
            <family val="3"/>
            <charset val="129"/>
          </rPr>
          <t xml:space="preserve">년도</t>
        </r>
        <r>
          <rPr>
            <b val="true"/>
            <sz val="10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10"/>
            <color rgb="FF000000"/>
            <rFont val="돋움"/>
            <family val="3"/>
            <charset val="129"/>
          </rPr>
          <t xml:space="preserve">처분금</t>
        </r>
        <r>
          <rPr>
            <b val="true"/>
            <sz val="10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10"/>
            <color rgb="FF000000"/>
            <rFont val="돋움"/>
            <family val="3"/>
            <charset val="129"/>
          </rPr>
          <t xml:space="preserve">산정지수</t>
        </r>
        <r>
          <rPr>
            <b val="true"/>
            <sz val="10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10"/>
            <color rgb="FF000000"/>
            <rFont val="Tahoma"/>
            <family val="2"/>
          </rPr>
          <t xml:space="preserve">: 1.192
=</t>
        </r>
        <r>
          <rPr>
            <b val="true"/>
            <sz val="10"/>
            <color rgb="FF000000"/>
            <rFont val="돋움"/>
            <family val="3"/>
            <charset val="129"/>
          </rPr>
          <t xml:space="preserve">처분량</t>
        </r>
        <r>
          <rPr>
            <b val="true"/>
            <sz val="10"/>
            <color rgb="FF000000"/>
            <rFont val="맑은 고딕"/>
            <family val="2"/>
            <charset val="129"/>
          </rPr>
          <t xml:space="preserve"> </t>
        </r>
        <r>
          <rPr>
            <b val="true"/>
            <sz val="10"/>
            <color rgb="FF000000"/>
            <rFont val="Tahoma"/>
            <family val="2"/>
          </rPr>
          <t xml:space="preserve">kg * 10</t>
        </r>
        <r>
          <rPr>
            <b val="true"/>
            <sz val="10"/>
            <color rgb="FF000000"/>
            <rFont val="돋움"/>
            <family val="3"/>
            <charset val="129"/>
          </rPr>
          <t xml:space="preserve">원</t>
        </r>
        <r>
          <rPr>
            <b val="true"/>
            <sz val="10"/>
            <color rgb="FF000000"/>
            <rFont val="Tahoma"/>
            <family val="2"/>
          </rPr>
          <t xml:space="preserve">/kg *1.192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31</xdr:colOff>
                <xdr:row>25</xdr:row>
                <xdr:rowOff>0</xdr:rowOff>
              </xdr:from>
              <xdr:to>
                <xdr:col>24</xdr:col>
                <xdr:colOff>81</xdr:colOff>
                <xdr:row>26</xdr:row>
                <xdr:rowOff>25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<sst xmlns="http://schemas.openxmlformats.org/spreadsheetml/2006/main" count="538" uniqueCount="240">
  <si>
    <t xml:space="preserve">1. 2025년 10월 소각로 도급비용</t>
  </si>
  <si>
    <t xml:space="preserve">* 실 스팀량 기준</t>
  </si>
  <si>
    <t xml:space="preserve">일별</t>
  </si>
  <si>
    <t xml:space="preserve">폐합성수지 소각로 [ton]</t>
  </si>
  <si>
    <t xml:space="preserve">스팀생산량 / 운휴시간</t>
  </si>
  <si>
    <t xml:space="preserve">스팀량 합계(ton)</t>
  </si>
  <si>
    <t xml:space="preserve">총 운영비용(원)</t>
  </si>
  <si>
    <t xml:space="preserve">1호기</t>
  </si>
  <si>
    <t xml:space="preserve">2호기</t>
  </si>
  <si>
    <t xml:space="preserve">스팀량(톤)</t>
  </si>
  <si>
    <t xml:space="preserve">운영단가(원/톤)</t>
  </si>
  <si>
    <t xml:space="preserve">운영비용(원)</t>
  </si>
  <si>
    <t xml:space="preserve">운휴시간(Hr)</t>
  </si>
  <si>
    <t xml:space="preserve">운휴시간당
고정비(원/시간)</t>
  </si>
  <si>
    <t xml:space="preserve">1호기 소계(원)</t>
  </si>
  <si>
    <t xml:space="preserve">스팀량(톤/일)</t>
  </si>
  <si>
    <t xml:space="preserve">2호기 소계(원)</t>
  </si>
  <si>
    <t xml:space="preserve">1일</t>
  </si>
  <si>
    <t xml:space="preserve">2일</t>
  </si>
  <si>
    <t xml:space="preserve">3일</t>
  </si>
  <si>
    <t xml:space="preserve">4일</t>
  </si>
  <si>
    <t xml:space="preserve">5일</t>
  </si>
  <si>
    <t xml:space="preserve">6일</t>
  </si>
  <si>
    <t xml:space="preserve">7일</t>
  </si>
  <si>
    <t xml:space="preserve">8일</t>
  </si>
  <si>
    <t xml:space="preserve">9일</t>
  </si>
  <si>
    <t xml:space="preserve">10일</t>
  </si>
  <si>
    <t xml:space="preserve">11일</t>
  </si>
  <si>
    <t xml:space="preserve">12일</t>
  </si>
  <si>
    <t xml:space="preserve">13일</t>
  </si>
  <si>
    <t xml:space="preserve">14일</t>
  </si>
  <si>
    <t xml:space="preserve">15일</t>
  </si>
  <si>
    <t xml:space="preserve">16일</t>
  </si>
  <si>
    <t xml:space="preserve">17일</t>
  </si>
  <si>
    <t xml:space="preserve">18일</t>
  </si>
  <si>
    <t xml:space="preserve">19일</t>
  </si>
  <si>
    <t xml:space="preserve">20일</t>
  </si>
  <si>
    <t xml:space="preserve">21일</t>
  </si>
  <si>
    <t xml:space="preserve">22일</t>
  </si>
  <si>
    <t xml:space="preserve">23일</t>
  </si>
  <si>
    <t xml:space="preserve">24일</t>
  </si>
  <si>
    <t xml:space="preserve">25일</t>
  </si>
  <si>
    <t xml:space="preserve">26일</t>
  </si>
  <si>
    <t xml:space="preserve">27일</t>
  </si>
  <si>
    <t xml:space="preserve">28일</t>
  </si>
  <si>
    <t xml:space="preserve">29일</t>
  </si>
  <si>
    <t xml:space="preserve">30일</t>
  </si>
  <si>
    <t xml:space="preserve">31일</t>
  </si>
  <si>
    <t xml:space="preserve">합 계</t>
  </si>
  <si>
    <t xml:space="preserve">평 균</t>
  </si>
  <si>
    <t xml:space="preserve">[단위 : 원]</t>
  </si>
  <si>
    <t xml:space="preserve">[단위 : 톤, 원]</t>
  </si>
  <si>
    <t xml:space="preserve">구 분</t>
  </si>
  <si>
    <t xml:space="preserve">스팀량(톤/월)</t>
  </si>
  <si>
    <t xml:space="preserve">인건비</t>
  </si>
  <si>
    <t xml:space="preserve">운영비</t>
  </si>
  <si>
    <t xml:space="preserve">총 금액</t>
  </si>
  <si>
    <t xml:space="preserve">결산기준</t>
  </si>
  <si>
    <t xml:space="preserve">실 사용량 기준</t>
  </si>
  <si>
    <t xml:space="preserve">증 감</t>
  </si>
  <si>
    <t xml:space="preserve">폐합성소각로</t>
  </si>
  <si>
    <t xml:space="preserve">스팀량</t>
  </si>
  <si>
    <t xml:space="preserve">스팀비용</t>
  </si>
  <si>
    <t xml:space="preserve">실 운영비 :</t>
  </si>
  <si>
    <t xml:space="preserve">2. 소각로 위탁운영비용 사업계획대비 실적 (단위:천원)</t>
  </si>
  <si>
    <t xml:space="preserve">1) 폐합성소각로</t>
  </si>
  <si>
    <t xml:space="preserve">1월</t>
  </si>
  <si>
    <t xml:space="preserve">2월</t>
  </si>
  <si>
    <t xml:space="preserve">3월</t>
  </si>
  <si>
    <t xml:space="preserve">4월</t>
  </si>
  <si>
    <t xml:space="preserve">5월</t>
  </si>
  <si>
    <t xml:space="preserve">6월</t>
  </si>
  <si>
    <t xml:space="preserve">7월</t>
  </si>
  <si>
    <t xml:space="preserve">8월</t>
  </si>
  <si>
    <t xml:space="preserve">9월</t>
  </si>
  <si>
    <t xml:space="preserve">10월</t>
  </si>
  <si>
    <t xml:space="preserve">11월</t>
  </si>
  <si>
    <t xml:space="preserve">12월</t>
  </si>
  <si>
    <t xml:space="preserve">합계</t>
  </si>
  <si>
    <t xml:space="preserve">폐합성소각로   (인건비)</t>
  </si>
  <si>
    <t xml:space="preserve">2025계획</t>
  </si>
  <si>
    <t xml:space="preserve">2025실적</t>
  </si>
  <si>
    <t xml:space="preserve">폐합성소각로   (운영비)</t>
  </si>
  <si>
    <t xml:space="preserve">폐합성소각로   (합계)</t>
  </si>
  <si>
    <t xml:space="preserve">달성율(%)</t>
  </si>
  <si>
    <t xml:space="preserve">증감</t>
  </si>
  <si>
    <t xml:space="preserve">구   분</t>
  </si>
  <si>
    <t xml:space="preserve">`25년 10월</t>
  </si>
  <si>
    <t xml:space="preserve">'25년 누계</t>
  </si>
  <si>
    <t xml:space="preserve">`25년 9월</t>
  </si>
  <si>
    <t xml:space="preserve">전월 대비</t>
  </si>
  <si>
    <t xml:space="preserve">비   고</t>
  </si>
  <si>
    <t xml:space="preserve">계 획</t>
  </si>
  <si>
    <t xml:space="preserve">실  적</t>
  </si>
  <si>
    <t xml:space="preserve">계   획</t>
  </si>
  <si>
    <t xml:space="preserve">증  감</t>
  </si>
  <si>
    <t xml:space="preserve">증감률(%)</t>
  </si>
  <si>
    <t xml:space="preserve">위탁운영비
(백만원)</t>
  </si>
  <si>
    <t xml:space="preserve">#1 폐합성수지소각로</t>
  </si>
  <si>
    <t xml:space="preserve">#2 폐합성수지소각로</t>
  </si>
  <si>
    <t xml:space="preserve">1/1~6 제지 조단 운휴,</t>
  </si>
  <si>
    <t xml:space="preserve">1/21~31 자폐 확보 및 설 명절 운휴 </t>
  </si>
  <si>
    <t xml:space="preserve"> </t>
  </si>
  <si>
    <t xml:space="preserve">2/7~11 제지 조단 운휴, </t>
  </si>
  <si>
    <t xml:space="preserve">2/23~24 절탄기 누수 보수 운휴</t>
  </si>
  <si>
    <t xml:space="preserve">3/13~17 가동</t>
  </si>
  <si>
    <t xml:space="preserve">에너지회수효율 정기검사 30일 연속가동, 3/31~4/5 제지 조단기간 운휴</t>
  </si>
  <si>
    <t xml:space="preserve">4/1~4 제지 조단기간 운휴, 4/17~18, 4/19~22 워터자켓 누수로 인한 CO초과로 운휴, 4/28~30 제지 조단기간 운휴</t>
  </si>
  <si>
    <t xml:space="preserve">5/1~6 제지 조단기간 운휴, 5/20~21 유인송풍기 베어링 교체 운휴, 5/27~31 통합인허가 정기검사 대비 설비 운휴</t>
  </si>
  <si>
    <t xml:space="preserve">6/1~3, 6/25~30 제지2 운휴로 인한 스팀사용량 감소로 설비 운휴</t>
  </si>
  <si>
    <t xml:space="preserve">7/5 CO초과 운휴, 7/14 수관 누수 운휴, 7/22 유인송풍기 진동 점검 운휴</t>
  </si>
  <si>
    <t xml:space="preserve">8/2~11 제지2 운휴로 인한 스팀사용량 감소로 설비 운휴</t>
  </si>
  <si>
    <t xml:space="preserve">9/6~14 제지2 운휴로 인한 스팀사용량 감소로 설비 운휴 (유인송풍기 베어링 교체-케이앤이 정비사업팀)</t>
  </si>
  <si>
    <t xml:space="preserve">10/1~13 추석 연휴기간 설비 운휴</t>
  </si>
  <si>
    <t xml:space="preserve">3. 소각로 위탁운영비용 전년도 실적 및 비교 (단위:천원)</t>
  </si>
  <si>
    <t xml:space="preserve">2024실적</t>
  </si>
  <si>
    <t xml:space="preserve">4. 소각로 운영실적 비교 (단위 : 톤)</t>
  </si>
  <si>
    <t xml:space="preserve">저압운전기간 실 사용량 실적 기준 ('25.2~)</t>
  </si>
  <si>
    <t xml:space="preserve">폐합성소각로  스팀생산량</t>
  </si>
  <si>
    <t xml:space="preserve">5. 소각로 가동계획대비 실적</t>
  </si>
  <si>
    <t xml:space="preserve">2025년</t>
  </si>
  <si>
    <t xml:space="preserve">스팀생산량</t>
  </si>
  <si>
    <t xml:space="preserve">운영단가(위탁)</t>
  </si>
  <si>
    <t xml:space="preserve">위탁운영비용(천원)</t>
  </si>
  <si>
    <t xml:space="preserve">폐합성 1호기</t>
  </si>
  <si>
    <t xml:space="preserve">폐합성 2호기</t>
  </si>
  <si>
    <t xml:space="preserve">계획</t>
  </si>
  <si>
    <t xml:space="preserve">실적</t>
  </si>
  <si>
    <t xml:space="preserve">가동계획(hr)</t>
  </si>
  <si>
    <t xml:space="preserve">가동실적(hr)</t>
  </si>
  <si>
    <t xml:space="preserve">평균</t>
  </si>
  <si>
    <t xml:space="preserve">사용량영향</t>
  </si>
  <si>
    <t xml:space="preserve">단가영향</t>
  </si>
  <si>
    <t xml:space="preserve">6. #1, #2 폐합성소각로 운영내역 및 비용 관리</t>
  </si>
  <si>
    <t xml:space="preserve">폐기물 실소각량</t>
  </si>
  <si>
    <t xml:space="preserve">소각로 가동시간</t>
  </si>
  <si>
    <t xml:space="preserve">소각로 운휴시간 
(고정비 지급)</t>
  </si>
  <si>
    <t xml:space="preserve">스팀생산원단위</t>
  </si>
  <si>
    <t xml:space="preserve">위탁운영비용</t>
  </si>
  <si>
    <t xml:space="preserve">위탁계약단가</t>
  </si>
  <si>
    <t xml:space="preserve">1호기(천원)</t>
  </si>
  <si>
    <t xml:space="preserve">2호기(천원)</t>
  </si>
  <si>
    <t xml:space="preserve">차감비</t>
  </si>
  <si>
    <t xml:space="preserve">비용합계</t>
  </si>
  <si>
    <t xml:space="preserve">고정비</t>
  </si>
  <si>
    <t xml:space="preserve">스팀구매비</t>
  </si>
  <si>
    <t xml:space="preserve">고정비 단가</t>
  </si>
  <si>
    <t xml:space="preserve">변경 후</t>
  </si>
  <si>
    <t xml:space="preserve">* 2/20이후 9bar운전, 운영비 결산시 1호기 10톤/시간, 2호기-14톤/시간 일괄 적용 (기준 초과분에 대해서만 적용)</t>
  </si>
  <si>
    <t xml:space="preserve">월평균</t>
  </si>
  <si>
    <t xml:space="preserve">원단위</t>
  </si>
  <si>
    <t xml:space="preserve">단위</t>
  </si>
  <si>
    <t xml:space="preserve">톤/hr</t>
  </si>
  <si>
    <t xml:space="preserve">원/톤.스팀</t>
  </si>
  <si>
    <t xml:space="preserve">원/처리량</t>
  </si>
  <si>
    <t xml:space="preserve">자체 운영비용</t>
  </si>
  <si>
    <t xml:space="preserve">외부 폐합성수지 수익금(톤, 천원)</t>
  </si>
  <si>
    <t xml:space="preserve">폐기물 처리량(톤)</t>
  </si>
  <si>
    <t xml:space="preserve">폐기물처리비용(천원)</t>
  </si>
  <si>
    <t xml:space="preserve">전력비용(Kw, 천원)</t>
  </si>
  <si>
    <t xml:space="preserve">가성소다 (Kg, 천원)</t>
  </si>
  <si>
    <t xml:space="preserve">기타 운영비용(천원)</t>
  </si>
  <si>
    <t xml:space="preserve">입고량</t>
  </si>
  <si>
    <t xml:space="preserve">수익비용</t>
  </si>
  <si>
    <t xml:space="preserve">바닥재(재활용)</t>
  </si>
  <si>
    <t xml:space="preserve">바닥재(매립)</t>
  </si>
  <si>
    <t xml:space="preserve">바닥재 소계</t>
  </si>
  <si>
    <t xml:space="preserve">비산재(고형화)</t>
  </si>
  <si>
    <t xml:space="preserve">비산재(매립)</t>
  </si>
  <si>
    <t xml:space="preserve">비산재 소계</t>
  </si>
  <si>
    <t xml:space="preserve">바닥재</t>
  </si>
  <si>
    <t xml:space="preserve">비산재</t>
  </si>
  <si>
    <t xml:space="preserve">기타(내화물 등)</t>
  </si>
  <si>
    <t xml:space="preserve">비용소계</t>
  </si>
  <si>
    <t xml:space="preserve">1호기사용량</t>
  </si>
  <si>
    <t xml:space="preserve">2호기사용량</t>
  </si>
  <si>
    <t xml:space="preserve">사용량합계</t>
  </si>
  <si>
    <t xml:space="preserve">전력단가</t>
  </si>
  <si>
    <t xml:space="preserve">구입량</t>
  </si>
  <si>
    <t xml:space="preserve">단가</t>
  </si>
  <si>
    <t xml:space="preserve">구입비용</t>
  </si>
  <si>
    <t xml:space="preserve">용수사용비</t>
  </si>
  <si>
    <t xml:space="preserve">폐기물처분부담금</t>
  </si>
  <si>
    <t xml:space="preserve">기타</t>
  </si>
  <si>
    <t xml:space="preserve">처리량당 비용</t>
  </si>
  <si>
    <t xml:space="preserve">스팀톤당 비용</t>
  </si>
  <si>
    <t xml:space="preserve">원/스팀</t>
  </si>
  <si>
    <t xml:space="preserve">톤.Ash/톤.소각</t>
  </si>
  <si>
    <t xml:space="preserve">자체+외부</t>
  </si>
  <si>
    <t xml:space="preserve">7. 소각로 소모품(약품) 사용내역 (위탁운영비 포함 내역)</t>
  </si>
  <si>
    <t xml:space="preserve">구분</t>
  </si>
  <si>
    <t xml:space="preserve">소각로별 부생유 사용량</t>
  </si>
  <si>
    <t xml:space="preserve">청관제</t>
  </si>
  <si>
    <t xml:space="preserve">요소수</t>
  </si>
  <si>
    <t xml:space="preserve">소 금</t>
  </si>
  <si>
    <t xml:space="preserve">분말활성탄</t>
  </si>
  <si>
    <t xml:space="preserve">크링커제거제</t>
  </si>
  <si>
    <t xml:space="preserve">#1폐합성</t>
  </si>
  <si>
    <t xml:space="preserve">#2폐합성</t>
  </si>
  <si>
    <t xml:space="preserve">사용량소계</t>
  </si>
  <si>
    <t xml:space="preserve">비용</t>
  </si>
  <si>
    <t xml:space="preserve">사용비용</t>
  </si>
  <si>
    <t xml:space="preserve">'25년 폐합성소각로 설비 사고 이력</t>
  </si>
  <si>
    <t xml:space="preserve">No.</t>
  </si>
  <si>
    <t xml:space="preserve">일 자</t>
  </si>
  <si>
    <t xml:space="preserve">사 유</t>
  </si>
  <si>
    <t xml:space="preserve">조치내역</t>
  </si>
  <si>
    <t xml:space="preserve">손실금액(백만원)</t>
  </si>
  <si>
    <t xml:space="preserve">비 고</t>
  </si>
  <si>
    <t xml:space="preserve">연료투입용 크레인 슬립링 이탈로 케이블 파손 운휴</t>
  </si>
  <si>
    <t xml:space="preserve">케이블 및 고정볼트 교체 (전기팀)</t>
  </si>
  <si>
    <t xml:space="preserve">-</t>
  </si>
  <si>
    <t xml:space="preserve">3/16~17</t>
  </si>
  <si>
    <t xml:space="preserve">폐기물 과다 투입으로 CO 및 Nox초과로 운휴</t>
  </si>
  <si>
    <t xml:space="preserve">CO초과로 운휴</t>
  </si>
  <si>
    <t xml:space="preserve">1차 보일러 수관 누수처 보수</t>
  </si>
  <si>
    <t xml:space="preserve">제지3호기 정비로 LNG미가동</t>
  </si>
  <si>
    <t xml:space="preserve">4/19~21</t>
  </si>
  <si>
    <t xml:space="preserve">워터자켓 보온재 임시조치</t>
  </si>
  <si>
    <t xml:space="preserve">TMS시간 준수 후 재가동</t>
  </si>
  <si>
    <t xml:space="preserve">7/14~15</t>
  </si>
  <si>
    <t xml:space="preserve">수관 누수 운휴</t>
  </si>
  <si>
    <t xml:space="preserve">수관 막음 조치 후 재가동</t>
  </si>
  <si>
    <t xml:space="preserve">LNG미가동</t>
  </si>
  <si>
    <t xml:space="preserve">유인송풍기 진동 증가 운휴</t>
  </si>
  <si>
    <t xml:space="preserve">송풍기 필드밸런싱 후 재가동</t>
  </si>
  <si>
    <t xml:space="preserve">폐기물 투입 호퍼 앵커 노출로 인한 연료 엉킴</t>
  </si>
  <si>
    <t xml:space="preserve">투입호퍼 막힘 해소 및 앵커 제거</t>
  </si>
  <si>
    <t xml:space="preserve">10/19~22</t>
  </si>
  <si>
    <t xml:space="preserve">램피더 동작불능 및 내화물 탈락 운휴</t>
  </si>
  <si>
    <t xml:space="preserve">램피더 프레임 및 내화물 보수</t>
  </si>
  <si>
    <t xml:space="preserve">임펠러 및 덕트 소제</t>
  </si>
  <si>
    <t xml:space="preserve">발생횟수</t>
  </si>
  <si>
    <t xml:space="preserve">합 계 (Hr)</t>
  </si>
  <si>
    <t xml:space="preserve">합 계 (Day)</t>
  </si>
  <si>
    <t xml:space="preserve">2. '25년 폐합성소각로 정기 정비 이력</t>
  </si>
  <si>
    <t xml:space="preserve">정비횟수</t>
  </si>
  <si>
    <t xml:space="preserve">총 운휴시간</t>
  </si>
  <si>
    <t xml:space="preserve">총 운휴일수</t>
  </si>
  <si>
    <t xml:space="preserve">.</t>
  </si>
</sst>
</file>

<file path=xl/styles.xml><?xml version="1.0" encoding="utf-8"?>
<styleSheet xmlns="http://schemas.openxmlformats.org/spreadsheetml/2006/main">
  <numFmts count="43">
    <numFmt numFmtId="164" formatCode="General"/>
    <numFmt numFmtId="165" formatCode="_ \₩* #,##0_ ;_ \₩* \-#,##0_ ;_ \₩* \-_ ;_ @_ "/>
    <numFmt numFmtId="166" formatCode="\₩#,##0;[RED]&quot;₩₩-₩&quot;#,##0"/>
    <numFmt numFmtId="167" formatCode="mm&quot;월 &quot;dd\일"/>
    <numFmt numFmtId="168" formatCode="#,##0.0"/>
    <numFmt numFmtId="169" formatCode="_(\$* #,##0_);_(\$* \(#,##0\);_(\$* \-_);_(@_)"/>
    <numFmt numFmtId="170" formatCode="_(\$* #,##0.00_);_(\$* \(#,##0.00\);_(\$* \-??_);_(@_)"/>
    <numFmt numFmtId="171" formatCode="_-* #,##0\ _F_-;\-* #,##0\ _F_-;_-* &quot;- &quot;_F_-;_-@_-"/>
    <numFmt numFmtId="172" formatCode="_-* #,##0.00\ _F_-;\-* #,##0.00\ _F_-;_-* \-??\ _F_-;_-@_-"/>
    <numFmt numFmtId="173" formatCode="_-* #,##0&quot; F&quot;_-;\-* #,##0&quot; F&quot;_-;_-* &quot;- F&quot;_-;_-@_-"/>
    <numFmt numFmtId="174" formatCode="_-* #,##0.00&quot; F&quot;_-;\-* #,##0.00&quot; F&quot;_-;_-* \-??&quot; F&quot;_-;_-@_-"/>
    <numFmt numFmtId="175" formatCode="#,##0;&quot;₩-&quot;#,##0"/>
    <numFmt numFmtId="176" formatCode="0.00%"/>
    <numFmt numFmtId="177" formatCode="\₩#,##0;&quot;₩₩₩₩-&quot;#,##0"/>
    <numFmt numFmtId="178" formatCode="0%"/>
    <numFmt numFmtId="179" formatCode="#,##0.000"/>
    <numFmt numFmtId="180" formatCode="_-* #,##0_-;\-* #,##0_-;_-* \-_-;_-@_-"/>
    <numFmt numFmtId="181" formatCode="#,##0.00"/>
    <numFmt numFmtId="182" formatCode="\₩#,##0;[RED]&quot;₩₩₩₩-&quot;#,##0"/>
    <numFmt numFmtId="183" formatCode="#,##0.0000"/>
    <numFmt numFmtId="184" formatCode="_-* #,##0.00_-;&quot;₩₩-&quot;* #,##0.00_-;_-* \-??_-;_-@_-"/>
    <numFmt numFmtId="185" formatCode="_-\₩* #,##0.00_-;&quot;₩₩-₩&quot;* #,##0.00_-;_-\₩* \-??_-;_-@_-"/>
    <numFmt numFmtId="186" formatCode="\₩#,##0.00;&quot;₩₩₩₩-&quot;#,##0.00"/>
    <numFmt numFmtId="187" formatCode="_-* #,##0.0_-;\-* #,##0.0_-;_-* \-_-;_-@_-"/>
    <numFmt numFmtId="188" formatCode="#,##0;\△#,##0"/>
    <numFmt numFmtId="189" formatCode="_-* #,##0.00_-;\-* #,##0.00_-;_-* \-??_-;_-@_-"/>
    <numFmt numFmtId="190" formatCode="_-* #,##0.0_-;\-* #,##0.0_-;_-* \-?_-;_-@_-"/>
    <numFmt numFmtId="191" formatCode="_-* #,##0_-;\-* #,##0_-;_-* \-??_-;_-@_-"/>
    <numFmt numFmtId="192" formatCode="#,##0;\△#,##0,;\-"/>
    <numFmt numFmtId="193" formatCode="0.0%"/>
    <numFmt numFmtId="194" formatCode="_-* #,##0.0_-;\-* #,##0.0_-;_-* \-??_-;_-@_-"/>
    <numFmt numFmtId="195" formatCode="#,##0.0;\△#,##0.0"/>
    <numFmt numFmtId="196" formatCode="#,##0.0%;\△#,##0.0%"/>
    <numFmt numFmtId="197" formatCode="#,##0.0;\△#,##0.0,;\-"/>
    <numFmt numFmtId="198" formatCode="#,##0.0_ "/>
    <numFmt numFmtId="199" formatCode="_-* #,##0.00_-;\-* #,##0.00_-;_-* \-_-;_-@_-"/>
    <numFmt numFmtId="200" formatCode="0"/>
    <numFmt numFmtId="201" formatCode="_-* #,##0.000_-;\-* #,##0.000_-;_-* \-_-;_-@_-"/>
    <numFmt numFmtId="202" formatCode="_-* #,##0_-;* \△#,##0_-;_-* \-_-;_-@_-"/>
    <numFmt numFmtId="203" formatCode="m\/d;@"/>
    <numFmt numFmtId="204" formatCode="#,##0.0;\-#,##0.0;\-"/>
    <numFmt numFmtId="205" formatCode="0.0"/>
    <numFmt numFmtId="206" formatCode="0.000000000000_ "/>
  </numFmts>
  <fonts count="36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8"/>
      <name val="¹UAAA¼"/>
      <family val="1"/>
    </font>
    <font>
      <sz val="8"/>
      <name val="Arial"/>
      <family val="2"/>
    </font>
    <font>
      <b val="true"/>
      <sz val="12"/>
      <name val="Arial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MS Sans Serif"/>
      <family val="2"/>
    </font>
    <font>
      <b val="true"/>
      <sz val="1"/>
      <color rgb="FF000000"/>
      <name val="Courier New"/>
      <family val="3"/>
    </font>
    <font>
      <sz val="1"/>
      <color rgb="FF000000"/>
      <name val="Courier New"/>
      <family val="3"/>
    </font>
    <font>
      <sz val="12"/>
      <name val="뼻뮝"/>
      <family val="3"/>
      <charset val="129"/>
    </font>
    <font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 val="true"/>
      <sz val="14"/>
      <color rgb="FF000000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F0000"/>
      <name val="맑은 고딕"/>
      <family val="3"/>
      <charset val="129"/>
    </font>
    <font>
      <sz val="10"/>
      <name val="맑은 고딕"/>
      <family val="3"/>
      <charset val="129"/>
    </font>
    <font>
      <b val="true"/>
      <sz val="14"/>
      <name val="맑은 고딕"/>
      <family val="3"/>
      <charset val="129"/>
    </font>
    <font>
      <b val="true"/>
      <sz val="12"/>
      <name val="맑은 고딕"/>
      <family val="3"/>
      <charset val="129"/>
    </font>
    <font>
      <b val="true"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10"/>
      <color rgb="FFFF0000"/>
      <name val="맑은 고딕"/>
      <family val="3"/>
      <charset val="129"/>
    </font>
    <font>
      <b val="true"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 val="true"/>
      <sz val="11"/>
      <name val="맑은 고딕"/>
      <family val="3"/>
      <charset val="129"/>
    </font>
    <font>
      <b val="true"/>
      <sz val="9"/>
      <color rgb="FF000000"/>
      <name val="Tahoma"/>
      <family val="2"/>
    </font>
    <font>
      <b val="true"/>
      <sz val="9"/>
      <color rgb="FF000000"/>
      <name val="돋움"/>
      <family val="3"/>
      <charset val="129"/>
    </font>
    <font>
      <b val="true"/>
      <sz val="9"/>
      <color rgb="FF000000"/>
      <name val="맑은 고딕"/>
      <family val="2"/>
      <charset val="129"/>
    </font>
    <font>
      <b val="true"/>
      <sz val="10"/>
      <color rgb="FF000000"/>
      <name val="Tahoma"/>
      <family val="2"/>
    </font>
    <font>
      <b val="true"/>
      <sz val="10"/>
      <color rgb="FF000000"/>
      <name val="돋움"/>
      <family val="3"/>
      <charset val="129"/>
    </font>
    <font>
      <b val="true"/>
      <sz val="10"/>
      <color rgb="FF000000"/>
      <name val="맑은 고딕"/>
      <family val="2"/>
      <charset val="129"/>
    </font>
    <font>
      <b val="true"/>
      <sz val="10"/>
      <color rgb="FF000000"/>
      <name val="맑은 고딕"/>
      <family val="3"/>
      <charset val="129"/>
    </font>
    <font>
      <b val="true"/>
      <sz val="10"/>
      <color rgb="FF0066CC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00FF00"/>
        <bgColor rgb="FF33CC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CC00"/>
        <bgColor rgb="FFFFFF00"/>
      </patternFill>
    </fill>
    <fill>
      <patternFill patternType="solid">
        <fgColor rgb="FF99CC00"/>
        <bgColor rgb="FFFFCC00"/>
      </patternFill>
    </fill>
  </fills>
  <borders count="8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/>
      <right style="thin"/>
      <top style="medium"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thin"/>
      <right style="thin"/>
      <top style="double"/>
      <bottom style="hair"/>
      <diagonal/>
    </border>
    <border diagonalUp="false" diagonalDown="false">
      <left style="thin"/>
      <right style="medium"/>
      <top style="double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medium"/>
      <top style="hair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7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80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8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false" applyAlignment="false" applyProtection="false"/>
    <xf numFmtId="164" fontId="6" fillId="0" borderId="1" applyFont="true" applyBorder="true" applyAlignment="false" applyProtection="false"/>
    <xf numFmtId="164" fontId="6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applyFont="true" applyBorder="false" applyAlignment="false" applyProtection="false"/>
    <xf numFmtId="171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17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6" fontId="0" fillId="0" borderId="0" applyFont="true" applyBorder="false" applyAlignment="false" applyProtection="false"/>
    <xf numFmtId="177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8" fontId="0" fillId="0" borderId="0" applyFont="true" applyBorder="false" applyAlignment="false" applyProtection="false"/>
    <xf numFmtId="178" fontId="0" fillId="0" borderId="0" applyFont="true" applyBorder="false" applyAlignment="false" applyProtection="false"/>
    <xf numFmtId="178" fontId="0" fillId="0" borderId="0" applyFont="true" applyBorder="false" applyAlignment="false" applyProtection="false"/>
    <xf numFmtId="178" fontId="0" fillId="0" borderId="0" applyFont="true" applyBorder="false" applyAlignment="false" applyProtection="false"/>
    <xf numFmtId="178" fontId="0" fillId="0" borderId="0" applyFont="true" applyBorder="false" applyAlignment="false" applyProtection="false"/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0" fontId="0" fillId="0" borderId="0" applyFont="true" applyBorder="false" applyAlignment="false" applyProtection="false"/>
    <xf numFmtId="181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2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9" fontId="0" fillId="0" borderId="0" applyFont="true" applyBorder="false" applyAlignment="false" applyProtection="false"/>
    <xf numFmtId="183" fontId="0" fillId="0" borderId="0" applyFont="true" applyBorder="false" applyAlignment="false" applyProtection="false"/>
    <xf numFmtId="184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3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5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6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4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3" fillId="0" borderId="1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3" fillId="0" borderId="14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3" fillId="0" borderId="15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13" fillId="0" borderId="15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3" fillId="0" borderId="16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3" fillId="0" borderId="1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3" fillId="0" borderId="1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3" fillId="0" borderId="1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3" fillId="0" borderId="1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3" fillId="0" borderId="1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3" fillId="0" borderId="1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3" fillId="0" borderId="1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7" fillId="0" borderId="14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7" fillId="0" borderId="15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7" fillId="0" borderId="1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7" fillId="0" borderId="1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7" fillId="0" borderId="1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7" fillId="0" borderId="1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7" fillId="0" borderId="1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7" fillId="0" borderId="1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3" fillId="0" borderId="1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6" fillId="0" borderId="2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2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2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1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3" fillId="0" borderId="0" xfId="1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16" fillId="0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13" fillId="0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3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3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6" fillId="0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9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6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8" fillId="6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0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3" fillId="0" borderId="31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0" fontId="23" fillId="0" borderId="3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1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23" fillId="0" borderId="3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0" fontId="23" fillId="0" borderId="34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1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3" fillId="0" borderId="3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92" fontId="23" fillId="0" borderId="35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91" fontId="23" fillId="0" borderId="34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19" fillId="0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23" fillId="0" borderId="37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93" fontId="23" fillId="0" borderId="3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23" fillId="0" borderId="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8" fontId="23" fillId="0" borderId="8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9" fillId="0" borderId="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80" fontId="1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19" fillId="0" borderId="2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9" fillId="0" borderId="2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9" fillId="0" borderId="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9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19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9" fillId="0" borderId="2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1" fontId="19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9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9" fillId="0" borderId="12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94" fontId="19" fillId="0" borderId="6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19" fillId="0" borderId="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9" fillId="0" borderId="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23" fillId="0" borderId="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6" fontId="19" fillId="0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9" fillId="0" borderId="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4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9" fillId="0" borderId="57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91" fontId="23" fillId="0" borderId="15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0" fontId="19" fillId="0" borderId="16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80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19" fillId="0" borderId="2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8" fontId="23" fillId="0" borderId="5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9" fillId="0" borderId="5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9" fillId="0" borderId="3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23" fillId="0" borderId="3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9" fillId="0" borderId="3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9" fillId="0" borderId="6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9" fillId="0" borderId="61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6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6" fillId="0" borderId="6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2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16" fillId="0" borderId="2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2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23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16" fillId="0" borderId="1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2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7" fontId="16" fillId="0" borderId="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16" fillId="0" borderId="2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6" fillId="0" borderId="1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1" fontId="16" fillId="0" borderId="2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6" fillId="0" borderId="22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16" fillId="0" borderId="2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4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7" fontId="16" fillId="0" borderId="4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1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6" fillId="0" borderId="63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1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16" fillId="0" borderId="63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8" fontId="16" fillId="0" borderId="1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6" fillId="0" borderId="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6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12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8" fontId="16" fillId="0" borderId="54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95" fontId="16" fillId="0" borderId="6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16" fillId="0" borderId="7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16" fillId="0" borderId="54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8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0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2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4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1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4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4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5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9" fontId="16" fillId="0" borderId="4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0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5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4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5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4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8" borderId="5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0" borderId="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18" fillId="6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16" fillId="0" borderId="6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16" fillId="0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27" fillId="0" borderId="5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0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9" fontId="16" fillId="0" borderId="6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0" borderId="6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6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6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6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0" borderId="1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4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2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6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4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2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4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5" fontId="16" fillId="0" borderId="68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27" fillId="8" borderId="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0" borderId="6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7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4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27" fillId="0" borderId="7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27" fillId="0" borderId="43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27" fillId="0" borderId="7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7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8" borderId="7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1" fontId="27" fillId="9" borderId="7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1" fontId="27" fillId="9" borderId="7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9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27" fillId="9" borderId="7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7" fillId="9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27" fillId="9" borderId="7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7" fillId="9" borderId="7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9" borderId="7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9" borderId="7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9" borderId="7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9" borderId="7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0" borderId="6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7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27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3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8" borderId="7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7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7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6" borderId="4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4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6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3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6" borderId="7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7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6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0" fontId="27" fillId="6" borderId="22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6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6" fillId="0" borderId="3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7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0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6" borderId="6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6" fillId="0" borderId="6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0" borderId="6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6" borderId="8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7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8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2" borderId="5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0" borderId="5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5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8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7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8" borderId="8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8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6" fillId="0" borderId="8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3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6" borderId="5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27" fillId="0" borderId="4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27" fillId="6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27" fillId="0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27" fillId="6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5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8" borderId="8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57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6" fillId="0" borderId="3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16" fillId="8" borderId="84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16" fillId="0" borderId="0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202" fontId="16" fillId="0" borderId="5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0" fontId="16" fillId="0" borderId="3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6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6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5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6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6" borderId="6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6" borderId="2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5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6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6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2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16" fillId="0" borderId="6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6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6" borderId="4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7" fillId="0" borderId="2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7" fillId="6" borderId="2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27" fillId="0" borderId="2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6" borderId="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2" borderId="4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8" borderId="1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81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8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0" borderId="7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6" borderId="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27" fillId="0" borderId="1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27" fillId="6" borderId="1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6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5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6" borderId="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2" borderId="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12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0" borderId="49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6" borderId="7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27" fillId="8" borderId="85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7" fillId="0" borderId="8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201" fontId="27" fillId="0" borderId="7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6" borderId="7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1" fontId="27" fillId="0" borderId="8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27" fillId="6" borderId="6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9" fontId="27" fillId="6" borderId="7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6" borderId="7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7" fillId="0" borderId="8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7" fillId="0" borderId="4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27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6" borderId="5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4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7" fillId="0" borderId="1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6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7" fillId="8" borderId="8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6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8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8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8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0" borderId="0" xf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6" fillId="7" borderId="2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7" borderId="2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7" borderId="21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7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6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6" fillId="7" borderId="4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7" borderId="2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2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7" borderId="44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27" fillId="7" borderId="22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27" fillId="7" borderId="17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27" fillId="7" borderId="45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16" fillId="0" borderId="6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6" fillId="6" borderId="6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6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52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6" borderId="6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7" fillId="0" borderId="64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6" fillId="0" borderId="7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49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4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4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7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8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5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6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6" borderId="8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16" fillId="0" borderId="88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3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4" fontId="34" fillId="0" borderId="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05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4" fontId="34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0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3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3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3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35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5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6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¼oAI¼º " xfId="20"/>
    <cellStyle name="AeE­_¼oAI¼º " xfId="21"/>
    <cellStyle name="AÞ¸¶ [0]_¼oAI¼º " xfId="22"/>
    <cellStyle name="AÞ¸¶_¼oAI¼º " xfId="23"/>
    <cellStyle name="Comma [0]_ SG&amp;A Bridge " xfId="24"/>
    <cellStyle name="Comma_ SG&amp;A Bridge " xfId="25"/>
    <cellStyle name="Currency [0]_ SG&amp;A Bridge " xfId="26"/>
    <cellStyle name="Currency_ SG&amp;A Bridge " xfId="27"/>
    <cellStyle name="C￥AØ_  FAB AIA¤  " xfId="28"/>
    <cellStyle name="Grey" xfId="29"/>
    <cellStyle name="Header1" xfId="30"/>
    <cellStyle name="Header2" xfId="31"/>
    <cellStyle name="Input [yellow]" xfId="32"/>
    <cellStyle name="Milliers [0]_attendu" xfId="33"/>
    <cellStyle name="Milliers_attendu" xfId="34"/>
    <cellStyle name="Monétaire [0]_attendu" xfId="35"/>
    <cellStyle name="Monétaire_attendu" xfId="36"/>
    <cellStyle name="Normal - Style1" xfId="37"/>
    <cellStyle name="Normal_ SG&amp;A Bridge " xfId="38"/>
    <cellStyle name="Nouveau" xfId="39"/>
    <cellStyle name="Percent [2]" xfId="40"/>
    <cellStyle name="고정소숫점" xfId="41"/>
    <cellStyle name="고정출력1" xfId="42"/>
    <cellStyle name="고정출력2" xfId="43"/>
    <cellStyle name="날짜" xfId="44"/>
    <cellStyle name="달러" xfId="45"/>
    <cellStyle name="백분율 2" xfId="46"/>
    <cellStyle name="백분율 3" xfId="47"/>
    <cellStyle name="백분율 4" xfId="48"/>
    <cellStyle name="백분율 5" xfId="49"/>
    <cellStyle name="백분율 [0]" xfId="50"/>
    <cellStyle name="뷭?_BOOKSHIP" xfId="51"/>
    <cellStyle name="숫자(R)" xfId="52"/>
    <cellStyle name="쉼표 [0] 2" xfId="53"/>
    <cellStyle name="쉼표 [0] 2 18" xfId="54"/>
    <cellStyle name="쉼표 [0] 2 2" xfId="55"/>
    <cellStyle name="쉼표 [0] 2 73" xfId="56"/>
    <cellStyle name="쉼표 [0] 3" xfId="57"/>
    <cellStyle name="쉼표 [0] 4" xfId="58"/>
    <cellStyle name="쉼표 [0] 5" xfId="59"/>
    <cellStyle name="쉼표 [0] 6" xfId="60"/>
    <cellStyle name="쉼표 [0] 7" xfId="61"/>
    <cellStyle name="자리수" xfId="62"/>
    <cellStyle name="자리수0" xfId="63"/>
    <cellStyle name="콤마 [0]_(type)총괄" xfId="64"/>
    <cellStyle name="콤마_(type)총괄" xfId="65"/>
    <cellStyle name="퍼센트" xfId="66"/>
    <cellStyle name="표준 2" xfId="67"/>
    <cellStyle name="표준 3" xfId="68"/>
    <cellStyle name="표준 4" xfId="69"/>
    <cellStyle name="표준 5" xfId="70"/>
    <cellStyle name="표준 6" xfId="71"/>
    <cellStyle name="표준 7" xfId="72"/>
    <cellStyle name="합산" xfId="73"/>
    <cellStyle name="화폐기호" xfId="74"/>
    <cellStyle name="화폐기호0" xfId="7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externalLink" Target="externalLinks/externalLink1.xml"/><Relationship Id="rId10" Type="http://schemas.openxmlformats.org/officeDocument/2006/relationships/externalLink" Target="externalLinks/externalLink2.xml"/><Relationship Id="rId11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A:/DATA/cal/DC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My%20Documents/&#44204;&#51201;&#44277;&#49324;/SCR/&#47588;&#44536;&#47536;/%25232/%25232-GS-0607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DC"/>
      <sheetName val="OC"/>
      <sheetName val="MB"/>
      <sheetName val="HB"/>
      <sheetName val="HB_D"/>
      <sheetName val="UC"/>
      <sheetName val="HB_H"/>
      <sheetName val="HB_M"/>
      <sheetName val="HB_L"/>
      <sheetName val="MB_D"/>
      <sheetName val="MB_H"/>
      <sheetName val="MB_M"/>
      <sheetName val="MB_L"/>
      <sheetName val="LC"/>
      <sheetName val="AC"/>
      <sheetName val="BF"/>
      <sheetName val="BF_WT"/>
      <sheetName val="SDR_DG"/>
      <sheetName val="SCR_NC"/>
      <sheetName val="SCR_DG"/>
      <sheetName val="KERO"/>
      <sheetName val="BF_구매품"/>
      <sheetName val="SDR_DG (2)"/>
      <sheetName val="UC (2)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G1500"/>
      <sheetName val="Temp"/>
      <sheetName val="Results"/>
      <sheetName val="Indices"/>
      <sheetName val="Instructions"/>
      <sheetName val="FGDESIGN"/>
      <sheetName val="FGHIGH"/>
      <sheetName val="FGMEDIUM"/>
      <sheetName val="FGLOW"/>
      <sheetName val="menu"/>
      <sheetName val="DeltaP"/>
      <sheetName val="Power FAN1"/>
      <sheetName val="conversion"/>
      <sheetName val="expected"/>
      <sheetName val="equipments"/>
      <sheetName val="equipdesign"/>
      <sheetName val="guarantee"/>
      <sheetName val="reactor"/>
      <sheetName val="BF"/>
      <sheetName val="DESIGN Balance "/>
      <sheetName val="HIGH Balance"/>
      <sheetName val="MEDIUM Balance"/>
      <sheetName val="LOW Balance"/>
      <sheetName val="scheme"/>
      <sheetName val="scheme1tube"/>
      <sheetName val="compressor"/>
      <sheetName val="elec"/>
      <sheetName val="conso KW"/>
      <sheetName val="consum"/>
      <sheetName val="Standard Motors "/>
      <sheetName val="PFD MEDIUM"/>
      <sheetName val="HIGH&amp;LOW"/>
      <sheetName val="GraphWhitePlume"/>
      <sheetName val="stack"/>
      <sheetName val="silencor"/>
      <sheetName val="Panache"/>
      <sheetName val="renseignement"/>
      <sheetName val="macrodialog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7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1015625" defaultRowHeight="17" customHeight="false" zeroHeight="false" outlineLevelRow="0" outlineLevelCol="0"/>
  <cols>
    <col collapsed="false" customWidth="true" hidden="false" outlineLevel="0" max="1" min="1" style="1" width="4.58"/>
    <col collapsed="false" customWidth="true" hidden="false" outlineLevel="0" max="2" min="2" style="1" width="13.66"/>
    <col collapsed="false" customWidth="true" hidden="false" outlineLevel="0" max="10" min="3" style="1" width="14.41"/>
    <col collapsed="false" customWidth="true" hidden="false" outlineLevel="0" max="11" min="11" style="1" width="15.08"/>
    <col collapsed="false" customWidth="true" hidden="false" outlineLevel="0" max="13" min="12" style="1" width="16.83"/>
    <col collapsed="false" customWidth="true" hidden="false" outlineLevel="0" max="16" min="14" style="1" width="14.41"/>
    <col collapsed="false" customWidth="true" hidden="false" outlineLevel="0" max="17" min="17" style="1" width="16.24"/>
    <col collapsed="false" customWidth="true" hidden="false" outlineLevel="0" max="18" min="18" style="1" width="14.99"/>
    <col collapsed="false" customWidth="true" hidden="false" outlineLevel="0" max="19" min="19" style="1" width="3.49"/>
    <col collapsed="false" customWidth="false" hidden="false" outlineLevel="0" max="20" min="20" style="1" width="8.91"/>
    <col collapsed="false" customWidth="true" hidden="false" outlineLevel="0" max="23" min="21" style="1" width="12.66"/>
    <col collapsed="false" customWidth="true" hidden="false" outlineLevel="0" max="24" min="24" style="1" width="14.33"/>
    <col collapsed="false" customWidth="true" hidden="false" outlineLevel="0" max="25" min="25" style="1" width="12.66"/>
    <col collapsed="false" customWidth="true" hidden="false" outlineLevel="0" max="26" min="26" style="1" width="15.16"/>
    <col collapsed="false" customWidth="true" hidden="false" outlineLevel="0" max="27" min="27" style="1" width="16.24"/>
    <col collapsed="false" customWidth="true" hidden="false" outlineLevel="0" max="28" min="28" style="1" width="14.99"/>
    <col collapsed="false" customWidth="false" hidden="false" outlineLevel="0" max="257" min="29" style="1" width="8.91"/>
  </cols>
  <sheetData>
    <row r="1" customFormat="false" ht="21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20.15" hidden="false" customHeight="true" outlineLevel="0" collapsed="false">
      <c r="M2" s="4"/>
      <c r="T2" s="5" t="s">
        <v>1</v>
      </c>
    </row>
    <row r="3" customFormat="false" ht="20.15" hidden="false" customHeight="true" outlineLevel="0" collapsed="false">
      <c r="B3" s="6" t="s">
        <v>2</v>
      </c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T3" s="6" t="s">
        <v>2</v>
      </c>
      <c r="U3" s="7" t="s">
        <v>3</v>
      </c>
      <c r="V3" s="7"/>
      <c r="W3" s="7"/>
      <c r="X3" s="7"/>
      <c r="Y3" s="7"/>
      <c r="Z3" s="7"/>
      <c r="AA3" s="7"/>
      <c r="AB3" s="7"/>
    </row>
    <row r="4" customFormat="false" ht="20.15" hidden="false" customHeight="true" outlineLevel="0" collapsed="false">
      <c r="B4" s="6"/>
      <c r="C4" s="8" t="s"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5</v>
      </c>
      <c r="R4" s="10" t="s">
        <v>6</v>
      </c>
      <c r="T4" s="6"/>
      <c r="U4" s="11" t="s">
        <v>4</v>
      </c>
      <c r="V4" s="11"/>
      <c r="W4" s="11"/>
      <c r="X4" s="11"/>
      <c r="Y4" s="11"/>
      <c r="Z4" s="11"/>
      <c r="AA4" s="8" t="s">
        <v>5</v>
      </c>
      <c r="AB4" s="10" t="s">
        <v>6</v>
      </c>
    </row>
    <row r="5" customFormat="false" ht="20.15" hidden="false" customHeight="true" outlineLevel="0" collapsed="false">
      <c r="B5" s="6"/>
      <c r="C5" s="12" t="s">
        <v>7</v>
      </c>
      <c r="D5" s="12"/>
      <c r="E5" s="12"/>
      <c r="F5" s="12"/>
      <c r="G5" s="12"/>
      <c r="H5" s="12"/>
      <c r="I5" s="12"/>
      <c r="J5" s="12" t="s">
        <v>8</v>
      </c>
      <c r="K5" s="12"/>
      <c r="L5" s="12"/>
      <c r="M5" s="12"/>
      <c r="N5" s="12"/>
      <c r="O5" s="12"/>
      <c r="P5" s="12"/>
      <c r="Q5" s="9"/>
      <c r="R5" s="10"/>
      <c r="T5" s="6"/>
      <c r="U5" s="13" t="s">
        <v>7</v>
      </c>
      <c r="V5" s="13"/>
      <c r="W5" s="13"/>
      <c r="X5" s="12" t="s">
        <v>8</v>
      </c>
      <c r="Y5" s="12"/>
      <c r="Z5" s="12"/>
      <c r="AA5" s="8"/>
      <c r="AB5" s="10"/>
    </row>
    <row r="6" customFormat="false" ht="33" hidden="false" customHeight="true" outlineLevel="0" collapsed="false">
      <c r="B6" s="6"/>
      <c r="C6" s="14" t="s">
        <v>9</v>
      </c>
      <c r="D6" s="8" t="s">
        <v>10</v>
      </c>
      <c r="E6" s="8" t="s">
        <v>11</v>
      </c>
      <c r="F6" s="8" t="s">
        <v>12</v>
      </c>
      <c r="G6" s="15" t="s">
        <v>13</v>
      </c>
      <c r="H6" s="8" t="s">
        <v>11</v>
      </c>
      <c r="I6" s="10" t="s">
        <v>14</v>
      </c>
      <c r="J6" s="16" t="s">
        <v>15</v>
      </c>
      <c r="K6" s="8" t="s">
        <v>10</v>
      </c>
      <c r="L6" s="11" t="s">
        <v>11</v>
      </c>
      <c r="M6" s="11" t="s">
        <v>12</v>
      </c>
      <c r="N6" s="17" t="s">
        <v>13</v>
      </c>
      <c r="O6" s="11" t="s">
        <v>11</v>
      </c>
      <c r="P6" s="10" t="s">
        <v>16</v>
      </c>
      <c r="Q6" s="9"/>
      <c r="R6" s="10"/>
      <c r="T6" s="6"/>
      <c r="U6" s="14" t="s">
        <v>9</v>
      </c>
      <c r="V6" s="8" t="s">
        <v>10</v>
      </c>
      <c r="W6" s="8" t="s">
        <v>11</v>
      </c>
      <c r="X6" s="16" t="s">
        <v>15</v>
      </c>
      <c r="Y6" s="8" t="s">
        <v>10</v>
      </c>
      <c r="Z6" s="10" t="s">
        <v>11</v>
      </c>
      <c r="AA6" s="8"/>
      <c r="AB6" s="10"/>
    </row>
    <row r="7" customFormat="false" ht="20.15" hidden="false" customHeight="true" outlineLevel="0" collapsed="false">
      <c r="B7" s="18" t="s">
        <v>17</v>
      </c>
      <c r="C7" s="19" t="n">
        <v>0</v>
      </c>
      <c r="D7" s="20" t="n">
        <v>11700</v>
      </c>
      <c r="E7" s="20" t="n">
        <f aca="false">C7*D7</f>
        <v>0</v>
      </c>
      <c r="F7" s="21" t="n">
        <v>24</v>
      </c>
      <c r="G7" s="20" t="n">
        <v>78000</v>
      </c>
      <c r="H7" s="20" t="n">
        <f aca="false">F7*G7</f>
        <v>1872000</v>
      </c>
      <c r="I7" s="22" t="n">
        <f aca="false">E7+H7</f>
        <v>1872000</v>
      </c>
      <c r="J7" s="23" t="n">
        <v>0</v>
      </c>
      <c r="K7" s="24" t="n">
        <f aca="false">D7</f>
        <v>11700</v>
      </c>
      <c r="L7" s="25" t="n">
        <f aca="false">J7*K7</f>
        <v>0</v>
      </c>
      <c r="M7" s="26" t="n">
        <v>24</v>
      </c>
      <c r="N7" s="25" t="n">
        <v>96000</v>
      </c>
      <c r="O7" s="25" t="n">
        <f aca="false">M7*N7</f>
        <v>2304000</v>
      </c>
      <c r="P7" s="27" t="n">
        <f aca="false">L7+O7</f>
        <v>2304000</v>
      </c>
      <c r="Q7" s="28" t="n">
        <f aca="false">C7+J7</f>
        <v>0</v>
      </c>
      <c r="R7" s="29" t="n">
        <f aca="false">I7+P7</f>
        <v>4176000</v>
      </c>
      <c r="T7" s="18" t="s">
        <v>17</v>
      </c>
      <c r="U7" s="30" t="n">
        <v>0</v>
      </c>
      <c r="V7" s="31" t="n">
        <v>11700</v>
      </c>
      <c r="W7" s="31" t="n">
        <f aca="false">U7*V7</f>
        <v>0</v>
      </c>
      <c r="X7" s="32" t="n">
        <v>0</v>
      </c>
      <c r="Y7" s="33" t="n">
        <f aca="false">V7</f>
        <v>11700</v>
      </c>
      <c r="Z7" s="34" t="n">
        <f aca="false">X7*Y7</f>
        <v>0</v>
      </c>
      <c r="AA7" s="35" t="n">
        <f aca="false">U7+X7</f>
        <v>0</v>
      </c>
      <c r="AB7" s="36" t="n">
        <f aca="false">W7+Z7</f>
        <v>0</v>
      </c>
      <c r="AD7" s="4"/>
    </row>
    <row r="8" customFormat="false" ht="20.15" hidden="false" customHeight="true" outlineLevel="0" collapsed="false">
      <c r="B8" s="18" t="s">
        <v>18</v>
      </c>
      <c r="C8" s="19" t="n">
        <v>0</v>
      </c>
      <c r="D8" s="20" t="n">
        <v>11700</v>
      </c>
      <c r="E8" s="20" t="n">
        <f aca="false">C8*D8</f>
        <v>0</v>
      </c>
      <c r="F8" s="21" t="n">
        <v>24</v>
      </c>
      <c r="G8" s="20" t="n">
        <v>78000</v>
      </c>
      <c r="H8" s="20" t="n">
        <f aca="false">F8*G8</f>
        <v>1872000</v>
      </c>
      <c r="I8" s="22" t="n">
        <f aca="false">E8+H8</f>
        <v>1872000</v>
      </c>
      <c r="J8" s="23" t="n">
        <v>0</v>
      </c>
      <c r="K8" s="24" t="n">
        <f aca="false">D8</f>
        <v>11700</v>
      </c>
      <c r="L8" s="25" t="n">
        <f aca="false">J8*K8</f>
        <v>0</v>
      </c>
      <c r="M8" s="26" t="n">
        <v>24</v>
      </c>
      <c r="N8" s="25" t="n">
        <v>96000</v>
      </c>
      <c r="O8" s="25" t="n">
        <f aca="false">M8*N8</f>
        <v>2304000</v>
      </c>
      <c r="P8" s="27" t="n">
        <f aca="false">L8+O8</f>
        <v>2304000</v>
      </c>
      <c r="Q8" s="28" t="n">
        <f aca="false">C8+J8</f>
        <v>0</v>
      </c>
      <c r="R8" s="29" t="n">
        <f aca="false">I8+P8</f>
        <v>4176000</v>
      </c>
      <c r="T8" s="18" t="s">
        <v>18</v>
      </c>
      <c r="U8" s="30" t="n">
        <v>0</v>
      </c>
      <c r="V8" s="31" t="n">
        <v>11700</v>
      </c>
      <c r="W8" s="31" t="n">
        <f aca="false">U8*V8</f>
        <v>0</v>
      </c>
      <c r="X8" s="37" t="n">
        <v>0</v>
      </c>
      <c r="Y8" s="33" t="n">
        <f aca="false">V8</f>
        <v>11700</v>
      </c>
      <c r="Z8" s="34" t="n">
        <f aca="false">X8*Y8</f>
        <v>0</v>
      </c>
      <c r="AA8" s="35" t="n">
        <f aca="false">U8+X8</f>
        <v>0</v>
      </c>
      <c r="AB8" s="36" t="n">
        <f aca="false">W8+Z8</f>
        <v>0</v>
      </c>
      <c r="AD8" s="4"/>
    </row>
    <row r="9" customFormat="false" ht="20.15" hidden="false" customHeight="true" outlineLevel="0" collapsed="false">
      <c r="B9" s="18" t="s">
        <v>19</v>
      </c>
      <c r="C9" s="19" t="n">
        <v>0</v>
      </c>
      <c r="D9" s="20" t="n">
        <v>11700</v>
      </c>
      <c r="E9" s="20" t="n">
        <f aca="false">C9*D9</f>
        <v>0</v>
      </c>
      <c r="F9" s="21" t="n">
        <v>24</v>
      </c>
      <c r="G9" s="20" t="n">
        <v>78000</v>
      </c>
      <c r="H9" s="20" t="n">
        <f aca="false">F9*G9</f>
        <v>1872000</v>
      </c>
      <c r="I9" s="22" t="n">
        <f aca="false">E9+H9</f>
        <v>1872000</v>
      </c>
      <c r="J9" s="23" t="n">
        <v>0</v>
      </c>
      <c r="K9" s="24" t="n">
        <f aca="false">D9</f>
        <v>11700</v>
      </c>
      <c r="L9" s="25" t="n">
        <f aca="false">J9*K9</f>
        <v>0</v>
      </c>
      <c r="M9" s="26" t="n">
        <v>24</v>
      </c>
      <c r="N9" s="25" t="n">
        <v>96000</v>
      </c>
      <c r="O9" s="25" t="n">
        <f aca="false">M9*N9</f>
        <v>2304000</v>
      </c>
      <c r="P9" s="27" t="n">
        <f aca="false">L9+O9</f>
        <v>2304000</v>
      </c>
      <c r="Q9" s="28" t="n">
        <f aca="false">C9+J9</f>
        <v>0</v>
      </c>
      <c r="R9" s="29" t="n">
        <f aca="false">I9+P9</f>
        <v>4176000</v>
      </c>
      <c r="T9" s="18" t="s">
        <v>19</v>
      </c>
      <c r="U9" s="30" t="n">
        <v>0</v>
      </c>
      <c r="V9" s="31" t="n">
        <v>11700</v>
      </c>
      <c r="W9" s="31" t="n">
        <f aca="false">U9*V9</f>
        <v>0</v>
      </c>
      <c r="X9" s="37" t="n">
        <v>0</v>
      </c>
      <c r="Y9" s="33" t="n">
        <f aca="false">V9</f>
        <v>11700</v>
      </c>
      <c r="Z9" s="34" t="n">
        <f aca="false">X9*Y9</f>
        <v>0</v>
      </c>
      <c r="AA9" s="35" t="n">
        <f aca="false">U9+X9</f>
        <v>0</v>
      </c>
      <c r="AB9" s="36" t="n">
        <f aca="false">W9+Z9</f>
        <v>0</v>
      </c>
      <c r="AD9" s="4"/>
    </row>
    <row r="10" customFormat="false" ht="20.15" hidden="false" customHeight="true" outlineLevel="0" collapsed="false">
      <c r="B10" s="18" t="s">
        <v>20</v>
      </c>
      <c r="C10" s="19" t="n">
        <v>0</v>
      </c>
      <c r="D10" s="20" t="n">
        <v>11700</v>
      </c>
      <c r="E10" s="20" t="n">
        <f aca="false">C10*D10</f>
        <v>0</v>
      </c>
      <c r="F10" s="21" t="n">
        <v>24</v>
      </c>
      <c r="G10" s="20" t="n">
        <v>78000</v>
      </c>
      <c r="H10" s="20" t="n">
        <f aca="false">F10*G10</f>
        <v>1872000</v>
      </c>
      <c r="I10" s="22" t="n">
        <f aca="false">E10+H10</f>
        <v>1872000</v>
      </c>
      <c r="J10" s="23" t="n">
        <v>0</v>
      </c>
      <c r="K10" s="24" t="n">
        <f aca="false">D10</f>
        <v>11700</v>
      </c>
      <c r="L10" s="25" t="n">
        <f aca="false">J10*K10</f>
        <v>0</v>
      </c>
      <c r="M10" s="26" t="n">
        <v>24</v>
      </c>
      <c r="N10" s="25" t="n">
        <v>96000</v>
      </c>
      <c r="O10" s="25" t="n">
        <f aca="false">M10*N10</f>
        <v>2304000</v>
      </c>
      <c r="P10" s="27" t="n">
        <f aca="false">L10+O10</f>
        <v>2304000</v>
      </c>
      <c r="Q10" s="28" t="n">
        <f aca="false">C10+J10</f>
        <v>0</v>
      </c>
      <c r="R10" s="29" t="n">
        <f aca="false">I10+P10</f>
        <v>4176000</v>
      </c>
      <c r="T10" s="18" t="s">
        <v>20</v>
      </c>
      <c r="U10" s="30" t="n">
        <v>0</v>
      </c>
      <c r="V10" s="31" t="n">
        <v>11700</v>
      </c>
      <c r="W10" s="31" t="n">
        <f aca="false">U10*V10</f>
        <v>0</v>
      </c>
      <c r="X10" s="37" t="n">
        <v>0</v>
      </c>
      <c r="Y10" s="33" t="n">
        <f aca="false">V10</f>
        <v>11700</v>
      </c>
      <c r="Z10" s="34" t="n">
        <f aca="false">X10*Y10</f>
        <v>0</v>
      </c>
      <c r="AA10" s="35" t="n">
        <f aca="false">U10+X10</f>
        <v>0</v>
      </c>
      <c r="AB10" s="36" t="n">
        <f aca="false">W10+Z10</f>
        <v>0</v>
      </c>
      <c r="AD10" s="4"/>
    </row>
    <row r="11" customFormat="false" ht="20.15" hidden="false" customHeight="true" outlineLevel="0" collapsed="false">
      <c r="B11" s="18" t="s">
        <v>21</v>
      </c>
      <c r="C11" s="19" t="n">
        <v>0</v>
      </c>
      <c r="D11" s="20" t="n">
        <v>11700</v>
      </c>
      <c r="E11" s="20" t="n">
        <f aca="false">C11*D11</f>
        <v>0</v>
      </c>
      <c r="F11" s="21" t="n">
        <v>24</v>
      </c>
      <c r="G11" s="20" t="n">
        <v>78000</v>
      </c>
      <c r="H11" s="20" t="n">
        <f aca="false">F11*G11</f>
        <v>1872000</v>
      </c>
      <c r="I11" s="22" t="n">
        <f aca="false">E11+H11</f>
        <v>1872000</v>
      </c>
      <c r="J11" s="23" t="n">
        <v>0</v>
      </c>
      <c r="K11" s="24" t="n">
        <f aca="false">D11</f>
        <v>11700</v>
      </c>
      <c r="L11" s="25" t="n">
        <f aca="false">J11*K11</f>
        <v>0</v>
      </c>
      <c r="M11" s="26" t="n">
        <v>24</v>
      </c>
      <c r="N11" s="25" t="n">
        <v>96000</v>
      </c>
      <c r="O11" s="25" t="n">
        <f aca="false">M11*N11</f>
        <v>2304000</v>
      </c>
      <c r="P11" s="27" t="n">
        <f aca="false">L11+O11</f>
        <v>2304000</v>
      </c>
      <c r="Q11" s="28" t="n">
        <f aca="false">C11+J11</f>
        <v>0</v>
      </c>
      <c r="R11" s="29" t="n">
        <f aca="false">I11+P11</f>
        <v>4176000</v>
      </c>
      <c r="T11" s="18" t="s">
        <v>21</v>
      </c>
      <c r="U11" s="30" t="n">
        <v>0</v>
      </c>
      <c r="V11" s="31" t="n">
        <v>11700</v>
      </c>
      <c r="W11" s="31" t="n">
        <f aca="false">U11*V11</f>
        <v>0</v>
      </c>
      <c r="X11" s="37" t="n">
        <v>0</v>
      </c>
      <c r="Y11" s="33" t="n">
        <f aca="false">V11</f>
        <v>11700</v>
      </c>
      <c r="Z11" s="34" t="n">
        <f aca="false">X11*Y11</f>
        <v>0</v>
      </c>
      <c r="AA11" s="35" t="n">
        <f aca="false">U11+X11</f>
        <v>0</v>
      </c>
      <c r="AB11" s="36" t="n">
        <f aca="false">W11+Z11</f>
        <v>0</v>
      </c>
      <c r="AD11" s="4"/>
    </row>
    <row r="12" customFormat="false" ht="20.15" hidden="false" customHeight="true" outlineLevel="0" collapsed="false">
      <c r="B12" s="18" t="s">
        <v>22</v>
      </c>
      <c r="C12" s="19" t="n">
        <v>0</v>
      </c>
      <c r="D12" s="20" t="n">
        <v>11700</v>
      </c>
      <c r="E12" s="20" t="n">
        <f aca="false">C12*D12</f>
        <v>0</v>
      </c>
      <c r="F12" s="21" t="n">
        <v>24</v>
      </c>
      <c r="G12" s="20" t="n">
        <v>78000</v>
      </c>
      <c r="H12" s="20" t="n">
        <f aca="false">F12*G12</f>
        <v>1872000</v>
      </c>
      <c r="I12" s="22" t="n">
        <f aca="false">E12+H12</f>
        <v>1872000</v>
      </c>
      <c r="J12" s="23" t="n">
        <v>0</v>
      </c>
      <c r="K12" s="24" t="n">
        <f aca="false">D12</f>
        <v>11700</v>
      </c>
      <c r="L12" s="25" t="n">
        <f aca="false">J12*K12</f>
        <v>0</v>
      </c>
      <c r="M12" s="26" t="n">
        <v>24</v>
      </c>
      <c r="N12" s="25" t="n">
        <v>96000</v>
      </c>
      <c r="O12" s="25" t="n">
        <f aca="false">M12*N12</f>
        <v>2304000</v>
      </c>
      <c r="P12" s="27" t="n">
        <f aca="false">L12+O12</f>
        <v>2304000</v>
      </c>
      <c r="Q12" s="28" t="n">
        <f aca="false">C12+J12</f>
        <v>0</v>
      </c>
      <c r="R12" s="29" t="n">
        <f aca="false">I12+P12</f>
        <v>4176000</v>
      </c>
      <c r="T12" s="18" t="s">
        <v>22</v>
      </c>
      <c r="U12" s="30" t="n">
        <v>0</v>
      </c>
      <c r="V12" s="31" t="n">
        <v>11700</v>
      </c>
      <c r="W12" s="31" t="n">
        <f aca="false">U12*V12</f>
        <v>0</v>
      </c>
      <c r="X12" s="37" t="n">
        <v>0</v>
      </c>
      <c r="Y12" s="33" t="n">
        <f aca="false">V12</f>
        <v>11700</v>
      </c>
      <c r="Z12" s="34" t="n">
        <f aca="false">X12*Y12</f>
        <v>0</v>
      </c>
      <c r="AA12" s="35" t="n">
        <f aca="false">U12+X12</f>
        <v>0</v>
      </c>
      <c r="AB12" s="36" t="n">
        <f aca="false">W12+Z12</f>
        <v>0</v>
      </c>
      <c r="AD12" s="4"/>
    </row>
    <row r="13" customFormat="false" ht="20.15" hidden="false" customHeight="true" outlineLevel="0" collapsed="false">
      <c r="B13" s="18" t="s">
        <v>23</v>
      </c>
      <c r="C13" s="19" t="n">
        <v>0</v>
      </c>
      <c r="D13" s="20" t="n">
        <v>11700</v>
      </c>
      <c r="E13" s="20" t="n">
        <f aca="false">C13*D13</f>
        <v>0</v>
      </c>
      <c r="F13" s="21" t="n">
        <v>24</v>
      </c>
      <c r="G13" s="20" t="n">
        <v>78000</v>
      </c>
      <c r="H13" s="20" t="n">
        <f aca="false">F13*G13</f>
        <v>1872000</v>
      </c>
      <c r="I13" s="22" t="n">
        <f aca="false">E13+H13</f>
        <v>1872000</v>
      </c>
      <c r="J13" s="23" t="n">
        <v>0</v>
      </c>
      <c r="K13" s="24" t="n">
        <f aca="false">D13</f>
        <v>11700</v>
      </c>
      <c r="L13" s="25" t="n">
        <f aca="false">J13*K13</f>
        <v>0</v>
      </c>
      <c r="M13" s="26" t="n">
        <v>24</v>
      </c>
      <c r="N13" s="25" t="n">
        <v>96000</v>
      </c>
      <c r="O13" s="25" t="n">
        <f aca="false">M13*N13</f>
        <v>2304000</v>
      </c>
      <c r="P13" s="27" t="n">
        <f aca="false">L13+O13</f>
        <v>2304000</v>
      </c>
      <c r="Q13" s="28" t="n">
        <f aca="false">C13+J13</f>
        <v>0</v>
      </c>
      <c r="R13" s="29" t="n">
        <f aca="false">I13+P13</f>
        <v>4176000</v>
      </c>
      <c r="T13" s="18" t="s">
        <v>23</v>
      </c>
      <c r="U13" s="30" t="n">
        <v>0</v>
      </c>
      <c r="V13" s="31" t="n">
        <v>11700</v>
      </c>
      <c r="W13" s="31" t="n">
        <f aca="false">U13*V13</f>
        <v>0</v>
      </c>
      <c r="X13" s="37" t="n">
        <v>0</v>
      </c>
      <c r="Y13" s="33" t="n">
        <f aca="false">V13</f>
        <v>11700</v>
      </c>
      <c r="Z13" s="34" t="n">
        <f aca="false">X13*Y13</f>
        <v>0</v>
      </c>
      <c r="AA13" s="35" t="n">
        <f aca="false">U13+X13</f>
        <v>0</v>
      </c>
      <c r="AB13" s="36" t="n">
        <f aca="false">W13+Z13</f>
        <v>0</v>
      </c>
      <c r="AD13" s="4"/>
    </row>
    <row r="14" customFormat="false" ht="20.15" hidden="false" customHeight="true" outlineLevel="0" collapsed="false">
      <c r="B14" s="18" t="s">
        <v>24</v>
      </c>
      <c r="C14" s="19" t="n">
        <v>0</v>
      </c>
      <c r="D14" s="20" t="n">
        <v>11700</v>
      </c>
      <c r="E14" s="20" t="n">
        <f aca="false">C14*D14</f>
        <v>0</v>
      </c>
      <c r="F14" s="21" t="n">
        <v>24</v>
      </c>
      <c r="G14" s="20" t="n">
        <v>78000</v>
      </c>
      <c r="H14" s="20" t="n">
        <f aca="false">F14*G14</f>
        <v>1872000</v>
      </c>
      <c r="I14" s="22" t="n">
        <f aca="false">E14+H14</f>
        <v>1872000</v>
      </c>
      <c r="J14" s="23" t="n">
        <v>0</v>
      </c>
      <c r="K14" s="24" t="n">
        <f aca="false">D14</f>
        <v>11700</v>
      </c>
      <c r="L14" s="25" t="n">
        <f aca="false">J14*K14</f>
        <v>0</v>
      </c>
      <c r="M14" s="26" t="n">
        <v>24</v>
      </c>
      <c r="N14" s="25" t="n">
        <v>96000</v>
      </c>
      <c r="O14" s="25" t="n">
        <f aca="false">M14*N14</f>
        <v>2304000</v>
      </c>
      <c r="P14" s="27" t="n">
        <f aca="false">L14+O14</f>
        <v>2304000</v>
      </c>
      <c r="Q14" s="28" t="n">
        <f aca="false">C14+J14</f>
        <v>0</v>
      </c>
      <c r="R14" s="29" t="n">
        <f aca="false">I14+P14</f>
        <v>4176000</v>
      </c>
      <c r="T14" s="18" t="s">
        <v>24</v>
      </c>
      <c r="U14" s="30" t="n">
        <v>0</v>
      </c>
      <c r="V14" s="31" t="n">
        <v>11700</v>
      </c>
      <c r="W14" s="31" t="n">
        <f aca="false">U14*V14</f>
        <v>0</v>
      </c>
      <c r="X14" s="37" t="n">
        <v>0</v>
      </c>
      <c r="Y14" s="33" t="n">
        <f aca="false">V14</f>
        <v>11700</v>
      </c>
      <c r="Z14" s="34" t="n">
        <f aca="false">X14*Y14</f>
        <v>0</v>
      </c>
      <c r="AA14" s="35" t="n">
        <f aca="false">U14+X14</f>
        <v>0</v>
      </c>
      <c r="AB14" s="36" t="n">
        <f aca="false">W14+Z14</f>
        <v>0</v>
      </c>
      <c r="AD14" s="4"/>
    </row>
    <row r="15" customFormat="false" ht="20.5" hidden="false" customHeight="true" outlineLevel="0" collapsed="false">
      <c r="B15" s="18" t="s">
        <v>25</v>
      </c>
      <c r="C15" s="19" t="n">
        <v>0</v>
      </c>
      <c r="D15" s="20" t="n">
        <v>11700</v>
      </c>
      <c r="E15" s="20" t="n">
        <f aca="false">C15*D15</f>
        <v>0</v>
      </c>
      <c r="F15" s="21" t="n">
        <v>24</v>
      </c>
      <c r="G15" s="20" t="n">
        <v>78000</v>
      </c>
      <c r="H15" s="20" t="n">
        <f aca="false">F15*G15</f>
        <v>1872000</v>
      </c>
      <c r="I15" s="22" t="n">
        <f aca="false">E15+H15</f>
        <v>1872000</v>
      </c>
      <c r="J15" s="23" t="n">
        <v>0</v>
      </c>
      <c r="K15" s="24" t="n">
        <f aca="false">D15</f>
        <v>11700</v>
      </c>
      <c r="L15" s="25" t="n">
        <f aca="false">J15*K15</f>
        <v>0</v>
      </c>
      <c r="M15" s="26" t="n">
        <v>24</v>
      </c>
      <c r="N15" s="25" t="n">
        <v>96000</v>
      </c>
      <c r="O15" s="25" t="n">
        <f aca="false">M15*N15</f>
        <v>2304000</v>
      </c>
      <c r="P15" s="27" t="n">
        <f aca="false">L15+O15</f>
        <v>2304000</v>
      </c>
      <c r="Q15" s="28" t="n">
        <f aca="false">C15+J15</f>
        <v>0</v>
      </c>
      <c r="R15" s="29" t="n">
        <f aca="false">I15+P15</f>
        <v>4176000</v>
      </c>
      <c r="T15" s="18" t="s">
        <v>25</v>
      </c>
      <c r="U15" s="30" t="n">
        <v>0</v>
      </c>
      <c r="V15" s="31" t="n">
        <v>11700</v>
      </c>
      <c r="W15" s="31" t="n">
        <f aca="false">U15*V15</f>
        <v>0</v>
      </c>
      <c r="X15" s="37" t="n">
        <v>0</v>
      </c>
      <c r="Y15" s="33" t="n">
        <f aca="false">V15</f>
        <v>11700</v>
      </c>
      <c r="Z15" s="34" t="n">
        <f aca="false">X15*Y15</f>
        <v>0</v>
      </c>
      <c r="AA15" s="35" t="n">
        <f aca="false">U15+X15</f>
        <v>0</v>
      </c>
      <c r="AB15" s="36" t="n">
        <f aca="false">W15+Z15</f>
        <v>0</v>
      </c>
      <c r="AD15" s="4"/>
    </row>
    <row r="16" customFormat="false" ht="20.15" hidden="false" customHeight="true" outlineLevel="0" collapsed="false">
      <c r="B16" s="18" t="s">
        <v>26</v>
      </c>
      <c r="C16" s="19" t="n">
        <v>0</v>
      </c>
      <c r="D16" s="20" t="n">
        <v>11700</v>
      </c>
      <c r="E16" s="20" t="n">
        <f aca="false">C16*D16</f>
        <v>0</v>
      </c>
      <c r="F16" s="21" t="n">
        <v>24</v>
      </c>
      <c r="G16" s="20" t="n">
        <v>78000</v>
      </c>
      <c r="H16" s="20" t="n">
        <f aca="false">F16*G16</f>
        <v>1872000</v>
      </c>
      <c r="I16" s="22" t="n">
        <f aca="false">E16+H16</f>
        <v>1872000</v>
      </c>
      <c r="J16" s="23" t="n">
        <v>0</v>
      </c>
      <c r="K16" s="24" t="n">
        <f aca="false">D16</f>
        <v>11700</v>
      </c>
      <c r="L16" s="25" t="n">
        <f aca="false">J16*K16</f>
        <v>0</v>
      </c>
      <c r="M16" s="26" t="n">
        <v>24</v>
      </c>
      <c r="N16" s="25" t="n">
        <v>96000</v>
      </c>
      <c r="O16" s="25" t="n">
        <f aca="false">M16*N16</f>
        <v>2304000</v>
      </c>
      <c r="P16" s="27" t="n">
        <f aca="false">L16+O16</f>
        <v>2304000</v>
      </c>
      <c r="Q16" s="28" t="n">
        <f aca="false">C16+J16</f>
        <v>0</v>
      </c>
      <c r="R16" s="29" t="n">
        <f aca="false">I16+P16</f>
        <v>4176000</v>
      </c>
      <c r="T16" s="18" t="s">
        <v>26</v>
      </c>
      <c r="U16" s="30" t="n">
        <v>0</v>
      </c>
      <c r="V16" s="31" t="n">
        <v>11700</v>
      </c>
      <c r="W16" s="31" t="n">
        <f aca="false">U16*V16</f>
        <v>0</v>
      </c>
      <c r="X16" s="37" t="n">
        <v>0</v>
      </c>
      <c r="Y16" s="33" t="n">
        <f aca="false">V16</f>
        <v>11700</v>
      </c>
      <c r="Z16" s="34" t="n">
        <f aca="false">X16*Y16</f>
        <v>0</v>
      </c>
      <c r="AA16" s="35" t="n">
        <f aca="false">U16+X16</f>
        <v>0</v>
      </c>
      <c r="AB16" s="36" t="n">
        <f aca="false">W16+Z16</f>
        <v>0</v>
      </c>
      <c r="AD16" s="4"/>
    </row>
    <row r="17" customFormat="false" ht="20.15" hidden="false" customHeight="true" outlineLevel="0" collapsed="false">
      <c r="B17" s="18" t="s">
        <v>27</v>
      </c>
      <c r="C17" s="19" t="n">
        <v>0</v>
      </c>
      <c r="D17" s="20" t="n">
        <v>11700</v>
      </c>
      <c r="E17" s="20" t="n">
        <f aca="false">C17*D17</f>
        <v>0</v>
      </c>
      <c r="F17" s="21" t="n">
        <v>24</v>
      </c>
      <c r="G17" s="20" t="n">
        <v>78000</v>
      </c>
      <c r="H17" s="20" t="n">
        <f aca="false">F17*G17</f>
        <v>1872000</v>
      </c>
      <c r="I17" s="22" t="n">
        <f aca="false">E17+H17</f>
        <v>1872000</v>
      </c>
      <c r="J17" s="23" t="n">
        <v>0</v>
      </c>
      <c r="K17" s="24" t="n">
        <f aca="false">D17</f>
        <v>11700</v>
      </c>
      <c r="L17" s="25" t="n">
        <f aca="false">J17*K17</f>
        <v>0</v>
      </c>
      <c r="M17" s="26" t="n">
        <v>24</v>
      </c>
      <c r="N17" s="25" t="n">
        <v>96000</v>
      </c>
      <c r="O17" s="25" t="n">
        <f aca="false">M17*N17</f>
        <v>2304000</v>
      </c>
      <c r="P17" s="27" t="n">
        <f aca="false">L17+O17</f>
        <v>2304000</v>
      </c>
      <c r="Q17" s="28" t="n">
        <f aca="false">C17+J17</f>
        <v>0</v>
      </c>
      <c r="R17" s="29" t="n">
        <f aca="false">I17+P17</f>
        <v>4176000</v>
      </c>
      <c r="T17" s="18" t="s">
        <v>27</v>
      </c>
      <c r="U17" s="30" t="n">
        <v>0</v>
      </c>
      <c r="V17" s="31" t="n">
        <v>11700</v>
      </c>
      <c r="W17" s="31" t="n">
        <f aca="false">U17*V17</f>
        <v>0</v>
      </c>
      <c r="X17" s="37" t="n">
        <v>0</v>
      </c>
      <c r="Y17" s="33" t="n">
        <f aca="false">V17</f>
        <v>11700</v>
      </c>
      <c r="Z17" s="34" t="n">
        <f aca="false">X17*Y17</f>
        <v>0</v>
      </c>
      <c r="AA17" s="35" t="n">
        <f aca="false">U17+X17</f>
        <v>0</v>
      </c>
      <c r="AB17" s="36" t="n">
        <f aca="false">W17+Z17</f>
        <v>0</v>
      </c>
      <c r="AD17" s="4"/>
    </row>
    <row r="18" customFormat="false" ht="20.15" hidden="false" customHeight="true" outlineLevel="0" collapsed="false">
      <c r="B18" s="18" t="s">
        <v>28</v>
      </c>
      <c r="C18" s="19" t="n">
        <v>0</v>
      </c>
      <c r="D18" s="20" t="n">
        <v>11700</v>
      </c>
      <c r="E18" s="20" t="n">
        <f aca="false">C18*D18</f>
        <v>0</v>
      </c>
      <c r="F18" s="21" t="n">
        <v>24</v>
      </c>
      <c r="G18" s="20" t="n">
        <v>78000</v>
      </c>
      <c r="H18" s="20" t="n">
        <f aca="false">F18*G18</f>
        <v>1872000</v>
      </c>
      <c r="I18" s="22" t="n">
        <f aca="false">E18+H18</f>
        <v>1872000</v>
      </c>
      <c r="J18" s="23" t="n">
        <v>0</v>
      </c>
      <c r="K18" s="24" t="n">
        <f aca="false">D18</f>
        <v>11700</v>
      </c>
      <c r="L18" s="25" t="n">
        <f aca="false">J18*K18</f>
        <v>0</v>
      </c>
      <c r="M18" s="26" t="n">
        <v>24</v>
      </c>
      <c r="N18" s="25" t="n">
        <v>96000</v>
      </c>
      <c r="O18" s="25" t="n">
        <f aca="false">M18*N18</f>
        <v>2304000</v>
      </c>
      <c r="P18" s="27" t="n">
        <f aca="false">L18+O18</f>
        <v>2304000</v>
      </c>
      <c r="Q18" s="28" t="n">
        <f aca="false">C18+J18</f>
        <v>0</v>
      </c>
      <c r="R18" s="29" t="n">
        <f aca="false">I18+P18</f>
        <v>4176000</v>
      </c>
      <c r="T18" s="18" t="s">
        <v>28</v>
      </c>
      <c r="U18" s="30" t="n">
        <v>0</v>
      </c>
      <c r="V18" s="31" t="n">
        <v>11700</v>
      </c>
      <c r="W18" s="31" t="n">
        <f aca="false">U18*V18</f>
        <v>0</v>
      </c>
      <c r="X18" s="37" t="n">
        <v>0</v>
      </c>
      <c r="Y18" s="33" t="n">
        <f aca="false">V18</f>
        <v>11700</v>
      </c>
      <c r="Z18" s="34" t="n">
        <f aca="false">X18*Y18</f>
        <v>0</v>
      </c>
      <c r="AA18" s="35" t="n">
        <f aca="false">U18+X18</f>
        <v>0</v>
      </c>
      <c r="AB18" s="36" t="n">
        <f aca="false">W18+Z18</f>
        <v>0</v>
      </c>
      <c r="AD18" s="4"/>
    </row>
    <row r="19" customFormat="false" ht="20.5" hidden="false" customHeight="true" outlineLevel="0" collapsed="false">
      <c r="B19" s="18" t="s">
        <v>29</v>
      </c>
      <c r="C19" s="19" t="n">
        <v>0</v>
      </c>
      <c r="D19" s="20" t="n">
        <v>11700</v>
      </c>
      <c r="E19" s="20" t="n">
        <f aca="false">C19*D19</f>
        <v>0</v>
      </c>
      <c r="F19" s="21" t="n">
        <v>24</v>
      </c>
      <c r="G19" s="20" t="n">
        <v>78000</v>
      </c>
      <c r="H19" s="20" t="n">
        <f aca="false">F19*G19</f>
        <v>1872000</v>
      </c>
      <c r="I19" s="22" t="n">
        <f aca="false">E19+H19</f>
        <v>1872000</v>
      </c>
      <c r="J19" s="23" t="n">
        <v>91</v>
      </c>
      <c r="K19" s="24" t="n">
        <f aca="false">D19</f>
        <v>11700</v>
      </c>
      <c r="L19" s="25" t="n">
        <f aca="false">J19*K19</f>
        <v>1064700</v>
      </c>
      <c r="M19" s="26" t="n">
        <v>17</v>
      </c>
      <c r="N19" s="25" t="n">
        <v>96000</v>
      </c>
      <c r="O19" s="25" t="n">
        <f aca="false">M19*N19</f>
        <v>1632000</v>
      </c>
      <c r="P19" s="27" t="n">
        <f aca="false">L19+O19</f>
        <v>2696700</v>
      </c>
      <c r="Q19" s="28" t="n">
        <f aca="false">C19+J19</f>
        <v>91</v>
      </c>
      <c r="R19" s="29" t="n">
        <f aca="false">I19+P19</f>
        <v>4568700</v>
      </c>
      <c r="T19" s="18" t="s">
        <v>29</v>
      </c>
      <c r="U19" s="30" t="n">
        <v>0</v>
      </c>
      <c r="V19" s="31" t="n">
        <v>11700</v>
      </c>
      <c r="W19" s="31" t="n">
        <f aca="false">U19*V19</f>
        <v>0</v>
      </c>
      <c r="X19" s="37" t="n">
        <v>91</v>
      </c>
      <c r="Y19" s="33" t="n">
        <f aca="false">V19</f>
        <v>11700</v>
      </c>
      <c r="Z19" s="34" t="n">
        <f aca="false">X19*Y19</f>
        <v>1064700</v>
      </c>
      <c r="AA19" s="35" t="n">
        <f aca="false">U19+X19</f>
        <v>91</v>
      </c>
      <c r="AB19" s="36" t="n">
        <f aca="false">W19+Z19</f>
        <v>1064700</v>
      </c>
      <c r="AD19" s="4"/>
    </row>
    <row r="20" customFormat="false" ht="20.15" hidden="false" customHeight="true" outlineLevel="0" collapsed="false">
      <c r="B20" s="18" t="s">
        <v>30</v>
      </c>
      <c r="C20" s="19" t="n">
        <v>0</v>
      </c>
      <c r="D20" s="20" t="n">
        <v>11700</v>
      </c>
      <c r="E20" s="20" t="n">
        <f aca="false">C20*D20</f>
        <v>0</v>
      </c>
      <c r="F20" s="21" t="n">
        <v>24</v>
      </c>
      <c r="G20" s="20" t="n">
        <v>78000</v>
      </c>
      <c r="H20" s="20" t="n">
        <f aca="false">F20*G20</f>
        <v>1872000</v>
      </c>
      <c r="I20" s="22" t="n">
        <f aca="false">E20+H20</f>
        <v>1872000</v>
      </c>
      <c r="J20" s="23" t="n">
        <v>337</v>
      </c>
      <c r="K20" s="24" t="n">
        <f aca="false">D20</f>
        <v>11700</v>
      </c>
      <c r="L20" s="25" t="n">
        <f aca="false">J20*K20</f>
        <v>3942900</v>
      </c>
      <c r="M20" s="26" t="n">
        <v>0</v>
      </c>
      <c r="N20" s="25" t="n">
        <v>96000</v>
      </c>
      <c r="O20" s="25" t="n">
        <f aca="false">M20*N20</f>
        <v>0</v>
      </c>
      <c r="P20" s="27" t="n">
        <f aca="false">L20+O20</f>
        <v>3942900</v>
      </c>
      <c r="Q20" s="28" t="n">
        <f aca="false">C20+J20</f>
        <v>337</v>
      </c>
      <c r="R20" s="29" t="n">
        <f aca="false">I20+P20</f>
        <v>5814900</v>
      </c>
      <c r="T20" s="18" t="s">
        <v>30</v>
      </c>
      <c r="U20" s="30" t="n">
        <v>0</v>
      </c>
      <c r="V20" s="31" t="n">
        <v>11700</v>
      </c>
      <c r="W20" s="31" t="n">
        <f aca="false">U20*V20</f>
        <v>0</v>
      </c>
      <c r="X20" s="37" t="n">
        <v>337</v>
      </c>
      <c r="Y20" s="33" t="n">
        <f aca="false">V20</f>
        <v>11700</v>
      </c>
      <c r="Z20" s="34" t="n">
        <f aca="false">X20*Y20</f>
        <v>3942900</v>
      </c>
      <c r="AA20" s="35" t="n">
        <f aca="false">U20+X20</f>
        <v>337</v>
      </c>
      <c r="AB20" s="36" t="n">
        <f aca="false">W20+Z20</f>
        <v>3942900</v>
      </c>
      <c r="AD20" s="4"/>
    </row>
    <row r="21" customFormat="false" ht="20.15" hidden="false" customHeight="true" outlineLevel="0" collapsed="false">
      <c r="B21" s="18" t="s">
        <v>31</v>
      </c>
      <c r="C21" s="19" t="n">
        <v>0</v>
      </c>
      <c r="D21" s="20" t="n">
        <v>11700</v>
      </c>
      <c r="E21" s="20" t="n">
        <f aca="false">C21*D21</f>
        <v>0</v>
      </c>
      <c r="F21" s="21" t="n">
        <v>24</v>
      </c>
      <c r="G21" s="20" t="n">
        <v>78000</v>
      </c>
      <c r="H21" s="20" t="n">
        <f aca="false">F21*G21</f>
        <v>1872000</v>
      </c>
      <c r="I21" s="22" t="n">
        <f aca="false">E21+H21</f>
        <v>1872000</v>
      </c>
      <c r="J21" s="23" t="n">
        <v>336</v>
      </c>
      <c r="K21" s="24" t="n">
        <f aca="false">D21</f>
        <v>11700</v>
      </c>
      <c r="L21" s="25" t="n">
        <f aca="false">J21*K21</f>
        <v>3931200</v>
      </c>
      <c r="M21" s="26" t="n">
        <v>0</v>
      </c>
      <c r="N21" s="25" t="n">
        <v>96000</v>
      </c>
      <c r="O21" s="25" t="n">
        <f aca="false">M21*N21</f>
        <v>0</v>
      </c>
      <c r="P21" s="27" t="n">
        <f aca="false">L21+O21</f>
        <v>3931200</v>
      </c>
      <c r="Q21" s="28" t="n">
        <f aca="false">C21+J21</f>
        <v>336</v>
      </c>
      <c r="R21" s="29" t="n">
        <f aca="false">I21+P21</f>
        <v>5803200</v>
      </c>
      <c r="T21" s="18" t="s">
        <v>31</v>
      </c>
      <c r="U21" s="30" t="n">
        <v>0</v>
      </c>
      <c r="V21" s="31" t="n">
        <v>11700</v>
      </c>
      <c r="W21" s="31" t="n">
        <f aca="false">U21*V21</f>
        <v>0</v>
      </c>
      <c r="X21" s="37" t="n">
        <v>375</v>
      </c>
      <c r="Y21" s="33" t="n">
        <f aca="false">V21</f>
        <v>11700</v>
      </c>
      <c r="Z21" s="34" t="n">
        <f aca="false">X21*Y21</f>
        <v>4387500</v>
      </c>
      <c r="AA21" s="35" t="n">
        <f aca="false">U21+X21</f>
        <v>375</v>
      </c>
      <c r="AB21" s="36" t="n">
        <f aca="false">W21+Z21</f>
        <v>4387500</v>
      </c>
      <c r="AD21" s="4"/>
    </row>
    <row r="22" customFormat="false" ht="20.15" hidden="false" customHeight="true" outlineLevel="0" collapsed="false">
      <c r="B22" s="18" t="s">
        <v>32</v>
      </c>
      <c r="C22" s="19" t="n">
        <v>0</v>
      </c>
      <c r="D22" s="20" t="n">
        <v>11700</v>
      </c>
      <c r="E22" s="20" t="n">
        <f aca="false">C22*D22</f>
        <v>0</v>
      </c>
      <c r="F22" s="21" t="n">
        <v>24</v>
      </c>
      <c r="G22" s="20" t="n">
        <v>78000</v>
      </c>
      <c r="H22" s="20" t="n">
        <f aca="false">F22*G22</f>
        <v>1872000</v>
      </c>
      <c r="I22" s="22" t="n">
        <f aca="false">E22+H22</f>
        <v>1872000</v>
      </c>
      <c r="J22" s="23" t="n">
        <v>299</v>
      </c>
      <c r="K22" s="24" t="n">
        <f aca="false">D22</f>
        <v>11700</v>
      </c>
      <c r="L22" s="25" t="n">
        <f aca="false">J22*K22</f>
        <v>3498300</v>
      </c>
      <c r="M22" s="26" t="n">
        <v>0</v>
      </c>
      <c r="N22" s="25" t="n">
        <v>96000</v>
      </c>
      <c r="O22" s="25" t="n">
        <f aca="false">M22*N22</f>
        <v>0</v>
      </c>
      <c r="P22" s="27" t="n">
        <f aca="false">L22+O22</f>
        <v>3498300</v>
      </c>
      <c r="Q22" s="28" t="n">
        <f aca="false">C22+J22</f>
        <v>299</v>
      </c>
      <c r="R22" s="29" t="n">
        <f aca="false">I22+P22</f>
        <v>5370300</v>
      </c>
      <c r="T22" s="18" t="s">
        <v>32</v>
      </c>
      <c r="U22" s="30" t="n">
        <v>0</v>
      </c>
      <c r="V22" s="31" t="n">
        <v>11700</v>
      </c>
      <c r="W22" s="31" t="n">
        <f aca="false">U22*V22</f>
        <v>0</v>
      </c>
      <c r="X22" s="37" t="n">
        <v>299</v>
      </c>
      <c r="Y22" s="33" t="n">
        <f aca="false">V22</f>
        <v>11700</v>
      </c>
      <c r="Z22" s="34" t="n">
        <f aca="false">X22*Y22</f>
        <v>3498300</v>
      </c>
      <c r="AA22" s="35" t="n">
        <f aca="false">U22+X22</f>
        <v>299</v>
      </c>
      <c r="AB22" s="36" t="n">
        <f aca="false">W22+Z22</f>
        <v>3498300</v>
      </c>
      <c r="AD22" s="4"/>
    </row>
    <row r="23" customFormat="false" ht="20.15" hidden="false" customHeight="true" outlineLevel="0" collapsed="false">
      <c r="B23" s="18" t="s">
        <v>33</v>
      </c>
      <c r="C23" s="19" t="n">
        <v>0</v>
      </c>
      <c r="D23" s="20" t="n">
        <v>11700</v>
      </c>
      <c r="E23" s="20" t="n">
        <f aca="false">C23*D23</f>
        <v>0</v>
      </c>
      <c r="F23" s="21" t="n">
        <v>24</v>
      </c>
      <c r="G23" s="20" t="n">
        <v>78000</v>
      </c>
      <c r="H23" s="20" t="n">
        <f aca="false">F23*G23</f>
        <v>1872000</v>
      </c>
      <c r="I23" s="22" t="n">
        <f aca="false">E23+H23</f>
        <v>1872000</v>
      </c>
      <c r="J23" s="23" t="n">
        <v>189</v>
      </c>
      <c r="K23" s="24" t="n">
        <f aca="false">D23</f>
        <v>11700</v>
      </c>
      <c r="L23" s="25" t="n">
        <f aca="false">J23*K23</f>
        <v>2211300</v>
      </c>
      <c r="M23" s="26" t="n">
        <v>0</v>
      </c>
      <c r="N23" s="25" t="n">
        <v>96000</v>
      </c>
      <c r="O23" s="25" t="n">
        <f aca="false">M23*N23</f>
        <v>0</v>
      </c>
      <c r="P23" s="27" t="n">
        <f aca="false">L23+O23</f>
        <v>2211300</v>
      </c>
      <c r="Q23" s="28" t="n">
        <f aca="false">C23+J23</f>
        <v>189</v>
      </c>
      <c r="R23" s="29" t="n">
        <f aca="false">I23+P23</f>
        <v>4083300</v>
      </c>
      <c r="T23" s="18" t="s">
        <v>33</v>
      </c>
      <c r="U23" s="30" t="n">
        <v>0</v>
      </c>
      <c r="V23" s="31" t="n">
        <v>11700</v>
      </c>
      <c r="W23" s="31" t="n">
        <f aca="false">U23*V23</f>
        <v>0</v>
      </c>
      <c r="X23" s="37" t="n">
        <v>189</v>
      </c>
      <c r="Y23" s="33" t="n">
        <f aca="false">V23</f>
        <v>11700</v>
      </c>
      <c r="Z23" s="34" t="n">
        <f aca="false">X23*Y23</f>
        <v>2211300</v>
      </c>
      <c r="AA23" s="35" t="n">
        <f aca="false">U23+X23</f>
        <v>189</v>
      </c>
      <c r="AB23" s="36" t="n">
        <f aca="false">W23+Z23</f>
        <v>2211300</v>
      </c>
      <c r="AD23" s="4"/>
    </row>
    <row r="24" customFormat="false" ht="20.15" hidden="false" customHeight="true" outlineLevel="0" collapsed="false">
      <c r="B24" s="18" t="s">
        <v>34</v>
      </c>
      <c r="C24" s="19" t="n">
        <v>0</v>
      </c>
      <c r="D24" s="20" t="n">
        <v>11700</v>
      </c>
      <c r="E24" s="20" t="n">
        <f aca="false">C24*D24</f>
        <v>0</v>
      </c>
      <c r="F24" s="21" t="n">
        <v>24</v>
      </c>
      <c r="G24" s="20" t="n">
        <v>78000</v>
      </c>
      <c r="H24" s="20" t="n">
        <f aca="false">F24*G24</f>
        <v>1872000</v>
      </c>
      <c r="I24" s="22" t="n">
        <f aca="false">E24+H24</f>
        <v>1872000</v>
      </c>
      <c r="J24" s="23" t="n">
        <v>336</v>
      </c>
      <c r="K24" s="24" t="n">
        <f aca="false">D24</f>
        <v>11700</v>
      </c>
      <c r="L24" s="25" t="n">
        <f aca="false">J24*K24</f>
        <v>3931200</v>
      </c>
      <c r="M24" s="26" t="n">
        <v>0</v>
      </c>
      <c r="N24" s="25" t="n">
        <v>96000</v>
      </c>
      <c r="O24" s="25" t="n">
        <f aca="false">M24*N24</f>
        <v>0</v>
      </c>
      <c r="P24" s="27" t="n">
        <f aca="false">L24+O24</f>
        <v>3931200</v>
      </c>
      <c r="Q24" s="28" t="n">
        <f aca="false">C24+J24</f>
        <v>336</v>
      </c>
      <c r="R24" s="29" t="n">
        <f aca="false">I24+P24</f>
        <v>5803200</v>
      </c>
      <c r="T24" s="18" t="s">
        <v>34</v>
      </c>
      <c r="U24" s="30" t="n">
        <v>0</v>
      </c>
      <c r="V24" s="31" t="n">
        <v>11700</v>
      </c>
      <c r="W24" s="31" t="n">
        <f aca="false">U24*V24</f>
        <v>0</v>
      </c>
      <c r="X24" s="37" t="n">
        <v>368</v>
      </c>
      <c r="Y24" s="33" t="n">
        <f aca="false">V24</f>
        <v>11700</v>
      </c>
      <c r="Z24" s="34" t="n">
        <f aca="false">X24*Y24</f>
        <v>4305600</v>
      </c>
      <c r="AA24" s="35" t="n">
        <f aca="false">U24+X24</f>
        <v>368</v>
      </c>
      <c r="AB24" s="36" t="n">
        <f aca="false">W24+Z24</f>
        <v>4305600</v>
      </c>
      <c r="AD24" s="4"/>
    </row>
    <row r="25" customFormat="false" ht="20.15" hidden="false" customHeight="true" outlineLevel="0" collapsed="false">
      <c r="B25" s="18" t="s">
        <v>35</v>
      </c>
      <c r="C25" s="19" t="n">
        <v>0</v>
      </c>
      <c r="D25" s="20" t="n">
        <v>11700</v>
      </c>
      <c r="E25" s="20" t="n">
        <f aca="false">C25*D25</f>
        <v>0</v>
      </c>
      <c r="F25" s="21" t="n">
        <v>24</v>
      </c>
      <c r="G25" s="20" t="n">
        <v>78000</v>
      </c>
      <c r="H25" s="20" t="n">
        <f aca="false">F25*G25</f>
        <v>1872000</v>
      </c>
      <c r="I25" s="22" t="n">
        <f aca="false">E25+H25</f>
        <v>1872000</v>
      </c>
      <c r="J25" s="23" t="n">
        <v>182</v>
      </c>
      <c r="K25" s="24" t="n">
        <f aca="false">D25</f>
        <v>11700</v>
      </c>
      <c r="L25" s="25" t="n">
        <f aca="false">J25*K25</f>
        <v>2129400</v>
      </c>
      <c r="M25" s="26" t="n">
        <v>0</v>
      </c>
      <c r="N25" s="25" t="n">
        <v>96000</v>
      </c>
      <c r="O25" s="25" t="n">
        <f aca="false">M25*N25</f>
        <v>0</v>
      </c>
      <c r="P25" s="27" t="n">
        <f aca="false">L25+O25</f>
        <v>2129400</v>
      </c>
      <c r="Q25" s="28" t="n">
        <f aca="false">C25+J25</f>
        <v>182</v>
      </c>
      <c r="R25" s="29" t="n">
        <f aca="false">I25+P25</f>
        <v>4001400</v>
      </c>
      <c r="T25" s="18" t="s">
        <v>35</v>
      </c>
      <c r="U25" s="30" t="n">
        <v>0</v>
      </c>
      <c r="V25" s="31" t="n">
        <v>11700</v>
      </c>
      <c r="W25" s="31" t="n">
        <f aca="false">U25*V25</f>
        <v>0</v>
      </c>
      <c r="X25" s="37" t="n">
        <v>182</v>
      </c>
      <c r="Y25" s="33" t="n">
        <f aca="false">V25</f>
        <v>11700</v>
      </c>
      <c r="Z25" s="34" t="n">
        <f aca="false">X25*Y25</f>
        <v>2129400</v>
      </c>
      <c r="AA25" s="35" t="n">
        <f aca="false">U25+X25</f>
        <v>182</v>
      </c>
      <c r="AB25" s="36" t="n">
        <f aca="false">W25+Z25</f>
        <v>2129400</v>
      </c>
      <c r="AD25" s="4"/>
    </row>
    <row r="26" customFormat="false" ht="20.15" hidden="false" customHeight="true" outlineLevel="0" collapsed="false">
      <c r="B26" s="18" t="s">
        <v>36</v>
      </c>
      <c r="C26" s="19" t="n">
        <v>0</v>
      </c>
      <c r="D26" s="20" t="n">
        <v>11700</v>
      </c>
      <c r="E26" s="20" t="n">
        <f aca="false">C26*D26</f>
        <v>0</v>
      </c>
      <c r="F26" s="21" t="n">
        <v>24</v>
      </c>
      <c r="G26" s="20" t="n">
        <v>78000</v>
      </c>
      <c r="H26" s="20" t="n">
        <f aca="false">F26*G26</f>
        <v>1872000</v>
      </c>
      <c r="I26" s="22" t="n">
        <f aca="false">E26+H26</f>
        <v>1872000</v>
      </c>
      <c r="J26" s="38" t="n">
        <v>0</v>
      </c>
      <c r="K26" s="24" t="n">
        <f aca="false">D26</f>
        <v>11700</v>
      </c>
      <c r="L26" s="25" t="n">
        <f aca="false">J26*K26</f>
        <v>0</v>
      </c>
      <c r="M26" s="26" t="n">
        <v>0</v>
      </c>
      <c r="N26" s="25" t="n">
        <v>96000</v>
      </c>
      <c r="O26" s="25" t="n">
        <f aca="false">M26*N26</f>
        <v>0</v>
      </c>
      <c r="P26" s="27" t="n">
        <f aca="false">L26+O26</f>
        <v>0</v>
      </c>
      <c r="Q26" s="28" t="n">
        <f aca="false">C26+J26</f>
        <v>0</v>
      </c>
      <c r="R26" s="29" t="n">
        <f aca="false">I26+P26</f>
        <v>1872000</v>
      </c>
      <c r="T26" s="18" t="s">
        <v>36</v>
      </c>
      <c r="U26" s="30" t="n">
        <v>0</v>
      </c>
      <c r="V26" s="31" t="n">
        <v>11700</v>
      </c>
      <c r="W26" s="31" t="n">
        <f aca="false">U26*V26</f>
        <v>0</v>
      </c>
      <c r="X26" s="37" t="n">
        <v>0</v>
      </c>
      <c r="Y26" s="33" t="n">
        <f aca="false">V26</f>
        <v>11700</v>
      </c>
      <c r="Z26" s="34" t="n">
        <f aca="false">X26*Y26</f>
        <v>0</v>
      </c>
      <c r="AA26" s="35" t="n">
        <f aca="false">U26+X26</f>
        <v>0</v>
      </c>
      <c r="AB26" s="36" t="n">
        <f aca="false">W26+Z26</f>
        <v>0</v>
      </c>
      <c r="AD26" s="4"/>
    </row>
    <row r="27" customFormat="false" ht="20.15" hidden="false" customHeight="true" outlineLevel="0" collapsed="false">
      <c r="B27" s="18" t="s">
        <v>37</v>
      </c>
      <c r="C27" s="19" t="n">
        <v>0</v>
      </c>
      <c r="D27" s="20" t="n">
        <v>11700</v>
      </c>
      <c r="E27" s="20" t="n">
        <f aca="false">C27*D27</f>
        <v>0</v>
      </c>
      <c r="F27" s="21" t="n">
        <v>24</v>
      </c>
      <c r="G27" s="20" t="n">
        <v>78000</v>
      </c>
      <c r="H27" s="20" t="n">
        <f aca="false">F27*G27</f>
        <v>1872000</v>
      </c>
      <c r="I27" s="22" t="n">
        <f aca="false">E27+H27</f>
        <v>1872000</v>
      </c>
      <c r="J27" s="38" t="n">
        <v>0</v>
      </c>
      <c r="K27" s="24" t="n">
        <f aca="false">D27</f>
        <v>11700</v>
      </c>
      <c r="L27" s="25" t="n">
        <f aca="false">J27*K27</f>
        <v>0</v>
      </c>
      <c r="M27" s="26" t="n">
        <v>0</v>
      </c>
      <c r="N27" s="25" t="n">
        <v>96000</v>
      </c>
      <c r="O27" s="25" t="n">
        <f aca="false">M27*N27</f>
        <v>0</v>
      </c>
      <c r="P27" s="27" t="n">
        <f aca="false">L27+O27</f>
        <v>0</v>
      </c>
      <c r="Q27" s="28" t="n">
        <f aca="false">C27+J27</f>
        <v>0</v>
      </c>
      <c r="R27" s="29" t="n">
        <f aca="false">I27+P27</f>
        <v>1872000</v>
      </c>
      <c r="T27" s="18" t="s">
        <v>37</v>
      </c>
      <c r="U27" s="30" t="n">
        <v>0</v>
      </c>
      <c r="V27" s="31" t="n">
        <v>11700</v>
      </c>
      <c r="W27" s="31" t="n">
        <f aca="false">U27*V27</f>
        <v>0</v>
      </c>
      <c r="X27" s="37" t="n">
        <v>0</v>
      </c>
      <c r="Y27" s="33" t="n">
        <f aca="false">V27</f>
        <v>11700</v>
      </c>
      <c r="Z27" s="34" t="n">
        <f aca="false">X27*Y27</f>
        <v>0</v>
      </c>
      <c r="AA27" s="35" t="n">
        <f aca="false">U27+X27</f>
        <v>0</v>
      </c>
      <c r="AB27" s="36" t="n">
        <f aca="false">W27+Z27</f>
        <v>0</v>
      </c>
      <c r="AD27" s="4"/>
    </row>
    <row r="28" customFormat="false" ht="20.15" hidden="false" customHeight="true" outlineLevel="0" collapsed="false">
      <c r="B28" s="18" t="s">
        <v>38</v>
      </c>
      <c r="C28" s="19" t="n">
        <v>0</v>
      </c>
      <c r="D28" s="20" t="n">
        <v>11700</v>
      </c>
      <c r="E28" s="20" t="n">
        <f aca="false">C28*D28</f>
        <v>0</v>
      </c>
      <c r="F28" s="21" t="n">
        <v>24</v>
      </c>
      <c r="G28" s="20" t="n">
        <v>78000</v>
      </c>
      <c r="H28" s="20" t="n">
        <f aca="false">F28*G28</f>
        <v>1872000</v>
      </c>
      <c r="I28" s="22" t="n">
        <f aca="false">E28+H28</f>
        <v>1872000</v>
      </c>
      <c r="J28" s="38" t="n">
        <v>287</v>
      </c>
      <c r="K28" s="24" t="n">
        <f aca="false">D28</f>
        <v>11700</v>
      </c>
      <c r="L28" s="25" t="n">
        <f aca="false">J28*K28</f>
        <v>3357900</v>
      </c>
      <c r="M28" s="26" t="n">
        <v>0</v>
      </c>
      <c r="N28" s="25" t="n">
        <v>96000</v>
      </c>
      <c r="O28" s="25" t="n">
        <f aca="false">M28*N28</f>
        <v>0</v>
      </c>
      <c r="P28" s="27" t="n">
        <f aca="false">L28+O28</f>
        <v>3357900</v>
      </c>
      <c r="Q28" s="28" t="n">
        <f aca="false">C28+J28</f>
        <v>287</v>
      </c>
      <c r="R28" s="29" t="n">
        <f aca="false">I28+P28</f>
        <v>5229900</v>
      </c>
      <c r="T28" s="18" t="s">
        <v>38</v>
      </c>
      <c r="U28" s="30" t="n">
        <v>0</v>
      </c>
      <c r="V28" s="31" t="n">
        <v>11700</v>
      </c>
      <c r="W28" s="31" t="n">
        <f aca="false">U28*V28</f>
        <v>0</v>
      </c>
      <c r="X28" s="37" t="n">
        <v>287</v>
      </c>
      <c r="Y28" s="33" t="n">
        <f aca="false">V28</f>
        <v>11700</v>
      </c>
      <c r="Z28" s="34" t="n">
        <f aca="false">X28*Y28</f>
        <v>3357900</v>
      </c>
      <c r="AA28" s="35" t="n">
        <f aca="false">U28+X28</f>
        <v>287</v>
      </c>
      <c r="AB28" s="36" t="n">
        <f aca="false">W28+Z28</f>
        <v>3357900</v>
      </c>
      <c r="AD28" s="4"/>
    </row>
    <row r="29" customFormat="false" ht="20.15" hidden="false" customHeight="true" outlineLevel="0" collapsed="false">
      <c r="B29" s="18" t="s">
        <v>39</v>
      </c>
      <c r="C29" s="19" t="n">
        <v>0</v>
      </c>
      <c r="D29" s="20" t="n">
        <v>11700</v>
      </c>
      <c r="E29" s="20" t="n">
        <f aca="false">C29*D29</f>
        <v>0</v>
      </c>
      <c r="F29" s="21" t="n">
        <v>24</v>
      </c>
      <c r="G29" s="20" t="n">
        <v>78000</v>
      </c>
      <c r="H29" s="20" t="n">
        <f aca="false">F29*G29</f>
        <v>1872000</v>
      </c>
      <c r="I29" s="22" t="n">
        <f aca="false">E29+H29</f>
        <v>1872000</v>
      </c>
      <c r="J29" s="38" t="n">
        <v>337</v>
      </c>
      <c r="K29" s="24" t="n">
        <f aca="false">D29</f>
        <v>11700</v>
      </c>
      <c r="L29" s="25" t="n">
        <f aca="false">J29*K29</f>
        <v>3942900</v>
      </c>
      <c r="M29" s="26" t="n">
        <v>0</v>
      </c>
      <c r="N29" s="25" t="n">
        <v>96000</v>
      </c>
      <c r="O29" s="25" t="n">
        <f aca="false">M29*N29</f>
        <v>0</v>
      </c>
      <c r="P29" s="27" t="n">
        <f aca="false">L29+O29</f>
        <v>3942900</v>
      </c>
      <c r="Q29" s="28" t="n">
        <f aca="false">C29+J29</f>
        <v>337</v>
      </c>
      <c r="R29" s="29" t="n">
        <f aca="false">I29+P29</f>
        <v>5814900</v>
      </c>
      <c r="T29" s="18" t="s">
        <v>39</v>
      </c>
      <c r="U29" s="30" t="n">
        <v>0</v>
      </c>
      <c r="V29" s="31" t="n">
        <v>11700</v>
      </c>
      <c r="W29" s="31" t="n">
        <f aca="false">U29*V29</f>
        <v>0</v>
      </c>
      <c r="X29" s="37" t="n">
        <v>337</v>
      </c>
      <c r="Y29" s="33" t="n">
        <f aca="false">V29</f>
        <v>11700</v>
      </c>
      <c r="Z29" s="34" t="n">
        <f aca="false">X29*Y29</f>
        <v>3942900</v>
      </c>
      <c r="AA29" s="35" t="n">
        <f aca="false">U29+X29</f>
        <v>337</v>
      </c>
      <c r="AB29" s="36" t="n">
        <f aca="false">W29+Z29</f>
        <v>3942900</v>
      </c>
      <c r="AD29" s="4"/>
    </row>
    <row r="30" customFormat="false" ht="20.15" hidden="false" customHeight="true" outlineLevel="0" collapsed="false">
      <c r="B30" s="18" t="s">
        <v>40</v>
      </c>
      <c r="C30" s="19" t="n">
        <v>0</v>
      </c>
      <c r="D30" s="20" t="n">
        <v>11700</v>
      </c>
      <c r="E30" s="20" t="n">
        <f aca="false">C30*D30</f>
        <v>0</v>
      </c>
      <c r="F30" s="21" t="n">
        <v>24</v>
      </c>
      <c r="G30" s="20" t="n">
        <v>78000</v>
      </c>
      <c r="H30" s="20" t="n">
        <f aca="false">F30*G30</f>
        <v>1872000</v>
      </c>
      <c r="I30" s="22" t="n">
        <f aca="false">E30+H30</f>
        <v>1872000</v>
      </c>
      <c r="J30" s="38" t="n">
        <v>336</v>
      </c>
      <c r="K30" s="24" t="n">
        <f aca="false">D30</f>
        <v>11700</v>
      </c>
      <c r="L30" s="25" t="n">
        <f aca="false">J30*K30</f>
        <v>3931200</v>
      </c>
      <c r="M30" s="26" t="n">
        <v>0</v>
      </c>
      <c r="N30" s="25" t="n">
        <v>96000</v>
      </c>
      <c r="O30" s="25" t="n">
        <f aca="false">M30*N30</f>
        <v>0</v>
      </c>
      <c r="P30" s="27" t="n">
        <f aca="false">L30+O30</f>
        <v>3931200</v>
      </c>
      <c r="Q30" s="28" t="n">
        <f aca="false">C30+J30</f>
        <v>336</v>
      </c>
      <c r="R30" s="29" t="n">
        <f aca="false">I30+P30</f>
        <v>5803200</v>
      </c>
      <c r="T30" s="18" t="s">
        <v>40</v>
      </c>
      <c r="U30" s="30" t="n">
        <v>0</v>
      </c>
      <c r="V30" s="31" t="n">
        <v>11700</v>
      </c>
      <c r="W30" s="31" t="n">
        <f aca="false">U30*V30</f>
        <v>0</v>
      </c>
      <c r="X30" s="37" t="n">
        <v>346</v>
      </c>
      <c r="Y30" s="33" t="n">
        <f aca="false">V30</f>
        <v>11700</v>
      </c>
      <c r="Z30" s="34" t="n">
        <f aca="false">X30*Y30</f>
        <v>4048200</v>
      </c>
      <c r="AA30" s="35" t="n">
        <f aca="false">U30+X30</f>
        <v>346</v>
      </c>
      <c r="AB30" s="36" t="n">
        <f aca="false">W30+Z30</f>
        <v>4048200</v>
      </c>
      <c r="AD30" s="4"/>
    </row>
    <row r="31" customFormat="false" ht="20.15" hidden="false" customHeight="true" outlineLevel="0" collapsed="false">
      <c r="B31" s="18" t="s">
        <v>41</v>
      </c>
      <c r="C31" s="19" t="n">
        <v>0</v>
      </c>
      <c r="D31" s="20" t="n">
        <v>11700</v>
      </c>
      <c r="E31" s="20" t="n">
        <f aca="false">C31*D31</f>
        <v>0</v>
      </c>
      <c r="F31" s="21" t="n">
        <v>24</v>
      </c>
      <c r="G31" s="20" t="n">
        <v>78000</v>
      </c>
      <c r="H31" s="20" t="n">
        <f aca="false">F31*G31</f>
        <v>1872000</v>
      </c>
      <c r="I31" s="22" t="n">
        <f aca="false">E31+H31</f>
        <v>1872000</v>
      </c>
      <c r="J31" s="38" t="n">
        <v>336</v>
      </c>
      <c r="K31" s="24" t="n">
        <f aca="false">D31</f>
        <v>11700</v>
      </c>
      <c r="L31" s="25" t="n">
        <f aca="false">J31*K31</f>
        <v>3931200</v>
      </c>
      <c r="M31" s="26" t="n">
        <v>0</v>
      </c>
      <c r="N31" s="25" t="n">
        <v>96000</v>
      </c>
      <c r="O31" s="25" t="n">
        <f aca="false">M31*N31</f>
        <v>0</v>
      </c>
      <c r="P31" s="27" t="n">
        <f aca="false">L31+O31</f>
        <v>3931200</v>
      </c>
      <c r="Q31" s="28" t="n">
        <f aca="false">C31+J31</f>
        <v>336</v>
      </c>
      <c r="R31" s="29" t="n">
        <f aca="false">I31+P31</f>
        <v>5803200</v>
      </c>
      <c r="T31" s="18" t="s">
        <v>41</v>
      </c>
      <c r="U31" s="30" t="n">
        <v>0</v>
      </c>
      <c r="V31" s="31" t="n">
        <v>11700</v>
      </c>
      <c r="W31" s="31" t="n">
        <f aca="false">U31*V31</f>
        <v>0</v>
      </c>
      <c r="X31" s="37" t="n">
        <v>336</v>
      </c>
      <c r="Y31" s="33" t="n">
        <f aca="false">V31</f>
        <v>11700</v>
      </c>
      <c r="Z31" s="34" t="n">
        <f aca="false">X31*Y31</f>
        <v>3931200</v>
      </c>
      <c r="AA31" s="35" t="n">
        <f aca="false">U31+X31</f>
        <v>336</v>
      </c>
      <c r="AB31" s="36" t="n">
        <f aca="false">W31+Z31</f>
        <v>3931200</v>
      </c>
      <c r="AD31" s="4"/>
    </row>
    <row r="32" customFormat="false" ht="20.15" hidden="false" customHeight="true" outlineLevel="0" collapsed="false">
      <c r="B32" s="18" t="s">
        <v>42</v>
      </c>
      <c r="C32" s="19" t="n">
        <v>0</v>
      </c>
      <c r="D32" s="20" t="n">
        <v>11700</v>
      </c>
      <c r="E32" s="20" t="n">
        <f aca="false">C32*D32</f>
        <v>0</v>
      </c>
      <c r="F32" s="21" t="n">
        <v>24</v>
      </c>
      <c r="G32" s="20" t="n">
        <v>78000</v>
      </c>
      <c r="H32" s="20" t="n">
        <f aca="false">F32*G32</f>
        <v>1872000</v>
      </c>
      <c r="I32" s="22" t="n">
        <f aca="false">E32+H32</f>
        <v>1872000</v>
      </c>
      <c r="J32" s="38" t="n">
        <v>306</v>
      </c>
      <c r="K32" s="24" t="n">
        <f aca="false">D32</f>
        <v>11700</v>
      </c>
      <c r="L32" s="25" t="n">
        <f aca="false">J32*K32</f>
        <v>3580200</v>
      </c>
      <c r="M32" s="26" t="n">
        <v>0</v>
      </c>
      <c r="N32" s="25" t="n">
        <v>96000</v>
      </c>
      <c r="O32" s="25" t="n">
        <f aca="false">M32*N32</f>
        <v>0</v>
      </c>
      <c r="P32" s="27" t="n">
        <f aca="false">L32+O32</f>
        <v>3580200</v>
      </c>
      <c r="Q32" s="28" t="n">
        <f aca="false">C32+J32</f>
        <v>306</v>
      </c>
      <c r="R32" s="29" t="n">
        <f aca="false">I32+P32</f>
        <v>5452200</v>
      </c>
      <c r="T32" s="18" t="s">
        <v>42</v>
      </c>
      <c r="U32" s="30" t="n">
        <v>0</v>
      </c>
      <c r="V32" s="31" t="n">
        <v>11700</v>
      </c>
      <c r="W32" s="31" t="n">
        <f aca="false">U32*V32</f>
        <v>0</v>
      </c>
      <c r="X32" s="37" t="n">
        <v>306</v>
      </c>
      <c r="Y32" s="33" t="n">
        <f aca="false">V32</f>
        <v>11700</v>
      </c>
      <c r="Z32" s="34" t="n">
        <f aca="false">X32*Y32</f>
        <v>3580200</v>
      </c>
      <c r="AA32" s="35" t="n">
        <f aca="false">U32+X32</f>
        <v>306</v>
      </c>
      <c r="AB32" s="36" t="n">
        <f aca="false">W32+Z32</f>
        <v>3580200</v>
      </c>
      <c r="AD32" s="4"/>
    </row>
    <row r="33" customFormat="false" ht="20.15" hidden="false" customHeight="true" outlineLevel="0" collapsed="false">
      <c r="B33" s="18" t="s">
        <v>43</v>
      </c>
      <c r="C33" s="19" t="n">
        <v>0</v>
      </c>
      <c r="D33" s="20" t="n">
        <v>11700</v>
      </c>
      <c r="E33" s="20" t="n">
        <f aca="false">C33*D33</f>
        <v>0</v>
      </c>
      <c r="F33" s="21" t="n">
        <v>24</v>
      </c>
      <c r="G33" s="20" t="n">
        <v>78000</v>
      </c>
      <c r="H33" s="20" t="n">
        <f aca="false">F33*G33</f>
        <v>1872000</v>
      </c>
      <c r="I33" s="22" t="n">
        <f aca="false">E33+H33</f>
        <v>1872000</v>
      </c>
      <c r="J33" s="38" t="n">
        <v>295</v>
      </c>
      <c r="K33" s="24" t="n">
        <f aca="false">D33</f>
        <v>11700</v>
      </c>
      <c r="L33" s="25" t="n">
        <f aca="false">J33*K33</f>
        <v>3451500</v>
      </c>
      <c r="M33" s="26" t="n">
        <v>0</v>
      </c>
      <c r="N33" s="25" t="n">
        <v>96000</v>
      </c>
      <c r="O33" s="25" t="n">
        <f aca="false">M33*N33</f>
        <v>0</v>
      </c>
      <c r="P33" s="27" t="n">
        <f aca="false">L33+O33</f>
        <v>3451500</v>
      </c>
      <c r="Q33" s="28" t="n">
        <f aca="false">C33+J33</f>
        <v>295</v>
      </c>
      <c r="R33" s="29" t="n">
        <f aca="false">I33+P33</f>
        <v>5323500</v>
      </c>
      <c r="T33" s="18" t="s">
        <v>43</v>
      </c>
      <c r="U33" s="30" t="n">
        <v>0</v>
      </c>
      <c r="V33" s="31" t="n">
        <v>11700</v>
      </c>
      <c r="W33" s="31" t="n">
        <f aca="false">U33*V33</f>
        <v>0</v>
      </c>
      <c r="X33" s="37" t="n">
        <v>295</v>
      </c>
      <c r="Y33" s="33" t="n">
        <f aca="false">V33</f>
        <v>11700</v>
      </c>
      <c r="Z33" s="34" t="n">
        <f aca="false">X33*Y33</f>
        <v>3451500</v>
      </c>
      <c r="AA33" s="35" t="n">
        <f aca="false">U33+X33</f>
        <v>295</v>
      </c>
      <c r="AB33" s="36" t="n">
        <f aca="false">W33+Z33</f>
        <v>3451500</v>
      </c>
      <c r="AD33" s="4"/>
    </row>
    <row r="34" customFormat="false" ht="20.15" hidden="false" customHeight="true" outlineLevel="0" collapsed="false">
      <c r="B34" s="18" t="s">
        <v>44</v>
      </c>
      <c r="C34" s="19" t="n">
        <v>0</v>
      </c>
      <c r="D34" s="20" t="n">
        <v>11700</v>
      </c>
      <c r="E34" s="20" t="n">
        <f aca="false">C34*D34</f>
        <v>0</v>
      </c>
      <c r="F34" s="21" t="n">
        <v>24</v>
      </c>
      <c r="G34" s="20" t="n">
        <v>78000</v>
      </c>
      <c r="H34" s="20" t="n">
        <f aca="false">F34*G34</f>
        <v>1872000</v>
      </c>
      <c r="I34" s="22" t="n">
        <f aca="false">E34+H34</f>
        <v>1872000</v>
      </c>
      <c r="J34" s="38" t="n">
        <v>301</v>
      </c>
      <c r="K34" s="24" t="n">
        <f aca="false">D34</f>
        <v>11700</v>
      </c>
      <c r="L34" s="25" t="n">
        <f aca="false">J34*K34</f>
        <v>3521700</v>
      </c>
      <c r="M34" s="26" t="n">
        <v>0</v>
      </c>
      <c r="N34" s="25" t="n">
        <v>96000</v>
      </c>
      <c r="O34" s="25" t="n">
        <f aca="false">M34*N34</f>
        <v>0</v>
      </c>
      <c r="P34" s="27" t="n">
        <f aca="false">L34+O34</f>
        <v>3521700</v>
      </c>
      <c r="Q34" s="28" t="n">
        <f aca="false">C34+J34</f>
        <v>301</v>
      </c>
      <c r="R34" s="29" t="n">
        <f aca="false">I34+P34</f>
        <v>5393700</v>
      </c>
      <c r="T34" s="18" t="s">
        <v>44</v>
      </c>
      <c r="U34" s="30" t="n">
        <v>0</v>
      </c>
      <c r="V34" s="31" t="n">
        <v>11700</v>
      </c>
      <c r="W34" s="31" t="n">
        <f aca="false">U34*V34</f>
        <v>0</v>
      </c>
      <c r="X34" s="37" t="n">
        <v>301</v>
      </c>
      <c r="Y34" s="33" t="n">
        <f aca="false">V34</f>
        <v>11700</v>
      </c>
      <c r="Z34" s="34" t="n">
        <f aca="false">X34*Y34</f>
        <v>3521700</v>
      </c>
      <c r="AA34" s="35" t="n">
        <f aca="false">U34+X34</f>
        <v>301</v>
      </c>
      <c r="AB34" s="36" t="n">
        <f aca="false">W34+Z34</f>
        <v>3521700</v>
      </c>
      <c r="AD34" s="4"/>
    </row>
    <row r="35" customFormat="false" ht="20.15" hidden="false" customHeight="true" outlineLevel="0" collapsed="false">
      <c r="B35" s="18" t="s">
        <v>45</v>
      </c>
      <c r="C35" s="19" t="n">
        <v>0</v>
      </c>
      <c r="D35" s="20" t="n">
        <v>11700</v>
      </c>
      <c r="E35" s="20" t="n">
        <f aca="false">C35*D35</f>
        <v>0</v>
      </c>
      <c r="F35" s="21" t="n">
        <v>24</v>
      </c>
      <c r="G35" s="20" t="n">
        <v>78000</v>
      </c>
      <c r="H35" s="20" t="n">
        <f aca="false">F35*G35</f>
        <v>1872000</v>
      </c>
      <c r="I35" s="22" t="n">
        <f aca="false">E35+H35</f>
        <v>1872000</v>
      </c>
      <c r="J35" s="38" t="n">
        <v>124</v>
      </c>
      <c r="K35" s="24" t="n">
        <f aca="false">D35</f>
        <v>11700</v>
      </c>
      <c r="L35" s="25" t="n">
        <f aca="false">J35*K35</f>
        <v>1450800</v>
      </c>
      <c r="M35" s="26" t="n">
        <v>0</v>
      </c>
      <c r="N35" s="25" t="n">
        <v>96000</v>
      </c>
      <c r="O35" s="25" t="n">
        <f aca="false">M35*N35</f>
        <v>0</v>
      </c>
      <c r="P35" s="27" t="n">
        <f aca="false">L35+O35</f>
        <v>1450800</v>
      </c>
      <c r="Q35" s="28" t="n">
        <f aca="false">C35+J35</f>
        <v>124</v>
      </c>
      <c r="R35" s="29" t="n">
        <f aca="false">I35+P35</f>
        <v>3322800</v>
      </c>
      <c r="T35" s="18" t="s">
        <v>45</v>
      </c>
      <c r="U35" s="30" t="n">
        <v>0</v>
      </c>
      <c r="V35" s="31" t="n">
        <v>11700</v>
      </c>
      <c r="W35" s="31" t="n">
        <f aca="false">U35*V35</f>
        <v>0</v>
      </c>
      <c r="X35" s="37" t="n">
        <v>124</v>
      </c>
      <c r="Y35" s="33" t="n">
        <f aca="false">V35</f>
        <v>11700</v>
      </c>
      <c r="Z35" s="34" t="n">
        <f aca="false">X35*Y35</f>
        <v>1450800</v>
      </c>
      <c r="AA35" s="35" t="n">
        <f aca="false">U35+X35</f>
        <v>124</v>
      </c>
      <c r="AB35" s="36" t="n">
        <f aca="false">W35+Z35</f>
        <v>1450800</v>
      </c>
      <c r="AD35" s="4"/>
    </row>
    <row r="36" customFormat="false" ht="20.15" hidden="false" customHeight="true" outlineLevel="0" collapsed="false">
      <c r="B36" s="18" t="s">
        <v>46</v>
      </c>
      <c r="C36" s="19" t="n">
        <v>0</v>
      </c>
      <c r="D36" s="20" t="n">
        <v>11700</v>
      </c>
      <c r="E36" s="20" t="n">
        <f aca="false">C36*D36</f>
        <v>0</v>
      </c>
      <c r="F36" s="21" t="n">
        <v>24</v>
      </c>
      <c r="G36" s="20" t="n">
        <v>78000</v>
      </c>
      <c r="H36" s="20" t="n">
        <f aca="false">F36*G36</f>
        <v>1872000</v>
      </c>
      <c r="I36" s="22" t="n">
        <f aca="false">E36+H36</f>
        <v>1872000</v>
      </c>
      <c r="J36" s="38" t="n">
        <v>336</v>
      </c>
      <c r="K36" s="24" t="n">
        <f aca="false">D36</f>
        <v>11700</v>
      </c>
      <c r="L36" s="25" t="n">
        <f aca="false">J36*K36</f>
        <v>3931200</v>
      </c>
      <c r="M36" s="26" t="n">
        <v>0</v>
      </c>
      <c r="N36" s="25" t="n">
        <v>96000</v>
      </c>
      <c r="O36" s="25" t="n">
        <f aca="false">M36*N36</f>
        <v>0</v>
      </c>
      <c r="P36" s="27" t="n">
        <f aca="false">L36+O36</f>
        <v>3931200</v>
      </c>
      <c r="Q36" s="28" t="n">
        <f aca="false">C36+J36</f>
        <v>336</v>
      </c>
      <c r="R36" s="29" t="n">
        <f aca="false">I36+P36</f>
        <v>5803200</v>
      </c>
      <c r="T36" s="18" t="s">
        <v>46</v>
      </c>
      <c r="U36" s="30" t="n">
        <v>0</v>
      </c>
      <c r="V36" s="31" t="n">
        <v>11700</v>
      </c>
      <c r="W36" s="31" t="n">
        <f aca="false">U36*V36</f>
        <v>0</v>
      </c>
      <c r="X36" s="37" t="n">
        <v>347</v>
      </c>
      <c r="Y36" s="33" t="n">
        <f aca="false">V36</f>
        <v>11700</v>
      </c>
      <c r="Z36" s="34" t="n">
        <f aca="false">X36*Y36</f>
        <v>4059900</v>
      </c>
      <c r="AA36" s="35" t="n">
        <f aca="false">U36+X36</f>
        <v>347</v>
      </c>
      <c r="AB36" s="36" t="n">
        <f aca="false">W36+Z36</f>
        <v>4059900</v>
      </c>
      <c r="AD36" s="4"/>
    </row>
    <row r="37" customFormat="false" ht="20.15" hidden="false" customHeight="true" outlineLevel="0" collapsed="false">
      <c r="B37" s="18" t="s">
        <v>47</v>
      </c>
      <c r="C37" s="19" t="n">
        <v>0</v>
      </c>
      <c r="D37" s="20" t="n">
        <v>11700</v>
      </c>
      <c r="E37" s="20" t="n">
        <f aca="false">C37*D37</f>
        <v>0</v>
      </c>
      <c r="F37" s="21" t="n">
        <v>24</v>
      </c>
      <c r="G37" s="20" t="n">
        <v>78000</v>
      </c>
      <c r="H37" s="20" t="n">
        <f aca="false">F37*G37</f>
        <v>1872000</v>
      </c>
      <c r="I37" s="22" t="n">
        <f aca="false">E37+H37</f>
        <v>1872000</v>
      </c>
      <c r="J37" s="38" t="n">
        <v>336</v>
      </c>
      <c r="K37" s="24" t="n">
        <f aca="false">D37</f>
        <v>11700</v>
      </c>
      <c r="L37" s="25" t="n">
        <f aca="false">J37*K37</f>
        <v>3931200</v>
      </c>
      <c r="M37" s="26" t="n">
        <v>0</v>
      </c>
      <c r="N37" s="25" t="n">
        <v>96000</v>
      </c>
      <c r="O37" s="25" t="n">
        <f aca="false">M37*N37</f>
        <v>0</v>
      </c>
      <c r="P37" s="27" t="n">
        <f aca="false">L37+O37</f>
        <v>3931200</v>
      </c>
      <c r="Q37" s="28" t="n">
        <f aca="false">C37+J37</f>
        <v>336</v>
      </c>
      <c r="R37" s="29" t="n">
        <f aca="false">I37+P37</f>
        <v>5803200</v>
      </c>
      <c r="T37" s="18" t="s">
        <v>47</v>
      </c>
      <c r="U37" s="30" t="n">
        <v>0</v>
      </c>
      <c r="V37" s="31" t="n">
        <v>11700</v>
      </c>
      <c r="W37" s="31" t="n">
        <f aca="false">U37*V37</f>
        <v>0</v>
      </c>
      <c r="X37" s="37" t="n">
        <v>351</v>
      </c>
      <c r="Y37" s="33" t="n">
        <f aca="false">V37</f>
        <v>11700</v>
      </c>
      <c r="Z37" s="34" t="n">
        <f aca="false">X37*Y37</f>
        <v>4106700</v>
      </c>
      <c r="AA37" s="35" t="n">
        <f aca="false">U37+X37</f>
        <v>351</v>
      </c>
      <c r="AB37" s="36" t="n">
        <f aca="false">W37+Z37</f>
        <v>4106700</v>
      </c>
      <c r="AD37" s="4"/>
    </row>
    <row r="38" customFormat="false" ht="20.15" hidden="false" customHeight="true" outlineLevel="0" collapsed="false">
      <c r="B38" s="39" t="s">
        <v>48</v>
      </c>
      <c r="C38" s="40" t="n">
        <f aca="false">SUM(C7:C37)</f>
        <v>0</v>
      </c>
      <c r="D38" s="40"/>
      <c r="E38" s="40" t="n">
        <f aca="false">SUM(E7:E37)</f>
        <v>0</v>
      </c>
      <c r="F38" s="41" t="n">
        <f aca="false">SUM(F7:F37)</f>
        <v>744</v>
      </c>
      <c r="G38" s="40"/>
      <c r="H38" s="40" t="n">
        <f aca="false">SUM(H7:H37)</f>
        <v>58032000</v>
      </c>
      <c r="I38" s="40" t="n">
        <f aca="false">E38+H38</f>
        <v>58032000</v>
      </c>
      <c r="J38" s="40" t="n">
        <f aca="false">SUM(J7:J37)</f>
        <v>4764</v>
      </c>
      <c r="K38" s="40"/>
      <c r="L38" s="40" t="n">
        <f aca="false">SUM(L7:L37)</f>
        <v>55738800</v>
      </c>
      <c r="M38" s="41" t="n">
        <f aca="false">SUM(M7:M37)</f>
        <v>305</v>
      </c>
      <c r="N38" s="40"/>
      <c r="O38" s="40" t="n">
        <f aca="false">SUM(O7:O37)</f>
        <v>29280000</v>
      </c>
      <c r="P38" s="40" t="n">
        <f aca="false">SUM(P7:P37)</f>
        <v>85018800</v>
      </c>
      <c r="Q38" s="40" t="n">
        <f aca="false">SUM(Q7:Q37)</f>
        <v>4764</v>
      </c>
      <c r="R38" s="42" t="n">
        <f aca="false">SUM(R7:R37)</f>
        <v>143050800</v>
      </c>
      <c r="T38" s="39" t="s">
        <v>48</v>
      </c>
      <c r="U38" s="40" t="n">
        <f aca="false">SUM(U7:U37)</f>
        <v>0</v>
      </c>
      <c r="V38" s="40"/>
      <c r="W38" s="40" t="n">
        <f aca="false">SUM(W7:W37)</f>
        <v>0</v>
      </c>
      <c r="X38" s="40" t="n">
        <f aca="false">SUM(X7:X37)</f>
        <v>4871</v>
      </c>
      <c r="Y38" s="40"/>
      <c r="Z38" s="42" t="n">
        <f aca="false">SUM(Z7:Z37)</f>
        <v>56990700</v>
      </c>
      <c r="AA38" s="40" t="n">
        <f aca="false">SUM(AA7:AA37)</f>
        <v>4871</v>
      </c>
      <c r="AB38" s="42" t="n">
        <f aca="false">SUM(AB7:AB37)</f>
        <v>56990700</v>
      </c>
    </row>
    <row r="39" customFormat="false" ht="20.15" hidden="false" customHeight="true" outlineLevel="0" collapsed="false">
      <c r="B39" s="43" t="s">
        <v>49</v>
      </c>
      <c r="C39" s="44" t="n">
        <f aca="false">AVERAGE(C7:C37)</f>
        <v>0</v>
      </c>
      <c r="D39" s="44"/>
      <c r="E39" s="44" t="n">
        <f aca="false">AVERAGE(E7:E37)</f>
        <v>0</v>
      </c>
      <c r="F39" s="44" t="n">
        <f aca="false">AVERAGE(F7:F37)</f>
        <v>24</v>
      </c>
      <c r="G39" s="44"/>
      <c r="H39" s="44" t="n">
        <f aca="false">AVERAGE(H7:H37)</f>
        <v>1872000</v>
      </c>
      <c r="I39" s="44" t="n">
        <f aca="false">E39+H39</f>
        <v>1872000</v>
      </c>
      <c r="J39" s="44" t="n">
        <f aca="false">AVERAGE(J7:J37)</f>
        <v>153.677419354839</v>
      </c>
      <c r="K39" s="44"/>
      <c r="L39" s="44" t="n">
        <f aca="false">AVERAGE(L7:L37)</f>
        <v>1798025.80645161</v>
      </c>
      <c r="M39" s="44" t="n">
        <f aca="false">AVERAGE(M7:M37)</f>
        <v>9.83870967741935</v>
      </c>
      <c r="N39" s="44"/>
      <c r="O39" s="44" t="n">
        <f aca="false">AVERAGE(O7:O37)</f>
        <v>944516.129032258</v>
      </c>
      <c r="P39" s="44" t="n">
        <f aca="false">AVERAGE(P7:P37)</f>
        <v>2742541.93548387</v>
      </c>
      <c r="Q39" s="44" t="n">
        <f aca="false">AVERAGE(Q7:Q37)</f>
        <v>153.677419354839</v>
      </c>
      <c r="R39" s="45" t="n">
        <f aca="false">AVERAGE(R7:R37)</f>
        <v>4614541.93548387</v>
      </c>
      <c r="T39" s="43" t="s">
        <v>49</v>
      </c>
      <c r="U39" s="44" t="n">
        <f aca="false">AVERAGE(U7:U37)</f>
        <v>0</v>
      </c>
      <c r="V39" s="44"/>
      <c r="W39" s="44" t="n">
        <f aca="false">AVERAGE(W7:W37)</f>
        <v>0</v>
      </c>
      <c r="X39" s="44" t="n">
        <f aca="false">AVERAGE(X7:X37)</f>
        <v>157.129032258065</v>
      </c>
      <c r="Y39" s="44"/>
      <c r="Z39" s="45" t="n">
        <f aca="false">AVERAGE(Z7:Z37)</f>
        <v>1838409.67741936</v>
      </c>
      <c r="AA39" s="44" t="n">
        <f aca="false">AVERAGE(AA7:AA37)</f>
        <v>157.129032258065</v>
      </c>
      <c r="AB39" s="45" t="n">
        <f aca="false">AVERAGE(AB7:AB37)</f>
        <v>1838409.67741936</v>
      </c>
    </row>
    <row r="40" customFormat="false" ht="20.15" hidden="false" customHeight="true" outlineLevel="0" collapsed="false">
      <c r="B40" s="46"/>
      <c r="C40" s="46"/>
      <c r="D40" s="46"/>
      <c r="E40" s="46"/>
      <c r="F40" s="46"/>
      <c r="G40" s="46"/>
      <c r="H40" s="46"/>
      <c r="I40" s="46"/>
      <c r="J40" s="46"/>
      <c r="K40" s="46"/>
      <c r="U40" s="4"/>
    </row>
    <row r="41" customFormat="false" ht="20.15" hidden="false" customHeight="true" outlineLevel="0" collapsed="false"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7" t="s">
        <v>50</v>
      </c>
      <c r="N41" s="48"/>
      <c r="V41" s="4"/>
      <c r="Z41" s="47" t="s">
        <v>51</v>
      </c>
    </row>
    <row r="42" customFormat="false" ht="31.5" hidden="false" customHeight="true" outlineLevel="0" collapsed="false">
      <c r="B42" s="49"/>
      <c r="C42" s="49"/>
      <c r="D42" s="49"/>
      <c r="E42" s="49"/>
      <c r="F42" s="49"/>
      <c r="G42" s="49"/>
      <c r="H42" s="39" t="s">
        <v>52</v>
      </c>
      <c r="I42" s="40" t="s">
        <v>53</v>
      </c>
      <c r="J42" s="40" t="s">
        <v>54</v>
      </c>
      <c r="K42" s="40" t="s">
        <v>55</v>
      </c>
      <c r="L42" s="42" t="s">
        <v>56</v>
      </c>
      <c r="O42" s="50"/>
      <c r="W42" s="51" t="s">
        <v>52</v>
      </c>
      <c r="X42" s="52" t="s">
        <v>57</v>
      </c>
      <c r="Y42" s="52" t="s">
        <v>58</v>
      </c>
      <c r="Z42" s="53" t="s">
        <v>59</v>
      </c>
    </row>
    <row r="43" customFormat="false" ht="43.5" hidden="false" customHeight="true" outlineLevel="0" collapsed="false">
      <c r="B43" s="49"/>
      <c r="C43" s="49"/>
      <c r="D43" s="49"/>
      <c r="E43" s="49"/>
      <c r="F43" s="49"/>
      <c r="G43" s="49"/>
      <c r="H43" s="43" t="s">
        <v>60</v>
      </c>
      <c r="I43" s="44" t="n">
        <f aca="false">Q38</f>
        <v>4764</v>
      </c>
      <c r="J43" s="44" t="n">
        <v>96380000</v>
      </c>
      <c r="K43" s="44" t="n">
        <f aca="false">L43-J43</f>
        <v>46670800</v>
      </c>
      <c r="L43" s="45" t="n">
        <f aca="false">R38</f>
        <v>143050800</v>
      </c>
      <c r="M43" s="4"/>
      <c r="N43" s="4"/>
      <c r="O43" s="50"/>
      <c r="P43" s="4"/>
      <c r="Q43" s="50"/>
      <c r="W43" s="54" t="s">
        <v>61</v>
      </c>
      <c r="X43" s="55" t="n">
        <f aca="false">I43</f>
        <v>4764</v>
      </c>
      <c r="Y43" s="55" t="n">
        <f aca="false">AA38</f>
        <v>4871</v>
      </c>
      <c r="Z43" s="56" t="n">
        <f aca="false">X43-Y43</f>
        <v>-107</v>
      </c>
    </row>
    <row r="44" customFormat="false" ht="42.5" hidden="false" customHeight="true" outlineLevel="0" collapsed="false">
      <c r="B44" s="50"/>
      <c r="C44" s="50"/>
      <c r="D44" s="50"/>
      <c r="E44" s="49"/>
      <c r="F44" s="49"/>
      <c r="G44" s="50"/>
      <c r="H44" s="50"/>
      <c r="I44" s="50"/>
      <c r="J44" s="50"/>
      <c r="K44" s="50"/>
      <c r="L44" s="57"/>
      <c r="M44" s="4"/>
      <c r="N44" s="4"/>
      <c r="O44" s="50"/>
      <c r="W44" s="58" t="s">
        <v>62</v>
      </c>
      <c r="X44" s="59" t="n">
        <f aca="false">E38+L38</f>
        <v>55738800</v>
      </c>
      <c r="Y44" s="59" t="n">
        <f aca="false">AB38</f>
        <v>56990700</v>
      </c>
      <c r="Z44" s="60" t="n">
        <f aca="false">X44-Y44</f>
        <v>-1251900</v>
      </c>
    </row>
    <row r="45" customFormat="false" ht="20.15" hidden="false" customHeight="true" outlineLevel="0" collapsed="false">
      <c r="B45" s="50"/>
      <c r="C45" s="50"/>
      <c r="D45" s="50"/>
      <c r="E45" s="50"/>
      <c r="F45" s="50"/>
      <c r="G45" s="50"/>
      <c r="H45" s="50"/>
      <c r="I45" s="50"/>
      <c r="J45" s="50"/>
      <c r="K45" s="50"/>
      <c r="Y45" s="61" t="s">
        <v>63</v>
      </c>
      <c r="Z45" s="61" t="n">
        <f aca="false">L43-Z44</f>
        <v>144302700</v>
      </c>
    </row>
    <row r="46" customFormat="false" ht="20.15" hidden="false" customHeight="true" outlineLevel="0" collapsed="false">
      <c r="B46" s="50"/>
      <c r="C46" s="50"/>
      <c r="D46" s="50"/>
      <c r="E46" s="50"/>
      <c r="F46" s="50"/>
      <c r="G46" s="50"/>
      <c r="H46" s="50"/>
      <c r="I46" s="50"/>
      <c r="J46" s="50"/>
      <c r="K46" s="50"/>
      <c r="M46" s="62"/>
      <c r="O46" s="57"/>
    </row>
    <row r="47" customFormat="false" ht="20.15" hidden="false" customHeight="true" outlineLevel="0" collapsed="false">
      <c r="B47" s="50"/>
      <c r="C47" s="50"/>
      <c r="D47" s="50"/>
      <c r="E47" s="50"/>
      <c r="F47" s="50"/>
      <c r="G47" s="50"/>
      <c r="H47" s="50"/>
      <c r="I47" s="50"/>
      <c r="J47" s="50"/>
      <c r="K47" s="50"/>
    </row>
    <row r="48" customFormat="false" ht="20.15" hidden="false" customHeight="true" outlineLevel="0" collapsed="false">
      <c r="B48" s="50"/>
      <c r="C48" s="50"/>
      <c r="D48" s="50"/>
      <c r="E48" s="50"/>
      <c r="F48" s="50"/>
      <c r="G48" s="50"/>
      <c r="H48" s="50"/>
      <c r="I48" s="50"/>
      <c r="J48" s="50"/>
      <c r="K48" s="50"/>
    </row>
    <row r="49" customFormat="false" ht="20.15" hidden="false" customHeight="true" outlineLevel="0" collapsed="false"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20.15" hidden="false" customHeight="true" outlineLevel="0" collapsed="false">
      <c r="B50" s="50"/>
      <c r="C50" s="50"/>
      <c r="D50" s="50"/>
      <c r="E50" s="50"/>
      <c r="F50" s="50"/>
      <c r="G50" s="50"/>
      <c r="H50" s="50"/>
      <c r="I50" s="50"/>
      <c r="J50" s="50"/>
      <c r="K50" s="50"/>
    </row>
    <row r="51" customFormat="false" ht="20.15" hidden="false" customHeight="true" outlineLevel="0" collapsed="false">
      <c r="B51" s="50"/>
      <c r="C51" s="50"/>
      <c r="D51" s="50"/>
      <c r="E51" s="50"/>
      <c r="F51" s="50"/>
      <c r="G51" s="50"/>
      <c r="H51" s="50"/>
      <c r="I51" s="50"/>
      <c r="J51" s="50"/>
      <c r="K51" s="50"/>
    </row>
    <row r="52" customFormat="false" ht="20.15" hidden="false" customHeight="true" outlineLevel="0" collapsed="false">
      <c r="B52" s="50"/>
      <c r="C52" s="50"/>
      <c r="D52" s="50"/>
      <c r="E52" s="50"/>
      <c r="F52" s="50"/>
      <c r="G52" s="50"/>
      <c r="H52" s="50"/>
      <c r="I52" s="50"/>
      <c r="J52" s="50"/>
      <c r="K52" s="50"/>
    </row>
    <row r="53" customFormat="false" ht="20.15" hidden="false" customHeight="true" outlineLevel="0" collapsed="false">
      <c r="B53" s="50"/>
      <c r="C53" s="50"/>
      <c r="D53" s="50"/>
      <c r="E53" s="50"/>
      <c r="F53" s="50"/>
      <c r="G53" s="50"/>
      <c r="H53" s="50"/>
      <c r="I53" s="50"/>
      <c r="J53" s="50"/>
      <c r="K53" s="50"/>
    </row>
    <row r="54" customFormat="false" ht="20.15" hidden="false" customHeight="true" outlineLevel="0" collapsed="false">
      <c r="B54" s="50"/>
      <c r="C54" s="50"/>
      <c r="D54" s="50"/>
      <c r="E54" s="50"/>
      <c r="F54" s="50"/>
      <c r="G54" s="50"/>
      <c r="H54" s="50"/>
      <c r="I54" s="50"/>
      <c r="J54" s="50"/>
      <c r="K54" s="50"/>
    </row>
    <row r="55" customFormat="false" ht="20.15" hidden="false" customHeight="true" outlineLevel="0" collapsed="false">
      <c r="B55" s="50"/>
      <c r="C55" s="50"/>
      <c r="D55" s="50"/>
      <c r="E55" s="50"/>
      <c r="F55" s="50"/>
      <c r="G55" s="50"/>
      <c r="H55" s="50"/>
      <c r="I55" s="50"/>
      <c r="J55" s="50"/>
      <c r="K55" s="50"/>
    </row>
    <row r="56" customFormat="false" ht="20.15" hidden="false" customHeight="true" outlineLevel="0" collapsed="false"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20.15" hidden="false" customHeight="true" outlineLevel="0" collapsed="false">
      <c r="B57" s="50"/>
      <c r="C57" s="50"/>
      <c r="D57" s="50"/>
      <c r="E57" s="50"/>
      <c r="F57" s="50"/>
      <c r="G57" s="50"/>
      <c r="H57" s="50"/>
      <c r="I57" s="50"/>
      <c r="J57" s="50"/>
      <c r="K57" s="50"/>
    </row>
    <row r="58" customFormat="false" ht="20.15" hidden="false" customHeight="true" outlineLevel="0" collapsed="false">
      <c r="B58" s="50"/>
      <c r="C58" s="50"/>
      <c r="D58" s="50"/>
      <c r="E58" s="50"/>
      <c r="F58" s="50"/>
      <c r="G58" s="50"/>
      <c r="H58" s="50"/>
      <c r="I58" s="50"/>
      <c r="J58" s="50"/>
      <c r="K58" s="50"/>
    </row>
    <row r="59" customFormat="false" ht="20.15" hidden="false" customHeight="true" outlineLevel="0" collapsed="false">
      <c r="B59" s="50"/>
      <c r="C59" s="50"/>
      <c r="D59" s="50"/>
      <c r="E59" s="50"/>
      <c r="F59" s="50"/>
      <c r="G59" s="50"/>
      <c r="H59" s="50"/>
      <c r="I59" s="50"/>
      <c r="J59" s="50"/>
      <c r="K59" s="50"/>
    </row>
    <row r="60" customFormat="false" ht="20.15" hidden="false" customHeight="true" outlineLevel="0" collapsed="false">
      <c r="B60" s="50"/>
      <c r="C60" s="50"/>
      <c r="D60" s="50"/>
      <c r="E60" s="50"/>
      <c r="F60" s="50"/>
      <c r="G60" s="50"/>
      <c r="H60" s="50"/>
      <c r="I60" s="50"/>
      <c r="J60" s="50"/>
      <c r="K60" s="50"/>
    </row>
    <row r="61" customFormat="false" ht="20.15" hidden="false" customHeight="true" outlineLevel="0" collapsed="false">
      <c r="B61" s="50"/>
      <c r="C61" s="50"/>
      <c r="D61" s="50"/>
      <c r="E61" s="50"/>
      <c r="F61" s="50"/>
      <c r="G61" s="50"/>
      <c r="H61" s="50"/>
      <c r="I61" s="50"/>
      <c r="J61" s="50"/>
      <c r="K61" s="50"/>
    </row>
    <row r="62" customFormat="false" ht="20.15" hidden="false" customHeight="true" outlineLevel="0" collapsed="false">
      <c r="B62" s="50"/>
      <c r="C62" s="50"/>
      <c r="D62" s="50"/>
      <c r="E62" s="50"/>
      <c r="F62" s="50"/>
      <c r="G62" s="50"/>
      <c r="H62" s="50"/>
      <c r="I62" s="50"/>
      <c r="J62" s="50"/>
      <c r="K62" s="50"/>
    </row>
    <row r="63" customFormat="false" ht="20.15" hidden="false" customHeight="true" outlineLevel="0" collapsed="false">
      <c r="B63" s="50"/>
      <c r="C63" s="50"/>
      <c r="D63" s="50"/>
      <c r="E63" s="50"/>
      <c r="F63" s="50"/>
      <c r="G63" s="50"/>
      <c r="H63" s="50"/>
      <c r="I63" s="50"/>
      <c r="J63" s="50"/>
      <c r="K63" s="50"/>
    </row>
    <row r="64" customFormat="false" ht="20.15" hidden="false" customHeight="true" outlineLevel="0" collapsed="false">
      <c r="B64" s="50"/>
      <c r="C64" s="50"/>
      <c r="D64" s="50"/>
      <c r="E64" s="50"/>
      <c r="F64" s="50"/>
      <c r="G64" s="50"/>
      <c r="H64" s="50"/>
      <c r="I64" s="50"/>
      <c r="J64" s="50"/>
      <c r="K64" s="50"/>
    </row>
    <row r="65" customFormat="false" ht="20.15" hidden="false" customHeight="true" outlineLevel="0" collapsed="false">
      <c r="B65" s="50"/>
      <c r="C65" s="50"/>
      <c r="D65" s="50"/>
      <c r="E65" s="50"/>
      <c r="F65" s="50"/>
      <c r="G65" s="50"/>
      <c r="H65" s="50"/>
      <c r="I65" s="50"/>
      <c r="J65" s="50"/>
      <c r="K65" s="50"/>
    </row>
    <row r="66" customFormat="false" ht="20.15" hidden="false" customHeight="true" outlineLevel="0" collapsed="false">
      <c r="B66" s="50"/>
      <c r="C66" s="50"/>
      <c r="D66" s="50"/>
      <c r="E66" s="50"/>
      <c r="F66" s="50"/>
      <c r="G66" s="50"/>
      <c r="H66" s="50"/>
      <c r="I66" s="50"/>
      <c r="J66" s="50"/>
      <c r="K66" s="50"/>
    </row>
    <row r="67" customFormat="false" ht="20.15" hidden="false" customHeight="true" outlineLevel="0" collapsed="false">
      <c r="B67" s="50"/>
      <c r="C67" s="50"/>
      <c r="D67" s="50"/>
      <c r="E67" s="50"/>
      <c r="F67" s="50"/>
      <c r="G67" s="50"/>
      <c r="H67" s="50"/>
      <c r="I67" s="50"/>
      <c r="J67" s="50"/>
      <c r="K67" s="50"/>
    </row>
    <row r="68" customFormat="false" ht="20.15" hidden="false" customHeight="true" outlineLevel="0" collapsed="false"/>
    <row r="69" customFormat="false" ht="20.15" hidden="false" customHeight="true" outlineLevel="0" collapsed="false"/>
    <row r="70" customFormat="false" ht="20.15" hidden="false" customHeight="true" outlineLevel="0" collapsed="false"/>
    <row r="71" customFormat="false" ht="20.15" hidden="false" customHeight="true" outlineLevel="0" collapsed="false"/>
    <row r="72" customFormat="false" ht="20.15" hidden="false" customHeight="true" outlineLevel="0" collapsed="false"/>
    <row r="73" customFormat="false" ht="20.15" hidden="false" customHeight="true" outlineLevel="0" collapsed="false"/>
    <row r="74" customFormat="false" ht="20.15" hidden="false" customHeight="true" outlineLevel="0" collapsed="false"/>
    <row r="75" customFormat="false" ht="20.15" hidden="false" customHeight="true" outlineLevel="0" collapsed="false"/>
    <row r="76" customFormat="false" ht="20.15" hidden="false" customHeight="true" outlineLevel="0" collapsed="false"/>
    <row r="77" customFormat="false" ht="20.15" hidden="false" customHeight="true" outlineLevel="0" collapsed="false"/>
    <row r="78" customFormat="false" ht="20.15" hidden="false" customHeight="true" outlineLevel="0" collapsed="false"/>
    <row r="79" customFormat="false" ht="20.15" hidden="false" customHeight="true" outlineLevel="0" collapsed="false"/>
    <row r="80" customFormat="false" ht="20.15" hidden="false" customHeight="true" outlineLevel="0" collapsed="false"/>
    <row r="81" customFormat="false" ht="20.15" hidden="false" customHeight="true" outlineLevel="0" collapsed="false"/>
    <row r="82" customFormat="false" ht="20.15" hidden="false" customHeight="true" outlineLevel="0" collapsed="false"/>
    <row r="83" customFormat="false" ht="20.15" hidden="false" customHeight="true" outlineLevel="0" collapsed="false"/>
    <row r="84" customFormat="false" ht="20.15" hidden="false" customHeight="true" outlineLevel="0" collapsed="false"/>
    <row r="85" customFormat="false" ht="20.15" hidden="false" customHeight="true" outlineLevel="0" collapsed="false"/>
    <row r="86" customFormat="false" ht="20.15" hidden="false" customHeight="true" outlineLevel="0" collapsed="false"/>
    <row r="87" customFormat="false" ht="20.15" hidden="false" customHeight="true" outlineLevel="0" collapsed="false"/>
    <row r="88" customFormat="false" ht="20.15" hidden="false" customHeight="true" outlineLevel="0" collapsed="false"/>
    <row r="89" customFormat="false" ht="20.15" hidden="false" customHeight="true" outlineLevel="0" collapsed="false"/>
    <row r="90" customFormat="false" ht="20.15" hidden="false" customHeight="true" outlineLevel="0" collapsed="false"/>
    <row r="91" customFormat="false" ht="20.15" hidden="false" customHeight="true" outlineLevel="0" collapsed="false"/>
    <row r="92" customFormat="false" ht="20.15" hidden="false" customHeight="true" outlineLevel="0" collapsed="false"/>
    <row r="93" customFormat="false" ht="20.15" hidden="false" customHeight="true" outlineLevel="0" collapsed="false"/>
    <row r="94" customFormat="false" ht="20.15" hidden="false" customHeight="true" outlineLevel="0" collapsed="false"/>
    <row r="95" customFormat="false" ht="20.15" hidden="false" customHeight="true" outlineLevel="0" collapsed="false"/>
    <row r="96" customFormat="false" ht="20.15" hidden="false" customHeight="true" outlineLevel="0" collapsed="false"/>
    <row r="97" customFormat="false" ht="20.15" hidden="false" customHeight="true" outlineLevel="0" collapsed="false"/>
    <row r="98" customFormat="false" ht="20.15" hidden="false" customHeight="true" outlineLevel="0" collapsed="false"/>
    <row r="99" customFormat="false" ht="20.15" hidden="false" customHeight="true" outlineLevel="0" collapsed="false"/>
    <row r="100" customFormat="false" ht="20.15" hidden="false" customHeight="true" outlineLevel="0" collapsed="false"/>
    <row r="101" customFormat="false" ht="20.15" hidden="false" customHeight="true" outlineLevel="0" collapsed="false"/>
    <row r="102" customFormat="false" ht="20.15" hidden="false" customHeight="true" outlineLevel="0" collapsed="false"/>
    <row r="103" customFormat="false" ht="20.15" hidden="false" customHeight="true" outlineLevel="0" collapsed="false"/>
    <row r="104" customFormat="false" ht="20.15" hidden="false" customHeight="true" outlineLevel="0" collapsed="false"/>
    <row r="105" customFormat="false" ht="20.15" hidden="false" customHeight="true" outlineLevel="0" collapsed="false"/>
    <row r="106" customFormat="false" ht="20.15" hidden="false" customHeight="true" outlineLevel="0" collapsed="false"/>
    <row r="107" customFormat="false" ht="20.15" hidden="false" customHeight="true" outlineLevel="0" collapsed="false"/>
    <row r="108" customFormat="false" ht="20.15" hidden="false" customHeight="true" outlineLevel="0" collapsed="false"/>
    <row r="109" customFormat="false" ht="20.15" hidden="false" customHeight="true" outlineLevel="0" collapsed="false"/>
    <row r="110" customFormat="false" ht="20.15" hidden="false" customHeight="true" outlineLevel="0" collapsed="false"/>
    <row r="111" customFormat="false" ht="20.15" hidden="false" customHeight="true" outlineLevel="0" collapsed="false"/>
    <row r="112" customFormat="false" ht="20.15" hidden="false" customHeight="true" outlineLevel="0" collapsed="false"/>
    <row r="113" customFormat="false" ht="20.15" hidden="false" customHeight="true" outlineLevel="0" collapsed="false"/>
    <row r="114" customFormat="false" ht="20.15" hidden="false" customHeight="true" outlineLevel="0" collapsed="false"/>
    <row r="115" customFormat="false" ht="20.15" hidden="false" customHeight="true" outlineLevel="0" collapsed="false"/>
    <row r="116" customFormat="false" ht="20.15" hidden="false" customHeight="true" outlineLevel="0" collapsed="false"/>
    <row r="117" customFormat="false" ht="20.15" hidden="false" customHeight="true" outlineLevel="0" collapsed="false"/>
    <row r="118" customFormat="false" ht="20.15" hidden="false" customHeight="true" outlineLevel="0" collapsed="false"/>
    <row r="119" customFormat="false" ht="20.15" hidden="false" customHeight="true" outlineLevel="0" collapsed="false"/>
    <row r="120" customFormat="false" ht="20.15" hidden="false" customHeight="true" outlineLevel="0" collapsed="false"/>
    <row r="121" customFormat="false" ht="20.15" hidden="false" customHeight="true" outlineLevel="0" collapsed="false"/>
    <row r="122" customFormat="false" ht="20.15" hidden="false" customHeight="true" outlineLevel="0" collapsed="false"/>
    <row r="123" customFormat="false" ht="20.1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</sheetData>
  <mergeCells count="16">
    <mergeCell ref="B1:K1"/>
    <mergeCell ref="B3:B6"/>
    <mergeCell ref="C3:R3"/>
    <mergeCell ref="T3:T6"/>
    <mergeCell ref="U3:AB3"/>
    <mergeCell ref="C4:P4"/>
    <mergeCell ref="Q4:Q6"/>
    <mergeCell ref="R4:R6"/>
    <mergeCell ref="U4:Z4"/>
    <mergeCell ref="AA4:AA6"/>
    <mergeCell ref="AB4:AB6"/>
    <mergeCell ref="C5:I5"/>
    <mergeCell ref="J5:P5"/>
    <mergeCell ref="U5:W5"/>
    <mergeCell ref="X5:Z5"/>
    <mergeCell ref="B40:K40"/>
  </mergeCells>
  <printOptions headings="false" gridLines="false" gridLinesSet="true" horizontalCentered="false" verticalCentered="false"/>
  <pageMargins left="0.236111111111111" right="0.196527777777778" top="0.472222222222222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4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R25" activeCellId="0" sqref="R25"/>
    </sheetView>
  </sheetViews>
  <sheetFormatPr defaultColWidth="8.91015625" defaultRowHeight="16" customHeight="false" zeroHeight="false" outlineLevelRow="0" outlineLevelCol="0"/>
  <cols>
    <col collapsed="false" customWidth="true" hidden="false" outlineLevel="0" max="1" min="1" style="63" width="12.58"/>
    <col collapsed="false" customWidth="false" hidden="false" outlineLevel="0" max="3" min="2" style="63" width="8.91"/>
    <col collapsed="false" customWidth="true" hidden="false" outlineLevel="0" max="4" min="4" style="63" width="10.24"/>
    <col collapsed="false" customWidth="true" hidden="false" outlineLevel="0" max="5" min="5" style="64" width="9.99"/>
    <col collapsed="false" customWidth="false" hidden="false" outlineLevel="0" max="6" min="6" style="63" width="8.91"/>
    <col collapsed="false" customWidth="true" hidden="false" outlineLevel="0" max="7" min="7" style="63" width="9.41"/>
    <col collapsed="false" customWidth="true" hidden="false" outlineLevel="0" max="8" min="8" style="63" width="10.24"/>
    <col collapsed="false" customWidth="false" hidden="false" outlineLevel="0" max="11" min="9" style="63" width="8.91"/>
    <col collapsed="false" customWidth="true" hidden="false" outlineLevel="0" max="12" min="12" style="63" width="9.33"/>
    <col collapsed="false" customWidth="false" hidden="false" outlineLevel="0" max="13" min="13" style="63" width="8.91"/>
    <col collapsed="false" customWidth="true" hidden="false" outlineLevel="0" max="14" min="14" style="63" width="10.24"/>
    <col collapsed="false" customWidth="false" hidden="false" outlineLevel="0" max="18" min="15" style="63" width="8.91"/>
    <col collapsed="false" customWidth="true" hidden="false" outlineLevel="0" max="19" min="19" style="63" width="9.58"/>
    <col collapsed="false" customWidth="false" hidden="false" outlineLevel="0" max="257" min="20" style="63" width="8.91"/>
  </cols>
  <sheetData>
    <row r="1" customFormat="false" ht="21" hidden="false" customHeight="false" outlineLevel="0" collapsed="false">
      <c r="A1" s="65" t="s">
        <v>64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customFormat="false" ht="17.5" hidden="false" customHeight="false" outlineLevel="0" collapsed="false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</row>
    <row r="3" customFormat="false" ht="16.5" hidden="false" customHeight="false" outlineLevel="0" collapsed="false">
      <c r="A3" s="69" t="s">
        <v>65</v>
      </c>
      <c r="B3" s="70"/>
      <c r="C3" s="71"/>
      <c r="D3" s="70"/>
      <c r="E3" s="72"/>
      <c r="F3" s="70"/>
      <c r="G3" s="70"/>
      <c r="H3" s="70"/>
      <c r="I3" s="70"/>
      <c r="J3" s="70"/>
      <c r="K3" s="70"/>
      <c r="L3" s="70"/>
      <c r="M3" s="70"/>
      <c r="N3" s="73"/>
      <c r="O3" s="73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  <c r="FP3" s="70"/>
      <c r="FQ3" s="70"/>
      <c r="FR3" s="70"/>
      <c r="FS3" s="70"/>
      <c r="FT3" s="70"/>
      <c r="FU3" s="70"/>
      <c r="FV3" s="70"/>
      <c r="FW3" s="70"/>
      <c r="FX3" s="70"/>
      <c r="FY3" s="70"/>
      <c r="FZ3" s="70"/>
      <c r="GA3" s="70"/>
      <c r="GB3" s="70"/>
      <c r="GC3" s="70"/>
      <c r="GD3" s="70"/>
      <c r="GE3" s="70"/>
      <c r="GF3" s="70"/>
      <c r="GG3" s="70"/>
      <c r="GH3" s="70"/>
      <c r="GI3" s="70"/>
      <c r="GJ3" s="70"/>
      <c r="GK3" s="70"/>
      <c r="GL3" s="70"/>
      <c r="GM3" s="70"/>
      <c r="GN3" s="70"/>
      <c r="GO3" s="70"/>
      <c r="GP3" s="70"/>
      <c r="GQ3" s="70"/>
      <c r="GR3" s="70"/>
      <c r="GS3" s="70"/>
      <c r="GT3" s="70"/>
      <c r="GU3" s="70"/>
      <c r="GV3" s="70"/>
      <c r="GW3" s="70"/>
      <c r="GX3" s="70"/>
      <c r="GY3" s="70"/>
      <c r="GZ3" s="70"/>
      <c r="HA3" s="70"/>
      <c r="HB3" s="70"/>
      <c r="HC3" s="70"/>
      <c r="HD3" s="70"/>
      <c r="HE3" s="70"/>
      <c r="HF3" s="70"/>
      <c r="HG3" s="70"/>
      <c r="HH3" s="70"/>
      <c r="HI3" s="70"/>
      <c r="HJ3" s="70"/>
      <c r="HK3" s="70"/>
      <c r="HL3" s="70"/>
      <c r="HM3" s="70"/>
      <c r="HN3" s="70"/>
      <c r="HO3" s="70"/>
      <c r="HP3" s="70"/>
      <c r="HQ3" s="70"/>
      <c r="HR3" s="70"/>
      <c r="HS3" s="70"/>
      <c r="HT3" s="70"/>
      <c r="HU3" s="70"/>
      <c r="HV3" s="70"/>
      <c r="HW3" s="70"/>
      <c r="HX3" s="70"/>
      <c r="HY3" s="70"/>
      <c r="HZ3" s="70"/>
      <c r="IA3" s="70"/>
      <c r="IB3" s="70"/>
      <c r="IC3" s="70"/>
      <c r="ID3" s="70"/>
      <c r="IE3" s="70"/>
      <c r="IF3" s="70"/>
      <c r="IG3" s="70"/>
      <c r="IH3" s="70"/>
      <c r="II3" s="70"/>
      <c r="IJ3" s="70"/>
      <c r="IK3" s="70"/>
      <c r="IL3" s="70"/>
      <c r="IM3" s="70"/>
      <c r="IN3" s="70"/>
      <c r="IO3" s="70"/>
      <c r="IP3" s="70"/>
      <c r="IQ3" s="70"/>
      <c r="IR3" s="70"/>
      <c r="IS3" s="70"/>
      <c r="IT3" s="70"/>
      <c r="IU3" s="70"/>
      <c r="IV3" s="70"/>
      <c r="IW3" s="70"/>
    </row>
    <row r="4" customFormat="false" ht="18" hidden="false" customHeight="true" outlineLevel="0" collapsed="false">
      <c r="A4" s="74" t="s">
        <v>52</v>
      </c>
      <c r="B4" s="74"/>
      <c r="C4" s="75" t="s">
        <v>66</v>
      </c>
      <c r="D4" s="76" t="s">
        <v>67</v>
      </c>
      <c r="E4" s="75" t="s">
        <v>68</v>
      </c>
      <c r="F4" s="77" t="s">
        <v>69</v>
      </c>
      <c r="G4" s="78" t="s">
        <v>70</v>
      </c>
      <c r="H4" s="79" t="s">
        <v>71</v>
      </c>
      <c r="I4" s="76" t="s">
        <v>72</v>
      </c>
      <c r="J4" s="76" t="s">
        <v>73</v>
      </c>
      <c r="K4" s="75" t="s">
        <v>74</v>
      </c>
      <c r="L4" s="80" t="s">
        <v>75</v>
      </c>
      <c r="M4" s="81" t="s">
        <v>76</v>
      </c>
      <c r="N4" s="76" t="s">
        <v>77</v>
      </c>
      <c r="O4" s="82" t="s">
        <v>78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0"/>
      <c r="EK4" s="70"/>
      <c r="EL4" s="70"/>
      <c r="EM4" s="70"/>
      <c r="EN4" s="70"/>
      <c r="EO4" s="70"/>
      <c r="EP4" s="70"/>
      <c r="EQ4" s="70"/>
      <c r="ER4" s="70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  <c r="FL4" s="70"/>
      <c r="FM4" s="70"/>
      <c r="FN4" s="70"/>
      <c r="FO4" s="70"/>
      <c r="FP4" s="70"/>
      <c r="FQ4" s="70"/>
      <c r="FR4" s="70"/>
      <c r="FS4" s="70"/>
      <c r="FT4" s="70"/>
      <c r="FU4" s="70"/>
      <c r="FV4" s="70"/>
      <c r="FW4" s="70"/>
      <c r="FX4" s="70"/>
      <c r="FY4" s="70"/>
      <c r="FZ4" s="70"/>
      <c r="GA4" s="70"/>
      <c r="GB4" s="70"/>
      <c r="GC4" s="70"/>
      <c r="GD4" s="70"/>
      <c r="GE4" s="70"/>
      <c r="GF4" s="70"/>
      <c r="GG4" s="70"/>
      <c r="GH4" s="70"/>
      <c r="GI4" s="70"/>
      <c r="GJ4" s="70"/>
      <c r="GK4" s="70"/>
      <c r="GL4" s="70"/>
      <c r="GM4" s="70"/>
      <c r="GN4" s="70"/>
      <c r="GO4" s="70"/>
      <c r="GP4" s="70"/>
      <c r="GQ4" s="70"/>
      <c r="GR4" s="70"/>
      <c r="GS4" s="70"/>
      <c r="GT4" s="70"/>
      <c r="GU4" s="70"/>
      <c r="GV4" s="70"/>
      <c r="GW4" s="70"/>
      <c r="GX4" s="70"/>
      <c r="GY4" s="70"/>
      <c r="GZ4" s="70"/>
      <c r="HA4" s="70"/>
      <c r="HB4" s="70"/>
      <c r="HC4" s="70"/>
      <c r="HD4" s="70"/>
      <c r="HE4" s="70"/>
      <c r="HF4" s="70"/>
      <c r="HG4" s="70"/>
      <c r="HH4" s="70"/>
      <c r="HI4" s="70"/>
      <c r="HJ4" s="70"/>
      <c r="HK4" s="70"/>
      <c r="HL4" s="70"/>
      <c r="HM4" s="70"/>
      <c r="HN4" s="70"/>
      <c r="HO4" s="70"/>
      <c r="HP4" s="70"/>
      <c r="HQ4" s="70"/>
      <c r="HR4" s="70"/>
      <c r="HS4" s="70"/>
      <c r="HT4" s="70"/>
      <c r="HU4" s="70"/>
      <c r="HV4" s="70"/>
      <c r="HW4" s="70"/>
      <c r="HX4" s="70"/>
      <c r="HY4" s="70"/>
      <c r="HZ4" s="70"/>
      <c r="IA4" s="70"/>
      <c r="IB4" s="70"/>
      <c r="IC4" s="70"/>
      <c r="ID4" s="70"/>
      <c r="IE4" s="70"/>
      <c r="IF4" s="70"/>
      <c r="IG4" s="70"/>
      <c r="IH4" s="70"/>
      <c r="II4" s="70"/>
      <c r="IJ4" s="70"/>
      <c r="IK4" s="70"/>
      <c r="IL4" s="70"/>
      <c r="IM4" s="70"/>
      <c r="IN4" s="70"/>
      <c r="IO4" s="70"/>
      <c r="IP4" s="70"/>
      <c r="IQ4" s="70"/>
      <c r="IR4" s="70"/>
      <c r="IS4" s="70"/>
      <c r="IT4" s="70"/>
      <c r="IU4" s="70"/>
      <c r="IV4" s="70"/>
      <c r="IW4" s="70"/>
    </row>
    <row r="5" customFormat="false" ht="18" hidden="false" customHeight="true" outlineLevel="0" collapsed="false">
      <c r="A5" s="83" t="s">
        <v>79</v>
      </c>
      <c r="B5" s="84" t="s">
        <v>80</v>
      </c>
      <c r="C5" s="85" t="n">
        <v>96400</v>
      </c>
      <c r="D5" s="85" t="n">
        <v>96400</v>
      </c>
      <c r="E5" s="85" t="n">
        <v>96400</v>
      </c>
      <c r="F5" s="85" t="n">
        <v>96400</v>
      </c>
      <c r="G5" s="85" t="n">
        <v>96400</v>
      </c>
      <c r="H5" s="85" t="n">
        <v>96400</v>
      </c>
      <c r="I5" s="85" t="n">
        <v>96400</v>
      </c>
      <c r="J5" s="85" t="n">
        <v>96400</v>
      </c>
      <c r="K5" s="85" t="n">
        <v>96400</v>
      </c>
      <c r="L5" s="85" t="n">
        <v>96400</v>
      </c>
      <c r="M5" s="85" t="n">
        <v>96400</v>
      </c>
      <c r="N5" s="85" t="n">
        <v>96400</v>
      </c>
      <c r="O5" s="86" t="n">
        <f aca="false">SUM(C5:N5)</f>
        <v>1156800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  <c r="IW5" s="72"/>
    </row>
    <row r="6" customFormat="false" ht="18" hidden="false" customHeight="true" outlineLevel="0" collapsed="false">
      <c r="A6" s="83"/>
      <c r="B6" s="87" t="s">
        <v>81</v>
      </c>
      <c r="C6" s="88" t="n">
        <v>94700</v>
      </c>
      <c r="D6" s="88" t="n">
        <v>96380</v>
      </c>
      <c r="E6" s="88" t="n">
        <v>96380</v>
      </c>
      <c r="F6" s="88" t="n">
        <v>96380</v>
      </c>
      <c r="G6" s="88" t="n">
        <v>96380</v>
      </c>
      <c r="H6" s="88" t="n">
        <v>96380</v>
      </c>
      <c r="I6" s="88" t="n">
        <v>96380</v>
      </c>
      <c r="J6" s="88" t="n">
        <v>96380</v>
      </c>
      <c r="K6" s="88" t="n">
        <v>96380</v>
      </c>
      <c r="L6" s="88" t="n">
        <v>96380</v>
      </c>
      <c r="M6" s="88"/>
      <c r="N6" s="88"/>
      <c r="O6" s="89" t="n">
        <f aca="false">SUM(C6:N6)</f>
        <v>962120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2"/>
      <c r="IW6" s="72"/>
    </row>
    <row r="7" customFormat="false" ht="18" hidden="false" customHeight="true" outlineLevel="0" collapsed="false">
      <c r="A7" s="83" t="s">
        <v>82</v>
      </c>
      <c r="B7" s="90" t="str">
        <f aca="false">B5</f>
        <v>2025계획</v>
      </c>
      <c r="C7" s="91" t="n">
        <v>37204.93</v>
      </c>
      <c r="D7" s="91" t="n">
        <v>55174.11</v>
      </c>
      <c r="E7" s="91" t="n">
        <v>60308.43</v>
      </c>
      <c r="F7" s="91" t="n">
        <v>63156.51</v>
      </c>
      <c r="G7" s="91" t="n">
        <v>57943.95</v>
      </c>
      <c r="H7" s="91" t="n">
        <v>68788.71</v>
      </c>
      <c r="I7" s="91" t="n">
        <v>60714.75</v>
      </c>
      <c r="J7" s="91" t="n">
        <v>68200.23</v>
      </c>
      <c r="K7" s="91" t="n">
        <v>56162</v>
      </c>
      <c r="L7" s="91" t="n">
        <v>66371.79</v>
      </c>
      <c r="M7" s="91" t="n">
        <v>56162</v>
      </c>
      <c r="N7" s="91" t="n">
        <v>71727.39</v>
      </c>
      <c r="O7" s="89" t="n">
        <f aca="false">SUM(C7:N7)</f>
        <v>721914.8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2"/>
      <c r="GJ7" s="72"/>
      <c r="GK7" s="72"/>
      <c r="GL7" s="72"/>
      <c r="GM7" s="72"/>
      <c r="GN7" s="72"/>
      <c r="GO7" s="72"/>
      <c r="GP7" s="72"/>
      <c r="GQ7" s="72"/>
      <c r="GR7" s="72"/>
      <c r="GS7" s="72"/>
      <c r="GT7" s="72"/>
      <c r="GU7" s="72"/>
      <c r="GV7" s="72"/>
      <c r="GW7" s="72"/>
      <c r="GX7" s="72"/>
      <c r="GY7" s="72"/>
      <c r="GZ7" s="72"/>
      <c r="HA7" s="72"/>
      <c r="HB7" s="72"/>
      <c r="HC7" s="72"/>
      <c r="HD7" s="72"/>
      <c r="HE7" s="72"/>
      <c r="HF7" s="72"/>
      <c r="HG7" s="72"/>
      <c r="HH7" s="72"/>
      <c r="HI7" s="72"/>
      <c r="HJ7" s="72"/>
      <c r="HK7" s="72"/>
      <c r="HL7" s="72"/>
      <c r="HM7" s="72"/>
      <c r="HN7" s="72"/>
      <c r="HO7" s="72"/>
      <c r="HP7" s="72"/>
      <c r="HQ7" s="72"/>
      <c r="HR7" s="72"/>
      <c r="HS7" s="72"/>
      <c r="HT7" s="72"/>
      <c r="HU7" s="72"/>
      <c r="HV7" s="72"/>
      <c r="HW7" s="72"/>
      <c r="HX7" s="72"/>
      <c r="HY7" s="72"/>
      <c r="HZ7" s="72"/>
      <c r="IA7" s="72"/>
      <c r="IB7" s="72"/>
      <c r="IC7" s="72"/>
      <c r="ID7" s="72"/>
      <c r="IE7" s="72"/>
      <c r="IF7" s="72"/>
      <c r="IG7" s="72"/>
      <c r="IH7" s="72"/>
      <c r="II7" s="72"/>
      <c r="IJ7" s="72"/>
      <c r="IK7" s="72"/>
      <c r="IL7" s="72"/>
      <c r="IM7" s="72"/>
      <c r="IN7" s="72"/>
      <c r="IO7" s="72"/>
      <c r="IP7" s="72"/>
      <c r="IQ7" s="72"/>
      <c r="IR7" s="72"/>
      <c r="IS7" s="72"/>
      <c r="IT7" s="72"/>
      <c r="IU7" s="72"/>
      <c r="IV7" s="72"/>
      <c r="IW7" s="72"/>
    </row>
    <row r="8" customFormat="false" ht="18" hidden="false" customHeight="true" outlineLevel="0" collapsed="false">
      <c r="A8" s="83"/>
      <c r="B8" s="87" t="str">
        <f aca="false">B6</f>
        <v>2025실적</v>
      </c>
      <c r="C8" s="88" t="n">
        <v>50691</v>
      </c>
      <c r="D8" s="88" t="n">
        <v>67391.3</v>
      </c>
      <c r="E8" s="88" t="n">
        <v>79025.5</v>
      </c>
      <c r="F8" s="88" t="n">
        <v>53594.26</v>
      </c>
      <c r="G8" s="88" t="n">
        <v>61663</v>
      </c>
      <c r="H8" s="88" t="n">
        <v>58580.2</v>
      </c>
      <c r="I8" s="88" t="n">
        <v>57922.3</v>
      </c>
      <c r="J8" s="88" t="n">
        <v>63637.31</v>
      </c>
      <c r="K8" s="92" t="n">
        <v>61204</v>
      </c>
      <c r="L8" s="92" t="n">
        <f aca="false">'1. 도급내역'!K43/1000</f>
        <v>46670.8</v>
      </c>
      <c r="M8" s="92"/>
      <c r="N8" s="91"/>
      <c r="O8" s="89" t="n">
        <f aca="false">SUM(C8:N8)</f>
        <v>600379.67</v>
      </c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2"/>
      <c r="FY8" s="72"/>
      <c r="FZ8" s="72"/>
      <c r="GA8" s="72"/>
      <c r="GB8" s="72"/>
      <c r="GC8" s="72"/>
      <c r="GD8" s="72"/>
      <c r="GE8" s="72"/>
      <c r="GF8" s="72"/>
      <c r="GG8" s="72"/>
      <c r="GH8" s="72"/>
      <c r="GI8" s="72"/>
      <c r="GJ8" s="72"/>
      <c r="GK8" s="72"/>
      <c r="GL8" s="72"/>
      <c r="GM8" s="72"/>
      <c r="GN8" s="72"/>
      <c r="GO8" s="72"/>
      <c r="GP8" s="72"/>
      <c r="GQ8" s="72"/>
      <c r="GR8" s="72"/>
      <c r="GS8" s="72"/>
      <c r="GT8" s="72"/>
      <c r="GU8" s="72"/>
      <c r="GV8" s="72"/>
      <c r="GW8" s="72"/>
      <c r="GX8" s="72"/>
      <c r="GY8" s="72"/>
      <c r="GZ8" s="72"/>
      <c r="HA8" s="72"/>
      <c r="HB8" s="72"/>
      <c r="HC8" s="72"/>
      <c r="HD8" s="72"/>
      <c r="HE8" s="72"/>
      <c r="HF8" s="72"/>
      <c r="HG8" s="72"/>
      <c r="HH8" s="72"/>
      <c r="HI8" s="72"/>
      <c r="HJ8" s="72"/>
      <c r="HK8" s="72"/>
      <c r="HL8" s="72"/>
      <c r="HM8" s="72"/>
      <c r="HN8" s="72"/>
      <c r="HO8" s="72"/>
      <c r="HP8" s="72"/>
      <c r="HQ8" s="72"/>
      <c r="HR8" s="72"/>
      <c r="HS8" s="72"/>
      <c r="HT8" s="72"/>
      <c r="HU8" s="72"/>
      <c r="HV8" s="72"/>
      <c r="HW8" s="72"/>
      <c r="HX8" s="72"/>
      <c r="HY8" s="72"/>
      <c r="HZ8" s="72"/>
      <c r="IA8" s="72"/>
      <c r="IB8" s="72"/>
      <c r="IC8" s="72"/>
      <c r="ID8" s="72"/>
      <c r="IE8" s="72"/>
      <c r="IF8" s="72"/>
      <c r="IG8" s="72"/>
      <c r="IH8" s="72"/>
      <c r="II8" s="72"/>
      <c r="IJ8" s="72"/>
      <c r="IK8" s="72"/>
      <c r="IL8" s="72"/>
      <c r="IM8" s="72"/>
      <c r="IN8" s="72"/>
      <c r="IO8" s="72"/>
      <c r="IP8" s="72"/>
      <c r="IQ8" s="72"/>
      <c r="IR8" s="72"/>
      <c r="IS8" s="72"/>
      <c r="IT8" s="72"/>
      <c r="IU8" s="72"/>
      <c r="IV8" s="72"/>
      <c r="IW8" s="72"/>
    </row>
    <row r="9" customFormat="false" ht="18" hidden="false" customHeight="true" outlineLevel="0" collapsed="false">
      <c r="A9" s="83" t="s">
        <v>83</v>
      </c>
      <c r="B9" s="90" t="str">
        <f aca="false">B5</f>
        <v>2025계획</v>
      </c>
      <c r="C9" s="91" t="n">
        <f aca="false">C5+C7</f>
        <v>133604.93</v>
      </c>
      <c r="D9" s="91" t="n">
        <f aca="false">D5+D7</f>
        <v>151574.11</v>
      </c>
      <c r="E9" s="91" t="n">
        <f aca="false">E5+E7</f>
        <v>156708.43</v>
      </c>
      <c r="F9" s="91" t="n">
        <f aca="false">F5+F7</f>
        <v>159556.51</v>
      </c>
      <c r="G9" s="91" t="n">
        <f aca="false">G5+G7</f>
        <v>154343.95</v>
      </c>
      <c r="H9" s="91" t="n">
        <f aca="false">H5+H7</f>
        <v>165188.71</v>
      </c>
      <c r="I9" s="91" t="n">
        <f aca="false">I5+I7</f>
        <v>157114.75</v>
      </c>
      <c r="J9" s="91" t="n">
        <f aca="false">J5+J7</f>
        <v>164600.23</v>
      </c>
      <c r="K9" s="91" t="n">
        <f aca="false">K5+K7</f>
        <v>152562</v>
      </c>
      <c r="L9" s="91" t="n">
        <f aca="false">L5+L7</f>
        <v>162771.79</v>
      </c>
      <c r="M9" s="91" t="n">
        <f aca="false">M5+M7</f>
        <v>152562</v>
      </c>
      <c r="N9" s="91" t="n">
        <f aca="false">N5+N7</f>
        <v>168127.39</v>
      </c>
      <c r="O9" s="89" t="n">
        <f aca="false">SUM(C9:N9)</f>
        <v>1878714.8</v>
      </c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2"/>
      <c r="FY9" s="72"/>
      <c r="FZ9" s="72"/>
      <c r="GA9" s="72"/>
      <c r="GB9" s="72"/>
      <c r="GC9" s="72"/>
      <c r="GD9" s="72"/>
      <c r="GE9" s="72"/>
      <c r="GF9" s="72"/>
      <c r="GG9" s="72"/>
      <c r="GH9" s="72"/>
      <c r="GI9" s="72"/>
      <c r="GJ9" s="72"/>
      <c r="GK9" s="72"/>
      <c r="GL9" s="72"/>
      <c r="GM9" s="72"/>
      <c r="GN9" s="72"/>
      <c r="GO9" s="72"/>
      <c r="GP9" s="72"/>
      <c r="GQ9" s="72"/>
      <c r="GR9" s="72"/>
      <c r="GS9" s="72"/>
      <c r="GT9" s="72"/>
      <c r="GU9" s="72"/>
      <c r="GV9" s="72"/>
      <c r="GW9" s="72"/>
      <c r="GX9" s="72"/>
      <c r="GY9" s="72"/>
      <c r="GZ9" s="72"/>
      <c r="HA9" s="72"/>
      <c r="HB9" s="72"/>
      <c r="HC9" s="72"/>
      <c r="HD9" s="72"/>
      <c r="HE9" s="72"/>
      <c r="HF9" s="72"/>
      <c r="HG9" s="72"/>
      <c r="HH9" s="72"/>
      <c r="HI9" s="72"/>
      <c r="HJ9" s="72"/>
      <c r="HK9" s="72"/>
      <c r="HL9" s="72"/>
      <c r="HM9" s="72"/>
      <c r="HN9" s="72"/>
      <c r="HO9" s="72"/>
      <c r="HP9" s="72"/>
      <c r="HQ9" s="72"/>
      <c r="HR9" s="72"/>
      <c r="HS9" s="72"/>
      <c r="HT9" s="72"/>
      <c r="HU9" s="72"/>
      <c r="HV9" s="72"/>
      <c r="HW9" s="72"/>
      <c r="HX9" s="72"/>
      <c r="HY9" s="72"/>
      <c r="HZ9" s="72"/>
      <c r="IA9" s="72"/>
      <c r="IB9" s="72"/>
      <c r="IC9" s="72"/>
      <c r="ID9" s="72"/>
      <c r="IE9" s="72"/>
      <c r="IF9" s="72"/>
      <c r="IG9" s="72"/>
      <c r="IH9" s="72"/>
      <c r="II9" s="72"/>
      <c r="IJ9" s="72"/>
      <c r="IK9" s="72"/>
      <c r="IL9" s="72"/>
      <c r="IM9" s="72"/>
      <c r="IN9" s="72"/>
      <c r="IO9" s="72"/>
      <c r="IP9" s="72"/>
      <c r="IQ9" s="72"/>
      <c r="IR9" s="72"/>
      <c r="IS9" s="72"/>
      <c r="IT9" s="72"/>
      <c r="IU9" s="72"/>
      <c r="IV9" s="72"/>
      <c r="IW9" s="72"/>
    </row>
    <row r="10" customFormat="false" ht="18" hidden="false" customHeight="true" outlineLevel="0" collapsed="false">
      <c r="A10" s="83"/>
      <c r="B10" s="87" t="str">
        <f aca="false">B6</f>
        <v>2025실적</v>
      </c>
      <c r="C10" s="88" t="n">
        <f aca="false">C6+C8</f>
        <v>145391</v>
      </c>
      <c r="D10" s="88" t="n">
        <f aca="false">D6+D8</f>
        <v>163771.3</v>
      </c>
      <c r="E10" s="88" t="n">
        <f aca="false">E6+E8</f>
        <v>175405.5</v>
      </c>
      <c r="F10" s="88" t="n">
        <f aca="false">F6+F8</f>
        <v>149974.26</v>
      </c>
      <c r="G10" s="88" t="n">
        <f aca="false">G6+G8</f>
        <v>158043</v>
      </c>
      <c r="H10" s="88" t="n">
        <f aca="false">H6+H8</f>
        <v>154960.2</v>
      </c>
      <c r="I10" s="88" t="n">
        <f aca="false">I6+I8</f>
        <v>154302.3</v>
      </c>
      <c r="J10" s="88" t="n">
        <f aca="false">J6+J8</f>
        <v>160017.31</v>
      </c>
      <c r="K10" s="88" t="n">
        <f aca="false">K6+K8</f>
        <v>157584</v>
      </c>
      <c r="L10" s="88" t="n">
        <f aca="false">L6+L8</f>
        <v>143050.8</v>
      </c>
      <c r="M10" s="88"/>
      <c r="N10" s="88" t="n">
        <f aca="false">N6+N8</f>
        <v>0</v>
      </c>
      <c r="O10" s="93" t="n">
        <f aca="false">SUM(C10:N10)</f>
        <v>1562499.67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</row>
    <row r="11" customFormat="false" ht="18" hidden="false" customHeight="true" outlineLevel="0" collapsed="false">
      <c r="A11" s="94" t="s">
        <v>78</v>
      </c>
      <c r="B11" s="95" t="s">
        <v>84</v>
      </c>
      <c r="C11" s="96" t="n">
        <f aca="false">C10/C9</f>
        <v>1.08821583155652</v>
      </c>
      <c r="D11" s="96" t="n">
        <f aca="false">D10/D9</f>
        <v>1.08047014097592</v>
      </c>
      <c r="E11" s="96" t="n">
        <f aca="false">E10/E9</f>
        <v>1.11931119468174</v>
      </c>
      <c r="F11" s="96" t="n">
        <f aca="false">F10/F9</f>
        <v>0.939944474844681</v>
      </c>
      <c r="G11" s="96" t="n">
        <f aca="false">G10/G9</f>
        <v>1.02396627791371</v>
      </c>
      <c r="H11" s="96" t="n">
        <f aca="false">H10/H9</f>
        <v>0.938079848193015</v>
      </c>
      <c r="I11" s="96" t="n">
        <f aca="false">I10/I9</f>
        <v>0.98209938914074</v>
      </c>
      <c r="J11" s="96" t="n">
        <f aca="false">J10/J9</f>
        <v>0.972157268553027</v>
      </c>
      <c r="K11" s="96" t="n">
        <f aca="false">K10/K9</f>
        <v>1.03291776458096</v>
      </c>
      <c r="L11" s="96" t="n">
        <f aca="false">L10/L9</f>
        <v>0.878842703640477</v>
      </c>
      <c r="M11" s="96" t="n">
        <f aca="false">M10/M9</f>
        <v>0</v>
      </c>
      <c r="N11" s="96" t="n">
        <f aca="false">N10/N9</f>
        <v>0</v>
      </c>
      <c r="O11" s="97" t="n">
        <f aca="false">O10/O9</f>
        <v>0.831685400040496</v>
      </c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2"/>
      <c r="HR11" s="72"/>
      <c r="HS11" s="72"/>
      <c r="HT11" s="72"/>
      <c r="HU11" s="72"/>
      <c r="HV11" s="72"/>
      <c r="HW11" s="72"/>
      <c r="HX11" s="72"/>
      <c r="HY11" s="72"/>
      <c r="HZ11" s="72"/>
      <c r="IA11" s="72"/>
      <c r="IB11" s="72"/>
      <c r="IC11" s="72"/>
      <c r="ID11" s="72"/>
      <c r="IE11" s="72"/>
      <c r="IF11" s="72"/>
      <c r="IG11" s="72"/>
      <c r="IH11" s="72"/>
      <c r="II11" s="72"/>
      <c r="IJ11" s="72"/>
      <c r="IK11" s="72"/>
      <c r="IL11" s="72"/>
      <c r="IM11" s="72"/>
      <c r="IN11" s="72"/>
      <c r="IO11" s="72"/>
      <c r="IP11" s="72"/>
      <c r="IQ11" s="72"/>
      <c r="IR11" s="72"/>
      <c r="IS11" s="72"/>
      <c r="IT11" s="72"/>
      <c r="IU11" s="72"/>
      <c r="IV11" s="72"/>
      <c r="IW11" s="72"/>
    </row>
    <row r="12" customFormat="false" ht="18" hidden="false" customHeight="true" outlineLevel="0" collapsed="false">
      <c r="A12" s="98" t="s">
        <v>85</v>
      </c>
      <c r="B12" s="98"/>
      <c r="C12" s="99" t="n">
        <f aca="false">C10-C9</f>
        <v>11786.07</v>
      </c>
      <c r="D12" s="99" t="n">
        <f aca="false">D10-D9</f>
        <v>12197.19</v>
      </c>
      <c r="E12" s="99" t="n">
        <f aca="false">E10-E9</f>
        <v>18697.07</v>
      </c>
      <c r="F12" s="99" t="n">
        <f aca="false">F10-F9</f>
        <v>-9582.25</v>
      </c>
      <c r="G12" s="99" t="n">
        <f aca="false">G10-G9</f>
        <v>3699.04999999999</v>
      </c>
      <c r="H12" s="99" t="n">
        <f aca="false">H10-H9</f>
        <v>-10228.51</v>
      </c>
      <c r="I12" s="99" t="n">
        <f aca="false">I10-I9</f>
        <v>-2812.45000000001</v>
      </c>
      <c r="J12" s="99" t="n">
        <f aca="false">J10-J9</f>
        <v>-4582.91999999998</v>
      </c>
      <c r="K12" s="99" t="n">
        <f aca="false">K10-K9</f>
        <v>5022</v>
      </c>
      <c r="L12" s="99" t="n">
        <f aca="false">L10-L9</f>
        <v>-19720.99</v>
      </c>
      <c r="M12" s="99" t="n">
        <f aca="false">M10-M9</f>
        <v>-152562</v>
      </c>
      <c r="N12" s="99" t="n">
        <f aca="false">N10-N9</f>
        <v>-168127.39</v>
      </c>
      <c r="O12" s="100" t="n">
        <f aca="false">O10-O9</f>
        <v>-316215.13</v>
      </c>
    </row>
    <row r="13" customFormat="false" ht="18" hidden="false" customHeight="true" outlineLevel="0" collapsed="false">
      <c r="A13" s="10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3"/>
      <c r="P13" s="104"/>
      <c r="Q13" s="104"/>
      <c r="R13" s="104"/>
      <c r="S13" s="105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customFormat="false" ht="20.15" hidden="false" customHeight="true" outlineLevel="0" collapsed="false">
      <c r="A14" s="106" t="s">
        <v>86</v>
      </c>
      <c r="B14" s="107" t="s">
        <v>87</v>
      </c>
      <c r="C14" s="107"/>
      <c r="D14" s="107"/>
      <c r="E14" s="108" t="s">
        <v>88</v>
      </c>
      <c r="F14" s="108"/>
      <c r="G14" s="108"/>
      <c r="H14" s="107" t="s">
        <v>89</v>
      </c>
      <c r="I14" s="107" t="s">
        <v>90</v>
      </c>
      <c r="J14" s="107"/>
      <c r="K14" s="109" t="s">
        <v>91</v>
      </c>
      <c r="L14" s="110"/>
      <c r="M14" s="110"/>
      <c r="N14" s="110"/>
      <c r="O14" s="110"/>
      <c r="P14" s="110"/>
      <c r="Q14" s="110"/>
      <c r="R14" s="110"/>
      <c r="S14" s="111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10"/>
      <c r="CT14" s="110"/>
      <c r="CU14" s="110"/>
      <c r="CV14" s="110"/>
      <c r="CW14" s="110"/>
      <c r="CX14" s="110"/>
      <c r="CY14" s="110"/>
      <c r="CZ14" s="110"/>
      <c r="DA14" s="110"/>
      <c r="DB14" s="110"/>
      <c r="DC14" s="110"/>
      <c r="DD14" s="110"/>
      <c r="DE14" s="110"/>
      <c r="DF14" s="110"/>
      <c r="DG14" s="110"/>
      <c r="DH14" s="110"/>
      <c r="DI14" s="110"/>
      <c r="DJ14" s="110"/>
      <c r="DK14" s="110"/>
      <c r="DL14" s="110"/>
      <c r="DM14" s="110"/>
      <c r="DN14" s="110"/>
      <c r="DO14" s="110"/>
      <c r="DP14" s="110"/>
      <c r="DQ14" s="110"/>
      <c r="DR14" s="110"/>
      <c r="DS14" s="110"/>
      <c r="DT14" s="110"/>
      <c r="DU14" s="110"/>
      <c r="DV14" s="110"/>
      <c r="DW14" s="110"/>
      <c r="DX14" s="110"/>
      <c r="DY14" s="110"/>
      <c r="DZ14" s="110"/>
      <c r="EA14" s="110"/>
      <c r="EB14" s="110"/>
      <c r="EC14" s="110"/>
      <c r="ED14" s="110"/>
      <c r="EE14" s="110"/>
      <c r="EF14" s="110"/>
      <c r="EG14" s="110"/>
      <c r="EH14" s="110"/>
      <c r="EI14" s="110"/>
      <c r="EJ14" s="110"/>
      <c r="EK14" s="110"/>
      <c r="EL14" s="110"/>
      <c r="EM14" s="110"/>
      <c r="EN14" s="110"/>
      <c r="EO14" s="110"/>
      <c r="EP14" s="110"/>
      <c r="EQ14" s="110"/>
      <c r="ER14" s="110"/>
      <c r="ES14" s="110"/>
      <c r="ET14" s="110"/>
      <c r="EU14" s="110"/>
      <c r="EV14" s="110"/>
      <c r="EW14" s="110"/>
      <c r="EX14" s="110"/>
      <c r="EY14" s="110"/>
      <c r="EZ14" s="110"/>
      <c r="FA14" s="110"/>
      <c r="FB14" s="110"/>
      <c r="FC14" s="110"/>
      <c r="FD14" s="110"/>
      <c r="FE14" s="110"/>
      <c r="FF14" s="110"/>
      <c r="FG14" s="110"/>
      <c r="FH14" s="110"/>
      <c r="FI14" s="110"/>
      <c r="FJ14" s="110"/>
      <c r="FK14" s="110"/>
      <c r="FL14" s="110"/>
      <c r="FM14" s="110"/>
      <c r="FN14" s="110"/>
      <c r="FO14" s="110"/>
      <c r="FP14" s="110"/>
      <c r="FQ14" s="110"/>
      <c r="FR14" s="110"/>
      <c r="FS14" s="110"/>
      <c r="FT14" s="110"/>
      <c r="FU14" s="110"/>
      <c r="FV14" s="110"/>
      <c r="FW14" s="110"/>
      <c r="FX14" s="110"/>
      <c r="FY14" s="110"/>
      <c r="FZ14" s="110"/>
      <c r="GA14" s="110"/>
      <c r="GB14" s="110"/>
      <c r="GC14" s="110"/>
      <c r="GD14" s="110"/>
      <c r="GE14" s="110"/>
      <c r="GF14" s="110"/>
      <c r="GG14" s="110"/>
      <c r="GH14" s="110"/>
      <c r="GI14" s="110"/>
      <c r="GJ14" s="110"/>
      <c r="GK14" s="110"/>
      <c r="GL14" s="110"/>
      <c r="GM14" s="110"/>
      <c r="GN14" s="110"/>
      <c r="GO14" s="110"/>
      <c r="GP14" s="110"/>
      <c r="GQ14" s="110"/>
      <c r="GR14" s="110"/>
      <c r="GS14" s="110"/>
      <c r="GT14" s="110"/>
      <c r="GU14" s="110"/>
      <c r="GV14" s="110"/>
      <c r="GW14" s="110"/>
      <c r="GX14" s="110"/>
      <c r="GY14" s="110"/>
      <c r="GZ14" s="110"/>
      <c r="HA14" s="110"/>
      <c r="HB14" s="110"/>
      <c r="HC14" s="110"/>
      <c r="HD14" s="110"/>
      <c r="HE14" s="110"/>
      <c r="HF14" s="110"/>
      <c r="HG14" s="110"/>
      <c r="HH14" s="110"/>
      <c r="HI14" s="110"/>
      <c r="HJ14" s="110"/>
      <c r="HK14" s="110"/>
      <c r="HL14" s="110"/>
      <c r="HM14" s="110"/>
      <c r="HN14" s="110"/>
      <c r="HO14" s="110"/>
      <c r="HP14" s="110"/>
      <c r="HQ14" s="110"/>
      <c r="HR14" s="110"/>
      <c r="HS14" s="110"/>
      <c r="HT14" s="110"/>
      <c r="HU14" s="110"/>
      <c r="HV14" s="110"/>
      <c r="HW14" s="110"/>
      <c r="HX14" s="110"/>
      <c r="HY14" s="110"/>
      <c r="HZ14" s="110"/>
      <c r="IA14" s="110"/>
      <c r="IB14" s="110"/>
      <c r="IC14" s="110"/>
      <c r="ID14" s="110"/>
      <c r="IE14" s="110"/>
      <c r="IF14" s="110"/>
      <c r="IG14" s="110"/>
      <c r="IH14" s="110"/>
      <c r="II14" s="110"/>
      <c r="IJ14" s="110"/>
      <c r="IK14" s="110"/>
      <c r="IL14" s="110"/>
      <c r="IM14" s="110"/>
      <c r="IN14" s="110"/>
      <c r="IO14" s="110"/>
      <c r="IP14" s="110"/>
      <c r="IQ14" s="110"/>
      <c r="IR14" s="110"/>
      <c r="IS14" s="110"/>
      <c r="IT14" s="110"/>
      <c r="IU14" s="110"/>
      <c r="IV14" s="110"/>
      <c r="IW14" s="110"/>
    </row>
    <row r="15" customFormat="false" ht="20.15" hidden="false" customHeight="true" outlineLevel="0" collapsed="false">
      <c r="A15" s="106"/>
      <c r="B15" s="112" t="s">
        <v>92</v>
      </c>
      <c r="C15" s="112" t="s">
        <v>93</v>
      </c>
      <c r="D15" s="113" t="s">
        <v>59</v>
      </c>
      <c r="E15" s="113" t="s">
        <v>94</v>
      </c>
      <c r="F15" s="113" t="s">
        <v>93</v>
      </c>
      <c r="G15" s="113" t="s">
        <v>95</v>
      </c>
      <c r="H15" s="112" t="s">
        <v>93</v>
      </c>
      <c r="I15" s="112" t="s">
        <v>59</v>
      </c>
      <c r="J15" s="112" t="s">
        <v>96</v>
      </c>
      <c r="K15" s="109"/>
      <c r="L15" s="110"/>
      <c r="M15" s="114"/>
      <c r="N15" s="115"/>
      <c r="O15" s="110"/>
      <c r="P15" s="114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0"/>
      <c r="DA15" s="110"/>
      <c r="DB15" s="110"/>
      <c r="DC15" s="110"/>
      <c r="DD15" s="110"/>
      <c r="DE15" s="110"/>
      <c r="DF15" s="110"/>
      <c r="DG15" s="110"/>
      <c r="DH15" s="110"/>
      <c r="DI15" s="110"/>
      <c r="DJ15" s="110"/>
      <c r="DK15" s="110"/>
      <c r="DL15" s="110"/>
      <c r="DM15" s="110"/>
      <c r="DN15" s="110"/>
      <c r="DO15" s="110"/>
      <c r="DP15" s="110"/>
      <c r="DQ15" s="110"/>
      <c r="DR15" s="110"/>
      <c r="DS15" s="110"/>
      <c r="DT15" s="110"/>
      <c r="DU15" s="110"/>
      <c r="DV15" s="110"/>
      <c r="DW15" s="110"/>
      <c r="DX15" s="110"/>
      <c r="DY15" s="110"/>
      <c r="DZ15" s="110"/>
      <c r="EA15" s="110"/>
      <c r="EB15" s="110"/>
      <c r="EC15" s="110"/>
      <c r="ED15" s="110"/>
      <c r="EE15" s="110"/>
      <c r="EF15" s="110"/>
      <c r="EG15" s="110"/>
      <c r="EH15" s="110"/>
      <c r="EI15" s="110"/>
      <c r="EJ15" s="110"/>
      <c r="EK15" s="110"/>
      <c r="EL15" s="110"/>
      <c r="EM15" s="110"/>
      <c r="EN15" s="110"/>
      <c r="EO15" s="110"/>
      <c r="EP15" s="110"/>
      <c r="EQ15" s="110"/>
      <c r="ER15" s="110"/>
      <c r="ES15" s="110"/>
      <c r="ET15" s="110"/>
      <c r="EU15" s="110"/>
      <c r="EV15" s="110"/>
      <c r="EW15" s="110"/>
      <c r="EX15" s="110"/>
      <c r="EY15" s="110"/>
      <c r="EZ15" s="110"/>
      <c r="FA15" s="110"/>
      <c r="FB15" s="110"/>
      <c r="FC15" s="110"/>
      <c r="FD15" s="110"/>
      <c r="FE15" s="110"/>
      <c r="FF15" s="110"/>
      <c r="FG15" s="110"/>
      <c r="FH15" s="110"/>
      <c r="FI15" s="110"/>
      <c r="FJ15" s="110"/>
      <c r="FK15" s="110"/>
      <c r="FL15" s="110"/>
      <c r="FM15" s="110"/>
      <c r="FN15" s="110"/>
      <c r="FO15" s="110"/>
      <c r="FP15" s="110"/>
      <c r="FQ15" s="110"/>
      <c r="FR15" s="110"/>
      <c r="FS15" s="110"/>
      <c r="FT15" s="110"/>
      <c r="FU15" s="110"/>
      <c r="FV15" s="110"/>
      <c r="FW15" s="110"/>
      <c r="FX15" s="110"/>
      <c r="FY15" s="110"/>
      <c r="FZ15" s="110"/>
      <c r="GA15" s="110"/>
      <c r="GB15" s="110"/>
      <c r="GC15" s="110"/>
      <c r="GD15" s="110"/>
      <c r="GE15" s="110"/>
      <c r="GF15" s="110"/>
      <c r="GG15" s="110"/>
      <c r="GH15" s="110"/>
      <c r="GI15" s="110"/>
      <c r="GJ15" s="110"/>
      <c r="GK15" s="110"/>
      <c r="GL15" s="110"/>
      <c r="GM15" s="110"/>
      <c r="GN15" s="110"/>
      <c r="GO15" s="110"/>
      <c r="GP15" s="110"/>
      <c r="GQ15" s="110"/>
      <c r="GR15" s="110"/>
      <c r="GS15" s="110"/>
      <c r="GT15" s="110"/>
      <c r="GU15" s="110"/>
      <c r="GV15" s="110"/>
      <c r="GW15" s="110"/>
      <c r="GX15" s="110"/>
      <c r="GY15" s="110"/>
      <c r="GZ15" s="110"/>
      <c r="HA15" s="110"/>
      <c r="HB15" s="110"/>
      <c r="HC15" s="110"/>
      <c r="HD15" s="110"/>
      <c r="HE15" s="110"/>
      <c r="HF15" s="110"/>
      <c r="HG15" s="110"/>
      <c r="HH15" s="110"/>
      <c r="HI15" s="110"/>
      <c r="HJ15" s="110"/>
      <c r="HK15" s="110"/>
      <c r="HL15" s="110"/>
      <c r="HM15" s="110"/>
      <c r="HN15" s="110"/>
      <c r="HO15" s="110"/>
      <c r="HP15" s="110"/>
      <c r="HQ15" s="110"/>
      <c r="HR15" s="110"/>
      <c r="HS15" s="110"/>
      <c r="HT15" s="110"/>
      <c r="HU15" s="110"/>
      <c r="HV15" s="110"/>
      <c r="HW15" s="110"/>
      <c r="HX15" s="110"/>
      <c r="HY15" s="110"/>
      <c r="HZ15" s="110"/>
      <c r="IA15" s="110"/>
      <c r="IB15" s="110"/>
      <c r="IC15" s="110"/>
      <c r="ID15" s="110"/>
      <c r="IE15" s="110"/>
      <c r="IF15" s="110"/>
      <c r="IG15" s="110"/>
      <c r="IH15" s="110"/>
      <c r="II15" s="110"/>
      <c r="IJ15" s="110"/>
      <c r="IK15" s="110"/>
      <c r="IL15" s="110"/>
      <c r="IM15" s="110"/>
      <c r="IN15" s="110"/>
      <c r="IO15" s="110"/>
      <c r="IP15" s="110"/>
      <c r="IQ15" s="110"/>
      <c r="IR15" s="110"/>
      <c r="IS15" s="110"/>
      <c r="IT15" s="110"/>
      <c r="IU15" s="110"/>
      <c r="IV15" s="110"/>
      <c r="IW15" s="110"/>
    </row>
    <row r="16" customFormat="false" ht="32.5" hidden="false" customHeight="false" outlineLevel="0" collapsed="false">
      <c r="A16" s="116" t="s">
        <v>97</v>
      </c>
      <c r="B16" s="117" t="n">
        <f aca="false">L9/1000</f>
        <v>162.77179</v>
      </c>
      <c r="C16" s="118" t="n">
        <f aca="false">L10/1000</f>
        <v>143.0508</v>
      </c>
      <c r="D16" s="118" t="n">
        <f aca="false">C16-B16</f>
        <v>-19.72099</v>
      </c>
      <c r="E16" s="118" t="n">
        <f aca="false">SUM(C9:N9)/1000</f>
        <v>1878.7148</v>
      </c>
      <c r="F16" s="118" t="n">
        <f aca="false">SUM(C10:N10)/1000</f>
        <v>1562.49967</v>
      </c>
      <c r="G16" s="119" t="n">
        <f aca="false">F16-E16</f>
        <v>-316.21513</v>
      </c>
      <c r="H16" s="120" t="n">
        <f aca="false">K10/1000</f>
        <v>157.584</v>
      </c>
      <c r="I16" s="118" t="n">
        <f aca="false">C16-H16</f>
        <v>-14.5332</v>
      </c>
      <c r="J16" s="121" t="n">
        <f aca="false">I16/H16</f>
        <v>-0.092225098994822</v>
      </c>
      <c r="K16" s="122"/>
      <c r="L16" s="110"/>
      <c r="M16" s="111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110"/>
      <c r="DL16" s="110"/>
      <c r="DM16" s="110"/>
      <c r="DN16" s="110"/>
      <c r="DO16" s="110"/>
      <c r="DP16" s="110"/>
      <c r="DQ16" s="110"/>
      <c r="DR16" s="110"/>
      <c r="DS16" s="110"/>
      <c r="DT16" s="110"/>
      <c r="DU16" s="110"/>
      <c r="DV16" s="110"/>
      <c r="DW16" s="110"/>
      <c r="DX16" s="110"/>
      <c r="DY16" s="110"/>
      <c r="DZ16" s="110"/>
      <c r="EA16" s="110"/>
      <c r="EB16" s="110"/>
      <c r="EC16" s="110"/>
      <c r="ED16" s="110"/>
      <c r="EE16" s="110"/>
      <c r="EF16" s="110"/>
      <c r="EG16" s="110"/>
      <c r="EH16" s="110"/>
      <c r="EI16" s="110"/>
      <c r="EJ16" s="110"/>
      <c r="EK16" s="110"/>
      <c r="EL16" s="110"/>
      <c r="EM16" s="110"/>
      <c r="EN16" s="110"/>
      <c r="EO16" s="110"/>
      <c r="EP16" s="110"/>
      <c r="EQ16" s="110"/>
      <c r="ER16" s="110"/>
      <c r="ES16" s="110"/>
      <c r="ET16" s="110"/>
      <c r="EU16" s="110"/>
      <c r="EV16" s="110"/>
      <c r="EW16" s="110"/>
      <c r="EX16" s="110"/>
      <c r="EY16" s="110"/>
      <c r="EZ16" s="110"/>
      <c r="FA16" s="110"/>
      <c r="FB16" s="110"/>
      <c r="FC16" s="110"/>
      <c r="FD16" s="110"/>
      <c r="FE16" s="110"/>
      <c r="FF16" s="110"/>
      <c r="FG16" s="110"/>
      <c r="FH16" s="110"/>
      <c r="FI16" s="110"/>
      <c r="FJ16" s="110"/>
      <c r="FK16" s="110"/>
      <c r="FL16" s="110"/>
      <c r="FM16" s="110"/>
      <c r="FN16" s="110"/>
      <c r="FO16" s="110"/>
      <c r="FP16" s="110"/>
      <c r="FQ16" s="110"/>
      <c r="FR16" s="110"/>
      <c r="FS16" s="110"/>
      <c r="FT16" s="110"/>
      <c r="FU16" s="110"/>
      <c r="FV16" s="110"/>
      <c r="FW16" s="110"/>
      <c r="FX16" s="110"/>
      <c r="FY16" s="110"/>
      <c r="FZ16" s="110"/>
      <c r="GA16" s="110"/>
      <c r="GB16" s="110"/>
      <c r="GC16" s="110"/>
      <c r="GD16" s="110"/>
      <c r="GE16" s="110"/>
      <c r="GF16" s="110"/>
      <c r="GG16" s="110"/>
      <c r="GH16" s="110"/>
      <c r="GI16" s="110"/>
      <c r="GJ16" s="110"/>
      <c r="GK16" s="110"/>
      <c r="GL16" s="110"/>
      <c r="GM16" s="110"/>
      <c r="GN16" s="110"/>
      <c r="GO16" s="110"/>
      <c r="GP16" s="110"/>
      <c r="GQ16" s="110"/>
      <c r="GR16" s="110"/>
      <c r="GS16" s="110"/>
      <c r="GT16" s="110"/>
      <c r="GU16" s="110"/>
      <c r="GV16" s="110"/>
      <c r="GW16" s="110"/>
      <c r="GX16" s="110"/>
      <c r="GY16" s="110"/>
      <c r="GZ16" s="110"/>
      <c r="HA16" s="110"/>
      <c r="HB16" s="110"/>
      <c r="HC16" s="110"/>
      <c r="HD16" s="110"/>
      <c r="HE16" s="110"/>
      <c r="HF16" s="110"/>
      <c r="HG16" s="110"/>
      <c r="HH16" s="110"/>
      <c r="HI16" s="110"/>
      <c r="HJ16" s="110"/>
      <c r="HK16" s="110"/>
      <c r="HL16" s="110"/>
      <c r="HM16" s="110"/>
      <c r="HN16" s="110"/>
      <c r="HO16" s="110"/>
      <c r="HP16" s="110"/>
      <c r="HQ16" s="110"/>
      <c r="HR16" s="110"/>
      <c r="HS16" s="110"/>
      <c r="HT16" s="110"/>
      <c r="HU16" s="110"/>
      <c r="HV16" s="110"/>
      <c r="HW16" s="110"/>
      <c r="HX16" s="110"/>
      <c r="HY16" s="110"/>
      <c r="HZ16" s="110"/>
      <c r="IA16" s="110"/>
      <c r="IB16" s="110"/>
      <c r="IC16" s="110"/>
      <c r="ID16" s="110"/>
      <c r="IE16" s="110"/>
      <c r="IF16" s="110"/>
      <c r="IG16" s="110"/>
      <c r="IH16" s="110"/>
      <c r="II16" s="110"/>
      <c r="IJ16" s="110"/>
      <c r="IK16" s="110"/>
      <c r="IL16" s="110"/>
      <c r="IM16" s="110"/>
      <c r="IN16" s="110"/>
      <c r="IO16" s="110"/>
      <c r="IP16" s="110"/>
      <c r="IQ16" s="110"/>
      <c r="IR16" s="110"/>
      <c r="IS16" s="110"/>
      <c r="IT16" s="110"/>
      <c r="IU16" s="110"/>
      <c r="IV16" s="110"/>
      <c r="IW16" s="110"/>
    </row>
    <row r="17" customFormat="false" ht="18" hidden="false" customHeight="true" outlineLevel="0" collapsed="false"/>
    <row r="18" customFormat="false" ht="18" hidden="false" customHeight="true" outlineLevel="0" collapsed="false">
      <c r="A18" s="123" t="s">
        <v>91</v>
      </c>
      <c r="B18" s="124" t="s">
        <v>66</v>
      </c>
      <c r="C18" s="124" t="s">
        <v>98</v>
      </c>
      <c r="D18" s="124"/>
      <c r="E18" s="125"/>
      <c r="F18" s="126"/>
      <c r="G18" s="126"/>
      <c r="H18" s="126"/>
      <c r="I18" s="126"/>
      <c r="J18" s="126"/>
      <c r="K18" s="126"/>
      <c r="L18" s="126"/>
      <c r="M18" s="126"/>
      <c r="N18" s="126"/>
      <c r="O18" s="127"/>
    </row>
    <row r="19" customFormat="false" ht="18" hidden="false" customHeight="true" outlineLevel="0" collapsed="false">
      <c r="A19" s="128"/>
      <c r="B19" s="124"/>
      <c r="C19" s="129" t="s">
        <v>99</v>
      </c>
      <c r="D19" s="129"/>
      <c r="E19" s="130" t="s">
        <v>100</v>
      </c>
      <c r="F19" s="131"/>
      <c r="G19" s="131" t="s">
        <v>101</v>
      </c>
      <c r="H19" s="131"/>
      <c r="I19" s="131"/>
      <c r="J19" s="131"/>
      <c r="K19" s="131"/>
      <c r="L19" s="131"/>
      <c r="M19" s="131"/>
      <c r="N19" s="131"/>
      <c r="O19" s="132"/>
    </row>
    <row r="20" customFormat="false" ht="18" hidden="false" customHeight="true" outlineLevel="0" collapsed="false">
      <c r="A20" s="133" t="s">
        <v>102</v>
      </c>
      <c r="B20" s="134" t="s">
        <v>67</v>
      </c>
      <c r="C20" s="134" t="s">
        <v>98</v>
      </c>
      <c r="D20" s="134"/>
      <c r="E20" s="130"/>
      <c r="F20" s="131"/>
      <c r="G20" s="131"/>
      <c r="H20" s="131"/>
      <c r="I20" s="131"/>
      <c r="J20" s="131"/>
      <c r="K20" s="131"/>
      <c r="L20" s="131"/>
      <c r="M20" s="131"/>
      <c r="N20" s="131"/>
      <c r="O20" s="132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/>
      <c r="HD20" s="64"/>
      <c r="HE20" s="64"/>
      <c r="HF20" s="64"/>
      <c r="HG20" s="64"/>
      <c r="HH20" s="64"/>
      <c r="HI20" s="64"/>
      <c r="HJ20" s="64"/>
      <c r="HK20" s="64"/>
      <c r="HL20" s="64"/>
      <c r="HM20" s="64"/>
      <c r="HN20" s="64"/>
      <c r="HO20" s="64"/>
      <c r="HP20" s="64"/>
      <c r="HQ20" s="64"/>
      <c r="HR20" s="64"/>
      <c r="HS20" s="64"/>
      <c r="HT20" s="64"/>
      <c r="HU20" s="64"/>
      <c r="HV20" s="64"/>
      <c r="HW20" s="64"/>
      <c r="HX20" s="64"/>
      <c r="HY20" s="64"/>
      <c r="HZ20" s="64"/>
      <c r="IA20" s="64"/>
      <c r="IB20" s="64"/>
      <c r="IC20" s="64"/>
      <c r="ID20" s="64"/>
      <c r="IE20" s="64"/>
      <c r="IF20" s="64"/>
      <c r="IG20" s="64"/>
      <c r="IH20" s="64"/>
      <c r="II20" s="64"/>
      <c r="IJ20" s="64"/>
      <c r="IK20" s="64"/>
      <c r="IL20" s="64"/>
      <c r="IM20" s="64"/>
      <c r="IN20" s="64"/>
      <c r="IO20" s="64"/>
      <c r="IP20" s="64"/>
      <c r="IQ20" s="64"/>
      <c r="IR20" s="64"/>
      <c r="IS20" s="64"/>
      <c r="IT20" s="64"/>
      <c r="IU20" s="64"/>
      <c r="IV20" s="64"/>
      <c r="IW20" s="64"/>
    </row>
    <row r="21" customFormat="false" ht="18" hidden="false" customHeight="true" outlineLevel="0" collapsed="false">
      <c r="A21" s="133"/>
      <c r="B21" s="134"/>
      <c r="C21" s="129" t="s">
        <v>99</v>
      </c>
      <c r="D21" s="129"/>
      <c r="E21" s="130" t="s">
        <v>103</v>
      </c>
      <c r="F21" s="131"/>
      <c r="G21" s="131" t="s">
        <v>104</v>
      </c>
      <c r="H21" s="131"/>
      <c r="I21" s="131"/>
      <c r="J21" s="131"/>
      <c r="K21" s="131"/>
      <c r="L21" s="131"/>
      <c r="M21" s="131"/>
      <c r="N21" s="131"/>
      <c r="O21" s="132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/>
      <c r="HD21" s="64"/>
      <c r="HE21" s="64"/>
      <c r="HF21" s="64"/>
      <c r="HG21" s="64"/>
      <c r="HH21" s="64"/>
      <c r="HI21" s="64"/>
      <c r="HJ21" s="64"/>
      <c r="HK21" s="64"/>
      <c r="HL21" s="64"/>
      <c r="HM21" s="64"/>
      <c r="HN21" s="64"/>
      <c r="HO21" s="64"/>
      <c r="HP21" s="64"/>
      <c r="HQ21" s="64"/>
      <c r="HR21" s="64"/>
      <c r="HS21" s="64"/>
      <c r="HT21" s="64"/>
      <c r="HU21" s="64"/>
      <c r="HV21" s="64"/>
      <c r="HW21" s="64"/>
      <c r="HX21" s="64"/>
      <c r="HY21" s="64"/>
      <c r="HZ21" s="64"/>
      <c r="IA21" s="64"/>
      <c r="IB21" s="64"/>
      <c r="IC21" s="64"/>
      <c r="ID21" s="64"/>
      <c r="IE21" s="64"/>
      <c r="IF21" s="64"/>
      <c r="IG21" s="64"/>
      <c r="IH21" s="64"/>
      <c r="II21" s="64"/>
      <c r="IJ21" s="64"/>
      <c r="IK21" s="64"/>
      <c r="IL21" s="64"/>
      <c r="IM21" s="64"/>
      <c r="IN21" s="64"/>
      <c r="IO21" s="64"/>
      <c r="IP21" s="64"/>
      <c r="IQ21" s="64"/>
      <c r="IR21" s="64"/>
      <c r="IS21" s="64"/>
      <c r="IT21" s="64"/>
      <c r="IU21" s="64"/>
      <c r="IV21" s="64"/>
      <c r="IW21" s="64"/>
    </row>
    <row r="22" customFormat="false" ht="18" hidden="false" customHeight="true" outlineLevel="0" collapsed="false">
      <c r="A22" s="135"/>
      <c r="B22" s="134" t="s">
        <v>68</v>
      </c>
      <c r="C22" s="134" t="s">
        <v>98</v>
      </c>
      <c r="D22" s="134"/>
      <c r="E22" s="130" t="s">
        <v>105</v>
      </c>
      <c r="F22" s="136"/>
      <c r="G22" s="136"/>
      <c r="H22" s="136"/>
      <c r="I22" s="136"/>
      <c r="J22" s="136"/>
      <c r="K22" s="136"/>
      <c r="L22" s="136"/>
      <c r="M22" s="136"/>
      <c r="N22" s="136"/>
      <c r="O22" s="137"/>
    </row>
    <row r="23" customFormat="false" ht="18" hidden="false" customHeight="true" outlineLevel="0" collapsed="false">
      <c r="A23" s="135"/>
      <c r="B23" s="134"/>
      <c r="C23" s="129" t="s">
        <v>99</v>
      </c>
      <c r="D23" s="129"/>
      <c r="E23" s="130" t="s">
        <v>106</v>
      </c>
      <c r="F23" s="136"/>
      <c r="G23" s="136"/>
      <c r="H23" s="136"/>
      <c r="I23" s="136"/>
      <c r="J23" s="136"/>
      <c r="K23" s="136"/>
      <c r="L23" s="136"/>
      <c r="M23" s="136"/>
      <c r="N23" s="136"/>
      <c r="O23" s="137"/>
    </row>
    <row r="24" customFormat="false" ht="18" hidden="false" customHeight="true" outlineLevel="0" collapsed="false">
      <c r="A24" s="135"/>
      <c r="B24" s="138" t="s">
        <v>69</v>
      </c>
      <c r="C24" s="134" t="s">
        <v>98</v>
      </c>
      <c r="D24" s="134"/>
      <c r="E24" s="130"/>
      <c r="F24" s="136"/>
      <c r="G24" s="136"/>
      <c r="H24" s="136"/>
      <c r="I24" s="136"/>
      <c r="J24" s="136"/>
      <c r="K24" s="136"/>
      <c r="L24" s="136"/>
      <c r="M24" s="136"/>
      <c r="N24" s="136"/>
      <c r="O24" s="137"/>
    </row>
    <row r="25" customFormat="false" ht="18" hidden="false" customHeight="true" outlineLevel="0" collapsed="false">
      <c r="A25" s="135"/>
      <c r="B25" s="138"/>
      <c r="C25" s="138" t="s">
        <v>99</v>
      </c>
      <c r="D25" s="138"/>
      <c r="E25" s="130" t="s">
        <v>107</v>
      </c>
      <c r="F25" s="136"/>
      <c r="G25" s="136"/>
      <c r="H25" s="136"/>
      <c r="I25" s="136"/>
      <c r="J25" s="136"/>
      <c r="K25" s="136"/>
      <c r="L25" s="136"/>
      <c r="M25" s="136"/>
      <c r="N25" s="136"/>
      <c r="O25" s="137"/>
    </row>
    <row r="26" customFormat="false" ht="18" hidden="false" customHeight="true" outlineLevel="0" collapsed="false">
      <c r="A26" s="135"/>
      <c r="B26" s="134" t="s">
        <v>70</v>
      </c>
      <c r="C26" s="134" t="s">
        <v>98</v>
      </c>
      <c r="D26" s="134"/>
      <c r="E26" s="130"/>
      <c r="F26" s="136"/>
      <c r="G26" s="136"/>
      <c r="H26" s="136"/>
      <c r="I26" s="136"/>
      <c r="J26" s="136"/>
      <c r="K26" s="136"/>
      <c r="L26" s="136"/>
      <c r="M26" s="136"/>
      <c r="N26" s="136"/>
      <c r="O26" s="137"/>
    </row>
    <row r="27" customFormat="false" ht="18" hidden="false" customHeight="true" outlineLevel="0" collapsed="false">
      <c r="A27" s="135"/>
      <c r="B27" s="134"/>
      <c r="C27" s="138" t="s">
        <v>99</v>
      </c>
      <c r="D27" s="138"/>
      <c r="E27" s="130" t="s">
        <v>108</v>
      </c>
      <c r="F27" s="136"/>
      <c r="G27" s="136"/>
      <c r="H27" s="136"/>
      <c r="I27" s="136"/>
      <c r="J27" s="136"/>
      <c r="K27" s="136"/>
      <c r="L27" s="136"/>
      <c r="M27" s="136"/>
      <c r="N27" s="136"/>
      <c r="O27" s="137"/>
    </row>
    <row r="28" customFormat="false" ht="18" hidden="false" customHeight="true" outlineLevel="0" collapsed="false">
      <c r="A28" s="135"/>
      <c r="B28" s="138" t="s">
        <v>71</v>
      </c>
      <c r="C28" s="139" t="s">
        <v>98</v>
      </c>
      <c r="D28" s="139"/>
      <c r="E28" s="130"/>
      <c r="F28" s="136"/>
      <c r="G28" s="136"/>
      <c r="H28" s="136"/>
      <c r="I28" s="136"/>
      <c r="J28" s="136"/>
      <c r="K28" s="136"/>
      <c r="L28" s="136"/>
      <c r="M28" s="136"/>
      <c r="N28" s="136"/>
      <c r="O28" s="137"/>
    </row>
    <row r="29" customFormat="false" ht="18" hidden="false" customHeight="true" outlineLevel="0" collapsed="false">
      <c r="A29" s="135"/>
      <c r="B29" s="138"/>
      <c r="C29" s="139" t="s">
        <v>99</v>
      </c>
      <c r="D29" s="139"/>
      <c r="E29" s="130" t="s">
        <v>109</v>
      </c>
      <c r="F29" s="136"/>
      <c r="G29" s="136"/>
      <c r="H29" s="136"/>
      <c r="I29" s="136"/>
      <c r="J29" s="136"/>
      <c r="K29" s="136"/>
      <c r="L29" s="136"/>
      <c r="M29" s="136"/>
      <c r="N29" s="136"/>
      <c r="O29" s="137"/>
    </row>
    <row r="30" customFormat="false" ht="18" hidden="false" customHeight="true" outlineLevel="0" collapsed="false">
      <c r="A30" s="135"/>
      <c r="B30" s="134" t="s">
        <v>72</v>
      </c>
      <c r="C30" s="139" t="s">
        <v>98</v>
      </c>
      <c r="D30" s="139"/>
      <c r="E30" s="140"/>
      <c r="F30" s="136"/>
      <c r="G30" s="136"/>
      <c r="H30" s="136"/>
      <c r="I30" s="136"/>
      <c r="J30" s="136"/>
      <c r="K30" s="136"/>
      <c r="L30" s="136"/>
      <c r="M30" s="136"/>
      <c r="N30" s="136"/>
      <c r="O30" s="137"/>
    </row>
    <row r="31" customFormat="false" ht="18" hidden="false" customHeight="true" outlineLevel="0" collapsed="false">
      <c r="A31" s="135"/>
      <c r="B31" s="134"/>
      <c r="C31" s="139" t="s">
        <v>99</v>
      </c>
      <c r="D31" s="139"/>
      <c r="E31" s="140" t="s">
        <v>110</v>
      </c>
      <c r="F31" s="136"/>
      <c r="G31" s="136"/>
      <c r="H31" s="136"/>
      <c r="I31" s="136"/>
      <c r="J31" s="136"/>
      <c r="K31" s="136"/>
      <c r="L31" s="136"/>
      <c r="M31" s="136"/>
      <c r="N31" s="136"/>
      <c r="O31" s="137"/>
    </row>
    <row r="32" customFormat="false" ht="18" hidden="false" customHeight="true" outlineLevel="0" collapsed="false">
      <c r="A32" s="135"/>
      <c r="B32" s="138" t="s">
        <v>73</v>
      </c>
      <c r="C32" s="139" t="s">
        <v>98</v>
      </c>
      <c r="D32" s="139"/>
      <c r="E32" s="130"/>
      <c r="F32" s="141"/>
      <c r="G32" s="141"/>
      <c r="H32" s="141"/>
      <c r="I32" s="141"/>
      <c r="J32" s="141"/>
      <c r="K32" s="141"/>
      <c r="L32" s="141"/>
      <c r="M32" s="141"/>
      <c r="N32" s="141"/>
      <c r="O32" s="142"/>
    </row>
    <row r="33" customFormat="false" ht="18" hidden="false" customHeight="true" outlineLevel="0" collapsed="false">
      <c r="A33" s="135"/>
      <c r="B33" s="138"/>
      <c r="C33" s="139" t="s">
        <v>99</v>
      </c>
      <c r="D33" s="139"/>
      <c r="E33" s="130" t="s">
        <v>111</v>
      </c>
      <c r="F33" s="141"/>
      <c r="G33" s="141"/>
      <c r="H33" s="141"/>
      <c r="I33" s="141"/>
      <c r="J33" s="141"/>
      <c r="K33" s="141"/>
      <c r="L33" s="141"/>
      <c r="M33" s="141"/>
      <c r="N33" s="141"/>
      <c r="O33" s="142"/>
    </row>
    <row r="34" customFormat="false" ht="18" hidden="false" customHeight="true" outlineLevel="0" collapsed="false">
      <c r="A34" s="135"/>
      <c r="B34" s="134" t="s">
        <v>74</v>
      </c>
      <c r="C34" s="139" t="s">
        <v>98</v>
      </c>
      <c r="D34" s="139"/>
      <c r="E34" s="130"/>
      <c r="F34" s="136"/>
      <c r="G34" s="136"/>
      <c r="H34" s="136"/>
      <c r="I34" s="136"/>
      <c r="J34" s="136"/>
      <c r="K34" s="136"/>
      <c r="L34" s="136"/>
      <c r="M34" s="136"/>
      <c r="N34" s="136"/>
      <c r="O34" s="137"/>
    </row>
    <row r="35" customFormat="false" ht="18" hidden="false" customHeight="true" outlineLevel="0" collapsed="false">
      <c r="A35" s="135"/>
      <c r="B35" s="134"/>
      <c r="C35" s="139" t="s">
        <v>99</v>
      </c>
      <c r="D35" s="139"/>
      <c r="E35" s="130" t="s">
        <v>112</v>
      </c>
      <c r="F35" s="136"/>
      <c r="G35" s="136"/>
      <c r="H35" s="136"/>
      <c r="I35" s="136"/>
      <c r="J35" s="136"/>
      <c r="K35" s="136"/>
      <c r="L35" s="136"/>
      <c r="M35" s="136"/>
      <c r="N35" s="136"/>
      <c r="O35" s="137"/>
    </row>
    <row r="36" customFormat="false" ht="18" hidden="false" customHeight="true" outlineLevel="0" collapsed="false">
      <c r="A36" s="135"/>
      <c r="B36" s="138" t="s">
        <v>75</v>
      </c>
      <c r="C36" s="139" t="s">
        <v>98</v>
      </c>
      <c r="D36" s="139"/>
      <c r="E36" s="130"/>
      <c r="F36" s="136"/>
      <c r="G36" s="136"/>
      <c r="H36" s="136"/>
      <c r="I36" s="136"/>
      <c r="J36" s="136"/>
      <c r="K36" s="136"/>
      <c r="L36" s="136"/>
      <c r="M36" s="136"/>
      <c r="N36" s="136"/>
      <c r="O36" s="137"/>
    </row>
    <row r="37" customFormat="false" ht="18" hidden="false" customHeight="true" outlineLevel="0" collapsed="false">
      <c r="A37" s="135"/>
      <c r="B37" s="138"/>
      <c r="C37" s="139" t="s">
        <v>99</v>
      </c>
      <c r="D37" s="139"/>
      <c r="E37" s="130" t="s">
        <v>113</v>
      </c>
      <c r="F37" s="136"/>
      <c r="G37" s="136"/>
      <c r="H37" s="136"/>
      <c r="I37" s="136"/>
      <c r="J37" s="136"/>
      <c r="K37" s="136"/>
      <c r="L37" s="136"/>
      <c r="M37" s="136"/>
      <c r="N37" s="136"/>
      <c r="O37" s="137"/>
    </row>
    <row r="38" customFormat="false" ht="18" hidden="false" customHeight="true" outlineLevel="0" collapsed="false">
      <c r="A38" s="135"/>
      <c r="B38" s="134" t="s">
        <v>76</v>
      </c>
      <c r="C38" s="139" t="s">
        <v>98</v>
      </c>
      <c r="D38" s="139"/>
      <c r="E38" s="130"/>
      <c r="F38" s="136"/>
      <c r="G38" s="136"/>
      <c r="H38" s="136"/>
      <c r="I38" s="136"/>
      <c r="J38" s="136"/>
      <c r="K38" s="136"/>
      <c r="L38" s="136"/>
      <c r="M38" s="136"/>
      <c r="N38" s="136"/>
      <c r="O38" s="137"/>
    </row>
    <row r="39" customFormat="false" ht="18" hidden="false" customHeight="true" outlineLevel="0" collapsed="false">
      <c r="A39" s="135"/>
      <c r="B39" s="134"/>
      <c r="C39" s="139" t="s">
        <v>99</v>
      </c>
      <c r="D39" s="139"/>
      <c r="E39" s="130"/>
      <c r="F39" s="136"/>
      <c r="G39" s="136"/>
      <c r="H39" s="136"/>
      <c r="I39" s="136"/>
      <c r="J39" s="136"/>
      <c r="K39" s="136"/>
      <c r="L39" s="136"/>
      <c r="M39" s="136"/>
      <c r="N39" s="136"/>
      <c r="O39" s="137"/>
    </row>
    <row r="40" customFormat="false" ht="18" hidden="false" customHeight="true" outlineLevel="0" collapsed="false">
      <c r="A40" s="143"/>
      <c r="B40" s="144" t="s">
        <v>77</v>
      </c>
      <c r="C40" s="139" t="s">
        <v>98</v>
      </c>
      <c r="D40" s="139"/>
      <c r="E40" s="145"/>
      <c r="F40" s="104"/>
      <c r="G40" s="104"/>
      <c r="H40" s="104"/>
      <c r="I40" s="104"/>
      <c r="J40" s="104"/>
      <c r="K40" s="104"/>
      <c r="L40" s="104"/>
      <c r="M40" s="104"/>
      <c r="N40" s="104"/>
      <c r="O40" s="146"/>
    </row>
    <row r="41" customFormat="false" ht="18" hidden="false" customHeight="true" outlineLevel="0" collapsed="false">
      <c r="A41" s="147"/>
      <c r="B41" s="144"/>
      <c r="C41" s="144" t="s">
        <v>99</v>
      </c>
      <c r="D41" s="144"/>
      <c r="E41" s="148"/>
      <c r="F41" s="149"/>
      <c r="G41" s="149"/>
      <c r="H41" s="149"/>
      <c r="I41" s="149"/>
      <c r="J41" s="149"/>
      <c r="K41" s="149"/>
      <c r="L41" s="149"/>
      <c r="M41" s="149"/>
      <c r="N41" s="149"/>
      <c r="O41" s="150"/>
    </row>
    <row r="42" customFormat="false" ht="18" hidden="false" customHeight="true" outlineLevel="0" collapsed="false">
      <c r="A42" s="104"/>
      <c r="B42" s="101"/>
      <c r="C42" s="101"/>
      <c r="D42" s="101"/>
      <c r="E42" s="151"/>
      <c r="F42" s="104"/>
      <c r="G42" s="104"/>
      <c r="H42" s="104"/>
      <c r="I42" s="104"/>
      <c r="J42" s="104"/>
      <c r="K42" s="104"/>
      <c r="L42" s="104"/>
      <c r="M42" s="104"/>
      <c r="N42" s="104"/>
      <c r="O42" s="104"/>
    </row>
  </sheetData>
  <mergeCells count="48">
    <mergeCell ref="A1:O1"/>
    <mergeCell ref="N3:O3"/>
    <mergeCell ref="A4:B4"/>
    <mergeCell ref="A5:A6"/>
    <mergeCell ref="A7:A8"/>
    <mergeCell ref="A9:A10"/>
    <mergeCell ref="A12:B12"/>
    <mergeCell ref="A14:A15"/>
    <mergeCell ref="B14:D14"/>
    <mergeCell ref="E14:G14"/>
    <mergeCell ref="I14:J14"/>
    <mergeCell ref="K14:K15"/>
    <mergeCell ref="B18:B19"/>
    <mergeCell ref="C18:D18"/>
    <mergeCell ref="C19:D19"/>
    <mergeCell ref="B20:B21"/>
    <mergeCell ref="C20:D20"/>
    <mergeCell ref="C21:D21"/>
    <mergeCell ref="B22:B23"/>
    <mergeCell ref="C22:D22"/>
    <mergeCell ref="C23:D23"/>
    <mergeCell ref="B24:B25"/>
    <mergeCell ref="C24:D24"/>
    <mergeCell ref="C25:D25"/>
    <mergeCell ref="B26:B27"/>
    <mergeCell ref="C26:D26"/>
    <mergeCell ref="C27:D27"/>
    <mergeCell ref="B28:B29"/>
    <mergeCell ref="C28:D28"/>
    <mergeCell ref="C29:D29"/>
    <mergeCell ref="B30:B31"/>
    <mergeCell ref="C30:D30"/>
    <mergeCell ref="C31:D31"/>
    <mergeCell ref="B32:B33"/>
    <mergeCell ref="C32:D32"/>
    <mergeCell ref="C33:D33"/>
    <mergeCell ref="B34:B35"/>
    <mergeCell ref="C34:D34"/>
    <mergeCell ref="C35:D35"/>
    <mergeCell ref="B36:B37"/>
    <mergeCell ref="C36:D36"/>
    <mergeCell ref="C37:D37"/>
    <mergeCell ref="B38:B39"/>
    <mergeCell ref="C38:D38"/>
    <mergeCell ref="C39:D39"/>
    <mergeCell ref="B40:B41"/>
    <mergeCell ref="C40:D40"/>
    <mergeCell ref="C41:D41"/>
  </mergeCells>
  <printOptions headings="false" gridLines="false" gridLinesSet="true" horizontalCentered="false" verticalCentered="false"/>
  <pageMargins left="0.315277777777778" right="0.157638888888889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:L5"/>
    </sheetView>
  </sheetViews>
  <sheetFormatPr defaultColWidth="8.91015625" defaultRowHeight="16" customHeight="false" zeroHeight="false" outlineLevelRow="0" outlineLevelCol="0"/>
  <cols>
    <col collapsed="false" customWidth="true" hidden="false" outlineLevel="0" max="1" min="1" style="63" width="11.24"/>
    <col collapsed="false" customWidth="false" hidden="false" outlineLevel="0" max="2" min="2" style="63" width="8.91"/>
    <col collapsed="false" customWidth="true" hidden="false" outlineLevel="0" max="3" min="3" style="63" width="9.33"/>
    <col collapsed="false" customWidth="true" hidden="false" outlineLevel="0" max="4" min="4" style="63" width="9.66"/>
    <col collapsed="false" customWidth="true" hidden="false" outlineLevel="0" max="6" min="5" style="64" width="9.33"/>
    <col collapsed="false" customWidth="true" hidden="false" outlineLevel="0" max="7" min="7" style="64" width="9.41"/>
    <col collapsed="false" customWidth="true" hidden="false" outlineLevel="0" max="8" min="8" style="64" width="9.33"/>
    <col collapsed="false" customWidth="true" hidden="false" outlineLevel="0" max="9" min="9" style="64" width="9.58"/>
    <col collapsed="false" customWidth="true" hidden="false" outlineLevel="0" max="10" min="10" style="64" width="9.33"/>
    <col collapsed="false" customWidth="true" hidden="false" outlineLevel="0" max="11" min="11" style="64" width="10.08"/>
    <col collapsed="false" customWidth="true" hidden="false" outlineLevel="0" max="12" min="12" style="64" width="9.91"/>
    <col collapsed="false" customWidth="true" hidden="false" outlineLevel="0" max="13" min="13" style="64" width="10.41"/>
    <col collapsed="false" customWidth="true" hidden="false" outlineLevel="0" max="14" min="14" style="63" width="10.24"/>
    <col collapsed="false" customWidth="true" hidden="false" outlineLevel="0" max="15" min="15" style="63" width="11.08"/>
    <col collapsed="false" customWidth="false" hidden="false" outlineLevel="0" max="257" min="16" style="63" width="8.91"/>
  </cols>
  <sheetData>
    <row r="1" customFormat="false" ht="21" hidden="false" customHeight="false" outlineLevel="0" collapsed="false">
      <c r="A1" s="65" t="s">
        <v>114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</row>
    <row r="2" customFormat="false" ht="16.5" hidden="false" customHeight="false" outlineLevel="0" collapsed="false">
      <c r="A2" s="70"/>
      <c r="B2" s="70"/>
      <c r="C2" s="71"/>
      <c r="D2" s="70"/>
      <c r="E2" s="72"/>
      <c r="F2" s="72"/>
      <c r="G2" s="72"/>
      <c r="H2" s="72"/>
      <c r="I2" s="72"/>
      <c r="J2" s="72"/>
      <c r="K2" s="72"/>
      <c r="L2" s="72"/>
      <c r="M2" s="72"/>
      <c r="N2" s="73"/>
      <c r="O2" s="73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  <c r="HM2" s="70"/>
      <c r="HN2" s="70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</row>
    <row r="3" customFormat="false" ht="20.15" hidden="false" customHeight="true" outlineLevel="0" collapsed="false">
      <c r="A3" s="152" t="s">
        <v>52</v>
      </c>
      <c r="B3" s="80" t="s">
        <v>102</v>
      </c>
      <c r="C3" s="76" t="s">
        <v>66</v>
      </c>
      <c r="D3" s="76" t="s">
        <v>67</v>
      </c>
      <c r="E3" s="76" t="s">
        <v>68</v>
      </c>
      <c r="F3" s="80" t="s">
        <v>69</v>
      </c>
      <c r="G3" s="79" t="s">
        <v>70</v>
      </c>
      <c r="H3" s="79" t="s">
        <v>71</v>
      </c>
      <c r="I3" s="76" t="s">
        <v>72</v>
      </c>
      <c r="J3" s="76" t="s">
        <v>73</v>
      </c>
      <c r="K3" s="75" t="s">
        <v>74</v>
      </c>
      <c r="L3" s="80" t="s">
        <v>75</v>
      </c>
      <c r="M3" s="81" t="s">
        <v>76</v>
      </c>
      <c r="N3" s="76" t="s">
        <v>77</v>
      </c>
      <c r="O3" s="82" t="s">
        <v>78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DP3" s="70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  <c r="EJ3" s="70"/>
      <c r="EK3" s="70"/>
      <c r="EL3" s="70"/>
      <c r="EM3" s="70"/>
      <c r="EN3" s="70"/>
      <c r="EO3" s="70"/>
      <c r="EP3" s="70"/>
      <c r="EQ3" s="70"/>
      <c r="ER3" s="70"/>
      <c r="ES3" s="70"/>
      <c r="ET3" s="70"/>
      <c r="EU3" s="70"/>
      <c r="EV3" s="70"/>
      <c r="EW3" s="70"/>
      <c r="EX3" s="70"/>
      <c r="EY3" s="70"/>
      <c r="EZ3" s="70"/>
      <c r="FA3" s="70"/>
      <c r="FB3" s="70"/>
      <c r="FC3" s="70"/>
      <c r="FD3" s="70"/>
      <c r="FE3" s="70"/>
      <c r="FF3" s="70"/>
      <c r="FG3" s="70"/>
      <c r="FH3" s="70"/>
      <c r="FI3" s="70"/>
      <c r="FJ3" s="70"/>
      <c r="FK3" s="70"/>
      <c r="FL3" s="70"/>
      <c r="FM3" s="70"/>
      <c r="FN3" s="70"/>
      <c r="FO3" s="70"/>
      <c r="FP3" s="70"/>
      <c r="FQ3" s="70"/>
      <c r="FR3" s="70"/>
      <c r="FS3" s="70"/>
      <c r="FT3" s="70"/>
      <c r="FU3" s="70"/>
      <c r="FV3" s="70"/>
      <c r="FW3" s="70"/>
      <c r="FX3" s="70"/>
      <c r="FY3" s="70"/>
      <c r="FZ3" s="70"/>
      <c r="GA3" s="70"/>
      <c r="GB3" s="70"/>
      <c r="GC3" s="70"/>
      <c r="GD3" s="70"/>
      <c r="GE3" s="70"/>
      <c r="GF3" s="70"/>
      <c r="GG3" s="70"/>
      <c r="GH3" s="70"/>
      <c r="GI3" s="70"/>
      <c r="GJ3" s="70"/>
      <c r="GK3" s="70"/>
      <c r="GL3" s="70"/>
      <c r="GM3" s="70"/>
      <c r="GN3" s="70"/>
      <c r="GO3" s="70"/>
      <c r="GP3" s="70"/>
      <c r="GQ3" s="70"/>
      <c r="GR3" s="70"/>
      <c r="GS3" s="70"/>
      <c r="GT3" s="70"/>
      <c r="GU3" s="70"/>
      <c r="GV3" s="70"/>
      <c r="GW3" s="70"/>
      <c r="GX3" s="70"/>
      <c r="GY3" s="70"/>
      <c r="GZ3" s="70"/>
      <c r="HA3" s="70"/>
      <c r="HB3" s="70"/>
      <c r="HC3" s="70"/>
      <c r="HD3" s="70"/>
      <c r="HE3" s="70"/>
      <c r="HF3" s="70"/>
      <c r="HG3" s="70"/>
      <c r="HH3" s="70"/>
      <c r="HI3" s="70"/>
      <c r="HJ3" s="70"/>
      <c r="HK3" s="70"/>
      <c r="HL3" s="70"/>
      <c r="HM3" s="70"/>
      <c r="HN3" s="70"/>
      <c r="HO3" s="70"/>
      <c r="HP3" s="70"/>
      <c r="HQ3" s="70"/>
      <c r="HR3" s="70"/>
      <c r="HS3" s="70"/>
      <c r="HT3" s="70"/>
      <c r="HU3" s="70"/>
      <c r="HV3" s="70"/>
      <c r="HW3" s="70"/>
      <c r="HX3" s="70"/>
      <c r="HY3" s="70"/>
      <c r="HZ3" s="70"/>
      <c r="IA3" s="70"/>
      <c r="IB3" s="70"/>
      <c r="IC3" s="70"/>
      <c r="ID3" s="70"/>
      <c r="IE3" s="70"/>
      <c r="IF3" s="70"/>
      <c r="IG3" s="70"/>
      <c r="IH3" s="70"/>
      <c r="II3" s="70"/>
      <c r="IJ3" s="70"/>
      <c r="IK3" s="70"/>
      <c r="IL3" s="70"/>
      <c r="IM3" s="70"/>
      <c r="IN3" s="70"/>
      <c r="IO3" s="70"/>
      <c r="IP3" s="70"/>
      <c r="IQ3" s="70"/>
      <c r="IR3" s="70"/>
      <c r="IS3" s="70"/>
      <c r="IT3" s="70"/>
      <c r="IU3" s="70"/>
      <c r="IV3" s="70"/>
      <c r="IW3" s="70"/>
    </row>
    <row r="4" customFormat="false" ht="18" hidden="false" customHeight="true" outlineLevel="0" collapsed="false">
      <c r="A4" s="153" t="s">
        <v>83</v>
      </c>
      <c r="B4" s="129" t="s">
        <v>115</v>
      </c>
      <c r="C4" s="91" t="n">
        <v>163458.5</v>
      </c>
      <c r="D4" s="91" t="n">
        <v>139889.8</v>
      </c>
      <c r="E4" s="91" t="n">
        <v>132995.5</v>
      </c>
      <c r="F4" s="91" t="n">
        <v>141391.5</v>
      </c>
      <c r="G4" s="91" t="n">
        <v>144176</v>
      </c>
      <c r="H4" s="91" t="n">
        <v>130786</v>
      </c>
      <c r="I4" s="91" t="n">
        <v>130333.6</v>
      </c>
      <c r="J4" s="91" t="n">
        <v>148377.5</v>
      </c>
      <c r="K4" s="91" t="n">
        <v>150361.5</v>
      </c>
      <c r="L4" s="91" t="n">
        <v>143293</v>
      </c>
      <c r="M4" s="91" t="n">
        <v>156543.32</v>
      </c>
      <c r="N4" s="91" t="n">
        <v>142524</v>
      </c>
      <c r="O4" s="154" t="n">
        <f aca="false">SUM(C4:N4)</f>
        <v>1724130.22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  <c r="IW4" s="72"/>
    </row>
    <row r="5" customFormat="false" ht="18" hidden="false" customHeight="true" outlineLevel="0" collapsed="false">
      <c r="A5" s="153"/>
      <c r="B5" s="95" t="s">
        <v>81</v>
      </c>
      <c r="C5" s="155" t="n">
        <f aca="false">'2. 2025년 사업계획대비'!C10</f>
        <v>145391</v>
      </c>
      <c r="D5" s="155" t="n">
        <f aca="false">'2. 2025년 사업계획대비'!D10</f>
        <v>163771.3</v>
      </c>
      <c r="E5" s="155" t="n">
        <f aca="false">'2. 2025년 사업계획대비'!E10</f>
        <v>175405.5</v>
      </c>
      <c r="F5" s="155" t="n">
        <f aca="false">'2. 2025년 사업계획대비'!F10</f>
        <v>149974.26</v>
      </c>
      <c r="G5" s="155" t="n">
        <f aca="false">'2. 2025년 사업계획대비'!G10</f>
        <v>158043</v>
      </c>
      <c r="H5" s="155" t="n">
        <f aca="false">'2. 2025년 사업계획대비'!H10</f>
        <v>154960.2</v>
      </c>
      <c r="I5" s="155" t="n">
        <f aca="false">'2. 2025년 사업계획대비'!I10</f>
        <v>154302.3</v>
      </c>
      <c r="J5" s="155" t="n">
        <f aca="false">'2. 2025년 사업계획대비'!J10</f>
        <v>160017.31</v>
      </c>
      <c r="K5" s="155" t="n">
        <f aca="false">'2. 2025년 사업계획대비'!K10</f>
        <v>157584</v>
      </c>
      <c r="L5" s="155" t="n">
        <f aca="false">'2. 2025년 사업계획대비'!L10</f>
        <v>143050.8</v>
      </c>
      <c r="M5" s="155" t="n">
        <f aca="false">'2. 2025년 사업계획대비'!M10</f>
        <v>0</v>
      </c>
      <c r="N5" s="155" t="n">
        <f aca="false">'2. 2025년 사업계획대비'!N10</f>
        <v>0</v>
      </c>
      <c r="O5" s="156" t="n">
        <f aca="false">SUM(C5:N5)</f>
        <v>1562499.67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  <c r="IW5" s="72"/>
    </row>
    <row r="6" customFormat="false" ht="18" hidden="false" customHeight="true" outlineLevel="0" collapsed="false">
      <c r="A6" s="98"/>
      <c r="B6" s="144" t="s">
        <v>85</v>
      </c>
      <c r="C6" s="99" t="n">
        <f aca="false">C5-C4</f>
        <v>-18067.5</v>
      </c>
      <c r="D6" s="99" t="n">
        <f aca="false">D5-D4</f>
        <v>23881.5</v>
      </c>
      <c r="E6" s="99" t="n">
        <f aca="false">E5-E4</f>
        <v>42410</v>
      </c>
      <c r="F6" s="99" t="n">
        <f aca="false">F5-F4</f>
        <v>8582.76000000001</v>
      </c>
      <c r="G6" s="99" t="n">
        <f aca="false">G5-G4</f>
        <v>13867</v>
      </c>
      <c r="H6" s="99" t="n">
        <f aca="false">H5-H4</f>
        <v>24174.2</v>
      </c>
      <c r="I6" s="99" t="n">
        <f aca="false">I5-I4</f>
        <v>23968.7</v>
      </c>
      <c r="J6" s="99" t="n">
        <f aca="false">J5-J4</f>
        <v>11639.81</v>
      </c>
      <c r="K6" s="99" t="n">
        <f aca="false">K5-K4</f>
        <v>7222.5</v>
      </c>
      <c r="L6" s="99" t="n">
        <f aca="false">L5-L4</f>
        <v>-242.200000000012</v>
      </c>
      <c r="M6" s="99" t="n">
        <f aca="false">M5-M4</f>
        <v>-156543.32</v>
      </c>
      <c r="N6" s="99" t="n">
        <f aca="false">N5-N4</f>
        <v>-142524</v>
      </c>
      <c r="O6" s="99" t="n">
        <f aca="false">O5-O4</f>
        <v>-161630.55</v>
      </c>
    </row>
    <row r="7" customFormat="false" ht="20.15" hidden="false" customHeight="true" outlineLevel="0" collapsed="false">
      <c r="A7" s="64"/>
      <c r="B7" s="64"/>
      <c r="C7" s="64"/>
      <c r="D7" s="157"/>
      <c r="N7" s="64"/>
      <c r="O7" s="64"/>
    </row>
    <row r="8" customFormat="false" ht="21" hidden="false" customHeight="false" outlineLevel="0" collapsed="false">
      <c r="A8" s="65" t="s">
        <v>116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8"/>
      <c r="EC8" s="158"/>
      <c r="ED8" s="158"/>
      <c r="EE8" s="158"/>
      <c r="EF8" s="158"/>
      <c r="EG8" s="158"/>
      <c r="EH8" s="158"/>
      <c r="EI8" s="158"/>
      <c r="EJ8" s="158"/>
      <c r="EK8" s="158"/>
      <c r="EL8" s="158"/>
      <c r="EM8" s="158"/>
      <c r="EN8" s="158"/>
      <c r="EO8" s="158"/>
      <c r="EP8" s="158"/>
      <c r="EQ8" s="158"/>
      <c r="ER8" s="158"/>
      <c r="ES8" s="158"/>
      <c r="ET8" s="158"/>
      <c r="EU8" s="158"/>
      <c r="EV8" s="158"/>
      <c r="EW8" s="158"/>
      <c r="EX8" s="158"/>
      <c r="EY8" s="158"/>
      <c r="EZ8" s="158"/>
      <c r="FA8" s="158"/>
      <c r="FB8" s="158"/>
      <c r="FC8" s="158"/>
      <c r="FD8" s="158"/>
      <c r="FE8" s="158"/>
      <c r="FF8" s="158"/>
      <c r="FG8" s="158"/>
      <c r="FH8" s="158"/>
      <c r="FI8" s="158"/>
      <c r="FJ8" s="158"/>
      <c r="FK8" s="158"/>
      <c r="FL8" s="158"/>
      <c r="FM8" s="158"/>
      <c r="FN8" s="158"/>
      <c r="FO8" s="158"/>
      <c r="FP8" s="158"/>
      <c r="FQ8" s="158"/>
      <c r="FR8" s="158"/>
      <c r="FS8" s="158"/>
      <c r="FT8" s="158"/>
      <c r="FU8" s="158"/>
      <c r="FV8" s="158"/>
      <c r="FW8" s="158"/>
      <c r="FX8" s="158"/>
      <c r="FY8" s="158"/>
      <c r="FZ8" s="158"/>
      <c r="GA8" s="158"/>
      <c r="GB8" s="158"/>
      <c r="GC8" s="158"/>
      <c r="GD8" s="158"/>
      <c r="GE8" s="158"/>
      <c r="GF8" s="158"/>
      <c r="GG8" s="158"/>
      <c r="GH8" s="158"/>
      <c r="GI8" s="158"/>
      <c r="GJ8" s="158"/>
      <c r="GK8" s="158"/>
      <c r="GL8" s="158"/>
      <c r="GM8" s="158"/>
      <c r="GN8" s="158"/>
      <c r="GO8" s="158"/>
      <c r="GP8" s="158"/>
      <c r="GQ8" s="158"/>
      <c r="GR8" s="158"/>
      <c r="GS8" s="158"/>
      <c r="GT8" s="158"/>
      <c r="GU8" s="158"/>
      <c r="GV8" s="158"/>
      <c r="GW8" s="158"/>
      <c r="GX8" s="158"/>
      <c r="GY8" s="158"/>
      <c r="GZ8" s="158"/>
      <c r="HA8" s="158"/>
      <c r="HB8" s="158"/>
      <c r="HC8" s="158"/>
      <c r="HD8" s="158"/>
      <c r="HE8" s="158"/>
      <c r="HF8" s="158"/>
      <c r="HG8" s="158"/>
      <c r="HH8" s="158"/>
      <c r="HI8" s="158"/>
      <c r="HJ8" s="158"/>
      <c r="HK8" s="158"/>
      <c r="HL8" s="158"/>
      <c r="HM8" s="158"/>
      <c r="HN8" s="158"/>
      <c r="HO8" s="158"/>
      <c r="HP8" s="158"/>
      <c r="HQ8" s="158"/>
      <c r="HR8" s="158"/>
      <c r="HS8" s="158"/>
      <c r="HT8" s="158"/>
      <c r="HU8" s="158"/>
      <c r="HV8" s="158"/>
      <c r="HW8" s="158"/>
      <c r="HX8" s="158"/>
      <c r="HY8" s="158"/>
      <c r="HZ8" s="158"/>
      <c r="IA8" s="158"/>
      <c r="IB8" s="158"/>
      <c r="IC8" s="158"/>
      <c r="ID8" s="158"/>
      <c r="IE8" s="158"/>
      <c r="IF8" s="158"/>
      <c r="IG8" s="158"/>
      <c r="IH8" s="158"/>
      <c r="II8" s="158"/>
      <c r="IJ8" s="158"/>
      <c r="IK8" s="158"/>
      <c r="IL8" s="158"/>
      <c r="IM8" s="158"/>
      <c r="IN8" s="158"/>
      <c r="IO8" s="158"/>
      <c r="IP8" s="158"/>
      <c r="IQ8" s="158"/>
      <c r="IR8" s="158"/>
      <c r="IS8" s="158"/>
      <c r="IT8" s="158"/>
      <c r="IU8" s="158"/>
      <c r="IV8" s="158"/>
      <c r="IW8" s="158"/>
    </row>
    <row r="9" customFormat="false" ht="16.5" hidden="false" customHeight="false" outlineLevel="0" collapsed="false">
      <c r="A9" s="64"/>
      <c r="B9" s="64"/>
      <c r="C9" s="64"/>
      <c r="D9" s="159" t="s">
        <v>117</v>
      </c>
      <c r="E9" s="160"/>
      <c r="F9" s="159"/>
      <c r="G9" s="159"/>
      <c r="H9" s="161"/>
      <c r="I9" s="161"/>
      <c r="N9" s="64"/>
      <c r="O9" s="64"/>
    </row>
    <row r="10" customFormat="false" ht="20.15" hidden="false" customHeight="true" outlineLevel="0" collapsed="false">
      <c r="A10" s="152" t="s">
        <v>52</v>
      </c>
      <c r="B10" s="80" t="s">
        <v>102</v>
      </c>
      <c r="C10" s="76" t="s">
        <v>66</v>
      </c>
      <c r="D10" s="76" t="s">
        <v>67</v>
      </c>
      <c r="E10" s="76" t="s">
        <v>68</v>
      </c>
      <c r="F10" s="75" t="s">
        <v>69</v>
      </c>
      <c r="G10" s="75" t="s">
        <v>70</v>
      </c>
      <c r="H10" s="77" t="s">
        <v>71</v>
      </c>
      <c r="I10" s="76" t="s">
        <v>72</v>
      </c>
      <c r="J10" s="76" t="s">
        <v>73</v>
      </c>
      <c r="K10" s="75" t="s">
        <v>74</v>
      </c>
      <c r="L10" s="80" t="s">
        <v>75</v>
      </c>
      <c r="M10" s="162" t="s">
        <v>76</v>
      </c>
      <c r="N10" s="76" t="s">
        <v>77</v>
      </c>
      <c r="O10" s="82" t="s">
        <v>78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  <c r="FF10" s="70"/>
      <c r="FG10" s="70"/>
      <c r="FH10" s="70"/>
      <c r="FI10" s="70"/>
      <c r="FJ10" s="70"/>
      <c r="FK10" s="70"/>
      <c r="FL10" s="70"/>
      <c r="FM10" s="70"/>
      <c r="FN10" s="70"/>
      <c r="FO10" s="70"/>
      <c r="FP10" s="70"/>
      <c r="FQ10" s="70"/>
      <c r="FR10" s="70"/>
      <c r="FS10" s="70"/>
      <c r="FT10" s="70"/>
      <c r="FU10" s="70"/>
      <c r="FV10" s="70"/>
      <c r="FW10" s="70"/>
      <c r="FX10" s="70"/>
      <c r="FY10" s="70"/>
      <c r="FZ10" s="70"/>
      <c r="GA10" s="70"/>
      <c r="GB10" s="70"/>
      <c r="GC10" s="70"/>
      <c r="GD10" s="70"/>
      <c r="GE10" s="70"/>
      <c r="GF10" s="70"/>
      <c r="GG10" s="70"/>
      <c r="GH10" s="70"/>
      <c r="GI10" s="70"/>
      <c r="GJ10" s="70"/>
      <c r="GK10" s="70"/>
      <c r="GL10" s="70"/>
      <c r="GM10" s="70"/>
      <c r="GN10" s="70"/>
      <c r="GO10" s="70"/>
      <c r="GP10" s="70"/>
      <c r="GQ10" s="70"/>
      <c r="GR10" s="70"/>
      <c r="GS10" s="70"/>
      <c r="GT10" s="70"/>
      <c r="GU10" s="70"/>
      <c r="GV10" s="70"/>
      <c r="GW10" s="70"/>
      <c r="GX10" s="70"/>
      <c r="GY10" s="70"/>
      <c r="GZ10" s="70"/>
      <c r="HA10" s="70"/>
      <c r="HB10" s="70"/>
      <c r="HC10" s="70"/>
      <c r="HD10" s="70"/>
      <c r="HE10" s="70"/>
      <c r="HF10" s="70"/>
      <c r="HG10" s="70"/>
      <c r="HH10" s="70"/>
      <c r="HI10" s="70"/>
      <c r="HJ10" s="70"/>
      <c r="HK10" s="70"/>
      <c r="HL10" s="70"/>
      <c r="HM10" s="70"/>
      <c r="HN10" s="70"/>
      <c r="HO10" s="70"/>
      <c r="HP10" s="70"/>
      <c r="HQ10" s="70"/>
      <c r="HR10" s="70"/>
      <c r="HS10" s="70"/>
      <c r="HT10" s="70"/>
      <c r="HU10" s="70"/>
      <c r="HV10" s="70"/>
      <c r="HW10" s="70"/>
      <c r="HX10" s="70"/>
      <c r="HY10" s="70"/>
      <c r="HZ10" s="70"/>
      <c r="IA10" s="70"/>
      <c r="IB10" s="70"/>
      <c r="IC10" s="70"/>
      <c r="ID10" s="70"/>
      <c r="IE10" s="70"/>
      <c r="IF10" s="70"/>
      <c r="IG10" s="70"/>
      <c r="IH10" s="70"/>
      <c r="II10" s="70"/>
      <c r="IJ10" s="70"/>
      <c r="IK10" s="70"/>
      <c r="IL10" s="70"/>
      <c r="IM10" s="70"/>
      <c r="IN10" s="70"/>
      <c r="IO10" s="70"/>
      <c r="IP10" s="70"/>
      <c r="IQ10" s="70"/>
      <c r="IR10" s="70"/>
      <c r="IS10" s="70"/>
      <c r="IT10" s="70"/>
      <c r="IU10" s="70"/>
      <c r="IV10" s="70"/>
      <c r="IW10" s="70"/>
    </row>
    <row r="11" customFormat="false" ht="20.15" hidden="false" customHeight="true" outlineLevel="0" collapsed="false">
      <c r="A11" s="163" t="s">
        <v>118</v>
      </c>
      <c r="B11" s="139" t="str">
        <f aca="false">B4</f>
        <v>2024실적</v>
      </c>
      <c r="C11" s="164" t="n">
        <v>10384</v>
      </c>
      <c r="D11" s="164" t="n">
        <v>7184</v>
      </c>
      <c r="E11" s="164" t="n">
        <v>7429</v>
      </c>
      <c r="F11" s="164" t="n">
        <v>8752</v>
      </c>
      <c r="G11" s="164" t="n">
        <v>7198</v>
      </c>
      <c r="H11" s="164" t="n">
        <v>8549</v>
      </c>
      <c r="I11" s="164" t="n">
        <v>7222</v>
      </c>
      <c r="J11" s="164" t="n">
        <v>8485</v>
      </c>
      <c r="K11" s="164" t="n">
        <v>8247</v>
      </c>
      <c r="L11" s="164" t="n">
        <v>7210</v>
      </c>
      <c r="M11" s="164" t="n">
        <v>9656</v>
      </c>
      <c r="N11" s="164" t="n">
        <v>7082</v>
      </c>
      <c r="O11" s="165" t="n">
        <f aca="false">SUM(C11:N11)</f>
        <v>97398</v>
      </c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2"/>
      <c r="HR11" s="72"/>
      <c r="HS11" s="72"/>
      <c r="HT11" s="72"/>
      <c r="HU11" s="72"/>
      <c r="HV11" s="72"/>
      <c r="HW11" s="72"/>
      <c r="HX11" s="72"/>
      <c r="HY11" s="72"/>
      <c r="HZ11" s="72"/>
      <c r="IA11" s="72"/>
      <c r="IB11" s="72"/>
      <c r="IC11" s="72"/>
      <c r="ID11" s="72"/>
      <c r="IE11" s="72"/>
      <c r="IF11" s="72"/>
      <c r="IG11" s="72"/>
      <c r="IH11" s="72"/>
      <c r="II11" s="72"/>
      <c r="IJ11" s="72"/>
      <c r="IK11" s="72"/>
      <c r="IL11" s="72"/>
      <c r="IM11" s="72"/>
      <c r="IN11" s="72"/>
      <c r="IO11" s="72"/>
      <c r="IP11" s="72"/>
      <c r="IQ11" s="72"/>
      <c r="IR11" s="72"/>
      <c r="IS11" s="72"/>
      <c r="IT11" s="72"/>
      <c r="IU11" s="72"/>
      <c r="IV11" s="72"/>
      <c r="IW11" s="72"/>
    </row>
    <row r="12" customFormat="false" ht="20.15" hidden="false" customHeight="true" outlineLevel="0" collapsed="false">
      <c r="A12" s="163"/>
      <c r="B12" s="139" t="str">
        <f aca="false">B5</f>
        <v>2025실적</v>
      </c>
      <c r="C12" s="166" t="n">
        <v>6656</v>
      </c>
      <c r="D12" s="166" t="n">
        <v>9627</v>
      </c>
      <c r="E12" s="166" t="n">
        <v>12712</v>
      </c>
      <c r="F12" s="166" t="n">
        <v>7678</v>
      </c>
      <c r="G12" s="166" t="n">
        <v>7016</v>
      </c>
      <c r="H12" s="166" t="n">
        <v>6746</v>
      </c>
      <c r="I12" s="166" t="n">
        <v>6946</v>
      </c>
      <c r="J12" s="166" t="n">
        <v>6783</v>
      </c>
      <c r="K12" s="167" t="n">
        <v>7154</v>
      </c>
      <c r="L12" s="167" t="n">
        <f aca="false">'1. 도급내역'!Y43</f>
        <v>4871</v>
      </c>
      <c r="M12" s="166"/>
      <c r="N12" s="166"/>
      <c r="O12" s="168" t="n">
        <f aca="false">SUM(C12:N12)</f>
        <v>76189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72"/>
      <c r="GS12" s="72"/>
      <c r="GT12" s="72"/>
      <c r="GU12" s="72"/>
      <c r="GV12" s="72"/>
      <c r="GW12" s="72"/>
      <c r="GX12" s="72"/>
      <c r="GY12" s="72"/>
      <c r="GZ12" s="72"/>
      <c r="HA12" s="72"/>
      <c r="HB12" s="72"/>
      <c r="HC12" s="72"/>
      <c r="HD12" s="72"/>
      <c r="HE12" s="72"/>
      <c r="HF12" s="72"/>
      <c r="HG12" s="72"/>
      <c r="HH12" s="72"/>
      <c r="HI12" s="72"/>
      <c r="HJ12" s="72"/>
      <c r="HK12" s="72"/>
      <c r="HL12" s="72"/>
      <c r="HM12" s="72"/>
      <c r="HN12" s="72"/>
      <c r="HO12" s="72"/>
      <c r="HP12" s="72"/>
      <c r="HQ12" s="72"/>
      <c r="HR12" s="72"/>
      <c r="HS12" s="72"/>
      <c r="HT12" s="72"/>
      <c r="HU12" s="72"/>
      <c r="HV12" s="72"/>
      <c r="HW12" s="72"/>
      <c r="HX12" s="72"/>
      <c r="HY12" s="72"/>
      <c r="HZ12" s="72"/>
      <c r="IA12" s="72"/>
      <c r="IB12" s="72"/>
      <c r="IC12" s="72"/>
      <c r="ID12" s="72"/>
      <c r="IE12" s="72"/>
      <c r="IF12" s="72"/>
      <c r="IG12" s="72"/>
      <c r="IH12" s="72"/>
      <c r="II12" s="72"/>
      <c r="IJ12" s="72"/>
      <c r="IK12" s="72"/>
      <c r="IL12" s="72"/>
      <c r="IM12" s="72"/>
      <c r="IN12" s="72"/>
      <c r="IO12" s="72"/>
      <c r="IP12" s="72"/>
      <c r="IQ12" s="72"/>
      <c r="IR12" s="72"/>
      <c r="IS12" s="72"/>
      <c r="IT12" s="72"/>
      <c r="IU12" s="72"/>
      <c r="IV12" s="72"/>
      <c r="IW12" s="72"/>
    </row>
    <row r="13" customFormat="false" ht="20.15" hidden="false" customHeight="true" outlineLevel="0" collapsed="false">
      <c r="A13" s="163"/>
      <c r="B13" s="169" t="s">
        <v>85</v>
      </c>
      <c r="C13" s="170" t="n">
        <f aca="false">C12-C11</f>
        <v>-3728</v>
      </c>
      <c r="D13" s="170" t="n">
        <f aca="false">D12-D11</f>
        <v>2443</v>
      </c>
      <c r="E13" s="170" t="n">
        <f aca="false">E12-E11</f>
        <v>5283</v>
      </c>
      <c r="F13" s="170" t="n">
        <f aca="false">F12-F11</f>
        <v>-1074</v>
      </c>
      <c r="G13" s="170" t="n">
        <f aca="false">G12-G11</f>
        <v>-182</v>
      </c>
      <c r="H13" s="170" t="n">
        <f aca="false">H12-H11</f>
        <v>-1803</v>
      </c>
      <c r="I13" s="170" t="n">
        <f aca="false">I12-I11</f>
        <v>-276</v>
      </c>
      <c r="J13" s="170" t="n">
        <f aca="false">J12-J11</f>
        <v>-1702</v>
      </c>
      <c r="K13" s="170" t="n">
        <f aca="false">K12-K11</f>
        <v>-1093</v>
      </c>
      <c r="L13" s="170" t="n">
        <f aca="false">L12-L11</f>
        <v>-2339</v>
      </c>
      <c r="M13" s="170" t="n">
        <f aca="false">M12-M11</f>
        <v>-9656</v>
      </c>
      <c r="N13" s="170" t="n">
        <f aca="false">N12-N11</f>
        <v>-7082</v>
      </c>
      <c r="O13" s="171" t="n">
        <f aca="false">O12-O11</f>
        <v>-21209</v>
      </c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2"/>
      <c r="FV13" s="72"/>
      <c r="FW13" s="72"/>
      <c r="FX13" s="72"/>
      <c r="FY13" s="72"/>
      <c r="FZ13" s="72"/>
      <c r="GA13" s="72"/>
      <c r="GB13" s="72"/>
      <c r="GC13" s="72"/>
      <c r="GD13" s="72"/>
      <c r="GE13" s="72"/>
      <c r="GF13" s="72"/>
      <c r="GG13" s="72"/>
      <c r="GH13" s="72"/>
      <c r="GI13" s="72"/>
      <c r="GJ13" s="72"/>
      <c r="GK13" s="72"/>
      <c r="GL13" s="72"/>
      <c r="GM13" s="72"/>
      <c r="GN13" s="72"/>
      <c r="GO13" s="72"/>
      <c r="GP13" s="72"/>
      <c r="GQ13" s="72"/>
      <c r="GR13" s="72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/>
      <c r="HE13" s="72"/>
      <c r="HF13" s="72"/>
      <c r="HG13" s="72"/>
      <c r="HH13" s="72"/>
      <c r="HI13" s="72"/>
      <c r="HJ13" s="72"/>
      <c r="HK13" s="72"/>
      <c r="HL13" s="72"/>
      <c r="HM13" s="72"/>
      <c r="HN13" s="72"/>
      <c r="HO13" s="72"/>
      <c r="HP13" s="72"/>
      <c r="HQ13" s="72"/>
      <c r="HR13" s="72"/>
      <c r="HS13" s="72"/>
      <c r="HT13" s="72"/>
      <c r="HU13" s="72"/>
      <c r="HV13" s="72"/>
      <c r="HW13" s="72"/>
      <c r="HX13" s="72"/>
      <c r="HY13" s="72"/>
      <c r="HZ13" s="72"/>
      <c r="IA13" s="72"/>
      <c r="IB13" s="72"/>
      <c r="IC13" s="72"/>
      <c r="ID13" s="72"/>
      <c r="IE13" s="72"/>
      <c r="IF13" s="72"/>
      <c r="IG13" s="72"/>
      <c r="IH13" s="72"/>
      <c r="II13" s="72"/>
      <c r="IJ13" s="72"/>
      <c r="IK13" s="72"/>
      <c r="IL13" s="72"/>
      <c r="IM13" s="72"/>
      <c r="IN13" s="72"/>
      <c r="IO13" s="72"/>
      <c r="IP13" s="72"/>
      <c r="IQ13" s="72"/>
      <c r="IR13" s="72"/>
      <c r="IS13" s="72"/>
      <c r="IT13" s="72"/>
      <c r="IU13" s="72"/>
      <c r="IV13" s="72"/>
      <c r="IW13" s="72"/>
    </row>
    <row r="17" customFormat="false" ht="16" hidden="false" customHeight="false" outlineLevel="0" collapsed="false">
      <c r="L17" s="157"/>
      <c r="M17" s="157"/>
    </row>
  </sheetData>
  <mergeCells count="5">
    <mergeCell ref="A1:O1"/>
    <mergeCell ref="N2:O2"/>
    <mergeCell ref="A4:A5"/>
    <mergeCell ref="A8:O8"/>
    <mergeCell ref="A11:A13"/>
  </mergeCells>
  <printOptions headings="false" gridLines="false" gridLinesSet="true" horizontalCentered="false" verticalCentered="false"/>
  <pageMargins left="0.315277777777778" right="0.157638888888889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A14" activeCellId="0" sqref="AA14"/>
    </sheetView>
  </sheetViews>
  <sheetFormatPr defaultColWidth="8.91015625" defaultRowHeight="17.5" customHeight="false" zeroHeight="false" outlineLevelRow="0" outlineLevelCol="0"/>
  <cols>
    <col collapsed="false" customWidth="true" hidden="false" outlineLevel="0" max="1" min="1" style="172" width="10.74"/>
    <col collapsed="false" customWidth="true" hidden="true" outlineLevel="0" max="7" min="2" style="172" width="10.74"/>
    <col collapsed="false" customWidth="true" hidden="true" outlineLevel="0" max="8" min="8" style="172" width="12.41"/>
    <col collapsed="false" customWidth="true" hidden="true" outlineLevel="0" max="9" min="9" style="172" width="10.74"/>
    <col collapsed="false" customWidth="true" hidden="true" outlineLevel="0" max="10" min="10" style="172" width="12.24"/>
    <col collapsed="false" customWidth="true" hidden="true" outlineLevel="0" max="18" min="11" style="172" width="10.74"/>
    <col collapsed="false" customWidth="true" hidden="true" outlineLevel="0" max="19" min="19" style="172" width="12.24"/>
    <col collapsed="false" customWidth="true" hidden="false" outlineLevel="0" max="25" min="20" style="172" width="12.24"/>
    <col collapsed="false" customWidth="true" hidden="false" outlineLevel="0" max="32" min="26" style="172" width="10.74"/>
    <col collapsed="false" customWidth="true" hidden="false" outlineLevel="0" max="33" min="33" style="172" width="9.91"/>
    <col collapsed="false" customWidth="true" hidden="false" outlineLevel="0" max="34" min="34" style="172" width="12.24"/>
    <col collapsed="false" customWidth="false" hidden="false" outlineLevel="0" max="257" min="35" style="173" width="8.91"/>
  </cols>
  <sheetData>
    <row r="1" customFormat="false" ht="22.5" hidden="false" customHeight="true" outlineLevel="0" collapsed="false">
      <c r="A1" s="174" t="s">
        <v>119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  <c r="CW1" s="176"/>
      <c r="CX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N1" s="176"/>
      <c r="DO1" s="176"/>
      <c r="DP1" s="176"/>
      <c r="DQ1" s="176"/>
      <c r="DR1" s="176"/>
      <c r="DS1" s="176"/>
      <c r="DT1" s="176"/>
      <c r="DU1" s="176"/>
      <c r="DV1" s="176"/>
      <c r="DW1" s="176"/>
      <c r="DX1" s="176"/>
      <c r="DY1" s="176"/>
      <c r="DZ1" s="176"/>
      <c r="EA1" s="176"/>
      <c r="EB1" s="176"/>
      <c r="EC1" s="176"/>
      <c r="ED1" s="176"/>
      <c r="EE1" s="176"/>
      <c r="EF1" s="176"/>
      <c r="EG1" s="176"/>
      <c r="EH1" s="176"/>
      <c r="EI1" s="176"/>
      <c r="EJ1" s="176"/>
      <c r="EK1" s="176"/>
      <c r="EL1" s="176"/>
      <c r="EM1" s="176"/>
      <c r="EN1" s="176"/>
      <c r="EO1" s="176"/>
      <c r="EP1" s="176"/>
      <c r="EQ1" s="176"/>
      <c r="ER1" s="176"/>
      <c r="ES1" s="176"/>
      <c r="ET1" s="176"/>
      <c r="EU1" s="176"/>
      <c r="EV1" s="176"/>
      <c r="EW1" s="176"/>
      <c r="EX1" s="176"/>
      <c r="EY1" s="176"/>
      <c r="EZ1" s="176"/>
      <c r="FA1" s="176"/>
      <c r="FB1" s="176"/>
      <c r="FC1" s="176"/>
      <c r="FD1" s="176"/>
      <c r="FE1" s="176"/>
      <c r="FF1" s="176"/>
      <c r="FG1" s="176"/>
      <c r="FH1" s="176"/>
      <c r="FI1" s="176"/>
      <c r="FJ1" s="176"/>
      <c r="FK1" s="176"/>
      <c r="FL1" s="176"/>
      <c r="FM1" s="176"/>
      <c r="FN1" s="176"/>
      <c r="FO1" s="176"/>
      <c r="FP1" s="176"/>
      <c r="FQ1" s="176"/>
      <c r="FR1" s="176"/>
      <c r="FS1" s="176"/>
      <c r="FT1" s="176"/>
      <c r="FU1" s="176"/>
      <c r="FV1" s="176"/>
      <c r="FW1" s="176"/>
      <c r="FX1" s="176"/>
      <c r="FY1" s="176"/>
      <c r="FZ1" s="176"/>
      <c r="GA1" s="176"/>
      <c r="GB1" s="176"/>
      <c r="GC1" s="176"/>
      <c r="GD1" s="176"/>
      <c r="GE1" s="176"/>
      <c r="GF1" s="176"/>
      <c r="GG1" s="176"/>
      <c r="GH1" s="176"/>
      <c r="GI1" s="176"/>
      <c r="GJ1" s="176"/>
      <c r="GK1" s="176"/>
      <c r="GL1" s="176"/>
      <c r="GM1" s="176"/>
      <c r="GN1" s="176"/>
      <c r="GO1" s="176"/>
      <c r="GP1" s="176"/>
      <c r="GQ1" s="176"/>
      <c r="GR1" s="176"/>
      <c r="GS1" s="176"/>
      <c r="GT1" s="176"/>
      <c r="GU1" s="176"/>
      <c r="GV1" s="176"/>
      <c r="GW1" s="176"/>
      <c r="GX1" s="176"/>
      <c r="GY1" s="176"/>
      <c r="GZ1" s="176"/>
      <c r="HA1" s="176"/>
      <c r="HB1" s="176"/>
      <c r="HC1" s="176"/>
      <c r="HD1" s="176"/>
      <c r="HE1" s="176"/>
      <c r="HF1" s="176"/>
      <c r="HG1" s="176"/>
      <c r="HH1" s="176"/>
      <c r="HI1" s="176"/>
      <c r="HJ1" s="176"/>
      <c r="HK1" s="176"/>
      <c r="HL1" s="176"/>
      <c r="HM1" s="176"/>
      <c r="HN1" s="176"/>
      <c r="HO1" s="176"/>
      <c r="HP1" s="176"/>
      <c r="HQ1" s="176"/>
      <c r="HR1" s="176"/>
      <c r="HS1" s="176"/>
      <c r="HT1" s="176"/>
      <c r="HU1" s="176"/>
      <c r="HV1" s="176"/>
      <c r="HW1" s="176"/>
      <c r="HX1" s="176"/>
      <c r="HY1" s="176"/>
      <c r="HZ1" s="176"/>
      <c r="IA1" s="176"/>
      <c r="IB1" s="176"/>
      <c r="IC1" s="176"/>
      <c r="ID1" s="176"/>
      <c r="IE1" s="176"/>
      <c r="IF1" s="176"/>
      <c r="IG1" s="176"/>
      <c r="IH1" s="176"/>
      <c r="II1" s="176"/>
      <c r="IJ1" s="176"/>
      <c r="IK1" s="176"/>
      <c r="IL1" s="176"/>
      <c r="IM1" s="176"/>
      <c r="IN1" s="176"/>
      <c r="IO1" s="176"/>
      <c r="IP1" s="176"/>
      <c r="IQ1" s="176"/>
      <c r="IR1" s="176"/>
      <c r="IS1" s="176"/>
      <c r="IT1" s="176"/>
      <c r="IU1" s="176"/>
      <c r="IV1" s="176"/>
      <c r="IW1" s="176"/>
    </row>
    <row r="2" customFormat="false" ht="18" hidden="false" customHeight="false" outlineLevel="0" collapsed="false"/>
    <row r="3" customFormat="false" ht="25" hidden="false" customHeight="true" outlineLevel="0" collapsed="false">
      <c r="A3" s="177" t="s">
        <v>120</v>
      </c>
      <c r="B3" s="178" t="s">
        <v>121</v>
      </c>
      <c r="C3" s="178"/>
      <c r="D3" s="178"/>
      <c r="E3" s="179" t="s">
        <v>122</v>
      </c>
      <c r="F3" s="179"/>
      <c r="G3" s="179"/>
      <c r="H3" s="180" t="s">
        <v>123</v>
      </c>
      <c r="I3" s="180"/>
      <c r="J3" s="180"/>
      <c r="K3" s="177" t="s">
        <v>121</v>
      </c>
      <c r="L3" s="177"/>
      <c r="M3" s="177"/>
      <c r="N3" s="179" t="s">
        <v>122</v>
      </c>
      <c r="O3" s="179"/>
      <c r="P3" s="179"/>
      <c r="Q3" s="181" t="s">
        <v>123</v>
      </c>
      <c r="R3" s="181"/>
      <c r="S3" s="181"/>
      <c r="T3" s="179" t="s">
        <v>124</v>
      </c>
      <c r="U3" s="179"/>
      <c r="V3" s="179"/>
      <c r="W3" s="180" t="s">
        <v>125</v>
      </c>
      <c r="X3" s="180"/>
      <c r="Y3" s="180"/>
      <c r="Z3" s="177" t="s">
        <v>121</v>
      </c>
      <c r="AA3" s="177"/>
      <c r="AB3" s="177"/>
      <c r="AC3" s="179" t="s">
        <v>122</v>
      </c>
      <c r="AD3" s="179"/>
      <c r="AE3" s="179"/>
      <c r="AF3" s="180" t="s">
        <v>123</v>
      </c>
      <c r="AG3" s="180"/>
      <c r="AH3" s="180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25" hidden="false" customHeight="true" outlineLevel="0" collapsed="false">
      <c r="A4" s="177"/>
      <c r="B4" s="182" t="s">
        <v>126</v>
      </c>
      <c r="C4" s="183" t="s">
        <v>127</v>
      </c>
      <c r="D4" s="183" t="s">
        <v>85</v>
      </c>
      <c r="E4" s="183" t="s">
        <v>126</v>
      </c>
      <c r="F4" s="183" t="s">
        <v>127</v>
      </c>
      <c r="G4" s="183" t="s">
        <v>85</v>
      </c>
      <c r="H4" s="183" t="s">
        <v>126</v>
      </c>
      <c r="I4" s="183" t="s">
        <v>127</v>
      </c>
      <c r="J4" s="184" t="s">
        <v>85</v>
      </c>
      <c r="K4" s="185" t="s">
        <v>126</v>
      </c>
      <c r="L4" s="183" t="s">
        <v>127</v>
      </c>
      <c r="M4" s="183" t="s">
        <v>85</v>
      </c>
      <c r="N4" s="183" t="s">
        <v>126</v>
      </c>
      <c r="O4" s="183" t="s">
        <v>127</v>
      </c>
      <c r="P4" s="183" t="s">
        <v>85</v>
      </c>
      <c r="Q4" s="183" t="s">
        <v>126</v>
      </c>
      <c r="R4" s="183" t="s">
        <v>127</v>
      </c>
      <c r="S4" s="184" t="s">
        <v>85</v>
      </c>
      <c r="T4" s="186" t="s">
        <v>128</v>
      </c>
      <c r="U4" s="183" t="s">
        <v>129</v>
      </c>
      <c r="V4" s="182" t="s">
        <v>84</v>
      </c>
      <c r="W4" s="182" t="s">
        <v>128</v>
      </c>
      <c r="X4" s="183" t="s">
        <v>129</v>
      </c>
      <c r="Y4" s="183" t="s">
        <v>84</v>
      </c>
      <c r="Z4" s="185" t="s">
        <v>126</v>
      </c>
      <c r="AA4" s="183" t="s">
        <v>127</v>
      </c>
      <c r="AB4" s="183" t="s">
        <v>85</v>
      </c>
      <c r="AC4" s="183" t="s">
        <v>126</v>
      </c>
      <c r="AD4" s="183" t="s">
        <v>127</v>
      </c>
      <c r="AE4" s="183" t="s">
        <v>85</v>
      </c>
      <c r="AF4" s="183" t="s">
        <v>126</v>
      </c>
      <c r="AG4" s="183" t="s">
        <v>127</v>
      </c>
      <c r="AH4" s="184" t="s">
        <v>85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customFormat="false" ht="25" hidden="false" customHeight="true" outlineLevel="0" collapsed="false">
      <c r="A5" s="54" t="s">
        <v>66</v>
      </c>
      <c r="B5" s="187" t="n">
        <v>7648</v>
      </c>
      <c r="C5" s="188"/>
      <c r="D5" s="189"/>
      <c r="E5" s="187" t="n">
        <v>13000</v>
      </c>
      <c r="F5" s="188" t="n">
        <v>11300</v>
      </c>
      <c r="G5" s="190" t="n">
        <f aca="false">F5-E5</f>
        <v>-1700</v>
      </c>
      <c r="H5" s="188" t="n">
        <f aca="false">B5*E5/1000</f>
        <v>99424</v>
      </c>
      <c r="I5" s="188" t="n">
        <f aca="false">C5*F5/1000</f>
        <v>0</v>
      </c>
      <c r="J5" s="191" t="n">
        <f aca="false">I5-H5</f>
        <v>-99424</v>
      </c>
      <c r="K5" s="192" t="n">
        <v>13034</v>
      </c>
      <c r="L5" s="193"/>
      <c r="M5" s="189" t="n">
        <f aca="false">L5-K5</f>
        <v>-13034</v>
      </c>
      <c r="N5" s="187" t="n">
        <v>13000</v>
      </c>
      <c r="O5" s="188" t="n">
        <v>11300</v>
      </c>
      <c r="P5" s="190" t="n">
        <f aca="false">O5-N5</f>
        <v>-1700</v>
      </c>
      <c r="Q5" s="188" t="n">
        <f aca="false">K5*N5/1000</f>
        <v>169442</v>
      </c>
      <c r="R5" s="188" t="n">
        <f aca="false">L5*O5/1000</f>
        <v>0</v>
      </c>
      <c r="S5" s="191" t="n">
        <f aca="false">R5-Q5</f>
        <v>-169442</v>
      </c>
      <c r="T5" s="194" t="n">
        <v>600</v>
      </c>
      <c r="U5" s="189" t="n">
        <v>141</v>
      </c>
      <c r="V5" s="194" t="n">
        <f aca="false">IFERROR(U5/T5," ")</f>
        <v>0.235</v>
      </c>
      <c r="W5" s="190" t="n">
        <v>176.2</v>
      </c>
      <c r="X5" s="189" t="n">
        <v>391</v>
      </c>
      <c r="Y5" s="195" t="n">
        <f aca="false">X5/W5</f>
        <v>2.21906923950057</v>
      </c>
      <c r="Z5" s="196" t="n">
        <v>7354.9</v>
      </c>
      <c r="AA5" s="188" t="n">
        <f aca="false" t="array" ref="AA5:AA16">TRANSPOSE('3. 2025년(전년)대비 및 절감내역'!C12:N12)</f>
        <v>6656</v>
      </c>
      <c r="AB5" s="190" t="n">
        <f aca="false">AA5-Z5</f>
        <v>-698.9</v>
      </c>
      <c r="AC5" s="188" t="n">
        <f aca="false">AF5/Z5*1000</f>
        <v>18165.4312091259</v>
      </c>
      <c r="AD5" s="188" t="n">
        <f aca="false">IFERROR(AG5*1000/AA5," ")</f>
        <v>21843.5997596154</v>
      </c>
      <c r="AE5" s="190" t="n">
        <f aca="false">IFERROR(AD5-AC5," ")</f>
        <v>3678.1685504895</v>
      </c>
      <c r="AF5" s="188" t="n">
        <v>133604.93</v>
      </c>
      <c r="AG5" s="197" t="n">
        <f aca="false" t="array" ref="AG5:AG16">TRANSPOSE('2. 2025년 사업계획대비'!C10:N10)</f>
        <v>145391</v>
      </c>
      <c r="AH5" s="191" t="n">
        <f aca="false">AG5-AF5</f>
        <v>11786.07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25" hidden="false" customHeight="true" outlineLevel="0" collapsed="false">
      <c r="A6" s="54" t="s">
        <v>67</v>
      </c>
      <c r="B6" s="187" t="n">
        <v>8309</v>
      </c>
      <c r="C6" s="188"/>
      <c r="D6" s="189"/>
      <c r="E6" s="187" t="n">
        <v>13000</v>
      </c>
      <c r="F6" s="188" t="n">
        <v>11300</v>
      </c>
      <c r="G6" s="190" t="n">
        <f aca="false">F6-E6</f>
        <v>-1700</v>
      </c>
      <c r="H6" s="188" t="n">
        <f aca="false">B6*E6/1000</f>
        <v>108017</v>
      </c>
      <c r="I6" s="188" t="n">
        <f aca="false">C6*F6/1000</f>
        <v>0</v>
      </c>
      <c r="J6" s="191" t="n">
        <f aca="false">I6-H6</f>
        <v>-108017</v>
      </c>
      <c r="K6" s="192" t="n">
        <v>9511</v>
      </c>
      <c r="L6" s="193"/>
      <c r="M6" s="189" t="n">
        <f aca="false">L6-K6</f>
        <v>-9511</v>
      </c>
      <c r="N6" s="187" t="n">
        <v>13000</v>
      </c>
      <c r="O6" s="188" t="n">
        <v>11300</v>
      </c>
      <c r="P6" s="190" t="n">
        <f aca="false">O6-N6</f>
        <v>-1700</v>
      </c>
      <c r="Q6" s="188" t="n">
        <f aca="false">K6*N6/1000</f>
        <v>123643</v>
      </c>
      <c r="R6" s="188" t="n">
        <f aca="false">L6*O6/1000</f>
        <v>0</v>
      </c>
      <c r="S6" s="191" t="n">
        <f aca="false">R6-Q6</f>
        <v>-123643</v>
      </c>
      <c r="T6" s="194" t="n">
        <v>120</v>
      </c>
      <c r="U6" s="189" t="n">
        <v>222</v>
      </c>
      <c r="V6" s="198" t="n">
        <f aca="false">IFERROR(U6/T6," ")</f>
        <v>1.85</v>
      </c>
      <c r="W6" s="190" t="n">
        <v>553.4</v>
      </c>
      <c r="X6" s="189" t="n">
        <v>503.6</v>
      </c>
      <c r="Y6" s="195" t="n">
        <f aca="false">X6/W6</f>
        <v>0.910010842067221</v>
      </c>
      <c r="Z6" s="196" t="n">
        <v>8984.3</v>
      </c>
      <c r="AA6" s="188" t="n">
        <v>9627</v>
      </c>
      <c r="AB6" s="190" t="n">
        <f aca="false">AA6-Z6</f>
        <v>642.700000000001</v>
      </c>
      <c r="AC6" s="188" t="n">
        <f aca="false">AF6/Z6*1000</f>
        <v>16870.9982970293</v>
      </c>
      <c r="AD6" s="188" t="n">
        <f aca="false">IFERROR(AG6*1000/AA6," ")</f>
        <v>17011.6651085489</v>
      </c>
      <c r="AE6" s="190" t="n">
        <f aca="false">IFERROR(AD6-AC6," ")</f>
        <v>140.666811519612</v>
      </c>
      <c r="AF6" s="188" t="n">
        <v>151574.11</v>
      </c>
      <c r="AG6" s="197" t="n">
        <v>163771.3</v>
      </c>
      <c r="AH6" s="191" t="n">
        <f aca="false">AG6-AF6</f>
        <v>12197.19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customFormat="false" ht="25" hidden="false" customHeight="true" outlineLevel="0" collapsed="false">
      <c r="A7" s="54" t="s">
        <v>68</v>
      </c>
      <c r="B7" s="187" t="n">
        <v>7955</v>
      </c>
      <c r="C7" s="188"/>
      <c r="D7" s="189"/>
      <c r="E7" s="187" t="n">
        <v>13000</v>
      </c>
      <c r="F7" s="188" t="n">
        <v>11300</v>
      </c>
      <c r="G7" s="190" t="n">
        <f aca="false">F7-E7</f>
        <v>-1700</v>
      </c>
      <c r="H7" s="188" t="n">
        <f aca="false">B7*E7/1000</f>
        <v>103415</v>
      </c>
      <c r="I7" s="188" t="n">
        <f aca="false">C7*F7/1000</f>
        <v>0</v>
      </c>
      <c r="J7" s="191" t="n">
        <f aca="false">I7-H7</f>
        <v>-103415</v>
      </c>
      <c r="K7" s="192" t="n">
        <v>12492</v>
      </c>
      <c r="L7" s="193"/>
      <c r="M7" s="189" t="n">
        <f aca="false">L7-K7</f>
        <v>-12492</v>
      </c>
      <c r="N7" s="187" t="n">
        <v>13000</v>
      </c>
      <c r="O7" s="188" t="n">
        <v>11300</v>
      </c>
      <c r="P7" s="190" t="n">
        <f aca="false">O7-N7</f>
        <v>-1700</v>
      </c>
      <c r="Q7" s="188" t="n">
        <f aca="false">K7*N7/1000</f>
        <v>162396</v>
      </c>
      <c r="R7" s="188" t="n">
        <f aca="false">L7*O7/1000</f>
        <v>0</v>
      </c>
      <c r="S7" s="191" t="n">
        <f aca="false">R7-Q7</f>
        <v>-162396</v>
      </c>
      <c r="T7" s="194" t="n">
        <v>120</v>
      </c>
      <c r="U7" s="199" t="n">
        <v>117</v>
      </c>
      <c r="V7" s="198" t="n">
        <f aca="false">IFERROR(U7/T7," ")</f>
        <v>0.975</v>
      </c>
      <c r="W7" s="190" t="n">
        <v>606.2</v>
      </c>
      <c r="X7" s="189" t="n">
        <v>686.3</v>
      </c>
      <c r="Y7" s="195" t="n">
        <f aca="false">X7/W7</f>
        <v>1.13213460903992</v>
      </c>
      <c r="Z7" s="196" t="n">
        <v>9749.9</v>
      </c>
      <c r="AA7" s="188" t="n">
        <v>12712</v>
      </c>
      <c r="AB7" s="190" t="n">
        <f aca="false">AA7-Z7</f>
        <v>2962.1</v>
      </c>
      <c r="AC7" s="188" t="n">
        <f aca="false">AF7/Z7*1000</f>
        <v>16072.8243366599</v>
      </c>
      <c r="AD7" s="188" t="n">
        <f aca="false">IFERROR(AG7*1000/AA7," ")</f>
        <v>13798.418816866</v>
      </c>
      <c r="AE7" s="190" t="n">
        <f aca="false">IFERROR(AD7-AC7," ")</f>
        <v>-2274.40551979391</v>
      </c>
      <c r="AF7" s="188" t="n">
        <v>156708.43</v>
      </c>
      <c r="AG7" s="197" t="n">
        <v>175405.5</v>
      </c>
      <c r="AH7" s="191" t="n">
        <f aca="false">AG7-AF7</f>
        <v>18697.07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customFormat="false" ht="25" hidden="false" customHeight="true" outlineLevel="0" collapsed="false">
      <c r="A8" s="54" t="s">
        <v>69</v>
      </c>
      <c r="B8" s="187" t="n">
        <v>9116</v>
      </c>
      <c r="C8" s="188"/>
      <c r="D8" s="189"/>
      <c r="E8" s="187" t="n">
        <v>13000</v>
      </c>
      <c r="F8" s="188" t="n">
        <v>11300</v>
      </c>
      <c r="G8" s="190" t="n">
        <f aca="false">F8-E8</f>
        <v>-1700</v>
      </c>
      <c r="H8" s="188" t="n">
        <f aca="false">B8*E8/1000</f>
        <v>118508</v>
      </c>
      <c r="I8" s="188" t="n">
        <f aca="false">C8*F8/1000</f>
        <v>0</v>
      </c>
      <c r="J8" s="191" t="n">
        <f aca="false">I8-H8</f>
        <v>-118508</v>
      </c>
      <c r="K8" s="192" t="n">
        <v>10210</v>
      </c>
      <c r="L8" s="193"/>
      <c r="M8" s="189" t="n">
        <f aca="false">L8-K8</f>
        <v>-10210</v>
      </c>
      <c r="N8" s="187" t="n">
        <v>13000</v>
      </c>
      <c r="O8" s="188" t="n">
        <v>11300</v>
      </c>
      <c r="P8" s="190" t="n">
        <f aca="false">O8-N8</f>
        <v>-1700</v>
      </c>
      <c r="Q8" s="188" t="n">
        <f aca="false">K8*N8/1000</f>
        <v>132730</v>
      </c>
      <c r="R8" s="188" t="n">
        <f aca="false">L8*O8/1000</f>
        <v>0</v>
      </c>
      <c r="S8" s="191" t="n">
        <f aca="false">R8-Q8</f>
        <v>-132730</v>
      </c>
      <c r="T8" s="194" t="n">
        <v>0</v>
      </c>
      <c r="U8" s="199" t="n">
        <v>0</v>
      </c>
      <c r="V8" s="198" t="str">
        <f aca="false">IFERROR(U8/T8," ")</f>
        <v> </v>
      </c>
      <c r="W8" s="190" t="n">
        <v>601.4</v>
      </c>
      <c r="X8" s="189" t="n">
        <v>478</v>
      </c>
      <c r="Y8" s="195" t="n">
        <f aca="false">X8/W8</f>
        <v>0.794812105088128</v>
      </c>
      <c r="Z8" s="196" t="n">
        <v>8720.3</v>
      </c>
      <c r="AA8" s="188" t="n">
        <v>7678</v>
      </c>
      <c r="AB8" s="190" t="n">
        <f aca="false">AA8-Z8</f>
        <v>-1042.3</v>
      </c>
      <c r="AC8" s="188" t="n">
        <f aca="false">AF8/Z8*1000</f>
        <v>18297.135419653</v>
      </c>
      <c r="AD8" s="188" t="n">
        <f aca="false">IFERROR(AG8*1000/AA8," ")</f>
        <v>19532.9851523834</v>
      </c>
      <c r="AE8" s="190" t="n">
        <f aca="false">IFERROR(AD8-AC8," ")</f>
        <v>1235.84973273044</v>
      </c>
      <c r="AF8" s="188" t="n">
        <v>159556.51</v>
      </c>
      <c r="AG8" s="188" t="n">
        <v>149974.26</v>
      </c>
      <c r="AH8" s="191" t="n">
        <f aca="false">AG8-AF8</f>
        <v>-9582.25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customFormat="false" ht="25" hidden="false" customHeight="true" outlineLevel="0" collapsed="false">
      <c r="A9" s="54" t="s">
        <v>70</v>
      </c>
      <c r="B9" s="187" t="n">
        <v>7580</v>
      </c>
      <c r="C9" s="188"/>
      <c r="D9" s="189"/>
      <c r="E9" s="187" t="n">
        <v>13000</v>
      </c>
      <c r="F9" s="188" t="n">
        <v>11300</v>
      </c>
      <c r="G9" s="190" t="n">
        <f aca="false">F9-E9</f>
        <v>-1700</v>
      </c>
      <c r="H9" s="188" t="n">
        <f aca="false">B9*E9/1000</f>
        <v>98540</v>
      </c>
      <c r="I9" s="188" t="n">
        <f aca="false">C9*F9/1000</f>
        <v>0</v>
      </c>
      <c r="J9" s="191" t="n">
        <f aca="false">I9-H9</f>
        <v>-98540</v>
      </c>
      <c r="K9" s="192" t="n">
        <v>12547</v>
      </c>
      <c r="L9" s="193"/>
      <c r="M9" s="189" t="n">
        <f aca="false">L9-K9</f>
        <v>-12547</v>
      </c>
      <c r="N9" s="187" t="n">
        <v>13000</v>
      </c>
      <c r="O9" s="188" t="n">
        <v>11300</v>
      </c>
      <c r="P9" s="190" t="n">
        <f aca="false">O9-N9</f>
        <v>-1700</v>
      </c>
      <c r="Q9" s="188" t="n">
        <f aca="false">K9*N9/1000</f>
        <v>163111</v>
      </c>
      <c r="R9" s="188" t="n">
        <f aca="false">L9*O9/1000</f>
        <v>0</v>
      </c>
      <c r="S9" s="191" t="n">
        <f aca="false">R9-Q9</f>
        <v>-163111</v>
      </c>
      <c r="T9" s="194" t="n">
        <v>240</v>
      </c>
      <c r="U9" s="199" t="n">
        <v>0</v>
      </c>
      <c r="V9" s="198" t="n">
        <f aca="false">IFERROR(U9/T9," ")</f>
        <v>0</v>
      </c>
      <c r="W9" s="190" t="n">
        <v>539</v>
      </c>
      <c r="X9" s="189" t="n">
        <v>455.3</v>
      </c>
      <c r="Y9" s="195" t="n">
        <f aca="false">X9/W9</f>
        <v>0.844712430426716</v>
      </c>
      <c r="Z9" s="196" t="n">
        <v>9735.5</v>
      </c>
      <c r="AA9" s="188" t="n">
        <v>7016</v>
      </c>
      <c r="AB9" s="190" t="n">
        <f aca="false">AA9-Z9</f>
        <v>-2719.5</v>
      </c>
      <c r="AC9" s="188" t="n">
        <f aca="false">AF9/Z9*1000</f>
        <v>15853.7260541318</v>
      </c>
      <c r="AD9" s="188" t="n">
        <f aca="false">IFERROR(AG9*1000/AA9," ")</f>
        <v>22526.0832383124</v>
      </c>
      <c r="AE9" s="190" t="n">
        <f aca="false">IFERROR(AD9-AC9," ")</f>
        <v>6672.35718418064</v>
      </c>
      <c r="AF9" s="188" t="n">
        <v>154343.95</v>
      </c>
      <c r="AG9" s="197" t="n">
        <v>158043</v>
      </c>
      <c r="AH9" s="191" t="n">
        <f aca="false">AG9-AF9</f>
        <v>3699.04999999999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customFormat="false" ht="25" hidden="false" customHeight="true" outlineLevel="0" collapsed="false">
      <c r="A10" s="54" t="s">
        <v>71</v>
      </c>
      <c r="B10" s="187" t="n">
        <v>7986</v>
      </c>
      <c r="C10" s="188"/>
      <c r="D10" s="189"/>
      <c r="E10" s="187" t="n">
        <v>13000</v>
      </c>
      <c r="F10" s="188" t="n">
        <v>11300</v>
      </c>
      <c r="G10" s="190" t="n">
        <f aca="false">F10-E10</f>
        <v>-1700</v>
      </c>
      <c r="H10" s="188" t="n">
        <f aca="false">B10*E10/1000</f>
        <v>103818</v>
      </c>
      <c r="I10" s="188" t="n">
        <f aca="false">C10*F10/1000</f>
        <v>0</v>
      </c>
      <c r="J10" s="191" t="n">
        <f aca="false">I10-H10</f>
        <v>-103818</v>
      </c>
      <c r="K10" s="192" t="n">
        <v>10239</v>
      </c>
      <c r="L10" s="193"/>
      <c r="M10" s="189" t="n">
        <f aca="false">L10-K10</f>
        <v>-10239</v>
      </c>
      <c r="N10" s="187" t="n">
        <v>13000</v>
      </c>
      <c r="O10" s="188" t="n">
        <v>11300</v>
      </c>
      <c r="P10" s="190" t="n">
        <f aca="false">O10-N10</f>
        <v>-1700</v>
      </c>
      <c r="Q10" s="188" t="n">
        <f aca="false">K10*N10/1000</f>
        <v>133107</v>
      </c>
      <c r="R10" s="188" t="n">
        <f aca="false">L10*O10/1000</f>
        <v>0</v>
      </c>
      <c r="S10" s="191" t="n">
        <f aca="false">R10-Q10</f>
        <v>-133107</v>
      </c>
      <c r="T10" s="194" t="n">
        <v>240</v>
      </c>
      <c r="U10" s="199" t="n">
        <v>0</v>
      </c>
      <c r="V10" s="198" t="n">
        <f aca="false">IFERROR(U10/T10," ")</f>
        <v>0</v>
      </c>
      <c r="W10" s="190" t="n">
        <v>589.4</v>
      </c>
      <c r="X10" s="189" t="n">
        <v>513</v>
      </c>
      <c r="Y10" s="195" t="n">
        <f aca="false">X10/W10</f>
        <v>0.870376654224635</v>
      </c>
      <c r="Z10" s="196" t="n">
        <v>10466.3</v>
      </c>
      <c r="AA10" s="188" t="n">
        <v>6746</v>
      </c>
      <c r="AB10" s="190" t="n">
        <f aca="false">AA10-Z10</f>
        <v>-3720.3</v>
      </c>
      <c r="AC10" s="188" t="n">
        <f aca="false">AF10/Z10*1000</f>
        <v>15782.9137326467</v>
      </c>
      <c r="AD10" s="188" t="n">
        <f aca="false">IFERROR(AG10*1000/AA10," ")</f>
        <v>22970.678920842</v>
      </c>
      <c r="AE10" s="190" t="n">
        <f aca="false">IFERROR(AD10-AC10," ")</f>
        <v>7187.76518819529</v>
      </c>
      <c r="AF10" s="188" t="n">
        <v>165188.71</v>
      </c>
      <c r="AG10" s="197" t="n">
        <v>154960.2</v>
      </c>
      <c r="AH10" s="191" t="n">
        <f aca="false">AG10-AF10</f>
        <v>-10228.51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25" hidden="false" customHeight="true" outlineLevel="0" collapsed="false">
      <c r="A11" s="192" t="s">
        <v>72</v>
      </c>
      <c r="B11" s="187" t="n">
        <v>7085</v>
      </c>
      <c r="C11" s="188"/>
      <c r="D11" s="189"/>
      <c r="E11" s="187" t="n">
        <v>13000</v>
      </c>
      <c r="F11" s="188" t="n">
        <v>11300</v>
      </c>
      <c r="G11" s="190" t="n">
        <f aca="false">F11-E11</f>
        <v>-1700</v>
      </c>
      <c r="H11" s="188" t="n">
        <f aca="false">B11*E11/1000</f>
        <v>92105</v>
      </c>
      <c r="I11" s="188" t="n">
        <f aca="false">C11*F11/1000</f>
        <v>0</v>
      </c>
      <c r="J11" s="191" t="n">
        <f aca="false">I11-H11</f>
        <v>-92105</v>
      </c>
      <c r="K11" s="192" t="n">
        <v>10131</v>
      </c>
      <c r="L11" s="193"/>
      <c r="M11" s="189" t="n">
        <f aca="false">L11-K11</f>
        <v>-10131</v>
      </c>
      <c r="N11" s="187" t="n">
        <v>13000</v>
      </c>
      <c r="O11" s="188" t="n">
        <v>11300</v>
      </c>
      <c r="P11" s="190" t="n">
        <f aca="false">O11-N11</f>
        <v>-1700</v>
      </c>
      <c r="Q11" s="188" t="n">
        <f aca="false">K11*N11/1000</f>
        <v>131703</v>
      </c>
      <c r="R11" s="188" t="n">
        <f aca="false">L11*O11/1000</f>
        <v>0</v>
      </c>
      <c r="S11" s="191" t="n">
        <f aca="false">R11-Q11</f>
        <v>-131703</v>
      </c>
      <c r="T11" s="194" t="n">
        <v>120</v>
      </c>
      <c r="U11" s="199" t="n">
        <v>0</v>
      </c>
      <c r="V11" s="198" t="n">
        <f aca="false">IFERROR(U11/T11," ")</f>
        <v>0</v>
      </c>
      <c r="W11" s="190" t="n">
        <v>611</v>
      </c>
      <c r="X11" s="189" t="n">
        <v>481.4</v>
      </c>
      <c r="Y11" s="195" t="n">
        <f aca="false">X11/W11</f>
        <v>0.787888707037643</v>
      </c>
      <c r="Z11" s="196" t="n">
        <v>9819.5</v>
      </c>
      <c r="AA11" s="188" t="n">
        <v>6946</v>
      </c>
      <c r="AB11" s="190" t="n">
        <f aca="false">AA11-Z11</f>
        <v>-2873.5</v>
      </c>
      <c r="AC11" s="188" t="n">
        <f aca="false">AF11/Z11*1000</f>
        <v>16000.2800549926</v>
      </c>
      <c r="AD11" s="188" t="n">
        <f aca="false">IFERROR(AG11*1000/AA11," ")</f>
        <v>22214.5551396487</v>
      </c>
      <c r="AE11" s="190" t="n">
        <f aca="false">IFERROR(AD11-AC11," ")</f>
        <v>6214.2750846561</v>
      </c>
      <c r="AF11" s="188" t="n">
        <v>157114.75</v>
      </c>
      <c r="AG11" s="197" t="n">
        <v>154302.3</v>
      </c>
      <c r="AH11" s="191" t="n">
        <f aca="false">AG11-AF11</f>
        <v>-2812.45000000001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customFormat="false" ht="25" hidden="false" customHeight="true" outlineLevel="0" collapsed="false">
      <c r="A12" s="192" t="s">
        <v>73</v>
      </c>
      <c r="B12" s="187" t="n">
        <v>7219</v>
      </c>
      <c r="C12" s="188"/>
      <c r="D12" s="189"/>
      <c r="E12" s="187" t="n">
        <v>13000</v>
      </c>
      <c r="F12" s="188" t="n">
        <v>11300</v>
      </c>
      <c r="G12" s="190" t="n">
        <f aca="false">F12-E12</f>
        <v>-1700</v>
      </c>
      <c r="H12" s="188" t="n">
        <f aca="false">B12*E12/1000</f>
        <v>93847</v>
      </c>
      <c r="I12" s="188" t="n">
        <f aca="false">C12*F12/1000</f>
        <v>0</v>
      </c>
      <c r="J12" s="191" t="n">
        <f aca="false">I12-H12</f>
        <v>-93847</v>
      </c>
      <c r="K12" s="192" t="n">
        <v>11242</v>
      </c>
      <c r="L12" s="193"/>
      <c r="M12" s="189" t="n">
        <f aca="false">L12-K12</f>
        <v>-11242</v>
      </c>
      <c r="N12" s="187" t="n">
        <v>13000</v>
      </c>
      <c r="O12" s="188" t="n">
        <v>11300</v>
      </c>
      <c r="P12" s="190" t="n">
        <f aca="false">O12-N12</f>
        <v>-1700</v>
      </c>
      <c r="Q12" s="188" t="n">
        <f aca="false">K12*N12/1000</f>
        <v>146146</v>
      </c>
      <c r="R12" s="188" t="n">
        <f aca="false">L12*O12/1000</f>
        <v>0</v>
      </c>
      <c r="S12" s="191" t="n">
        <f aca="false">R12-Q12</f>
        <v>-146146</v>
      </c>
      <c r="T12" s="194" t="n">
        <v>0</v>
      </c>
      <c r="U12" s="199" t="n">
        <v>0</v>
      </c>
      <c r="V12" s="198" t="str">
        <f aca="false">IFERROR(U12/T12," ")</f>
        <v> </v>
      </c>
      <c r="W12" s="190" t="n">
        <v>618.2</v>
      </c>
      <c r="X12" s="189" t="n">
        <v>499</v>
      </c>
      <c r="Y12" s="195" t="n">
        <f aca="false">X12/W12</f>
        <v>0.807182141701715</v>
      </c>
      <c r="Z12" s="196" t="n">
        <v>8963.9</v>
      </c>
      <c r="AA12" s="188" t="n">
        <v>6783</v>
      </c>
      <c r="AB12" s="190" t="n">
        <f aca="false">AA12-Z12</f>
        <v>-2180.9</v>
      </c>
      <c r="AC12" s="188" t="n">
        <f aca="false">AF12/Z12*1000</f>
        <v>18362.568747978</v>
      </c>
      <c r="AD12" s="188" t="n">
        <f aca="false">IFERROR(AG12*1000/AA12," ")</f>
        <v>23590.9346896653</v>
      </c>
      <c r="AE12" s="190" t="n">
        <f aca="false">IFERROR(AD12-AC12," ")</f>
        <v>5228.36594168734</v>
      </c>
      <c r="AF12" s="188" t="n">
        <v>164600.23</v>
      </c>
      <c r="AG12" s="197" t="n">
        <v>160017.31</v>
      </c>
      <c r="AH12" s="191" t="n">
        <f aca="false">AG12-AF12</f>
        <v>-4582.92000000001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customFormat="false" ht="25" hidden="false" customHeight="true" outlineLevel="0" collapsed="false">
      <c r="A13" s="192" t="s">
        <v>74</v>
      </c>
      <c r="B13" s="187" t="n">
        <v>7156</v>
      </c>
      <c r="C13" s="188"/>
      <c r="D13" s="189"/>
      <c r="E13" s="187" t="n">
        <v>13000</v>
      </c>
      <c r="F13" s="188" t="n">
        <v>11300</v>
      </c>
      <c r="G13" s="190" t="n">
        <f aca="false">F13-E13</f>
        <v>-1700</v>
      </c>
      <c r="H13" s="188" t="n">
        <f aca="false">B13*E13/1000</f>
        <v>93028</v>
      </c>
      <c r="I13" s="188" t="n">
        <f aca="false">C13*F13/1000</f>
        <v>0</v>
      </c>
      <c r="J13" s="191" t="n">
        <f aca="false">I13-H13</f>
        <v>-93028</v>
      </c>
      <c r="K13" s="192" t="n">
        <v>10164</v>
      </c>
      <c r="L13" s="193"/>
      <c r="M13" s="189" t="n">
        <f aca="false">L13-K13</f>
        <v>-10164</v>
      </c>
      <c r="N13" s="187" t="n">
        <v>13000</v>
      </c>
      <c r="O13" s="188" t="n">
        <v>11300</v>
      </c>
      <c r="P13" s="190" t="n">
        <f aca="false">O13-N13</f>
        <v>-1700</v>
      </c>
      <c r="Q13" s="188" t="n">
        <f aca="false">K13*N13/1000</f>
        <v>132132</v>
      </c>
      <c r="R13" s="188" t="n">
        <f aca="false">L13*O13/1000</f>
        <v>0</v>
      </c>
      <c r="S13" s="191" t="n">
        <f aca="false">R13-Q13</f>
        <v>-132132</v>
      </c>
      <c r="T13" s="194" t="n">
        <v>120</v>
      </c>
      <c r="U13" s="199" t="n">
        <v>0</v>
      </c>
      <c r="V13" s="198" t="n">
        <f aca="false">IFERROR(U13/T13," ")</f>
        <v>0</v>
      </c>
      <c r="W13" s="190" t="n">
        <v>600</v>
      </c>
      <c r="X13" s="189" t="n">
        <v>529.3</v>
      </c>
      <c r="Y13" s="195" t="n">
        <f aca="false">X13/W13</f>
        <v>0.882166666666667</v>
      </c>
      <c r="Z13" s="196" t="n">
        <v>9660</v>
      </c>
      <c r="AA13" s="188" t="n">
        <v>7154</v>
      </c>
      <c r="AB13" s="190" t="n">
        <f aca="false">AA13-Z13</f>
        <v>-2506</v>
      </c>
      <c r="AC13" s="188" t="n">
        <f aca="false">AF13/Z13*1000</f>
        <v>15793.1677018634</v>
      </c>
      <c r="AD13" s="188" t="n">
        <f aca="false">IFERROR(AG13*1000/AA13," ")</f>
        <v>22027.397260274</v>
      </c>
      <c r="AE13" s="190" t="n">
        <f aca="false">IFERROR(AD13-AC13," ")</f>
        <v>6234.22955841062</v>
      </c>
      <c r="AF13" s="188" t="n">
        <v>152562</v>
      </c>
      <c r="AG13" s="197" t="n">
        <v>157584</v>
      </c>
      <c r="AH13" s="191" t="n">
        <f aca="false">AG13-AF13</f>
        <v>5022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customFormat="false" ht="25" hidden="false" customHeight="true" outlineLevel="0" collapsed="false">
      <c r="A14" s="192" t="s">
        <v>75</v>
      </c>
      <c r="B14" s="187" t="n">
        <v>7708</v>
      </c>
      <c r="C14" s="188"/>
      <c r="D14" s="189"/>
      <c r="E14" s="187" t="n">
        <v>13000</v>
      </c>
      <c r="F14" s="188" t="n">
        <v>11300</v>
      </c>
      <c r="G14" s="190" t="n">
        <f aca="false">F14-E14</f>
        <v>-1700</v>
      </c>
      <c r="H14" s="188" t="n">
        <f aca="false">B14*E14/1000</f>
        <v>100204</v>
      </c>
      <c r="I14" s="188" t="n">
        <f aca="false">C14*F14/1000</f>
        <v>0</v>
      </c>
      <c r="J14" s="191" t="n">
        <f aca="false">I14-H14</f>
        <v>-100204</v>
      </c>
      <c r="K14" s="192" t="n">
        <v>10023</v>
      </c>
      <c r="L14" s="193"/>
      <c r="M14" s="189" t="n">
        <f aca="false">L14-K14</f>
        <v>-10023</v>
      </c>
      <c r="N14" s="187" t="n">
        <v>13000</v>
      </c>
      <c r="O14" s="188" t="n">
        <v>11300</v>
      </c>
      <c r="P14" s="190" t="n">
        <f aca="false">O14-N14</f>
        <v>-1700</v>
      </c>
      <c r="Q14" s="188" t="n">
        <f aca="false">K14*N14/1000</f>
        <v>130299</v>
      </c>
      <c r="R14" s="188" t="n">
        <f aca="false">L14*O14/1000</f>
        <v>0</v>
      </c>
      <c r="S14" s="200" t="n">
        <f aca="false">R14-Q14</f>
        <v>-130299</v>
      </c>
      <c r="T14" s="201" t="n">
        <v>0</v>
      </c>
      <c r="U14" s="199" t="n">
        <v>0</v>
      </c>
      <c r="V14" s="198" t="str">
        <f aca="false">IFERROR(U14/T14," ")</f>
        <v> </v>
      </c>
      <c r="W14" s="190" t="n">
        <v>596.6</v>
      </c>
      <c r="X14" s="189" t="n">
        <v>342.5</v>
      </c>
      <c r="Y14" s="195" t="n">
        <f aca="false">X14/W14</f>
        <v>0.574086490110627</v>
      </c>
      <c r="Z14" s="196" t="n">
        <v>8650.7</v>
      </c>
      <c r="AA14" s="188" t="n">
        <v>4871</v>
      </c>
      <c r="AB14" s="190" t="n">
        <f aca="false">AA14-Z14</f>
        <v>-3779.7</v>
      </c>
      <c r="AC14" s="188" t="n">
        <f aca="false">AF14/Z14*1000</f>
        <v>18816.0252927509</v>
      </c>
      <c r="AD14" s="188" t="n">
        <f aca="false">IFERROR(AG14*1000/AA14," ")</f>
        <v>29367.8505440361</v>
      </c>
      <c r="AE14" s="190" t="n">
        <f aca="false">IFERROR(AD14-AC14," ")</f>
        <v>10551.8252512853</v>
      </c>
      <c r="AF14" s="188" t="n">
        <v>162771.79</v>
      </c>
      <c r="AG14" s="197" t="n">
        <v>143050.8</v>
      </c>
      <c r="AH14" s="191" t="n">
        <f aca="false">AG14-AF14</f>
        <v>-19720.99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customFormat="false" ht="25" hidden="false" customHeight="true" outlineLevel="0" collapsed="false">
      <c r="A15" s="192" t="s">
        <v>76</v>
      </c>
      <c r="B15" s="187" t="n">
        <v>7542</v>
      </c>
      <c r="C15" s="188"/>
      <c r="D15" s="189"/>
      <c r="E15" s="187" t="n">
        <v>13000</v>
      </c>
      <c r="F15" s="188" t="n">
        <v>11300</v>
      </c>
      <c r="G15" s="190" t="n">
        <f aca="false">F15-E15</f>
        <v>-1700</v>
      </c>
      <c r="H15" s="188" t="n">
        <f aca="false">B15*E15/1000</f>
        <v>98046</v>
      </c>
      <c r="I15" s="188" t="n">
        <f aca="false">C15*F15/1000</f>
        <v>0</v>
      </c>
      <c r="J15" s="191" t="n">
        <f aca="false">I15-H15</f>
        <v>-98046</v>
      </c>
      <c r="K15" s="192" t="n">
        <v>11291</v>
      </c>
      <c r="L15" s="193"/>
      <c r="M15" s="189" t="n">
        <f aca="false">L15-K15</f>
        <v>-11291</v>
      </c>
      <c r="N15" s="187" t="n">
        <v>13000</v>
      </c>
      <c r="O15" s="188" t="n">
        <v>11300</v>
      </c>
      <c r="P15" s="190" t="n">
        <f aca="false">O15-N15</f>
        <v>-1700</v>
      </c>
      <c r="Q15" s="188" t="n">
        <f aca="false">K15*N15/1000</f>
        <v>146783</v>
      </c>
      <c r="R15" s="188" t="n">
        <f aca="false">L15*O15/1000</f>
        <v>0</v>
      </c>
      <c r="S15" s="191" t="n">
        <f aca="false">R15-Q15</f>
        <v>-146783</v>
      </c>
      <c r="T15" s="194" t="n">
        <v>120</v>
      </c>
      <c r="U15" s="189"/>
      <c r="V15" s="198" t="n">
        <f aca="false">IFERROR(U15/T15," ")</f>
        <v>0</v>
      </c>
      <c r="W15" s="190" t="n">
        <v>600</v>
      </c>
      <c r="X15" s="189"/>
      <c r="Y15" s="195" t="n">
        <f aca="false">X15/W15</f>
        <v>0</v>
      </c>
      <c r="Z15" s="196" t="n">
        <v>9660</v>
      </c>
      <c r="AA15" s="188" t="n">
        <v>0</v>
      </c>
      <c r="AB15" s="190" t="n">
        <f aca="false">AA15-Z15</f>
        <v>-9660</v>
      </c>
      <c r="AC15" s="188" t="n">
        <f aca="false">AF15/Z15*1000</f>
        <v>15793.1677018634</v>
      </c>
      <c r="AD15" s="188" t="str">
        <f aca="false">IFERROR(AG15*1000/AA15," ")</f>
        <v> </v>
      </c>
      <c r="AE15" s="190" t="str">
        <f aca="false">IFERROR(AD15-AC15," ")</f>
        <v> </v>
      </c>
      <c r="AF15" s="188" t="n">
        <v>152562</v>
      </c>
      <c r="AG15" s="197" t="n">
        <v>0</v>
      </c>
      <c r="AH15" s="191" t="n">
        <f aca="false">AG15-AF15</f>
        <v>-152562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customFormat="false" ht="25" hidden="false" customHeight="true" outlineLevel="0" collapsed="false">
      <c r="A16" s="192" t="s">
        <v>77</v>
      </c>
      <c r="B16" s="187" t="n">
        <v>9000</v>
      </c>
      <c r="C16" s="188"/>
      <c r="D16" s="189"/>
      <c r="E16" s="187" t="n">
        <v>13000</v>
      </c>
      <c r="F16" s="188" t="n">
        <v>11300</v>
      </c>
      <c r="G16" s="190" t="n">
        <f aca="false">F16-E16</f>
        <v>-1700</v>
      </c>
      <c r="H16" s="188" t="n">
        <f aca="false">B16*E16/1000</f>
        <v>117000</v>
      </c>
      <c r="I16" s="188" t="n">
        <f aca="false">C16*F16/1000</f>
        <v>0</v>
      </c>
      <c r="J16" s="191" t="n">
        <f aca="false">I16-H16</f>
        <v>-117000</v>
      </c>
      <c r="K16" s="192" t="n">
        <v>10293</v>
      </c>
      <c r="L16" s="193"/>
      <c r="M16" s="189" t="n">
        <f aca="false">L16-K16</f>
        <v>-10293</v>
      </c>
      <c r="N16" s="187" t="n">
        <v>13000</v>
      </c>
      <c r="O16" s="188" t="n">
        <v>11300</v>
      </c>
      <c r="P16" s="190" t="n">
        <f aca="false">O16-N16</f>
        <v>-1700</v>
      </c>
      <c r="Q16" s="188" t="n">
        <f aca="false">K16*N16/1000</f>
        <v>133809</v>
      </c>
      <c r="R16" s="188" t="n">
        <f aca="false">L16*O16/1000</f>
        <v>0</v>
      </c>
      <c r="S16" s="191" t="n">
        <f aca="false">R16-Q16</f>
        <v>-133809</v>
      </c>
      <c r="T16" s="194" t="n">
        <v>120</v>
      </c>
      <c r="U16" s="189"/>
      <c r="V16" s="198" t="n">
        <f aca="false">IFERROR(U16/T16," ")</f>
        <v>0</v>
      </c>
      <c r="W16" s="190" t="n">
        <v>620.6</v>
      </c>
      <c r="X16" s="189"/>
      <c r="Y16" s="195" t="n">
        <f aca="false">X16/W16</f>
        <v>0</v>
      </c>
      <c r="Z16" s="196" t="n">
        <v>9958.7</v>
      </c>
      <c r="AA16" s="188" t="n">
        <v>0</v>
      </c>
      <c r="AB16" s="190" t="n">
        <f aca="false">AA16-Z16</f>
        <v>-9958.7</v>
      </c>
      <c r="AC16" s="188" t="n">
        <f aca="false">AF16/Z16*1000</f>
        <v>16882.4635745629</v>
      </c>
      <c r="AD16" s="188" t="str">
        <f aca="false">IFERROR(AG16*1000/AA16," ")</f>
        <v> </v>
      </c>
      <c r="AE16" s="190" t="str">
        <f aca="false">IFERROR(AD16-AC16," ")</f>
        <v> </v>
      </c>
      <c r="AF16" s="188" t="n">
        <v>168127.39</v>
      </c>
      <c r="AG16" s="197" t="n">
        <v>0</v>
      </c>
      <c r="AH16" s="191" t="n">
        <f aca="false">AG16-AF16</f>
        <v>-168127.39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customFormat="false" ht="25" hidden="false" customHeight="true" outlineLevel="0" collapsed="false">
      <c r="A17" s="202" t="s">
        <v>78</v>
      </c>
      <c r="B17" s="203" t="n">
        <f aca="false">SUM(B5:B16)</f>
        <v>94304</v>
      </c>
      <c r="C17" s="190" t="n">
        <f aca="false">SUM(C5:C16)</f>
        <v>0</v>
      </c>
      <c r="D17" s="190" t="n">
        <f aca="false">SUM(D5:D16)</f>
        <v>0</v>
      </c>
      <c r="E17" s="190" t="n">
        <f aca="false">SUM(E5:E16)</f>
        <v>156000</v>
      </c>
      <c r="F17" s="190" t="n">
        <f aca="false">SUM(F5:F16)</f>
        <v>135600</v>
      </c>
      <c r="G17" s="190" t="n">
        <f aca="false">SUM(G5:G16)</f>
        <v>-20400</v>
      </c>
      <c r="H17" s="190" t="n">
        <f aca="false">SUM(H5:H16)</f>
        <v>1225952</v>
      </c>
      <c r="I17" s="190" t="n">
        <f aca="false">SUM(I5:I16)</f>
        <v>0</v>
      </c>
      <c r="J17" s="191" t="n">
        <f aca="false">SUM(J5:J16)</f>
        <v>-1225952</v>
      </c>
      <c r="K17" s="204" t="n">
        <f aca="false">SUM(K5:K16)</f>
        <v>131177</v>
      </c>
      <c r="L17" s="190" t="n">
        <f aca="false">SUM(L5:L16)</f>
        <v>0</v>
      </c>
      <c r="M17" s="190" t="n">
        <f aca="false">SUM(M5:M16)</f>
        <v>-131177</v>
      </c>
      <c r="N17" s="190" t="n">
        <f aca="false">SUM(N5:N16)</f>
        <v>156000</v>
      </c>
      <c r="O17" s="190" t="n">
        <f aca="false">SUM(O5:O16)</f>
        <v>135600</v>
      </c>
      <c r="P17" s="190" t="n">
        <f aca="false">SUM(P5:P16)</f>
        <v>-20400</v>
      </c>
      <c r="Q17" s="190" t="n">
        <f aca="false">SUM(Q5:Q16)</f>
        <v>1705301</v>
      </c>
      <c r="R17" s="190" t="n">
        <f aca="false">SUM(R5:R16)</f>
        <v>0</v>
      </c>
      <c r="S17" s="191" t="n">
        <f aca="false">SUM(S5:S16)</f>
        <v>-1705301</v>
      </c>
      <c r="T17" s="205" t="n">
        <f aca="false">SUM(T5:T16)</f>
        <v>1800</v>
      </c>
      <c r="U17" s="189" t="n">
        <f aca="false">SUM(U5:U16)</f>
        <v>480</v>
      </c>
      <c r="V17" s="206" t="n">
        <f aca="false">U17/T17</f>
        <v>0.266666666666667</v>
      </c>
      <c r="W17" s="190" t="n">
        <f aca="false">SUM(W5:W16)</f>
        <v>6712</v>
      </c>
      <c r="X17" s="190" t="n">
        <f aca="false">SUM(X5:X16)</f>
        <v>4879.4</v>
      </c>
      <c r="Y17" s="195" t="n">
        <f aca="false">X17/W17</f>
        <v>0.72696662693683</v>
      </c>
      <c r="Z17" s="196" t="n">
        <f aca="false">SUM(Z5:Z16)</f>
        <v>111724</v>
      </c>
      <c r="AA17" s="190" t="n">
        <f aca="false">SUM(AA5:AA16)</f>
        <v>76189</v>
      </c>
      <c r="AB17" s="190" t="n">
        <f aca="false">SUM(AB5:AB16)</f>
        <v>-35535</v>
      </c>
      <c r="AC17" s="190" t="n">
        <f aca="false">SUM(AC5:AC16)</f>
        <v>202690.702123258</v>
      </c>
      <c r="AD17" s="188" t="n">
        <f aca="false">IFERROR(AG17*1000/AA17," ")</f>
        <v>20508.2055152319</v>
      </c>
      <c r="AE17" s="190" t="n">
        <f aca="false">IFERROR(AD17-AC17," ")</f>
        <v>-182182.496608026</v>
      </c>
      <c r="AF17" s="190" t="n">
        <f aca="false">SUM(AF5:AF16)</f>
        <v>1878714.8</v>
      </c>
      <c r="AG17" s="190" t="n">
        <f aca="false">SUM(AG5:AG16)</f>
        <v>1562499.67</v>
      </c>
      <c r="AH17" s="191" t="n">
        <f aca="false">SUM(AH5:AH16)</f>
        <v>-316215.13</v>
      </c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207"/>
      <c r="BX17" s="207"/>
      <c r="BY17" s="207"/>
      <c r="BZ17" s="207"/>
      <c r="CA17" s="207"/>
      <c r="CB17" s="207"/>
      <c r="CC17" s="207"/>
      <c r="CD17" s="207"/>
      <c r="CE17" s="207"/>
      <c r="CF17" s="207"/>
      <c r="CG17" s="207"/>
      <c r="CH17" s="207"/>
      <c r="CI17" s="207"/>
      <c r="CJ17" s="207"/>
      <c r="CK17" s="207"/>
      <c r="CL17" s="207"/>
      <c r="CM17" s="207"/>
      <c r="CN17" s="207"/>
      <c r="CO17" s="207"/>
      <c r="CP17" s="207"/>
      <c r="CQ17" s="207"/>
      <c r="CR17" s="207"/>
      <c r="CS17" s="207"/>
      <c r="CT17" s="207"/>
      <c r="CU17" s="207"/>
      <c r="CV17" s="207"/>
      <c r="CW17" s="207"/>
      <c r="CX17" s="207"/>
      <c r="CY17" s="207"/>
      <c r="CZ17" s="207"/>
      <c r="DA17" s="207"/>
      <c r="DB17" s="207"/>
      <c r="DC17" s="207"/>
      <c r="DD17" s="207"/>
      <c r="DE17" s="207"/>
      <c r="DF17" s="207"/>
      <c r="DG17" s="207"/>
      <c r="DH17" s="207"/>
      <c r="DI17" s="207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7"/>
      <c r="DZ17" s="207"/>
      <c r="EA17" s="207"/>
      <c r="EB17" s="207"/>
      <c r="EC17" s="207"/>
      <c r="ED17" s="207"/>
      <c r="EE17" s="207"/>
      <c r="EF17" s="207"/>
      <c r="EG17" s="207"/>
      <c r="EH17" s="207"/>
      <c r="EI17" s="207"/>
      <c r="EJ17" s="207"/>
      <c r="EK17" s="207"/>
      <c r="EL17" s="207"/>
      <c r="EM17" s="207"/>
      <c r="EN17" s="207"/>
      <c r="EO17" s="207"/>
      <c r="EP17" s="207"/>
      <c r="EQ17" s="207"/>
      <c r="ER17" s="207"/>
      <c r="ES17" s="207"/>
      <c r="ET17" s="207"/>
      <c r="EU17" s="207"/>
      <c r="EV17" s="207"/>
      <c r="EW17" s="207"/>
      <c r="EX17" s="207"/>
      <c r="EY17" s="207"/>
      <c r="EZ17" s="207"/>
      <c r="FA17" s="207"/>
      <c r="FB17" s="207"/>
      <c r="FC17" s="207"/>
      <c r="FD17" s="207"/>
      <c r="FE17" s="207"/>
      <c r="FF17" s="207"/>
      <c r="FG17" s="207"/>
      <c r="FH17" s="207"/>
      <c r="FI17" s="207"/>
      <c r="FJ17" s="207"/>
      <c r="FK17" s="207"/>
      <c r="FL17" s="207"/>
      <c r="FM17" s="207"/>
      <c r="FN17" s="207"/>
      <c r="FO17" s="207"/>
      <c r="FP17" s="207"/>
      <c r="FQ17" s="207"/>
      <c r="FR17" s="207"/>
      <c r="FS17" s="207"/>
      <c r="FT17" s="207"/>
      <c r="FU17" s="207"/>
      <c r="FV17" s="207"/>
      <c r="FW17" s="207"/>
      <c r="FX17" s="207"/>
      <c r="FY17" s="207"/>
      <c r="FZ17" s="207"/>
      <c r="GA17" s="207"/>
      <c r="GB17" s="207"/>
      <c r="GC17" s="207"/>
      <c r="GD17" s="207"/>
      <c r="GE17" s="207"/>
      <c r="GF17" s="207"/>
      <c r="GG17" s="207"/>
      <c r="GH17" s="207"/>
      <c r="GI17" s="207"/>
      <c r="GJ17" s="207"/>
      <c r="GK17" s="207"/>
      <c r="GL17" s="207"/>
      <c r="GM17" s="207"/>
      <c r="GN17" s="207"/>
      <c r="GO17" s="207"/>
      <c r="GP17" s="207"/>
      <c r="GQ17" s="207"/>
      <c r="GR17" s="207"/>
      <c r="GS17" s="207"/>
      <c r="GT17" s="207"/>
      <c r="GU17" s="207"/>
      <c r="GV17" s="207"/>
      <c r="GW17" s="207"/>
      <c r="GX17" s="207"/>
      <c r="GY17" s="207"/>
      <c r="GZ17" s="207"/>
      <c r="HA17" s="207"/>
      <c r="HB17" s="207"/>
      <c r="HC17" s="207"/>
      <c r="HD17" s="207"/>
      <c r="HE17" s="207"/>
      <c r="HF17" s="207"/>
      <c r="HG17" s="207"/>
      <c r="HH17" s="207"/>
      <c r="HI17" s="207"/>
      <c r="HJ17" s="207"/>
      <c r="HK17" s="207"/>
      <c r="HL17" s="207"/>
      <c r="HM17" s="207"/>
      <c r="HN17" s="207"/>
      <c r="HO17" s="207"/>
      <c r="HP17" s="207"/>
      <c r="HQ17" s="207"/>
      <c r="HR17" s="207"/>
      <c r="HS17" s="207"/>
      <c r="HT17" s="207"/>
      <c r="HU17" s="207"/>
      <c r="HV17" s="207"/>
      <c r="HW17" s="207"/>
      <c r="HX17" s="207"/>
      <c r="HY17" s="207"/>
      <c r="HZ17" s="207"/>
      <c r="IA17" s="207"/>
      <c r="IB17" s="207"/>
      <c r="IC17" s="207"/>
      <c r="ID17" s="207"/>
      <c r="IE17" s="207"/>
      <c r="IF17" s="207"/>
      <c r="IG17" s="207"/>
      <c r="IH17" s="207"/>
      <c r="II17" s="207"/>
      <c r="IJ17" s="207"/>
      <c r="IK17" s="207"/>
      <c r="IL17" s="207"/>
      <c r="IM17" s="207"/>
      <c r="IN17" s="207"/>
      <c r="IO17" s="207"/>
      <c r="IP17" s="207"/>
      <c r="IQ17" s="207"/>
      <c r="IR17" s="207"/>
      <c r="IS17" s="207"/>
      <c r="IT17" s="207"/>
      <c r="IU17" s="207"/>
      <c r="IV17" s="207"/>
      <c r="IW17" s="207"/>
    </row>
    <row r="18" customFormat="false" ht="25" hidden="false" customHeight="true" outlineLevel="0" collapsed="false">
      <c r="A18" s="208" t="s">
        <v>130</v>
      </c>
      <c r="B18" s="209" t="n">
        <f aca="false">AVERAGE(B5:B16)</f>
        <v>7858.66666666667</v>
      </c>
      <c r="C18" s="210" t="e">
        <f aca="false">AVERAGE(C5:C16)</f>
        <v>#DIV/0!</v>
      </c>
      <c r="D18" s="210" t="e">
        <f aca="false">AVERAGE(D5:D16)</f>
        <v>#DIV/0!</v>
      </c>
      <c r="E18" s="210" t="n">
        <f aca="false">AVERAGE(E5:E16)</f>
        <v>13000</v>
      </c>
      <c r="F18" s="210" t="n">
        <f aca="false">AVERAGE(F5:F16)</f>
        <v>11300</v>
      </c>
      <c r="G18" s="210" t="n">
        <f aca="false">AVERAGE(G5:G16)</f>
        <v>-1700</v>
      </c>
      <c r="H18" s="210" t="n">
        <f aca="false">AVERAGE(H5:H16)</f>
        <v>102162.666666667</v>
      </c>
      <c r="I18" s="210" t="n">
        <f aca="false">AVERAGE(I5:I16)</f>
        <v>0</v>
      </c>
      <c r="J18" s="211" t="n">
        <f aca="false">AVERAGE(J5:J16)</f>
        <v>-102162.666666667</v>
      </c>
      <c r="K18" s="212" t="n">
        <f aca="false">AVERAGE(K5:K16)</f>
        <v>10931.4166666667</v>
      </c>
      <c r="L18" s="210" t="e">
        <f aca="false">AVERAGE(L5:L16)</f>
        <v>#DIV/0!</v>
      </c>
      <c r="M18" s="210" t="n">
        <f aca="false">AVERAGE(M5:M16)</f>
        <v>-10931.4166666667</v>
      </c>
      <c r="N18" s="210" t="n">
        <f aca="false">AVERAGE(N5:N16)</f>
        <v>13000</v>
      </c>
      <c r="O18" s="210" t="n">
        <f aca="false">AVERAGE(O5:O16)</f>
        <v>11300</v>
      </c>
      <c r="P18" s="210" t="n">
        <f aca="false">AVERAGE(P5:P16)</f>
        <v>-1700</v>
      </c>
      <c r="Q18" s="210" t="n">
        <f aca="false">AVERAGE(Q5:Q16)</f>
        <v>142108.416666667</v>
      </c>
      <c r="R18" s="210" t="n">
        <f aca="false">AVERAGE(R5:R16)</f>
        <v>0</v>
      </c>
      <c r="S18" s="211" t="n">
        <f aca="false">AVERAGE(S5:S16)</f>
        <v>-142108.416666667</v>
      </c>
      <c r="T18" s="213" t="n">
        <f aca="false">AVERAGE(T5:T16)</f>
        <v>150</v>
      </c>
      <c r="U18" s="214" t="n">
        <f aca="false">AVERAGE(U5:U16)</f>
        <v>48</v>
      </c>
      <c r="V18" s="215" t="n">
        <f aca="false">AVERAGE(V5:V16)</f>
        <v>0.34</v>
      </c>
      <c r="W18" s="210" t="n">
        <f aca="false">AVERAGE(W5:W16)</f>
        <v>559.333333333333</v>
      </c>
      <c r="X18" s="210" t="n">
        <f aca="false">AVERAGE(X5:X16)</f>
        <v>487.94</v>
      </c>
      <c r="Y18" s="216" t="n">
        <f aca="false">AVERAGE(Y5:Y17)</f>
        <v>0.811492808676975</v>
      </c>
      <c r="Z18" s="212" t="n">
        <f aca="false">AVERAGE(Z5:Z16)</f>
        <v>9310.33333333333</v>
      </c>
      <c r="AA18" s="210" t="n">
        <f aca="false">AVERAGE(AA5:AA16)</f>
        <v>6349.08333333333</v>
      </c>
      <c r="AB18" s="210" t="n">
        <f aca="false">AVERAGE(AB5:AB16)</f>
        <v>-2961.25</v>
      </c>
      <c r="AC18" s="210" t="n">
        <f aca="false">AVERAGE(AC5:AC16)</f>
        <v>16890.8918436048</v>
      </c>
      <c r="AD18" s="44" t="n">
        <f aca="false">IFERROR(AG18*1000/AA18," ")</f>
        <v>20508.2055152319</v>
      </c>
      <c r="AE18" s="210" t="n">
        <f aca="false">IFERROR(AD18-AC18," ")</f>
        <v>3617.31367162706</v>
      </c>
      <c r="AF18" s="210" t="n">
        <f aca="false">AVERAGE(AF5:AF16)</f>
        <v>156559.566666667</v>
      </c>
      <c r="AG18" s="210" t="n">
        <f aca="false">AVERAGE(AG5:AG16)</f>
        <v>130208.305833333</v>
      </c>
      <c r="AH18" s="211" t="n">
        <f aca="false">AVERAGE(AH5:AH16)</f>
        <v>-26351.2608333333</v>
      </c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7"/>
      <c r="BM18" s="207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207"/>
      <c r="CM18" s="207"/>
      <c r="CN18" s="207"/>
      <c r="CO18" s="207"/>
      <c r="CP18" s="207"/>
      <c r="CQ18" s="207"/>
      <c r="CR18" s="207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C18" s="207"/>
      <c r="DD18" s="207"/>
      <c r="DE18" s="207"/>
      <c r="DF18" s="207"/>
      <c r="DG18" s="207"/>
      <c r="DH18" s="207"/>
      <c r="DI18" s="207"/>
      <c r="DJ18" s="207"/>
      <c r="DK18" s="207"/>
      <c r="DL18" s="207"/>
      <c r="DM18" s="207"/>
      <c r="DN18" s="207"/>
      <c r="DO18" s="207"/>
      <c r="DP18" s="207"/>
      <c r="DQ18" s="207"/>
      <c r="DR18" s="207"/>
      <c r="DS18" s="207"/>
      <c r="DT18" s="207"/>
      <c r="DU18" s="207"/>
      <c r="DV18" s="207"/>
      <c r="DW18" s="207"/>
      <c r="DX18" s="207"/>
      <c r="DY18" s="207"/>
      <c r="DZ18" s="207"/>
      <c r="EA18" s="207"/>
      <c r="EB18" s="207"/>
      <c r="EC18" s="207"/>
      <c r="ED18" s="207"/>
      <c r="EE18" s="207"/>
      <c r="EF18" s="207"/>
      <c r="EG18" s="207"/>
      <c r="EH18" s="207"/>
      <c r="EI18" s="207"/>
      <c r="EJ18" s="207"/>
      <c r="EK18" s="207"/>
      <c r="EL18" s="207"/>
      <c r="EM18" s="207"/>
      <c r="EN18" s="207"/>
      <c r="EO18" s="207"/>
      <c r="EP18" s="207"/>
      <c r="EQ18" s="207"/>
      <c r="ER18" s="207"/>
      <c r="ES18" s="207"/>
      <c r="ET18" s="207"/>
      <c r="EU18" s="207"/>
      <c r="EV18" s="207"/>
      <c r="EW18" s="207"/>
      <c r="EX18" s="207"/>
      <c r="EY18" s="207"/>
      <c r="EZ18" s="207"/>
      <c r="FA18" s="207"/>
      <c r="FB18" s="207"/>
      <c r="FC18" s="207"/>
      <c r="FD18" s="207"/>
      <c r="FE18" s="207"/>
      <c r="FF18" s="207"/>
      <c r="FG18" s="207"/>
      <c r="FH18" s="207"/>
      <c r="FI18" s="207"/>
      <c r="FJ18" s="207"/>
      <c r="FK18" s="207"/>
      <c r="FL18" s="207"/>
      <c r="FM18" s="207"/>
      <c r="FN18" s="207"/>
      <c r="FO18" s="207"/>
      <c r="FP18" s="207"/>
      <c r="FQ18" s="207"/>
      <c r="FR18" s="207"/>
      <c r="FS18" s="207"/>
      <c r="FT18" s="207"/>
      <c r="FU18" s="207"/>
      <c r="FV18" s="207"/>
      <c r="FW18" s="207"/>
      <c r="FX18" s="207"/>
      <c r="FY18" s="207"/>
      <c r="FZ18" s="207"/>
      <c r="GA18" s="207"/>
      <c r="GB18" s="207"/>
      <c r="GC18" s="207"/>
      <c r="GD18" s="207"/>
      <c r="GE18" s="207"/>
      <c r="GF18" s="207"/>
      <c r="GG18" s="207"/>
      <c r="GH18" s="207"/>
      <c r="GI18" s="207"/>
      <c r="GJ18" s="207"/>
      <c r="GK18" s="207"/>
      <c r="GL18" s="207"/>
      <c r="GM18" s="207"/>
      <c r="GN18" s="207"/>
      <c r="GO18" s="207"/>
      <c r="GP18" s="207"/>
      <c r="GQ18" s="207"/>
      <c r="GR18" s="207"/>
      <c r="GS18" s="207"/>
      <c r="GT18" s="207"/>
      <c r="GU18" s="207"/>
      <c r="GV18" s="207"/>
      <c r="GW18" s="207"/>
      <c r="GX18" s="207"/>
      <c r="GY18" s="207"/>
      <c r="GZ18" s="207"/>
      <c r="HA18" s="207"/>
      <c r="HB18" s="207"/>
      <c r="HC18" s="207"/>
      <c r="HD18" s="207"/>
      <c r="HE18" s="207"/>
      <c r="HF18" s="207"/>
      <c r="HG18" s="207"/>
      <c r="HH18" s="207"/>
      <c r="HI18" s="207"/>
      <c r="HJ18" s="207"/>
      <c r="HK18" s="207"/>
      <c r="HL18" s="207"/>
      <c r="HM18" s="207"/>
      <c r="HN18" s="207"/>
      <c r="HO18" s="207"/>
      <c r="HP18" s="207"/>
      <c r="HQ18" s="207"/>
      <c r="HR18" s="207"/>
      <c r="HS18" s="207"/>
      <c r="HT18" s="207"/>
      <c r="HU18" s="207"/>
      <c r="HV18" s="207"/>
      <c r="HW18" s="207"/>
      <c r="HX18" s="207"/>
      <c r="HY18" s="207"/>
      <c r="HZ18" s="207"/>
      <c r="IA18" s="207"/>
      <c r="IB18" s="207"/>
      <c r="IC18" s="207"/>
      <c r="ID18" s="207"/>
      <c r="IE18" s="207"/>
      <c r="IF18" s="207"/>
      <c r="IG18" s="207"/>
      <c r="IH18" s="207"/>
      <c r="II18" s="207"/>
      <c r="IJ18" s="207"/>
      <c r="IK18" s="207"/>
      <c r="IL18" s="207"/>
      <c r="IM18" s="207"/>
      <c r="IN18" s="207"/>
      <c r="IO18" s="207"/>
      <c r="IP18" s="207"/>
      <c r="IQ18" s="207"/>
      <c r="IR18" s="207"/>
      <c r="IS18" s="207"/>
      <c r="IT18" s="207"/>
      <c r="IU18" s="207"/>
      <c r="IV18" s="207"/>
      <c r="IW18" s="207"/>
    </row>
    <row r="19" customFormat="false" ht="17.5" hidden="false" customHeight="false" outlineLevel="0" collapsed="false">
      <c r="A19" s="217"/>
      <c r="B19" s="217"/>
      <c r="C19" s="217"/>
      <c r="D19" s="217" t="s">
        <v>131</v>
      </c>
      <c r="E19" s="217"/>
      <c r="F19" s="217"/>
      <c r="G19" s="217" t="s">
        <v>132</v>
      </c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</row>
    <row r="22" customFormat="false" ht="17.5" hidden="false" customHeight="false" outlineLevel="0" collapsed="false">
      <c r="V22" s="218"/>
    </row>
    <row r="23" customFormat="false" ht="17.5" hidden="false" customHeight="false" outlineLevel="0" collapsed="false">
      <c r="D23" s="219"/>
    </row>
    <row r="24" customFormat="false" ht="17.5" hidden="false" customHeight="false" outlineLevel="0" collapsed="false">
      <c r="D24" s="219"/>
    </row>
    <row r="25" customFormat="false" ht="17.5" hidden="false" customHeight="false" outlineLevel="0" collapsed="false">
      <c r="D25" s="219"/>
    </row>
    <row r="26" customFormat="false" ht="17.5" hidden="false" customHeight="false" outlineLevel="0" collapsed="false">
      <c r="D26" s="219"/>
    </row>
    <row r="27" customFormat="false" ht="17.5" hidden="false" customHeight="false" outlineLevel="0" collapsed="false">
      <c r="D27" s="219"/>
    </row>
    <row r="28" customFormat="false" ht="17.5" hidden="false" customHeight="false" outlineLevel="0" collapsed="false">
      <c r="D28" s="219"/>
    </row>
    <row r="29" customFormat="false" ht="17.5" hidden="false" customHeight="false" outlineLevel="0" collapsed="false">
      <c r="D29" s="219"/>
    </row>
    <row r="30" customFormat="false" ht="17.5" hidden="false" customHeight="false" outlineLevel="0" collapsed="false">
      <c r="D30" s="219"/>
    </row>
    <row r="31" customFormat="false" ht="17.5" hidden="false" customHeight="false" outlineLevel="0" collapsed="false">
      <c r="D31" s="219"/>
    </row>
    <row r="32" customFormat="false" ht="17.5" hidden="false" customHeight="false" outlineLevel="0" collapsed="false">
      <c r="D32" s="219"/>
    </row>
    <row r="33" customFormat="false" ht="17.5" hidden="false" customHeight="false" outlineLevel="0" collapsed="false">
      <c r="D33" s="219"/>
    </row>
    <row r="34" customFormat="false" ht="17.5" hidden="false" customHeight="false" outlineLevel="0" collapsed="false">
      <c r="D34" s="219"/>
    </row>
    <row r="35" customFormat="false" ht="17.5" hidden="false" customHeight="false" outlineLevel="0" collapsed="false">
      <c r="D35" s="219"/>
    </row>
    <row r="36" customFormat="false" ht="17.5" hidden="false" customHeight="false" outlineLevel="0" collapsed="false">
      <c r="D36" s="219"/>
    </row>
    <row r="37" customFormat="false" ht="17.5" hidden="false" customHeight="false" outlineLevel="0" collapsed="false">
      <c r="D37" s="219"/>
    </row>
    <row r="38" customFormat="false" ht="17.5" hidden="false" customHeight="false" outlineLevel="0" collapsed="false">
      <c r="D38" s="219"/>
    </row>
  </sheetData>
  <mergeCells count="12"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63"/>
  <sheetViews>
    <sheetView showFormulas="false" showGridLines="true" showRowColHeaders="true" showZeros="true" rightToLeft="false" tabSelected="false" showOutlineSymbols="true" defaultGridColor="true" view="normal" topLeftCell="J10" colorId="64" zoomScale="85" zoomScaleNormal="85" zoomScalePageLayoutView="100" workbookViewId="0">
      <selection pane="topLeft" activeCell="AB36" activeCellId="0" sqref="AB36"/>
    </sheetView>
  </sheetViews>
  <sheetFormatPr defaultColWidth="8.91015625" defaultRowHeight="17" customHeight="false" zeroHeight="false" outlineLevelRow="0" outlineLevelCol="0"/>
  <cols>
    <col collapsed="false" customWidth="true" hidden="false" outlineLevel="0" max="1" min="1" style="220" width="7.33"/>
    <col collapsed="false" customWidth="true" hidden="false" outlineLevel="0" max="3" min="2" style="220" width="11.74"/>
    <col collapsed="false" customWidth="true" hidden="false" outlineLevel="0" max="4" min="4" style="220" width="12.24"/>
    <col collapsed="false" customWidth="true" hidden="false" outlineLevel="0" max="5" min="5" style="220" width="11.74"/>
    <col collapsed="false" customWidth="true" hidden="false" outlineLevel="0" max="6" min="6" style="220" width="14.99"/>
    <col collapsed="false" customWidth="true" hidden="false" outlineLevel="0" max="7" min="7" style="220" width="14.33"/>
    <col collapsed="false" customWidth="true" hidden="false" outlineLevel="0" max="8" min="8" style="220" width="12.24"/>
    <col collapsed="false" customWidth="true" hidden="false" outlineLevel="0" max="9" min="9" style="220" width="12.74"/>
    <col collapsed="false" customWidth="true" hidden="false" outlineLevel="0" max="11" min="10" style="220" width="11.74"/>
    <col collapsed="false" customWidth="true" hidden="false" outlineLevel="0" max="12" min="12" style="220" width="12.74"/>
    <col collapsed="false" customWidth="true" hidden="false" outlineLevel="0" max="14" min="13" style="220" width="11.74"/>
    <col collapsed="false" customWidth="true" hidden="false" outlineLevel="0" max="15" min="15" style="220" width="12.74"/>
    <col collapsed="false" customWidth="true" hidden="false" outlineLevel="0" max="17" min="16" style="220" width="11.74"/>
    <col collapsed="false" customWidth="true" hidden="false" outlineLevel="0" max="18" min="18" style="220" width="12.74"/>
    <col collapsed="false" customWidth="true" hidden="false" outlineLevel="0" max="19" min="19" style="220" width="11.66"/>
    <col collapsed="false" customWidth="true" hidden="false" outlineLevel="0" max="21" min="20" style="220" width="11.74"/>
    <col collapsed="false" customWidth="true" hidden="false" outlineLevel="0" max="22" min="22" style="220" width="13.41"/>
    <col collapsed="false" customWidth="true" hidden="false" outlineLevel="0" max="23" min="23" style="220" width="11.99"/>
    <col collapsed="false" customWidth="true" hidden="false" outlineLevel="0" max="24" min="24" style="220" width="9.58"/>
    <col collapsed="false" customWidth="true" hidden="false" outlineLevel="0" max="28" min="25" style="220" width="13.41"/>
    <col collapsed="false" customWidth="false" hidden="false" outlineLevel="0" max="257" min="29" style="220" width="8.91"/>
  </cols>
  <sheetData>
    <row r="1" customFormat="false" ht="27.75" hidden="false" customHeight="true" outlineLevel="0" collapsed="false">
      <c r="A1" s="221" t="s">
        <v>133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2"/>
      <c r="BO1" s="222"/>
      <c r="BP1" s="222"/>
      <c r="BQ1" s="222"/>
      <c r="BR1" s="222"/>
      <c r="BS1" s="222"/>
      <c r="BT1" s="222"/>
      <c r="BU1" s="222"/>
      <c r="BV1" s="222"/>
      <c r="BW1" s="222"/>
      <c r="BX1" s="222"/>
      <c r="BY1" s="222"/>
      <c r="BZ1" s="222"/>
      <c r="CA1" s="222"/>
      <c r="CB1" s="222"/>
      <c r="CC1" s="222"/>
      <c r="CD1" s="222"/>
      <c r="CE1" s="222"/>
      <c r="CF1" s="222"/>
      <c r="CG1" s="222"/>
      <c r="CH1" s="222"/>
      <c r="CI1" s="222"/>
      <c r="CJ1" s="222"/>
      <c r="CK1" s="222"/>
      <c r="CL1" s="222"/>
      <c r="CM1" s="222"/>
      <c r="CN1" s="222"/>
      <c r="CO1" s="222"/>
      <c r="CP1" s="222"/>
      <c r="CQ1" s="222"/>
      <c r="CR1" s="222"/>
      <c r="CS1" s="222"/>
      <c r="CT1" s="222"/>
      <c r="CU1" s="222"/>
      <c r="CV1" s="222"/>
      <c r="CW1" s="222"/>
      <c r="CX1" s="222"/>
      <c r="CY1" s="222"/>
      <c r="CZ1" s="222"/>
      <c r="DA1" s="222"/>
      <c r="DB1" s="222"/>
      <c r="DC1" s="222"/>
      <c r="DD1" s="222"/>
      <c r="DE1" s="222"/>
      <c r="DF1" s="222"/>
      <c r="DG1" s="222"/>
      <c r="DH1" s="222"/>
      <c r="DI1" s="222"/>
      <c r="DJ1" s="222"/>
      <c r="DK1" s="222"/>
      <c r="DL1" s="222"/>
      <c r="DM1" s="222"/>
      <c r="DN1" s="222"/>
      <c r="DO1" s="222"/>
      <c r="DP1" s="222"/>
      <c r="DQ1" s="222"/>
      <c r="DR1" s="222"/>
      <c r="DS1" s="222"/>
      <c r="DT1" s="222"/>
      <c r="DU1" s="222"/>
      <c r="DV1" s="222"/>
      <c r="DW1" s="222"/>
      <c r="DX1" s="222"/>
      <c r="DY1" s="222"/>
      <c r="DZ1" s="222"/>
      <c r="EA1" s="222"/>
      <c r="EB1" s="222"/>
      <c r="EC1" s="222"/>
      <c r="ED1" s="222"/>
      <c r="EE1" s="222"/>
      <c r="EF1" s="222"/>
      <c r="EG1" s="222"/>
      <c r="EH1" s="222"/>
      <c r="EI1" s="222"/>
      <c r="EJ1" s="222"/>
      <c r="EK1" s="222"/>
      <c r="EL1" s="222"/>
      <c r="EM1" s="222"/>
      <c r="EN1" s="222"/>
      <c r="EO1" s="222"/>
      <c r="EP1" s="222"/>
      <c r="EQ1" s="222"/>
      <c r="ER1" s="222"/>
      <c r="ES1" s="222"/>
      <c r="ET1" s="222"/>
      <c r="EU1" s="222"/>
      <c r="EV1" s="222"/>
      <c r="EW1" s="222"/>
      <c r="EX1" s="222"/>
      <c r="EY1" s="222"/>
      <c r="EZ1" s="222"/>
      <c r="FA1" s="222"/>
      <c r="FB1" s="222"/>
      <c r="FC1" s="222"/>
      <c r="FD1" s="222"/>
      <c r="FE1" s="222"/>
      <c r="FF1" s="222"/>
      <c r="FG1" s="222"/>
      <c r="FH1" s="222"/>
      <c r="FI1" s="222"/>
      <c r="FJ1" s="222"/>
      <c r="FK1" s="222"/>
      <c r="FL1" s="222"/>
      <c r="FM1" s="222"/>
      <c r="FN1" s="222"/>
      <c r="FO1" s="222"/>
      <c r="FP1" s="222"/>
      <c r="FQ1" s="222"/>
      <c r="FR1" s="222"/>
      <c r="FS1" s="222"/>
      <c r="FT1" s="222"/>
      <c r="FU1" s="222"/>
      <c r="FV1" s="222"/>
      <c r="FW1" s="222"/>
      <c r="FX1" s="222"/>
      <c r="FY1" s="222"/>
      <c r="FZ1" s="222"/>
      <c r="GA1" s="222"/>
      <c r="GB1" s="222"/>
      <c r="GC1" s="222"/>
      <c r="GD1" s="222"/>
      <c r="GE1" s="222"/>
      <c r="GF1" s="222"/>
      <c r="GG1" s="222"/>
      <c r="GH1" s="222"/>
      <c r="GI1" s="222"/>
      <c r="GJ1" s="222"/>
      <c r="GK1" s="222"/>
      <c r="GL1" s="222"/>
      <c r="GM1" s="222"/>
      <c r="GN1" s="222"/>
      <c r="GO1" s="222"/>
      <c r="GP1" s="222"/>
      <c r="GQ1" s="222"/>
      <c r="GR1" s="222"/>
      <c r="GS1" s="222"/>
      <c r="GT1" s="222"/>
      <c r="GU1" s="222"/>
      <c r="GV1" s="222"/>
      <c r="GW1" s="222"/>
      <c r="GX1" s="222"/>
      <c r="GY1" s="222"/>
      <c r="GZ1" s="222"/>
      <c r="HA1" s="222"/>
      <c r="HB1" s="222"/>
      <c r="HC1" s="222"/>
      <c r="HD1" s="222"/>
      <c r="HE1" s="222"/>
      <c r="HF1" s="222"/>
      <c r="HG1" s="222"/>
      <c r="HH1" s="222"/>
      <c r="HI1" s="222"/>
      <c r="HJ1" s="222"/>
      <c r="HK1" s="222"/>
      <c r="HL1" s="222"/>
      <c r="HM1" s="222"/>
      <c r="HN1" s="222"/>
      <c r="HO1" s="222"/>
      <c r="HP1" s="222"/>
      <c r="HQ1" s="222"/>
      <c r="HR1" s="222"/>
      <c r="HS1" s="222"/>
      <c r="HT1" s="222"/>
      <c r="HU1" s="222"/>
      <c r="HV1" s="222"/>
      <c r="HW1" s="222"/>
      <c r="HX1" s="222"/>
      <c r="HY1" s="222"/>
      <c r="HZ1" s="222"/>
      <c r="IA1" s="222"/>
      <c r="IB1" s="222"/>
      <c r="IC1" s="222"/>
      <c r="ID1" s="222"/>
      <c r="IE1" s="222"/>
      <c r="IF1" s="222"/>
      <c r="IG1" s="222"/>
      <c r="IH1" s="222"/>
      <c r="II1" s="222"/>
      <c r="IJ1" s="222"/>
      <c r="IK1" s="222"/>
      <c r="IL1" s="222"/>
      <c r="IM1" s="222"/>
      <c r="IN1" s="222"/>
      <c r="IO1" s="222"/>
      <c r="IP1" s="222"/>
      <c r="IQ1" s="222"/>
      <c r="IR1" s="222"/>
      <c r="IS1" s="222"/>
      <c r="IT1" s="222"/>
      <c r="IU1" s="222"/>
      <c r="IV1" s="222"/>
      <c r="IW1" s="222"/>
    </row>
    <row r="2" customFormat="false" ht="25" hidden="false" customHeight="true" outlineLevel="0" collapsed="false">
      <c r="B2" s="223"/>
      <c r="C2" s="223"/>
      <c r="D2" s="223"/>
      <c r="E2" s="223"/>
      <c r="F2" s="223"/>
      <c r="G2" s="223"/>
      <c r="H2" s="223"/>
      <c r="I2" s="223"/>
      <c r="J2" s="223"/>
    </row>
    <row r="3" customFormat="false" ht="34" hidden="false" customHeight="true" outlineLevel="0" collapsed="false">
      <c r="A3" s="224" t="n">
        <v>2025</v>
      </c>
      <c r="B3" s="225" t="s">
        <v>134</v>
      </c>
      <c r="C3" s="225"/>
      <c r="D3" s="225"/>
      <c r="E3" s="226" t="s">
        <v>135</v>
      </c>
      <c r="F3" s="226"/>
      <c r="G3" s="227" t="s">
        <v>136</v>
      </c>
      <c r="H3" s="227"/>
      <c r="I3" s="228" t="s">
        <v>121</v>
      </c>
      <c r="J3" s="228"/>
      <c r="K3" s="228"/>
      <c r="L3" s="229" t="s">
        <v>137</v>
      </c>
      <c r="M3" s="229"/>
      <c r="N3" s="229"/>
      <c r="O3" s="230" t="s">
        <v>138</v>
      </c>
      <c r="P3" s="230"/>
      <c r="Q3" s="230"/>
      <c r="R3" s="230"/>
      <c r="S3" s="230"/>
      <c r="T3" s="230"/>
      <c r="U3" s="230"/>
      <c r="V3" s="230"/>
      <c r="W3" s="230"/>
    </row>
    <row r="4" customFormat="false" ht="17" hidden="false" customHeight="false" outlineLevel="0" collapsed="false">
      <c r="A4" s="224"/>
      <c r="B4" s="231" t="s">
        <v>7</v>
      </c>
      <c r="C4" s="232" t="s">
        <v>8</v>
      </c>
      <c r="D4" s="232" t="s">
        <v>78</v>
      </c>
      <c r="E4" s="232" t="s">
        <v>7</v>
      </c>
      <c r="F4" s="232" t="s">
        <v>8</v>
      </c>
      <c r="G4" s="232" t="s">
        <v>7</v>
      </c>
      <c r="H4" s="232" t="s">
        <v>8</v>
      </c>
      <c r="I4" s="232" t="s">
        <v>7</v>
      </c>
      <c r="J4" s="232" t="s">
        <v>8</v>
      </c>
      <c r="K4" s="233" t="s">
        <v>78</v>
      </c>
      <c r="L4" s="231" t="s">
        <v>7</v>
      </c>
      <c r="M4" s="232" t="s">
        <v>8</v>
      </c>
      <c r="N4" s="234" t="s">
        <v>78</v>
      </c>
      <c r="O4" s="231" t="s">
        <v>139</v>
      </c>
      <c r="P4" s="235" t="s">
        <v>140</v>
      </c>
      <c r="Q4" s="235"/>
      <c r="R4" s="235"/>
      <c r="S4" s="236" t="s">
        <v>141</v>
      </c>
      <c r="T4" s="236"/>
      <c r="U4" s="236"/>
      <c r="V4" s="237" t="s">
        <v>142</v>
      </c>
      <c r="W4" s="234" t="s">
        <v>143</v>
      </c>
    </row>
    <row r="5" customFormat="false" ht="20.15" hidden="false" customHeight="true" outlineLevel="0" collapsed="false">
      <c r="A5" s="224"/>
      <c r="B5" s="231"/>
      <c r="C5" s="232"/>
      <c r="D5" s="232"/>
      <c r="E5" s="232"/>
      <c r="F5" s="232"/>
      <c r="G5" s="232"/>
      <c r="H5" s="232"/>
      <c r="I5" s="232"/>
      <c r="J5" s="232"/>
      <c r="K5" s="233"/>
      <c r="L5" s="231"/>
      <c r="M5" s="232"/>
      <c r="N5" s="234"/>
      <c r="O5" s="231"/>
      <c r="P5" s="232" t="s">
        <v>144</v>
      </c>
      <c r="Q5" s="232" t="s">
        <v>145</v>
      </c>
      <c r="R5" s="233" t="s">
        <v>48</v>
      </c>
      <c r="S5" s="232" t="s">
        <v>144</v>
      </c>
      <c r="T5" s="238" t="s">
        <v>145</v>
      </c>
      <c r="U5" s="233" t="s">
        <v>48</v>
      </c>
      <c r="V5" s="237"/>
      <c r="W5" s="234"/>
      <c r="Y5" s="239" t="s">
        <v>52</v>
      </c>
      <c r="Z5" s="239" t="s">
        <v>7</v>
      </c>
      <c r="AA5" s="239" t="s">
        <v>8</v>
      </c>
    </row>
    <row r="6" customFormat="false" ht="20.15" hidden="false" customHeight="true" outlineLevel="0" collapsed="false">
      <c r="A6" s="240" t="s">
        <v>66</v>
      </c>
      <c r="B6" s="241" t="n">
        <v>268.16</v>
      </c>
      <c r="C6" s="242" t="n">
        <v>1564.89</v>
      </c>
      <c r="D6" s="243" t="n">
        <f aca="false">B6+C6</f>
        <v>1833.05</v>
      </c>
      <c r="E6" s="244" t="n">
        <v>141</v>
      </c>
      <c r="F6" s="244" t="n">
        <v>391</v>
      </c>
      <c r="G6" s="244" t="n">
        <v>603</v>
      </c>
      <c r="H6" s="244" t="n">
        <v>353</v>
      </c>
      <c r="I6" s="243" t="n">
        <v>1218</v>
      </c>
      <c r="J6" s="243" t="n">
        <v>5438</v>
      </c>
      <c r="K6" s="245" t="n">
        <f aca="false">SUM(I6:J6)</f>
        <v>6656</v>
      </c>
      <c r="L6" s="246" t="n">
        <f aca="false">I6/E6</f>
        <v>8.63829787234043</v>
      </c>
      <c r="M6" s="244" t="n">
        <f aca="false">J6/F6</f>
        <v>13.9079283887468</v>
      </c>
      <c r="N6" s="247" t="n">
        <f aca="false">L6+M6</f>
        <v>22.5462262610872</v>
      </c>
      <c r="O6" s="248" t="n">
        <v>11500</v>
      </c>
      <c r="P6" s="243" t="n">
        <f aca="false">G6*$Z$6/1000</f>
        <v>39195</v>
      </c>
      <c r="Q6" s="243" t="n">
        <v>14007</v>
      </c>
      <c r="R6" s="243" t="n">
        <f aca="false">SUM(P6:Q6)</f>
        <v>53202</v>
      </c>
      <c r="S6" s="243" t="n">
        <f aca="false">H6*$AA$6/1000</f>
        <v>29652</v>
      </c>
      <c r="T6" s="249" t="n">
        <v>62537</v>
      </c>
      <c r="U6" s="249" t="n">
        <f aca="false">SUM(S6:T6)</f>
        <v>92189</v>
      </c>
      <c r="V6" s="250"/>
      <c r="W6" s="251" t="n">
        <f aca="false">R6+U6</f>
        <v>145391</v>
      </c>
      <c r="Y6" s="252" t="s">
        <v>146</v>
      </c>
      <c r="Z6" s="253" t="n">
        <v>65000</v>
      </c>
      <c r="AA6" s="254" t="n">
        <v>84000</v>
      </c>
    </row>
    <row r="7" customFormat="false" ht="20.15" hidden="false" customHeight="true" outlineLevel="0" collapsed="false">
      <c r="A7" s="240" t="s">
        <v>67</v>
      </c>
      <c r="B7" s="241" t="n">
        <v>418.16</v>
      </c>
      <c r="C7" s="242" t="n">
        <v>1953.77</v>
      </c>
      <c r="D7" s="243" t="n">
        <f aca="false">B7+C7</f>
        <v>2371.93</v>
      </c>
      <c r="E7" s="244" t="n">
        <f aca="false">'4. 2025 계획대비 가동실적'!U6</f>
        <v>222</v>
      </c>
      <c r="F7" s="244" t="n">
        <v>503.6</v>
      </c>
      <c r="G7" s="244" t="n">
        <v>450</v>
      </c>
      <c r="H7" s="244" t="n">
        <v>101</v>
      </c>
      <c r="I7" s="243" t="n">
        <v>2529</v>
      </c>
      <c r="J7" s="243" t="n">
        <v>7098</v>
      </c>
      <c r="K7" s="245" t="n">
        <f aca="false">SUM(I7:J7)</f>
        <v>9627</v>
      </c>
      <c r="L7" s="246" t="n">
        <f aca="false">IFERROR(I7/E7,0)</f>
        <v>11.3918918918919</v>
      </c>
      <c r="M7" s="244" t="n">
        <f aca="false">IFERROR(J7/F7,0)</f>
        <v>14.0945194598888</v>
      </c>
      <c r="N7" s="247" t="n">
        <f aca="false">IFERROR(L7+M7," ")</f>
        <v>25.4864113517807</v>
      </c>
      <c r="O7" s="248" t="n">
        <v>11700</v>
      </c>
      <c r="P7" s="243" t="n">
        <v>42939</v>
      </c>
      <c r="Q7" s="243" t="n">
        <v>25936.8</v>
      </c>
      <c r="R7" s="243" t="n">
        <f aca="false">SUM(P7:Q7)</f>
        <v>68875.8</v>
      </c>
      <c r="S7" s="243" t="n">
        <v>13932</v>
      </c>
      <c r="T7" s="249" t="n">
        <v>80963.5</v>
      </c>
      <c r="U7" s="249" t="n">
        <f aca="false">SUM(S7:T7)</f>
        <v>94895.5</v>
      </c>
      <c r="V7" s="250"/>
      <c r="W7" s="251" t="n">
        <f aca="false">R7+U7</f>
        <v>163771.3</v>
      </c>
      <c r="X7" s="255"/>
      <c r="Y7" s="256" t="s">
        <v>147</v>
      </c>
      <c r="Z7" s="257" t="n">
        <v>78000</v>
      </c>
      <c r="AA7" s="258" t="n">
        <v>96000</v>
      </c>
    </row>
    <row r="8" customFormat="false" ht="20.15" hidden="false" customHeight="true" outlineLevel="0" collapsed="false">
      <c r="A8" s="259" t="s">
        <v>68</v>
      </c>
      <c r="B8" s="241" t="n">
        <v>224.1</v>
      </c>
      <c r="C8" s="242" t="n">
        <v>2519.96</v>
      </c>
      <c r="D8" s="243" t="n">
        <f aca="false">B8+C8</f>
        <v>2744.06</v>
      </c>
      <c r="E8" s="244" t="n">
        <v>117</v>
      </c>
      <c r="F8" s="244" t="n">
        <v>686.3</v>
      </c>
      <c r="G8" s="244" t="n">
        <v>627</v>
      </c>
      <c r="H8" s="244" t="n">
        <v>24</v>
      </c>
      <c r="I8" s="243" t="n">
        <v>1049</v>
      </c>
      <c r="J8" s="243" t="n">
        <v>11663</v>
      </c>
      <c r="K8" s="245" t="n">
        <f aca="false">SUM(I8:J8)</f>
        <v>12712</v>
      </c>
      <c r="L8" s="246" t="n">
        <f aca="false">IFERROR(I8/E8,0)</f>
        <v>8.96581196581197</v>
      </c>
      <c r="M8" s="244" t="n">
        <f aca="false">IFERROR(J8/F8,0)</f>
        <v>16.9940259361795</v>
      </c>
      <c r="N8" s="247" t="n">
        <f aca="false">IFERROR(L8+M8," ")</f>
        <v>25.9598379019915</v>
      </c>
      <c r="O8" s="248" t="n">
        <v>11700</v>
      </c>
      <c r="P8" s="243" t="n">
        <f aca="false">G8*$Z$7/1000</f>
        <v>48906</v>
      </c>
      <c r="Q8" s="243" t="n">
        <v>11489.4</v>
      </c>
      <c r="R8" s="243" t="n">
        <f aca="false">SUM(P8:Q8)</f>
        <v>60395.4</v>
      </c>
      <c r="S8" s="243" t="n">
        <f aca="false">H8*$AA$7/1000</f>
        <v>2304</v>
      </c>
      <c r="T8" s="249" t="n">
        <v>112706.1</v>
      </c>
      <c r="U8" s="249" t="n">
        <f aca="false">SUM(S8:T8)</f>
        <v>115010.1</v>
      </c>
      <c r="V8" s="250"/>
      <c r="W8" s="251" t="n">
        <f aca="false">R8+U8</f>
        <v>175405.5</v>
      </c>
      <c r="X8" s="5"/>
      <c r="Y8" s="5"/>
      <c r="Z8" s="5"/>
      <c r="AA8" s="25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customFormat="false" ht="20.15" hidden="false" customHeight="true" outlineLevel="0" collapsed="false">
      <c r="A9" s="259" t="s">
        <v>69</v>
      </c>
      <c r="B9" s="241" t="n">
        <v>0</v>
      </c>
      <c r="C9" s="242" t="n">
        <v>1772.62</v>
      </c>
      <c r="D9" s="243" t="n">
        <f aca="false">B9+C9</f>
        <v>1772.62</v>
      </c>
      <c r="E9" s="244" t="n">
        <v>0</v>
      </c>
      <c r="F9" s="244" t="n">
        <v>478</v>
      </c>
      <c r="G9" s="244" t="n">
        <v>720</v>
      </c>
      <c r="H9" s="244" t="n">
        <v>152</v>
      </c>
      <c r="I9" s="243" t="n">
        <f aca="false">'1. 도급내역'!U38</f>
        <v>0</v>
      </c>
      <c r="J9" s="243" t="n">
        <v>7678</v>
      </c>
      <c r="K9" s="245" t="n">
        <f aca="false">SUM(I9:J9)</f>
        <v>7678</v>
      </c>
      <c r="L9" s="246" t="n">
        <f aca="false">IFERROR(I9/E9,0)</f>
        <v>0</v>
      </c>
      <c r="M9" s="244" t="n">
        <f aca="false">IFERROR(J9/F9,0)</f>
        <v>16.0627615062762</v>
      </c>
      <c r="N9" s="247" t="n">
        <f aca="false">IFERROR(L9+M9," ")</f>
        <v>16.0627615062762</v>
      </c>
      <c r="O9" s="248" t="n">
        <v>11700</v>
      </c>
      <c r="P9" s="243" t="n">
        <f aca="false">G9*$Z$7/1000</f>
        <v>56160</v>
      </c>
      <c r="Q9" s="243" t="n">
        <f aca="false">'1. 도급내역'!E38/1000</f>
        <v>0</v>
      </c>
      <c r="R9" s="243" t="n">
        <f aca="false">SUM(P9:Q9)</f>
        <v>56160</v>
      </c>
      <c r="S9" s="243" t="n">
        <f aca="false">H9*$AA$7/1000</f>
        <v>14592</v>
      </c>
      <c r="T9" s="260" t="n">
        <v>79255.8</v>
      </c>
      <c r="U9" s="249" t="n">
        <f aca="false">SUM(S9:T9)</f>
        <v>93847.8</v>
      </c>
      <c r="V9" s="261" t="n">
        <v>-33.54</v>
      </c>
      <c r="W9" s="251" t="n">
        <f aca="false">R9+U9+V9</f>
        <v>149974.26</v>
      </c>
      <c r="X9" s="5"/>
      <c r="Y9" s="5" t="s">
        <v>148</v>
      </c>
      <c r="Z9" s="5"/>
      <c r="AA9" s="25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customFormat="false" ht="20.15" hidden="false" customHeight="true" outlineLevel="0" collapsed="false">
      <c r="A10" s="240" t="s">
        <v>70</v>
      </c>
      <c r="B10" s="241" t="n">
        <v>0</v>
      </c>
      <c r="C10" s="242" t="n">
        <v>1693.68</v>
      </c>
      <c r="D10" s="243" t="n">
        <f aca="false">B10+C10</f>
        <v>1693.68</v>
      </c>
      <c r="E10" s="244" t="n">
        <v>0</v>
      </c>
      <c r="F10" s="244" t="n">
        <v>455.3</v>
      </c>
      <c r="G10" s="244" t="n">
        <v>744</v>
      </c>
      <c r="H10" s="244" t="n">
        <v>263</v>
      </c>
      <c r="I10" s="243" t="n">
        <v>0</v>
      </c>
      <c r="J10" s="243" t="n">
        <v>7016</v>
      </c>
      <c r="K10" s="262" t="n">
        <f aca="false">SUM(I10:J10)</f>
        <v>7016</v>
      </c>
      <c r="L10" s="246" t="n">
        <f aca="false">IFERROR(I10/E10,0)</f>
        <v>0</v>
      </c>
      <c r="M10" s="244" t="n">
        <f aca="false">IFERROR(J10/F10,0)</f>
        <v>15.409620030749</v>
      </c>
      <c r="N10" s="247" t="n">
        <f aca="false">IFERROR(L10+M10," ")</f>
        <v>15.409620030749</v>
      </c>
      <c r="O10" s="248" t="n">
        <v>11700</v>
      </c>
      <c r="P10" s="243" t="n">
        <f aca="false">G10*$Z$7/1000</f>
        <v>58032</v>
      </c>
      <c r="Q10" s="243" t="n">
        <f aca="false">I10*O10/1000</f>
        <v>0</v>
      </c>
      <c r="R10" s="243" t="n">
        <f aca="false">SUM(P10:Q10)</f>
        <v>58032</v>
      </c>
      <c r="S10" s="243" t="n">
        <f aca="false">H10*$AA$7/1000</f>
        <v>25248</v>
      </c>
      <c r="T10" s="249" t="n">
        <v>74763</v>
      </c>
      <c r="U10" s="249" t="n">
        <f aca="false">SUM(S10:T10)</f>
        <v>100011</v>
      </c>
      <c r="V10" s="250"/>
      <c r="W10" s="251" t="n">
        <f aca="false">R10+U10+V10</f>
        <v>158043</v>
      </c>
      <c r="Y10" s="255"/>
      <c r="AA10" s="255"/>
    </row>
    <row r="11" customFormat="false" ht="20.15" hidden="false" customHeight="true" outlineLevel="0" collapsed="false">
      <c r="A11" s="240" t="s">
        <v>71</v>
      </c>
      <c r="B11" s="241" t="n">
        <v>0</v>
      </c>
      <c r="C11" s="242" t="n">
        <v>1903.87</v>
      </c>
      <c r="D11" s="243" t="n">
        <f aca="false">B11+C11</f>
        <v>1903.87</v>
      </c>
      <c r="E11" s="244" t="n">
        <v>0</v>
      </c>
      <c r="F11" s="244" t="n">
        <v>513</v>
      </c>
      <c r="G11" s="244" t="n">
        <v>720</v>
      </c>
      <c r="H11" s="244" t="n">
        <v>207</v>
      </c>
      <c r="I11" s="243" t="n">
        <v>0</v>
      </c>
      <c r="J11" s="243" t="n">
        <v>6746</v>
      </c>
      <c r="K11" s="245" t="n">
        <f aca="false">SUM(I11:J11)</f>
        <v>6746</v>
      </c>
      <c r="L11" s="246" t="n">
        <f aca="false">IFERROR(I11/E11,0)</f>
        <v>0</v>
      </c>
      <c r="M11" s="244" t="n">
        <f aca="false">IFERROR(J11/F11,0)</f>
        <v>13.1500974658869</v>
      </c>
      <c r="N11" s="247" t="n">
        <f aca="false">IFERROR(L11+M11," ")</f>
        <v>13.1500974658869</v>
      </c>
      <c r="O11" s="248" t="n">
        <v>11700</v>
      </c>
      <c r="P11" s="243" t="n">
        <f aca="false">G11*$Z$7/1000</f>
        <v>56160</v>
      </c>
      <c r="Q11" s="243" t="n">
        <f aca="false">I11*O11/1000</f>
        <v>0</v>
      </c>
      <c r="R11" s="243" t="n">
        <f aca="false">SUM(P11:Q11)</f>
        <v>56160</v>
      </c>
      <c r="S11" s="243" t="n">
        <f aca="false">H11*$AA$7/1000</f>
        <v>19872</v>
      </c>
      <c r="T11" s="249" t="n">
        <v>78928.2</v>
      </c>
      <c r="U11" s="249" t="n">
        <f aca="false">SUM(S11:T11)</f>
        <v>98800.2</v>
      </c>
      <c r="V11" s="250"/>
      <c r="W11" s="251" t="n">
        <f aca="false">R11+U11+V11</f>
        <v>154960.2</v>
      </c>
      <c r="Y11" s="255"/>
      <c r="AA11" s="255"/>
    </row>
    <row r="12" customFormat="false" ht="20.15" hidden="false" customHeight="true" outlineLevel="0" collapsed="false">
      <c r="A12" s="240" t="s">
        <v>72</v>
      </c>
      <c r="B12" s="241" t="n">
        <v>0</v>
      </c>
      <c r="C12" s="242" t="n">
        <v>1893.26</v>
      </c>
      <c r="D12" s="243" t="n">
        <f aca="false">B12+C12</f>
        <v>1893.26</v>
      </c>
      <c r="E12" s="244" t="n">
        <v>0</v>
      </c>
      <c r="F12" s="244" t="n">
        <v>481.4</v>
      </c>
      <c r="G12" s="244" t="n">
        <v>744</v>
      </c>
      <c r="H12" s="244" t="n">
        <v>201</v>
      </c>
      <c r="I12" s="243" t="n">
        <v>0</v>
      </c>
      <c r="J12" s="243" t="n">
        <v>6946</v>
      </c>
      <c r="K12" s="262" t="n">
        <f aca="false">SUM(I12:J12)</f>
        <v>6946</v>
      </c>
      <c r="L12" s="246" t="n">
        <f aca="false">IFERROR(I12/E12,0)</f>
        <v>0</v>
      </c>
      <c r="M12" s="244" t="n">
        <f aca="false">IFERROR(J12/F12,0)</f>
        <v>14.4287494806813</v>
      </c>
      <c r="N12" s="247" t="n">
        <f aca="false">IFERROR(L12+M12," ")</f>
        <v>14.4287494806813</v>
      </c>
      <c r="O12" s="248" t="n">
        <v>11700</v>
      </c>
      <c r="P12" s="243" t="n">
        <f aca="false">G12*$Z$7/1000</f>
        <v>58032</v>
      </c>
      <c r="Q12" s="243" t="n">
        <f aca="false">I12*O12/1000</f>
        <v>0</v>
      </c>
      <c r="R12" s="243" t="n">
        <f aca="false">SUM(P12:Q12)</f>
        <v>58032</v>
      </c>
      <c r="S12" s="243" t="n">
        <f aca="false">H12*$AA$7/1000</f>
        <v>19296</v>
      </c>
      <c r="T12" s="249" t="n">
        <v>76974.3</v>
      </c>
      <c r="U12" s="249" t="n">
        <f aca="false">SUM(S12:T12)</f>
        <v>96270.3</v>
      </c>
      <c r="V12" s="250"/>
      <c r="W12" s="251" t="n">
        <f aca="false">R12+U12+V12</f>
        <v>154302.3</v>
      </c>
      <c r="AA12" s="255"/>
    </row>
    <row r="13" customFormat="false" ht="20.15" hidden="false" customHeight="true" outlineLevel="0" collapsed="false">
      <c r="A13" s="259" t="s">
        <v>73</v>
      </c>
      <c r="B13" s="241" t="n">
        <v>0</v>
      </c>
      <c r="C13" s="242" t="n">
        <v>1841.18</v>
      </c>
      <c r="D13" s="263" t="n">
        <f aca="false">B13+C13</f>
        <v>1841.18</v>
      </c>
      <c r="E13" s="244" t="n">
        <v>0</v>
      </c>
      <c r="F13" s="244" t="n">
        <v>499</v>
      </c>
      <c r="G13" s="244" t="n">
        <v>744</v>
      </c>
      <c r="H13" s="244" t="n">
        <v>245</v>
      </c>
      <c r="I13" s="243" t="n">
        <v>0</v>
      </c>
      <c r="J13" s="243" t="n">
        <v>6783</v>
      </c>
      <c r="K13" s="262" t="n">
        <f aca="false">SUM(I13:J13)</f>
        <v>6783</v>
      </c>
      <c r="L13" s="246" t="n">
        <f aca="false">IFERROR(I13/E13,0)</f>
        <v>0</v>
      </c>
      <c r="M13" s="244" t="n">
        <f aca="false">IFERROR(J13/F13,0)</f>
        <v>13.5931863727455</v>
      </c>
      <c r="N13" s="247" t="n">
        <f aca="false">IFERROR(L13+M13," ")</f>
        <v>13.5931863727455</v>
      </c>
      <c r="O13" s="248" t="n">
        <v>11700</v>
      </c>
      <c r="P13" s="243" t="n">
        <f aca="false">G13*$Z$7/1000</f>
        <v>58032</v>
      </c>
      <c r="Q13" s="243" t="n">
        <f aca="false">I13*O13/1000</f>
        <v>0</v>
      </c>
      <c r="R13" s="243" t="n">
        <f aca="false">SUM(P13:Q13)</f>
        <v>58032</v>
      </c>
      <c r="S13" s="243" t="n">
        <f aca="false">H13*$AA$7/1000</f>
        <v>23520</v>
      </c>
      <c r="T13" s="249" t="n">
        <v>78659.1</v>
      </c>
      <c r="U13" s="249" t="n">
        <f aca="false">SUM(S13:T13)</f>
        <v>102179.1</v>
      </c>
      <c r="V13" s="261" t="n">
        <v>-193.79</v>
      </c>
      <c r="W13" s="251" t="n">
        <f aca="false">R13+U13+V13</f>
        <v>160017.31</v>
      </c>
      <c r="Y13" s="264"/>
      <c r="AA13" s="255"/>
    </row>
    <row r="14" customFormat="false" ht="20.15" hidden="false" customHeight="true" outlineLevel="0" collapsed="false">
      <c r="A14" s="259" t="s">
        <v>74</v>
      </c>
      <c r="B14" s="241" t="n">
        <v>0</v>
      </c>
      <c r="C14" s="242" t="n">
        <v>2077.86</v>
      </c>
      <c r="D14" s="243" t="n">
        <f aca="false">B14+C14</f>
        <v>2077.86</v>
      </c>
      <c r="E14" s="244" t="n">
        <v>0</v>
      </c>
      <c r="F14" s="244" t="n">
        <v>529.3</v>
      </c>
      <c r="G14" s="244" t="n">
        <f aca="false">24*30</f>
        <v>720</v>
      </c>
      <c r="H14" s="244" t="n">
        <v>190.7</v>
      </c>
      <c r="I14" s="243" t="n">
        <v>0</v>
      </c>
      <c r="J14" s="243" t="n">
        <v>7154</v>
      </c>
      <c r="K14" s="262" t="n">
        <f aca="false">SUM(I14:J14)</f>
        <v>7154</v>
      </c>
      <c r="L14" s="246" t="n">
        <f aca="false">IFERROR(I14/E14,0)</f>
        <v>0</v>
      </c>
      <c r="M14" s="244" t="n">
        <f aca="false">IFERROR(J14/F14,0)</f>
        <v>13.5159644813905</v>
      </c>
      <c r="N14" s="247" t="n">
        <f aca="false">IFERROR(L14+M14," ")</f>
        <v>13.5159644813905</v>
      </c>
      <c r="O14" s="248" t="n">
        <v>11700</v>
      </c>
      <c r="P14" s="243" t="n">
        <f aca="false">G14*$Z$7/1000</f>
        <v>56160</v>
      </c>
      <c r="Q14" s="243" t="n">
        <f aca="false">I14*O14/1000</f>
        <v>0</v>
      </c>
      <c r="R14" s="243" t="n">
        <f aca="false">SUM(P14:Q14)</f>
        <v>56160</v>
      </c>
      <c r="S14" s="243" t="n">
        <f aca="false">H14*$AA$7/1000</f>
        <v>18307.2</v>
      </c>
      <c r="T14" s="249" t="n">
        <v>83116.8</v>
      </c>
      <c r="U14" s="249" t="n">
        <f aca="false">SUM(S14:T14)</f>
        <v>101424</v>
      </c>
      <c r="V14" s="250"/>
      <c r="W14" s="251" t="n">
        <f aca="false">R14+U14</f>
        <v>157584</v>
      </c>
    </row>
    <row r="15" customFormat="false" ht="20.15" hidden="false" customHeight="true" outlineLevel="0" collapsed="false">
      <c r="A15" s="240" t="s">
        <v>75</v>
      </c>
      <c r="B15" s="241" t="n">
        <v>0</v>
      </c>
      <c r="C15" s="242" t="n">
        <v>1281.52</v>
      </c>
      <c r="D15" s="243" t="n">
        <f aca="false">B15+C15</f>
        <v>1281.52</v>
      </c>
      <c r="E15" s="244" t="n">
        <v>0</v>
      </c>
      <c r="F15" s="244" t="n">
        <v>342.5</v>
      </c>
      <c r="G15" s="244" t="n">
        <v>744</v>
      </c>
      <c r="H15" s="244" t="n">
        <f aca="false">'1. 도급내역'!M38</f>
        <v>305</v>
      </c>
      <c r="I15" s="243"/>
      <c r="J15" s="243" t="n">
        <f aca="false">'4. 2025 계획대비 가동실적'!AA14</f>
        <v>4871</v>
      </c>
      <c r="K15" s="262" t="n">
        <f aca="false">SUM(I15:J15)</f>
        <v>4871</v>
      </c>
      <c r="L15" s="246" t="n">
        <f aca="false">IFERROR(I15/E15,0)</f>
        <v>0</v>
      </c>
      <c r="M15" s="244" t="n">
        <f aca="false">IFERROR(J15/F15,0)</f>
        <v>14.221897810219</v>
      </c>
      <c r="N15" s="247" t="n">
        <f aca="false">IFERROR(L15+M15," ")</f>
        <v>14.221897810219</v>
      </c>
      <c r="O15" s="248" t="n">
        <v>11700</v>
      </c>
      <c r="P15" s="243" t="n">
        <f aca="false">G15*$Z$7/1000</f>
        <v>58032</v>
      </c>
      <c r="Q15" s="243" t="n">
        <f aca="false">I15*O15/1000</f>
        <v>0</v>
      </c>
      <c r="R15" s="243" t="n">
        <f aca="false">SUM(P15:Q15)</f>
        <v>58032</v>
      </c>
      <c r="S15" s="243" t="n">
        <f aca="false">H15*$AA$7/1000</f>
        <v>29280</v>
      </c>
      <c r="T15" s="249" t="n">
        <f aca="false">'1. 도급내역'!L38/1000</f>
        <v>55738.8</v>
      </c>
      <c r="U15" s="249" t="n">
        <f aca="false">SUM(S15:T15)</f>
        <v>85018.8</v>
      </c>
      <c r="V15" s="250"/>
      <c r="W15" s="251" t="n">
        <f aca="false">R15+U15</f>
        <v>143050.8</v>
      </c>
    </row>
    <row r="16" customFormat="false" ht="18.75" hidden="false" customHeight="true" outlineLevel="0" collapsed="false">
      <c r="A16" s="259" t="s">
        <v>76</v>
      </c>
      <c r="B16" s="241"/>
      <c r="C16" s="242"/>
      <c r="D16" s="243" t="n">
        <f aca="false">B16+C16</f>
        <v>0</v>
      </c>
      <c r="E16" s="244"/>
      <c r="F16" s="244"/>
      <c r="G16" s="244"/>
      <c r="H16" s="244"/>
      <c r="I16" s="243"/>
      <c r="J16" s="243"/>
      <c r="K16" s="262" t="n">
        <f aca="false">SUM(I16:J16)</f>
        <v>0</v>
      </c>
      <c r="L16" s="246" t="n">
        <f aca="false">IFERROR(I16/E16,0)</f>
        <v>0</v>
      </c>
      <c r="M16" s="244" t="n">
        <f aca="false">IFERROR(J16/F16,0)</f>
        <v>0</v>
      </c>
      <c r="N16" s="247" t="n">
        <f aca="false">IFERROR(L16+M16," ")</f>
        <v>0</v>
      </c>
      <c r="O16" s="248" t="n">
        <v>11700</v>
      </c>
      <c r="P16" s="243" t="n">
        <f aca="false">G16*$Z$7/1000</f>
        <v>0</v>
      </c>
      <c r="Q16" s="243" t="n">
        <f aca="false">I16*O16/1000</f>
        <v>0</v>
      </c>
      <c r="R16" s="243" t="n">
        <f aca="false">SUM(P16:Q16)</f>
        <v>0</v>
      </c>
      <c r="S16" s="243" t="n">
        <f aca="false">H16*$AA$7/1000</f>
        <v>0</v>
      </c>
      <c r="T16" s="249" t="n">
        <f aca="false">J16*O16/1000</f>
        <v>0</v>
      </c>
      <c r="U16" s="249" t="n">
        <f aca="false">SUM(S16:T16)</f>
        <v>0</v>
      </c>
      <c r="V16" s="250"/>
      <c r="W16" s="251" t="n">
        <f aca="false">R16+U16</f>
        <v>0</v>
      </c>
    </row>
    <row r="17" customFormat="false" ht="20.15" hidden="false" customHeight="true" outlineLevel="0" collapsed="false">
      <c r="A17" s="240" t="s">
        <v>77</v>
      </c>
      <c r="B17" s="265"/>
      <c r="C17" s="266"/>
      <c r="D17" s="267" t="n">
        <f aca="false">B17+C17</f>
        <v>0</v>
      </c>
      <c r="E17" s="268"/>
      <c r="F17" s="268"/>
      <c r="G17" s="268"/>
      <c r="H17" s="268"/>
      <c r="I17" s="267"/>
      <c r="J17" s="267"/>
      <c r="K17" s="269" t="n">
        <f aca="false">SUM(I17:J17)</f>
        <v>0</v>
      </c>
      <c r="L17" s="246" t="n">
        <f aca="false">IFERROR(I17/E17,0)</f>
        <v>0</v>
      </c>
      <c r="M17" s="244" t="n">
        <f aca="false">IFERROR(J17/F17,0)</f>
        <v>0</v>
      </c>
      <c r="N17" s="270" t="n">
        <f aca="false">IFERROR(L17+M17," ")</f>
        <v>0</v>
      </c>
      <c r="O17" s="248" t="n">
        <v>11700</v>
      </c>
      <c r="P17" s="243" t="n">
        <f aca="false">G17*$Z$7/1000</f>
        <v>0</v>
      </c>
      <c r="Q17" s="243" t="n">
        <f aca="false">I17*O17/1000</f>
        <v>0</v>
      </c>
      <c r="R17" s="243" t="n">
        <f aca="false">SUM(P17:Q17)</f>
        <v>0</v>
      </c>
      <c r="S17" s="243" t="n">
        <f aca="false">H17*$AA$7/1000</f>
        <v>0</v>
      </c>
      <c r="T17" s="249" t="n">
        <f aca="false">J17*O17/1000</f>
        <v>0</v>
      </c>
      <c r="U17" s="249" t="n">
        <f aca="false">SUM(S17:T17)</f>
        <v>0</v>
      </c>
      <c r="V17" s="250"/>
      <c r="W17" s="251" t="n">
        <f aca="false">R17+U17</f>
        <v>0</v>
      </c>
    </row>
    <row r="18" customFormat="false" ht="20.15" hidden="false" customHeight="true" outlineLevel="0" collapsed="false">
      <c r="A18" s="271" t="s">
        <v>48</v>
      </c>
      <c r="B18" s="272" t="n">
        <f aca="false">SUM(B6:B17)</f>
        <v>910.42</v>
      </c>
      <c r="C18" s="273" t="n">
        <f aca="false">SUM(C6:C17)</f>
        <v>18502.61</v>
      </c>
      <c r="D18" s="273" t="n">
        <f aca="false">SUM(D6:D17)</f>
        <v>19413.03</v>
      </c>
      <c r="E18" s="273" t="n">
        <f aca="false">SUM(E6:E17)</f>
        <v>480</v>
      </c>
      <c r="F18" s="273" t="n">
        <f aca="false">SUM(F6:F17)</f>
        <v>4879.4</v>
      </c>
      <c r="G18" s="273" t="n">
        <f aca="false">SUM(G6:G17)</f>
        <v>6816</v>
      </c>
      <c r="H18" s="273" t="n">
        <f aca="false">SUM(H6:H17)</f>
        <v>2041.7</v>
      </c>
      <c r="I18" s="274" t="n">
        <f aca="false">SUM(I6:I17)</f>
        <v>4796</v>
      </c>
      <c r="J18" s="275" t="n">
        <f aca="false">SUM(J6:J17)</f>
        <v>71393</v>
      </c>
      <c r="K18" s="276" t="n">
        <f aca="false">SUM(K6:K17)</f>
        <v>76189</v>
      </c>
      <c r="L18" s="277" t="n">
        <f aca="false">SUM(L6:L17)</f>
        <v>28.9960017300443</v>
      </c>
      <c r="M18" s="275" t="n">
        <f aca="false">SUM(M6:M17)</f>
        <v>145.378750932764</v>
      </c>
      <c r="N18" s="278" t="n">
        <f aca="false">SUM(N6:N17)</f>
        <v>174.374752662808</v>
      </c>
      <c r="O18" s="277" t="n">
        <f aca="false">SUM(O6:O17)</f>
        <v>140200</v>
      </c>
      <c r="P18" s="274" t="n">
        <f aca="false">SUM(P6:P17)</f>
        <v>531648</v>
      </c>
      <c r="Q18" s="274" t="n">
        <f aca="false">SUM(Q6:Q17)</f>
        <v>51433.2</v>
      </c>
      <c r="R18" s="274" t="n">
        <f aca="false">SUM(R6:R17)</f>
        <v>583081.2</v>
      </c>
      <c r="S18" s="275" t="n">
        <f aca="false">SUM(S6:S17)</f>
        <v>196003.2</v>
      </c>
      <c r="T18" s="275" t="n">
        <f aca="false">SUM(T6:T17)</f>
        <v>783642.6</v>
      </c>
      <c r="U18" s="275" t="n">
        <f aca="false">SUM(U6:U17)</f>
        <v>979645.8</v>
      </c>
      <c r="V18" s="279" t="n">
        <f aca="false">SUM(V6:V17)</f>
        <v>-227.33</v>
      </c>
      <c r="W18" s="280" t="n">
        <f aca="false">SUM(W6:W17)</f>
        <v>1562499.67</v>
      </c>
    </row>
    <row r="19" customFormat="false" ht="20.15" hidden="false" customHeight="true" outlineLevel="0" collapsed="false">
      <c r="A19" s="281" t="s">
        <v>149</v>
      </c>
      <c r="B19" s="282" t="n">
        <f aca="false">AVERAGE(B6:B17)</f>
        <v>91.042</v>
      </c>
      <c r="C19" s="283" t="n">
        <f aca="false">AVERAGE(C6:C17)</f>
        <v>1850.261</v>
      </c>
      <c r="D19" s="283" t="n">
        <f aca="false">AVERAGE(D6:D17)</f>
        <v>1617.7525</v>
      </c>
      <c r="E19" s="283" t="n">
        <f aca="false">AVERAGE(E6:E17)</f>
        <v>48</v>
      </c>
      <c r="F19" s="283" t="n">
        <f aca="false">AVERAGE(F6:F17)</f>
        <v>487.94</v>
      </c>
      <c r="G19" s="283" t="n">
        <f aca="false">AVERAGE(G6:G17)</f>
        <v>681.6</v>
      </c>
      <c r="H19" s="283" t="n">
        <f aca="false">AVERAGE(H6:H17)</f>
        <v>204.17</v>
      </c>
      <c r="I19" s="284" t="n">
        <f aca="false">AVERAGE(I6:I17)</f>
        <v>532.888888888889</v>
      </c>
      <c r="J19" s="284" t="n">
        <f aca="false">AVERAGE(J6:J17)</f>
        <v>7139.3</v>
      </c>
      <c r="K19" s="283" t="n">
        <f aca="false">AVERAGE(K6:K17)</f>
        <v>6349.08333333333</v>
      </c>
      <c r="L19" s="285" t="n">
        <f aca="false">AVERAGE(L6:L17)</f>
        <v>2.41633347750369</v>
      </c>
      <c r="M19" s="286" t="n">
        <f aca="false">AVERAGE(M6:M17)</f>
        <v>12.1148959110636</v>
      </c>
      <c r="N19" s="287" t="n">
        <f aca="false">AVERAGE(N6:N17)</f>
        <v>14.5312293885673</v>
      </c>
      <c r="O19" s="288" t="n">
        <f aca="false">AVERAGE(O6:O17)</f>
        <v>11683.3333333333</v>
      </c>
      <c r="P19" s="284" t="n">
        <f aca="false">AVERAGE(P6:P17)</f>
        <v>44304</v>
      </c>
      <c r="Q19" s="284" t="n">
        <f aca="false">AVERAGE(Q6:Q17)</f>
        <v>4286.1</v>
      </c>
      <c r="R19" s="284" t="n">
        <f aca="false">AVERAGE(R6:R17)</f>
        <v>48590.1</v>
      </c>
      <c r="S19" s="284" t="n">
        <f aca="false">AVERAGE(S6:S17)</f>
        <v>16333.6</v>
      </c>
      <c r="T19" s="284" t="n">
        <f aca="false">AVERAGE(T6:T17)</f>
        <v>65303.55</v>
      </c>
      <c r="U19" s="284" t="n">
        <f aca="false">AVERAGE(U6:U17)</f>
        <v>81637.15</v>
      </c>
      <c r="V19" s="214" t="n">
        <f aca="false">AVERAGE(V6:V17)</f>
        <v>-113.665</v>
      </c>
      <c r="W19" s="289" t="n">
        <f aca="false">AVERAGE(W6:W17)</f>
        <v>130208.305833333</v>
      </c>
    </row>
    <row r="20" customFormat="false" ht="20.15" hidden="false" customHeight="true" outlineLevel="0" collapsed="false">
      <c r="A20" s="290" t="s">
        <v>150</v>
      </c>
      <c r="B20" s="291" t="n">
        <f aca="false">B18/E18</f>
        <v>1.89670833333333</v>
      </c>
      <c r="C20" s="292" t="n">
        <f aca="false">C18/F18</f>
        <v>3.79198467024634</v>
      </c>
      <c r="D20" s="292" t="s">
        <v>102</v>
      </c>
      <c r="E20" s="293"/>
      <c r="F20" s="293"/>
      <c r="G20" s="293"/>
      <c r="H20" s="293"/>
      <c r="I20" s="294" t="n">
        <f aca="false">I18/E18</f>
        <v>9.99166666666667</v>
      </c>
      <c r="J20" s="294" t="n">
        <f aca="false">J18/F18</f>
        <v>14.6315120711563</v>
      </c>
      <c r="K20" s="295" t="n">
        <f aca="false">I20+J20</f>
        <v>24.623178737823</v>
      </c>
      <c r="L20" s="296" t="n">
        <f aca="false">L19</f>
        <v>2.41633347750369</v>
      </c>
      <c r="M20" s="294" t="n">
        <f aca="false">M19</f>
        <v>12.1148959110636</v>
      </c>
      <c r="N20" s="297" t="n">
        <f aca="false">L20+M20</f>
        <v>14.5312293885673</v>
      </c>
      <c r="O20" s="298" t="n">
        <f aca="false">W18*1000/K18</f>
        <v>20508.2055152319</v>
      </c>
      <c r="P20" s="299" t="n">
        <f aca="false">P18*1000/$B$18</f>
        <v>583959.051866172</v>
      </c>
      <c r="Q20" s="299" t="n">
        <f aca="false">Q18*1000/$B$18</f>
        <v>56493.9258803629</v>
      </c>
      <c r="R20" s="299" t="n">
        <f aca="false">R18*1000/$B$18</f>
        <v>640452.977746535</v>
      </c>
      <c r="S20" s="299" t="n">
        <f aca="false">S18*1000/$C$18</f>
        <v>10593.2730571525</v>
      </c>
      <c r="T20" s="299" t="n">
        <f aca="false">T18*1000/$C$18</f>
        <v>42353.0842405477</v>
      </c>
      <c r="U20" s="299" t="n">
        <f aca="false">U18*1000/$C$18</f>
        <v>52946.3572977002</v>
      </c>
      <c r="V20" s="300"/>
      <c r="W20" s="301" t="n">
        <f aca="false">W18*1000/D18</f>
        <v>80487.1609429337</v>
      </c>
    </row>
    <row r="21" customFormat="false" ht="20.15" hidden="false" customHeight="true" outlineLevel="0" collapsed="false">
      <c r="A21" s="302" t="s">
        <v>151</v>
      </c>
      <c r="B21" s="303" t="s">
        <v>152</v>
      </c>
      <c r="C21" s="304" t="s">
        <v>152</v>
      </c>
      <c r="D21" s="304"/>
      <c r="E21" s="304"/>
      <c r="F21" s="304"/>
      <c r="G21" s="304"/>
      <c r="H21" s="304"/>
      <c r="I21" s="304" t="s">
        <v>152</v>
      </c>
      <c r="J21" s="304" t="s">
        <v>152</v>
      </c>
      <c r="K21" s="305" t="s">
        <v>152</v>
      </c>
      <c r="L21" s="303" t="s">
        <v>152</v>
      </c>
      <c r="M21" s="304" t="s">
        <v>152</v>
      </c>
      <c r="N21" s="306" t="s">
        <v>152</v>
      </c>
      <c r="O21" s="303" t="s">
        <v>153</v>
      </c>
      <c r="P21" s="307" t="n">
        <f aca="false">P18*1000/$I$18</f>
        <v>110852.376980817</v>
      </c>
      <c r="Q21" s="307" t="n">
        <f aca="false">Q18*1000/$I$18</f>
        <v>10724.186822352</v>
      </c>
      <c r="R21" s="307" t="n">
        <f aca="false">R18*1000/I18</f>
        <v>121576.563803169</v>
      </c>
      <c r="S21" s="307" t="n">
        <f aca="false">S18*1000/$J$18</f>
        <v>2745.41201518356</v>
      </c>
      <c r="T21" s="307" t="n">
        <f aca="false">T18*1000/$J$18</f>
        <v>10976.4626784139</v>
      </c>
      <c r="U21" s="307" t="n">
        <f aca="false">U18*1000/K18</f>
        <v>12858.1002506924</v>
      </c>
      <c r="V21" s="269"/>
      <c r="W21" s="304" t="s">
        <v>154</v>
      </c>
      <c r="X21" s="308"/>
    </row>
    <row r="22" customFormat="false" ht="17" hidden="false" customHeight="false" outlineLevel="0" collapsed="false">
      <c r="E22" s="309"/>
      <c r="F22" s="309"/>
      <c r="S22" s="310"/>
    </row>
    <row r="23" customFormat="false" ht="17.5" hidden="false" customHeight="false" outlineLevel="0" collapsed="false"/>
    <row r="24" customFormat="false" ht="20.15" hidden="false" customHeight="true" outlineLevel="0" collapsed="false">
      <c r="A24" s="311" t="n">
        <v>2025</v>
      </c>
      <c r="B24" s="312" t="s">
        <v>155</v>
      </c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  <c r="AA24" s="312"/>
      <c r="AB24" s="312"/>
    </row>
    <row r="25" customFormat="false" ht="20.15" hidden="false" customHeight="true" outlineLevel="0" collapsed="false">
      <c r="A25" s="311"/>
      <c r="B25" s="313" t="s">
        <v>156</v>
      </c>
      <c r="C25" s="313"/>
      <c r="D25" s="313" t="s">
        <v>157</v>
      </c>
      <c r="E25" s="313"/>
      <c r="F25" s="313"/>
      <c r="G25" s="313"/>
      <c r="H25" s="313"/>
      <c r="I25" s="313"/>
      <c r="J25" s="313" t="s">
        <v>158</v>
      </c>
      <c r="K25" s="313"/>
      <c r="L25" s="313"/>
      <c r="M25" s="313"/>
      <c r="N25" s="313" t="s">
        <v>159</v>
      </c>
      <c r="O25" s="313"/>
      <c r="P25" s="313"/>
      <c r="Q25" s="313"/>
      <c r="R25" s="313"/>
      <c r="S25" s="313" t="s">
        <v>160</v>
      </c>
      <c r="T25" s="313"/>
      <c r="U25" s="313"/>
      <c r="V25" s="313" t="s">
        <v>161</v>
      </c>
      <c r="W25" s="313"/>
      <c r="X25" s="313"/>
      <c r="Y25" s="313"/>
      <c r="Z25" s="314" t="s">
        <v>143</v>
      </c>
      <c r="AA25" s="315" t="s">
        <v>150</v>
      </c>
      <c r="AB25" s="315"/>
    </row>
    <row r="26" customFormat="false" ht="19.5" hidden="false" customHeight="true" outlineLevel="0" collapsed="false">
      <c r="A26" s="311"/>
      <c r="B26" s="281" t="s">
        <v>162</v>
      </c>
      <c r="C26" s="316" t="s">
        <v>163</v>
      </c>
      <c r="D26" s="317" t="s">
        <v>164</v>
      </c>
      <c r="E26" s="317" t="s">
        <v>165</v>
      </c>
      <c r="F26" s="318" t="s">
        <v>166</v>
      </c>
      <c r="G26" s="319" t="s">
        <v>167</v>
      </c>
      <c r="H26" s="319" t="s">
        <v>168</v>
      </c>
      <c r="I26" s="320" t="s">
        <v>169</v>
      </c>
      <c r="J26" s="321" t="s">
        <v>170</v>
      </c>
      <c r="K26" s="322" t="s">
        <v>171</v>
      </c>
      <c r="L26" s="322" t="s">
        <v>172</v>
      </c>
      <c r="M26" s="323" t="s">
        <v>173</v>
      </c>
      <c r="N26" s="324" t="s">
        <v>174</v>
      </c>
      <c r="O26" s="325" t="s">
        <v>175</v>
      </c>
      <c r="P26" s="233" t="s">
        <v>176</v>
      </c>
      <c r="Q26" s="325" t="s">
        <v>177</v>
      </c>
      <c r="R26" s="326" t="s">
        <v>173</v>
      </c>
      <c r="S26" s="317" t="s">
        <v>178</v>
      </c>
      <c r="T26" s="319" t="s">
        <v>179</v>
      </c>
      <c r="U26" s="327" t="s">
        <v>180</v>
      </c>
      <c r="V26" s="321" t="s">
        <v>181</v>
      </c>
      <c r="W26" s="328" t="s">
        <v>182</v>
      </c>
      <c r="X26" s="329" t="s">
        <v>183</v>
      </c>
      <c r="Y26" s="330" t="s">
        <v>173</v>
      </c>
      <c r="Z26" s="314"/>
      <c r="AA26" s="331" t="s">
        <v>184</v>
      </c>
      <c r="AB26" s="332" t="s">
        <v>185</v>
      </c>
    </row>
    <row r="27" customFormat="false" ht="20.15" hidden="false" customHeight="true" outlineLevel="0" collapsed="false">
      <c r="A27" s="333" t="s">
        <v>66</v>
      </c>
      <c r="B27" s="334" t="n">
        <v>642.04</v>
      </c>
      <c r="C27" s="335" t="n">
        <v>29122.99</v>
      </c>
      <c r="D27" s="336" t="n">
        <v>168.97</v>
      </c>
      <c r="E27" s="337" t="n">
        <v>0</v>
      </c>
      <c r="F27" s="338" t="n">
        <f aca="false">SUM(D27:E27)</f>
        <v>168.97</v>
      </c>
      <c r="G27" s="339" t="n">
        <v>0</v>
      </c>
      <c r="H27" s="340" t="n">
        <v>35.63</v>
      </c>
      <c r="I27" s="341" t="n">
        <f aca="false">SUM(G27:H27)</f>
        <v>35.63</v>
      </c>
      <c r="J27" s="334" t="n">
        <v>8617.47</v>
      </c>
      <c r="K27" s="342" t="n">
        <v>4311.23</v>
      </c>
      <c r="L27" s="342" t="n">
        <v>0</v>
      </c>
      <c r="M27" s="343" t="n">
        <f aca="false">SUM(J27:L27)</f>
        <v>12928.7</v>
      </c>
      <c r="N27" s="250" t="n">
        <v>54080</v>
      </c>
      <c r="O27" s="245" t="n">
        <v>184216</v>
      </c>
      <c r="P27" s="344" t="n">
        <f aca="false">SUM(N27:O27)</f>
        <v>238296</v>
      </c>
      <c r="Q27" s="345" t="n">
        <v>194.06</v>
      </c>
      <c r="R27" s="346" t="n">
        <f aca="false">P27*Q27/1000</f>
        <v>46243.72176</v>
      </c>
      <c r="S27" s="347" t="n">
        <v>7990</v>
      </c>
      <c r="T27" s="337" t="n">
        <v>335</v>
      </c>
      <c r="U27" s="343" t="n">
        <f aca="false">S27*T27/1000</f>
        <v>2676.65</v>
      </c>
      <c r="V27" s="334" t="n">
        <f aca="false">(40946*49.81)/1000</f>
        <v>2039.52026</v>
      </c>
      <c r="W27" s="243" t="n">
        <f aca="false">E27*10000*1.192/1000</f>
        <v>0</v>
      </c>
      <c r="X27" s="348" t="n">
        <v>0</v>
      </c>
      <c r="Y27" s="349" t="n">
        <f aca="false">SUM(V27:X27)</f>
        <v>2039.52026</v>
      </c>
      <c r="Z27" s="350" t="n">
        <f aca="false">SUM(-C27,M27,R27,U27,Y27)</f>
        <v>34765.60202</v>
      </c>
      <c r="AA27" s="351" t="n">
        <f aca="false">Z27*1000/D6</f>
        <v>18965.9867543166</v>
      </c>
      <c r="AB27" s="352" t="n">
        <f aca="false">Z27*1000/K6</f>
        <v>5223.19741887019</v>
      </c>
    </row>
    <row r="28" customFormat="false" ht="20.15" hidden="false" customHeight="true" outlineLevel="0" collapsed="false">
      <c r="A28" s="240" t="s">
        <v>67</v>
      </c>
      <c r="B28" s="353" t="n">
        <v>803.4</v>
      </c>
      <c r="C28" s="354" t="n">
        <v>40611.01</v>
      </c>
      <c r="D28" s="355" t="n">
        <v>287.16</v>
      </c>
      <c r="E28" s="356" t="n">
        <v>0</v>
      </c>
      <c r="F28" s="357" t="n">
        <f aca="false">SUM(D28:E28)</f>
        <v>287.16</v>
      </c>
      <c r="G28" s="358" t="n">
        <v>0</v>
      </c>
      <c r="H28" s="358" t="n">
        <v>44.76</v>
      </c>
      <c r="I28" s="359" t="n">
        <f aca="false">SUM(G28:H28)</f>
        <v>44.76</v>
      </c>
      <c r="J28" s="353" t="n">
        <v>14645.16</v>
      </c>
      <c r="K28" s="262" t="n">
        <v>5415.96</v>
      </c>
      <c r="L28" s="262" t="n">
        <v>0</v>
      </c>
      <c r="M28" s="346" t="n">
        <f aca="false">SUM(J28:L28)</f>
        <v>20061.12</v>
      </c>
      <c r="N28" s="360" t="n">
        <v>61360</v>
      </c>
      <c r="O28" s="262" t="n">
        <v>170296</v>
      </c>
      <c r="P28" s="344" t="n">
        <f aca="false">SUM(N28:O28)</f>
        <v>231656</v>
      </c>
      <c r="Q28" s="345" t="n">
        <v>195.36</v>
      </c>
      <c r="R28" s="346" t="n">
        <f aca="false">P28*Q28/1000</f>
        <v>45256.31616</v>
      </c>
      <c r="S28" s="248" t="n">
        <v>0</v>
      </c>
      <c r="T28" s="243" t="n">
        <v>335</v>
      </c>
      <c r="U28" s="346" t="n">
        <f aca="false">S28*T28/1000</f>
        <v>0</v>
      </c>
      <c r="V28" s="353" t="n">
        <f aca="false">(33481*50.21)/1000</f>
        <v>1681.08101</v>
      </c>
      <c r="W28" s="243" t="n">
        <f aca="false">E28*10000*1.132/1000</f>
        <v>0</v>
      </c>
      <c r="X28" s="360" t="n">
        <v>0</v>
      </c>
      <c r="Y28" s="361" t="n">
        <f aca="false">SUM(V28:X28)</f>
        <v>1681.08101</v>
      </c>
      <c r="Z28" s="362" t="n">
        <f aca="false">SUM(-C28,M28,R28,U28,Y28)</f>
        <v>26387.50717</v>
      </c>
      <c r="AA28" s="310" t="n">
        <f aca="false">IFERROR(Z28*1000/D7,0)</f>
        <v>11124.9097443854</v>
      </c>
      <c r="AB28" s="363" t="n">
        <f aca="false">IFERROR(Z28*1000/K7," ")</f>
        <v>2740.98963020671</v>
      </c>
    </row>
    <row r="29" customFormat="false" ht="20.15" hidden="false" customHeight="true" outlineLevel="0" collapsed="false">
      <c r="A29" s="259" t="s">
        <v>68</v>
      </c>
      <c r="B29" s="364" t="n">
        <v>1446.02</v>
      </c>
      <c r="C29" s="354" t="n">
        <v>69756.89</v>
      </c>
      <c r="D29" s="241" t="n">
        <v>262.87</v>
      </c>
      <c r="E29" s="242" t="n">
        <v>0</v>
      </c>
      <c r="F29" s="357" t="n">
        <f aca="false">SUM(D29:E29)</f>
        <v>262.87</v>
      </c>
      <c r="G29" s="242" t="n">
        <v>32.81</v>
      </c>
      <c r="H29" s="242" t="n">
        <v>0</v>
      </c>
      <c r="I29" s="359" t="n">
        <f aca="false">SUM(G29:H29)</f>
        <v>32.81</v>
      </c>
      <c r="J29" s="364" t="n">
        <v>13406.37</v>
      </c>
      <c r="K29" s="245" t="n">
        <v>6603.6</v>
      </c>
      <c r="L29" s="262" t="n">
        <v>0</v>
      </c>
      <c r="M29" s="346" t="n">
        <f aca="false">SUM(J29:L29)</f>
        <v>20009.97</v>
      </c>
      <c r="N29" s="250" t="n">
        <v>65490</v>
      </c>
      <c r="O29" s="245" t="n">
        <v>220032</v>
      </c>
      <c r="P29" s="344" t="n">
        <f aca="false">SUM(N29:O29)</f>
        <v>285522</v>
      </c>
      <c r="Q29" s="345" t="n">
        <v>167.95</v>
      </c>
      <c r="R29" s="346" t="n">
        <f aca="false">P29*Q29/1000</f>
        <v>47953.4199</v>
      </c>
      <c r="S29" s="248" t="n">
        <v>0</v>
      </c>
      <c r="T29" s="243" t="n">
        <v>335</v>
      </c>
      <c r="U29" s="346" t="n">
        <f aca="false">S29*T29/1000</f>
        <v>0</v>
      </c>
      <c r="V29" s="364" t="n">
        <f aca="false">(39358*44.03)/1000</f>
        <v>1732.93274</v>
      </c>
      <c r="W29" s="243" t="n">
        <f aca="false">E29*10000*1.168/1000</f>
        <v>0</v>
      </c>
      <c r="X29" s="360" t="n">
        <v>0</v>
      </c>
      <c r="Y29" s="361" t="n">
        <f aca="false">SUM(V29:X29)</f>
        <v>1732.93274</v>
      </c>
      <c r="Z29" s="365" t="n">
        <f aca="false">SUM(-C29,M29,R29,U29,Y29)</f>
        <v>-60.5673599999975</v>
      </c>
      <c r="AA29" s="366" t="n">
        <f aca="false">IFERROR(Z29*1000/D8,0)</f>
        <v>-22.0721704335902</v>
      </c>
      <c r="AB29" s="367" t="n">
        <f aca="false">IFERROR(Z29*1000/K8," ")</f>
        <v>-4.76458149779716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customFormat="false" ht="20.15" hidden="false" customHeight="true" outlineLevel="0" collapsed="false">
      <c r="A30" s="259" t="s">
        <v>69</v>
      </c>
      <c r="B30" s="364" t="n">
        <v>787.58</v>
      </c>
      <c r="C30" s="354" t="n">
        <v>36299.56</v>
      </c>
      <c r="D30" s="241" t="n">
        <v>336.84</v>
      </c>
      <c r="E30" s="242" t="n">
        <v>0</v>
      </c>
      <c r="F30" s="357" t="n">
        <f aca="false">SUM(D30:E30)</f>
        <v>336.84</v>
      </c>
      <c r="G30" s="242" t="n">
        <v>23.49</v>
      </c>
      <c r="H30" s="242" t="n">
        <v>20.53</v>
      </c>
      <c r="I30" s="359" t="n">
        <f aca="false">SUM(G30:H30)</f>
        <v>44.02</v>
      </c>
      <c r="J30" s="364" t="n">
        <v>17178.84</v>
      </c>
      <c r="K30" s="245" t="n">
        <v>5302.93</v>
      </c>
      <c r="L30" s="262" t="n">
        <v>0</v>
      </c>
      <c r="M30" s="346" t="n">
        <f aca="false">SUM(J30:L30)</f>
        <v>22481.77</v>
      </c>
      <c r="N30" s="250" t="n">
        <v>39520</v>
      </c>
      <c r="O30" s="245" t="n">
        <v>192072</v>
      </c>
      <c r="P30" s="344" t="n">
        <f aca="false">SUM(N30:O30)</f>
        <v>231592</v>
      </c>
      <c r="Q30" s="345" t="n">
        <v>165.9</v>
      </c>
      <c r="R30" s="346" t="n">
        <f aca="false">P30*Q30/1000</f>
        <v>38421.1128</v>
      </c>
      <c r="S30" s="248" t="n">
        <v>0</v>
      </c>
      <c r="T30" s="243" t="n">
        <v>335</v>
      </c>
      <c r="U30" s="346" t="n">
        <f aca="false">S30*T30/1000</f>
        <v>0</v>
      </c>
      <c r="V30" s="364" t="n">
        <f aca="false">(37618*44.56)/1000</f>
        <v>1676.25808</v>
      </c>
      <c r="W30" s="243" t="n">
        <f aca="false">E30*10000*1.132/1000</f>
        <v>0</v>
      </c>
      <c r="X30" s="360" t="n">
        <v>0</v>
      </c>
      <c r="Y30" s="361" t="n">
        <f aca="false">SUM(V30:X30)</f>
        <v>1676.25808</v>
      </c>
      <c r="Z30" s="362" t="n">
        <f aca="false">SUM(-C30,M30,R30,U30,Y30)</f>
        <v>26279.58088</v>
      </c>
      <c r="AA30" s="368" t="n">
        <f aca="false">IFERROR(Z30*1000/D9,0)</f>
        <v>14825.276077219</v>
      </c>
      <c r="AB30" s="363" t="n">
        <f aca="false">IFERROR(Z30*1000/K9," ")</f>
        <v>3422.71175827038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customFormat="false" ht="20.15" hidden="false" customHeight="true" outlineLevel="0" collapsed="false">
      <c r="A31" s="240" t="s">
        <v>70</v>
      </c>
      <c r="B31" s="364" t="n">
        <v>474.75</v>
      </c>
      <c r="C31" s="361" t="n">
        <v>22420.75</v>
      </c>
      <c r="D31" s="241" t="n">
        <v>264.45</v>
      </c>
      <c r="E31" s="242" t="n">
        <v>0</v>
      </c>
      <c r="F31" s="369" t="n">
        <f aca="false">SUM(D31:E31)</f>
        <v>264.45</v>
      </c>
      <c r="G31" s="242" t="n">
        <v>44.49</v>
      </c>
      <c r="H31" s="242" t="n">
        <v>0</v>
      </c>
      <c r="I31" s="370" t="n">
        <f aca="false">SUM(G31:H31)</f>
        <v>44.49</v>
      </c>
      <c r="J31" s="364" t="n">
        <v>13486.95</v>
      </c>
      <c r="K31" s="245" t="n">
        <v>5338.8</v>
      </c>
      <c r="L31" s="262" t="n">
        <v>0</v>
      </c>
      <c r="M31" s="346" t="n">
        <f aca="false">SUM(J31:L31)</f>
        <v>18825.75</v>
      </c>
      <c r="N31" s="250" t="n">
        <v>29432</v>
      </c>
      <c r="O31" s="245" t="n">
        <v>183080</v>
      </c>
      <c r="P31" s="344" t="n">
        <f aca="false">SUM(N31:O31)</f>
        <v>212512</v>
      </c>
      <c r="Q31" s="345" t="n">
        <v>175.68</v>
      </c>
      <c r="R31" s="346" t="n">
        <f aca="false">P31*Q31/1000</f>
        <v>37334.10816</v>
      </c>
      <c r="S31" s="248" t="n">
        <v>0</v>
      </c>
      <c r="T31" s="243" t="n">
        <v>335</v>
      </c>
      <c r="U31" s="346" t="n">
        <f aca="false">S31*T31/1000</f>
        <v>0</v>
      </c>
      <c r="V31" s="364" t="n">
        <f aca="false">(33997*44.6)/1000</f>
        <v>1516.2662</v>
      </c>
      <c r="W31" s="243" t="n">
        <f aca="false">E31*10000*1.132/1000</f>
        <v>0</v>
      </c>
      <c r="X31" s="360" t="n">
        <v>0</v>
      </c>
      <c r="Y31" s="361" t="n">
        <f aca="false">SUM(V31:X31)</f>
        <v>1516.2662</v>
      </c>
      <c r="Z31" s="362" t="n">
        <f aca="false">SUM(-C31,M31,R31,U31,Y31)</f>
        <v>35255.37436</v>
      </c>
      <c r="AA31" s="47" t="n">
        <f aca="false">IFERROR(Z31*1000/D10," ")</f>
        <v>20815.8414576543</v>
      </c>
      <c r="AB31" s="363" t="n">
        <f aca="false">IFERROR(Z31*1000/K10," ")</f>
        <v>5024.99634549601</v>
      </c>
    </row>
    <row r="32" customFormat="false" ht="20.15" hidden="false" customHeight="true" outlineLevel="0" collapsed="false">
      <c r="A32" s="240" t="s">
        <v>71</v>
      </c>
      <c r="B32" s="364" t="n">
        <v>436.59</v>
      </c>
      <c r="C32" s="361" t="n">
        <v>24266.56</v>
      </c>
      <c r="D32" s="241" t="n">
        <v>204.07</v>
      </c>
      <c r="E32" s="242" t="n">
        <v>0</v>
      </c>
      <c r="F32" s="369" t="n">
        <f aca="false">SUM(D32:E32)</f>
        <v>204.07</v>
      </c>
      <c r="G32" s="242" t="n">
        <v>20.35</v>
      </c>
      <c r="H32" s="242" t="n">
        <v>0</v>
      </c>
      <c r="I32" s="370" t="n">
        <f aca="false">SUM(G32:H32)</f>
        <v>20.35</v>
      </c>
      <c r="J32" s="364" t="n">
        <v>10407.57</v>
      </c>
      <c r="K32" s="245" t="n">
        <v>2442</v>
      </c>
      <c r="L32" s="262" t="n">
        <v>0</v>
      </c>
      <c r="M32" s="346" t="n">
        <f aca="false">SUM(J32:L32)</f>
        <v>12849.57</v>
      </c>
      <c r="N32" s="250" t="n">
        <v>38688</v>
      </c>
      <c r="O32" s="245" t="n">
        <v>178280</v>
      </c>
      <c r="P32" s="344" t="n">
        <f aca="false">SUM(N32:O32)</f>
        <v>216968</v>
      </c>
      <c r="Q32" s="345" t="n">
        <v>192.67</v>
      </c>
      <c r="R32" s="346" t="n">
        <f aca="false">P32*Q32/1000</f>
        <v>41803.22456</v>
      </c>
      <c r="S32" s="248" t="n">
        <v>0</v>
      </c>
      <c r="T32" s="243" t="n">
        <v>335</v>
      </c>
      <c r="U32" s="346" t="n">
        <f aca="false">S32*T32/1000</f>
        <v>0</v>
      </c>
      <c r="V32" s="364" t="n">
        <f aca="false">(38878*49.34)/1000</f>
        <v>1918.24052</v>
      </c>
      <c r="W32" s="243" t="n">
        <f aca="false">E32*10000*1.168/1000</f>
        <v>0</v>
      </c>
      <c r="X32" s="360" t="n">
        <v>0</v>
      </c>
      <c r="Y32" s="361" t="n">
        <f aca="false">SUM(V32:X32)</f>
        <v>1918.24052</v>
      </c>
      <c r="Z32" s="362" t="n">
        <f aca="false">SUM(-C32,M32,R32,U32,Y32)</f>
        <v>32304.47508</v>
      </c>
      <c r="AA32" s="47" t="n">
        <f aca="false">IFERROR(Z32*1000/D11," ")</f>
        <v>16967.7945868153</v>
      </c>
      <c r="AB32" s="363" t="n">
        <f aca="false">IFERROR(Z32*1000/K11," ")</f>
        <v>4788.68589979247</v>
      </c>
    </row>
    <row r="33" customFormat="false" ht="20.15" hidden="false" customHeight="true" outlineLevel="0" collapsed="false">
      <c r="A33" s="240" t="s">
        <v>72</v>
      </c>
      <c r="B33" s="353" t="n">
        <v>92.3</v>
      </c>
      <c r="C33" s="354" t="n">
        <v>5132.72</v>
      </c>
      <c r="D33" s="355" t="n">
        <v>118.13</v>
      </c>
      <c r="E33" s="358" t="n">
        <v>0</v>
      </c>
      <c r="F33" s="369" t="n">
        <f aca="false">SUM(D33:E33)</f>
        <v>118.13</v>
      </c>
      <c r="G33" s="358" t="n">
        <v>40.52</v>
      </c>
      <c r="H33" s="358" t="n">
        <v>18.18</v>
      </c>
      <c r="I33" s="359" t="n">
        <f aca="false">SUM(G33:H33)</f>
        <v>58.7</v>
      </c>
      <c r="J33" s="353" t="n">
        <v>6024.63</v>
      </c>
      <c r="K33" s="262" t="n">
        <v>7062.18</v>
      </c>
      <c r="L33" s="262" t="n">
        <v>0</v>
      </c>
      <c r="M33" s="346" t="n">
        <f aca="false">SUM(J33:L33)</f>
        <v>13086.81</v>
      </c>
      <c r="N33" s="360" t="n">
        <v>48880</v>
      </c>
      <c r="O33" s="262" t="n">
        <v>163644</v>
      </c>
      <c r="P33" s="344" t="n">
        <f aca="false">SUM(N33:O33)</f>
        <v>212524</v>
      </c>
      <c r="Q33" s="345" t="n">
        <v>196.56</v>
      </c>
      <c r="R33" s="346" t="n">
        <f aca="false">P33*Q33/1000</f>
        <v>41773.71744</v>
      </c>
      <c r="S33" s="248" t="n">
        <v>0</v>
      </c>
      <c r="T33" s="243" t="n">
        <v>335</v>
      </c>
      <c r="U33" s="346" t="n">
        <f aca="false">S33*T33/1000</f>
        <v>0</v>
      </c>
      <c r="V33" s="364" t="n">
        <f aca="false">(36485*50.18)/1000</f>
        <v>1830.8173</v>
      </c>
      <c r="W33" s="243" t="n">
        <f aca="false">E33*10000*1.132/1000</f>
        <v>0</v>
      </c>
      <c r="X33" s="360" t="n">
        <v>0</v>
      </c>
      <c r="Y33" s="361" t="n">
        <f aca="false">SUM(V33:X33)</f>
        <v>1830.8173</v>
      </c>
      <c r="Z33" s="362" t="n">
        <f aca="false">SUM(-C33,M33,R33,U33,Y33)</f>
        <v>51558.62474</v>
      </c>
      <c r="AA33" s="310" t="n">
        <f aca="false">IFERROR(Z33*1000/D12," ")</f>
        <v>27232.7227850375</v>
      </c>
      <c r="AB33" s="363" t="n">
        <f aca="false">IFERROR(Z33*1000/K12," ")</f>
        <v>7422.77926000576</v>
      </c>
    </row>
    <row r="34" customFormat="false" ht="20.15" hidden="false" customHeight="true" outlineLevel="0" collapsed="false">
      <c r="A34" s="259" t="s">
        <v>73</v>
      </c>
      <c r="B34" s="364" t="n">
        <v>176.44</v>
      </c>
      <c r="C34" s="354" t="n">
        <v>8365.78</v>
      </c>
      <c r="D34" s="241" t="n">
        <v>204.98</v>
      </c>
      <c r="E34" s="242" t="n">
        <v>0</v>
      </c>
      <c r="F34" s="369" t="n">
        <f aca="false">SUM(D34:E34)</f>
        <v>204.98</v>
      </c>
      <c r="G34" s="242" t="n">
        <v>21.98</v>
      </c>
      <c r="H34" s="242" t="n">
        <v>0</v>
      </c>
      <c r="I34" s="370" t="n">
        <f aca="false">SUM(G34:H34)</f>
        <v>21.98</v>
      </c>
      <c r="J34" s="364" t="n">
        <v>10453.98</v>
      </c>
      <c r="K34" s="245" t="n">
        <v>2637.6</v>
      </c>
      <c r="L34" s="262" t="n">
        <v>0</v>
      </c>
      <c r="M34" s="346" t="n">
        <f aca="false">SUM(J34:L34)</f>
        <v>13091.58</v>
      </c>
      <c r="N34" s="250" t="n">
        <v>45760</v>
      </c>
      <c r="O34" s="245" t="n">
        <v>163376</v>
      </c>
      <c r="P34" s="344" t="n">
        <f aca="false">SUM(N34:O34)</f>
        <v>209136</v>
      </c>
      <c r="Q34" s="345" t="n">
        <v>191.4</v>
      </c>
      <c r="R34" s="346" t="n">
        <f aca="false">P34*Q34/1000</f>
        <v>40028.6304</v>
      </c>
      <c r="S34" s="248" t="n">
        <v>0</v>
      </c>
      <c r="T34" s="243" t="n">
        <v>335</v>
      </c>
      <c r="U34" s="346" t="n">
        <f aca="false">S34*T34/1000</f>
        <v>0</v>
      </c>
      <c r="V34" s="364" t="n">
        <f aca="false">(39042*49.14)/1000</f>
        <v>1918.52388</v>
      </c>
      <c r="W34" s="243" t="n">
        <f aca="false">E34*10000*1.132/1000</f>
        <v>0</v>
      </c>
      <c r="X34" s="360" t="n">
        <v>0</v>
      </c>
      <c r="Y34" s="361" t="n">
        <f aca="false">SUM(V34:X34)</f>
        <v>1918.52388</v>
      </c>
      <c r="Z34" s="362" t="n">
        <f aca="false">SUM(-C34,M34,R34,U34,Y34)</f>
        <v>46672.95428</v>
      </c>
      <c r="AA34" s="310" t="n">
        <f aca="false">IFERROR(Z34*1000/D13," ")</f>
        <v>25349.479290455</v>
      </c>
      <c r="AB34" s="363" t="n">
        <f aca="false">IFERROR(Z34*1000/K13," ")</f>
        <v>6880.87192687601</v>
      </c>
    </row>
    <row r="35" customFormat="false" ht="20.15" hidden="false" customHeight="true" outlineLevel="0" collapsed="false">
      <c r="A35" s="259" t="s">
        <v>74</v>
      </c>
      <c r="B35" s="364" t="n">
        <v>186.48</v>
      </c>
      <c r="C35" s="354" t="n">
        <v>12123.64</v>
      </c>
      <c r="D35" s="241" t="n">
        <v>253.79</v>
      </c>
      <c r="E35" s="242" t="n">
        <v>0</v>
      </c>
      <c r="F35" s="369" t="n">
        <f aca="false">SUM(D35:E35)</f>
        <v>253.79</v>
      </c>
      <c r="G35" s="242" t="n">
        <v>0</v>
      </c>
      <c r="H35" s="242" t="n">
        <v>38.86</v>
      </c>
      <c r="I35" s="370" t="n">
        <f aca="false">SUM(G35:H35)</f>
        <v>38.86</v>
      </c>
      <c r="J35" s="364" t="n">
        <v>12943.29</v>
      </c>
      <c r="K35" s="371" t="n">
        <v>4663.2</v>
      </c>
      <c r="L35" s="262" t="n">
        <v>0</v>
      </c>
      <c r="M35" s="346" t="n">
        <f aca="false">SUM(J35:L35)</f>
        <v>17606.49</v>
      </c>
      <c r="N35" s="360" t="n">
        <v>38480</v>
      </c>
      <c r="O35" s="245" t="n">
        <v>153016</v>
      </c>
      <c r="P35" s="344" t="n">
        <f aca="false">SUM(N35:O35)</f>
        <v>191496</v>
      </c>
      <c r="Q35" s="345" t="n">
        <v>169.42</v>
      </c>
      <c r="R35" s="346" t="n">
        <f aca="false">P35*Q35/1000</f>
        <v>32443.25232</v>
      </c>
      <c r="S35" s="248" t="n">
        <v>0</v>
      </c>
      <c r="T35" s="243" t="n">
        <v>335</v>
      </c>
      <c r="U35" s="346" t="n">
        <f aca="false">S35*T35/1000</f>
        <v>0</v>
      </c>
      <c r="V35" s="364" t="n">
        <f aca="false">(25917*44.38)/1000</f>
        <v>1150.19646</v>
      </c>
      <c r="W35" s="243" t="n">
        <f aca="false">E35*10000*1.168/1000</f>
        <v>0</v>
      </c>
      <c r="X35" s="360" t="n">
        <v>0</v>
      </c>
      <c r="Y35" s="361" t="n">
        <f aca="false">SUM(V35:X35)</f>
        <v>1150.19646</v>
      </c>
      <c r="Z35" s="362" t="n">
        <f aca="false">SUM(-C35,M35,R35,U35,Y35)</f>
        <v>39076.29878</v>
      </c>
      <c r="AA35" s="310" t="n">
        <f aca="false">IFERROR(Z35*1000/D14," ")</f>
        <v>18806.0306180397</v>
      </c>
      <c r="AB35" s="363" t="n">
        <f aca="false">IFERROR(Z35*1000/K14," ")</f>
        <v>5462.16085826111</v>
      </c>
    </row>
    <row r="36" customFormat="false" ht="20.15" hidden="false" customHeight="true" outlineLevel="0" collapsed="false">
      <c r="A36" s="240" t="s">
        <v>75</v>
      </c>
      <c r="B36" s="353" t="n">
        <v>63.02</v>
      </c>
      <c r="C36" s="354" t="n">
        <v>4720.21</v>
      </c>
      <c r="D36" s="355" t="n">
        <v>145.75</v>
      </c>
      <c r="E36" s="358" t="n">
        <v>0</v>
      </c>
      <c r="F36" s="369" t="n">
        <f aca="false">SUM(D36:E36)</f>
        <v>145.75</v>
      </c>
      <c r="G36" s="358" t="n">
        <v>0</v>
      </c>
      <c r="H36" s="358" t="n">
        <v>54.83</v>
      </c>
      <c r="I36" s="370" t="n">
        <f aca="false">SUM(G36:H36)</f>
        <v>54.83</v>
      </c>
      <c r="J36" s="353" t="n">
        <v>7433.25</v>
      </c>
      <c r="K36" s="262" t="n">
        <v>6579.6</v>
      </c>
      <c r="L36" s="262" t="n">
        <v>0</v>
      </c>
      <c r="M36" s="346" t="n">
        <f aca="false">SUM(J36:L36)</f>
        <v>14012.85</v>
      </c>
      <c r="N36" s="360" t="n">
        <v>37440</v>
      </c>
      <c r="O36" s="262" t="n">
        <v>132080</v>
      </c>
      <c r="P36" s="344" t="n">
        <f aca="false">SUM(N36:O36)</f>
        <v>169520</v>
      </c>
      <c r="Q36" s="345" t="n">
        <v>168.27</v>
      </c>
      <c r="R36" s="346" t="n">
        <f aca="false">P36*Q36/1000</f>
        <v>28525.1304</v>
      </c>
      <c r="S36" s="248" t="n">
        <v>0</v>
      </c>
      <c r="T36" s="243" t="n">
        <v>335</v>
      </c>
      <c r="U36" s="346" t="n">
        <f aca="false">S36*T36/1000</f>
        <v>0</v>
      </c>
      <c r="V36" s="353" t="n">
        <f aca="false">(18393*44.06)/1000</f>
        <v>810.39558</v>
      </c>
      <c r="W36" s="243" t="n">
        <f aca="false">E36*10000*1.132/1000</f>
        <v>0</v>
      </c>
      <c r="X36" s="360" t="n">
        <v>0</v>
      </c>
      <c r="Y36" s="361" t="n">
        <f aca="false">SUM(V36:X36)</f>
        <v>810.39558</v>
      </c>
      <c r="Z36" s="362" t="n">
        <f aca="false">SUM(-C36,M36,R36,U36,Y36)</f>
        <v>38628.16598</v>
      </c>
      <c r="AA36" s="310" t="n">
        <f aca="false">IFERROR(Z36*1000/D15," ")</f>
        <v>30142.4605000312</v>
      </c>
      <c r="AB36" s="363" t="n">
        <f aca="false">IFERROR(Z36*1000/K15," ")</f>
        <v>7930.23321289263</v>
      </c>
    </row>
    <row r="37" customFormat="false" ht="18.75" hidden="false" customHeight="true" outlineLevel="0" collapsed="false">
      <c r="A37" s="259" t="s">
        <v>76</v>
      </c>
      <c r="B37" s="364"/>
      <c r="C37" s="354"/>
      <c r="D37" s="241"/>
      <c r="E37" s="242"/>
      <c r="F37" s="369" t="n">
        <f aca="false">SUM(D37:E37)</f>
        <v>0</v>
      </c>
      <c r="G37" s="242"/>
      <c r="H37" s="242"/>
      <c r="I37" s="370" t="n">
        <f aca="false">SUM(G37:H37)</f>
        <v>0</v>
      </c>
      <c r="J37" s="364"/>
      <c r="K37" s="245"/>
      <c r="L37" s="245"/>
      <c r="M37" s="346" t="n">
        <f aca="false">SUM(J37:L37)</f>
        <v>0</v>
      </c>
      <c r="N37" s="250"/>
      <c r="O37" s="245"/>
      <c r="P37" s="344" t="n">
        <f aca="false">SUM(N37:O37)</f>
        <v>0</v>
      </c>
      <c r="Q37" s="345"/>
      <c r="R37" s="346" t="n">
        <f aca="false">P37*Q37/1000</f>
        <v>0</v>
      </c>
      <c r="S37" s="248"/>
      <c r="T37" s="243" t="n">
        <v>335</v>
      </c>
      <c r="U37" s="346" t="n">
        <f aca="false">S37*T37/1000</f>
        <v>0</v>
      </c>
      <c r="V37" s="364"/>
      <c r="W37" s="243" t="n">
        <f aca="false">E37*10000*1.132/1000</f>
        <v>0</v>
      </c>
      <c r="X37" s="360" t="n">
        <v>0</v>
      </c>
      <c r="Y37" s="361" t="n">
        <f aca="false">SUM(V37:X37)</f>
        <v>0</v>
      </c>
      <c r="Z37" s="362" t="n">
        <f aca="false">SUM(-C37,M37,R37,U37,Y37)</f>
        <v>0</v>
      </c>
      <c r="AA37" s="310" t="str">
        <f aca="false">IFERROR(Z37*1000/D16," ")</f>
        <v> </v>
      </c>
      <c r="AB37" s="363" t="str">
        <f aca="false">IFERROR(Z37*1000/K16," ")</f>
        <v> </v>
      </c>
    </row>
    <row r="38" customFormat="false" ht="20.15" hidden="false" customHeight="true" outlineLevel="0" collapsed="false">
      <c r="A38" s="302" t="s">
        <v>77</v>
      </c>
      <c r="B38" s="372"/>
      <c r="C38" s="373"/>
      <c r="D38" s="265"/>
      <c r="E38" s="266"/>
      <c r="F38" s="374" t="n">
        <f aca="false">SUM(D38:E38)</f>
        <v>0</v>
      </c>
      <c r="G38" s="266"/>
      <c r="H38" s="266"/>
      <c r="I38" s="375" t="n">
        <f aca="false">SUM(G38:H38)</f>
        <v>0</v>
      </c>
      <c r="J38" s="376"/>
      <c r="K38" s="377"/>
      <c r="L38" s="377"/>
      <c r="M38" s="378" t="n">
        <f aca="false">SUM(J38:L38)</f>
        <v>0</v>
      </c>
      <c r="N38" s="379"/>
      <c r="O38" s="377"/>
      <c r="P38" s="344" t="n">
        <f aca="false">SUM(N38:O38)</f>
        <v>0</v>
      </c>
      <c r="Q38" s="380"/>
      <c r="R38" s="378" t="n">
        <f aca="false">P38*Q38/1000</f>
        <v>0</v>
      </c>
      <c r="S38" s="372"/>
      <c r="T38" s="243" t="n">
        <v>335</v>
      </c>
      <c r="U38" s="346" t="n">
        <f aca="false">S38*T38/1000</f>
        <v>0</v>
      </c>
      <c r="V38" s="376"/>
      <c r="W38" s="243" t="n">
        <f aca="false">E38*10000*1.132/1000</f>
        <v>0</v>
      </c>
      <c r="X38" s="379"/>
      <c r="Y38" s="373" t="n">
        <f aca="false">SUM(V38:X38)</f>
        <v>0</v>
      </c>
      <c r="Z38" s="362" t="n">
        <f aca="false">SUM(-C38,M38,R38,U38,Y38)</f>
        <v>0</v>
      </c>
      <c r="AA38" s="310" t="str">
        <f aca="false">IFERROR(Z38*1000/D17," ")</f>
        <v> </v>
      </c>
      <c r="AB38" s="381" t="str">
        <f aca="false">IFERROR(Z38*1000/K17," ")</f>
        <v> </v>
      </c>
    </row>
    <row r="39" customFormat="false" ht="20.15" hidden="false" customHeight="true" outlineLevel="0" collapsed="false">
      <c r="A39" s="271" t="s">
        <v>48</v>
      </c>
      <c r="B39" s="272" t="n">
        <f aca="false">SUM(B27:B38)</f>
        <v>5108.62</v>
      </c>
      <c r="C39" s="382" t="n">
        <f aca="false">SUM(C27:C38)</f>
        <v>252820.11</v>
      </c>
      <c r="D39" s="383" t="n">
        <f aca="false">SUM(D27:D38)</f>
        <v>2247.01</v>
      </c>
      <c r="E39" s="383" t="n">
        <f aca="false">SUM(E27:E38)</f>
        <v>0</v>
      </c>
      <c r="F39" s="384" t="n">
        <f aca="false">SUM(F27:F38)</f>
        <v>2247.01</v>
      </c>
      <c r="G39" s="383" t="n">
        <f aca="false">SUM(G27:G38)</f>
        <v>183.64</v>
      </c>
      <c r="H39" s="385" t="n">
        <f aca="false">SUM(H27:H38)</f>
        <v>212.79</v>
      </c>
      <c r="I39" s="384" t="n">
        <f aca="false">SUM(I27:I38)</f>
        <v>396.43</v>
      </c>
      <c r="J39" s="272" t="n">
        <f aca="false">SUM(J27:J38)</f>
        <v>114597.51</v>
      </c>
      <c r="K39" s="274" t="n">
        <f aca="false">SUM(K27:K38)</f>
        <v>50357.1</v>
      </c>
      <c r="L39" s="276" t="n">
        <f aca="false">SUM(L27:L38)</f>
        <v>0</v>
      </c>
      <c r="M39" s="386" t="n">
        <f aca="false">SUM(M27:M38)</f>
        <v>164954.61</v>
      </c>
      <c r="N39" s="276" t="n">
        <f aca="false">SUM(N27:N38)</f>
        <v>459130</v>
      </c>
      <c r="O39" s="273" t="n">
        <f aca="false">SUM(O27:O38)</f>
        <v>1740092</v>
      </c>
      <c r="P39" s="387" t="n">
        <f aca="false">SUM(P27:P38)</f>
        <v>2199222</v>
      </c>
      <c r="Q39" s="273" t="n">
        <f aca="false">SUM(Q27:Q38)</f>
        <v>1817.27</v>
      </c>
      <c r="R39" s="386" t="n">
        <f aca="false">SUM(R27:R38)</f>
        <v>399782.6339</v>
      </c>
      <c r="S39" s="277"/>
      <c r="T39" s="274"/>
      <c r="U39" s="386" t="n">
        <f aca="false">SUM(U27:U38)</f>
        <v>2676.65</v>
      </c>
      <c r="V39" s="272" t="n">
        <f aca="false">SUM(V27:V38)</f>
        <v>16274.23203</v>
      </c>
      <c r="W39" s="274" t="n">
        <f aca="false">SUM(W27:W38)</f>
        <v>0</v>
      </c>
      <c r="X39" s="276" t="n">
        <f aca="false">SUM(X27:X38)</f>
        <v>0</v>
      </c>
      <c r="Y39" s="382" t="n">
        <f aca="false">SUM(Y27:Y38)</f>
        <v>16274.23203</v>
      </c>
      <c r="Z39" s="388" t="n">
        <f aca="false">SUM(Z27:Z38)</f>
        <v>330868.01593</v>
      </c>
      <c r="AA39" s="389" t="n">
        <f aca="false">Z39*1000/D18</f>
        <v>17043.6050389867</v>
      </c>
      <c r="AB39" s="390" t="n">
        <f aca="false">Z39*1000/K18</f>
        <v>4342.72684941396</v>
      </c>
    </row>
    <row r="40" customFormat="false" ht="20.15" hidden="false" customHeight="true" outlineLevel="0" collapsed="false">
      <c r="A40" s="391" t="s">
        <v>149</v>
      </c>
      <c r="B40" s="392" t="n">
        <f aca="false">AVERAGE(B27:B38)</f>
        <v>510.862</v>
      </c>
      <c r="C40" s="393" t="n">
        <f aca="false">AVERAGE(C27:C38)</f>
        <v>25282.011</v>
      </c>
      <c r="D40" s="394" t="n">
        <f aca="false">AVERAGE(D27:D38)</f>
        <v>224.701</v>
      </c>
      <c r="E40" s="394" t="n">
        <f aca="false">AVERAGE(E27:E38)</f>
        <v>0</v>
      </c>
      <c r="F40" s="395" t="n">
        <f aca="false">AVERAGE(F27:F38)</f>
        <v>187.250833333333</v>
      </c>
      <c r="G40" s="394" t="n">
        <f aca="false">AVERAGE(G27:G38)</f>
        <v>18.364</v>
      </c>
      <c r="H40" s="394" t="n">
        <f aca="false">AVERAGE(H27:H38)</f>
        <v>21.279</v>
      </c>
      <c r="I40" s="395" t="n">
        <f aca="false">AVERAGE(I27:I38)</f>
        <v>33.0358333333333</v>
      </c>
      <c r="J40" s="392" t="n">
        <f aca="false">AVERAGE(J27:J38)</f>
        <v>11459.751</v>
      </c>
      <c r="K40" s="396" t="n">
        <f aca="false">AVERAGE(K27:K38)</f>
        <v>5035.71</v>
      </c>
      <c r="L40" s="397" t="n">
        <f aca="false">AVERAGE(L27:L38)</f>
        <v>0</v>
      </c>
      <c r="M40" s="398" t="n">
        <f aca="false">AVERAGE(M27:M38)</f>
        <v>13746.2175</v>
      </c>
      <c r="N40" s="397" t="n">
        <f aca="false">AVERAGE(N27:N38)</f>
        <v>45913</v>
      </c>
      <c r="O40" s="399" t="n">
        <f aca="false">AVERAGE(O27:O38)</f>
        <v>174009.2</v>
      </c>
      <c r="P40" s="400" t="n">
        <f aca="false">AVERAGE(P27:P38)</f>
        <v>183268.5</v>
      </c>
      <c r="Q40" s="399" t="n">
        <f aca="false">AVERAGE(Q27:Q38)</f>
        <v>181.727</v>
      </c>
      <c r="R40" s="398" t="n">
        <f aca="false">AVERAGE(R27:R38)</f>
        <v>33315.2194916667</v>
      </c>
      <c r="S40" s="401"/>
      <c r="T40" s="396"/>
      <c r="U40" s="398" t="n">
        <f aca="false">AVERAGE(U27:U38)</f>
        <v>223.054166666667</v>
      </c>
      <c r="V40" s="282" t="n">
        <f aca="false">AVERAGE(V27:V38)</f>
        <v>1627.423203</v>
      </c>
      <c r="W40" s="284" t="n">
        <f aca="false">AVERAGE(W27:W38)</f>
        <v>0</v>
      </c>
      <c r="X40" s="402" t="n">
        <f aca="false">AVERAGE(X27:X38)</f>
        <v>0</v>
      </c>
      <c r="Y40" s="403" t="n">
        <f aca="false">AVERAGE(Y27:Y38)</f>
        <v>1356.1860025</v>
      </c>
      <c r="Z40" s="404" t="n">
        <f aca="false">AVERAGE(Z27:Z38)</f>
        <v>27572.3346608333</v>
      </c>
      <c r="AA40" s="405"/>
      <c r="AB40" s="406" t="s">
        <v>102</v>
      </c>
    </row>
    <row r="41" customFormat="false" ht="20.15" hidden="false" customHeight="true" outlineLevel="0" collapsed="false">
      <c r="A41" s="281" t="s">
        <v>150</v>
      </c>
      <c r="B41" s="407"/>
      <c r="C41" s="408" t="n">
        <f aca="false">C39*1000/$K$18</f>
        <v>3318.32823635958</v>
      </c>
      <c r="D41" s="407"/>
      <c r="E41" s="409"/>
      <c r="F41" s="410" t="n">
        <f aca="false">F39/D18</f>
        <v>0.115747515972519</v>
      </c>
      <c r="G41" s="409"/>
      <c r="H41" s="409"/>
      <c r="I41" s="411" t="n">
        <f aca="false">I39/D18</f>
        <v>0.0204208204489459</v>
      </c>
      <c r="J41" s="407"/>
      <c r="K41" s="412"/>
      <c r="L41" s="412"/>
      <c r="M41" s="413" t="n">
        <f aca="false">M39*1000/$K$18</f>
        <v>2165.07120450459</v>
      </c>
      <c r="N41" s="414"/>
      <c r="O41" s="415"/>
      <c r="P41" s="416"/>
      <c r="Q41" s="417"/>
      <c r="R41" s="418" t="n">
        <f aca="false">R39*1000/$K$18</f>
        <v>5247.24873538175</v>
      </c>
      <c r="S41" s="419"/>
      <c r="T41" s="356"/>
      <c r="U41" s="418" t="n">
        <f aca="false">U39*1000/$K$18</f>
        <v>35.1317119269186</v>
      </c>
      <c r="V41" s="420"/>
      <c r="W41" s="421"/>
      <c r="X41" s="422"/>
      <c r="Y41" s="382" t="n">
        <f aca="false">Y39*1000/$K$18</f>
        <v>213.603433960283</v>
      </c>
      <c r="Z41" s="423" t="n">
        <f aca="false">Z39*1000/$K$18</f>
        <v>4342.72684941396</v>
      </c>
      <c r="AA41" s="424" t="n">
        <f aca="false">AA39</f>
        <v>17043.6050389867</v>
      </c>
      <c r="AB41" s="425" t="n">
        <f aca="false">AB39</f>
        <v>4342.72684941396</v>
      </c>
    </row>
    <row r="42" customFormat="false" ht="20.15" hidden="false" customHeight="true" outlineLevel="0" collapsed="false">
      <c r="A42" s="391" t="s">
        <v>151</v>
      </c>
      <c r="B42" s="426"/>
      <c r="C42" s="427" t="s">
        <v>186</v>
      </c>
      <c r="D42" s="426"/>
      <c r="E42" s="428"/>
      <c r="F42" s="429" t="s">
        <v>187</v>
      </c>
      <c r="G42" s="428"/>
      <c r="H42" s="428"/>
      <c r="I42" s="429" t="s">
        <v>187</v>
      </c>
      <c r="J42" s="426"/>
      <c r="K42" s="430"/>
      <c r="L42" s="430"/>
      <c r="M42" s="431" t="s">
        <v>186</v>
      </c>
      <c r="N42" s="428"/>
      <c r="O42" s="430"/>
      <c r="P42" s="432"/>
      <c r="Q42" s="430"/>
      <c r="R42" s="431" t="s">
        <v>186</v>
      </c>
      <c r="S42" s="426"/>
      <c r="T42" s="430"/>
      <c r="U42" s="431" t="s">
        <v>186</v>
      </c>
      <c r="V42" s="391"/>
      <c r="W42" s="430"/>
      <c r="X42" s="433"/>
      <c r="Y42" s="427" t="s">
        <v>186</v>
      </c>
      <c r="Z42" s="434" t="s">
        <v>186</v>
      </c>
      <c r="AA42" s="428" t="s">
        <v>154</v>
      </c>
      <c r="AB42" s="435" t="s">
        <v>186</v>
      </c>
    </row>
    <row r="43" customFormat="false" ht="17.5" hidden="false" customHeight="false" outlineLevel="0" collapsed="false">
      <c r="V43" s="255" t="n">
        <f aca="false">AVERAGE(AA27:AA38)</f>
        <v>18420.842964352</v>
      </c>
    </row>
    <row r="44" customFormat="false" ht="17" hidden="false" customHeight="false" outlineLevel="0" collapsed="false">
      <c r="Q44" s="436" t="s">
        <v>188</v>
      </c>
      <c r="R44" s="437" t="n">
        <f aca="false">AA41+W20</f>
        <v>97530.7659819204</v>
      </c>
      <c r="S44" s="438" t="n">
        <f aca="false">AB41+O20</f>
        <v>24850.9323646458</v>
      </c>
    </row>
    <row r="45" customFormat="false" ht="17.5" hidden="false" customHeight="false" outlineLevel="0" collapsed="false">
      <c r="Q45" s="391"/>
      <c r="R45" s="428" t="s">
        <v>154</v>
      </c>
      <c r="S45" s="435" t="s">
        <v>186</v>
      </c>
    </row>
    <row r="46" customFormat="false" ht="21.75" hidden="false" customHeight="true" outlineLevel="0" collapsed="false">
      <c r="A46" s="439" t="s">
        <v>189</v>
      </c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  <c r="AA46" s="439"/>
      <c r="AB46" s="439"/>
      <c r="AC46" s="439"/>
      <c r="AD46" s="439"/>
      <c r="AE46" s="439"/>
      <c r="AF46" s="439"/>
      <c r="AG46" s="439"/>
      <c r="AH46" s="439"/>
      <c r="AI46" s="439"/>
      <c r="AJ46" s="439"/>
      <c r="AK46" s="439"/>
      <c r="AL46" s="439"/>
      <c r="AM46" s="439"/>
      <c r="AN46" s="439"/>
      <c r="AO46" s="439"/>
      <c r="AP46" s="439"/>
      <c r="AQ46" s="439"/>
      <c r="AR46" s="439"/>
      <c r="AS46" s="439"/>
      <c r="AT46" s="439"/>
      <c r="AU46" s="439"/>
      <c r="AV46" s="439"/>
      <c r="AW46" s="439"/>
      <c r="AX46" s="439"/>
      <c r="AY46" s="439"/>
      <c r="AZ46" s="439"/>
      <c r="BA46" s="439"/>
      <c r="BB46" s="439"/>
      <c r="BC46" s="439"/>
      <c r="BD46" s="439"/>
      <c r="BE46" s="439"/>
      <c r="BF46" s="439"/>
      <c r="BG46" s="439"/>
      <c r="BH46" s="439"/>
      <c r="BI46" s="439"/>
      <c r="BJ46" s="439"/>
      <c r="BK46" s="439"/>
      <c r="BL46" s="439"/>
      <c r="BM46" s="439"/>
      <c r="BN46" s="439"/>
      <c r="BO46" s="439"/>
      <c r="BP46" s="439"/>
      <c r="BQ46" s="439"/>
      <c r="BR46" s="439"/>
      <c r="BS46" s="439"/>
      <c r="BT46" s="439"/>
      <c r="BU46" s="439"/>
      <c r="BV46" s="439"/>
      <c r="BW46" s="439"/>
      <c r="BX46" s="439"/>
      <c r="BY46" s="439"/>
      <c r="BZ46" s="439"/>
      <c r="CA46" s="439"/>
      <c r="CB46" s="439"/>
      <c r="CC46" s="439"/>
      <c r="CD46" s="439"/>
      <c r="CE46" s="439"/>
      <c r="CF46" s="439"/>
      <c r="CG46" s="439"/>
      <c r="CH46" s="439"/>
      <c r="CI46" s="439"/>
      <c r="CJ46" s="439"/>
      <c r="CK46" s="439"/>
      <c r="CL46" s="439"/>
      <c r="CM46" s="439"/>
      <c r="CN46" s="439"/>
      <c r="CO46" s="439"/>
      <c r="CP46" s="439"/>
      <c r="CQ46" s="439"/>
      <c r="CR46" s="439"/>
      <c r="CS46" s="439"/>
      <c r="CT46" s="439"/>
      <c r="CU46" s="439"/>
      <c r="CV46" s="439"/>
      <c r="CW46" s="439"/>
      <c r="CX46" s="439"/>
      <c r="CY46" s="439"/>
      <c r="CZ46" s="439"/>
      <c r="DA46" s="439"/>
      <c r="DB46" s="439"/>
      <c r="DC46" s="439"/>
      <c r="DD46" s="439"/>
      <c r="DE46" s="439"/>
      <c r="DF46" s="439"/>
      <c r="DG46" s="439"/>
      <c r="DH46" s="439"/>
      <c r="DI46" s="439"/>
      <c r="DJ46" s="439"/>
      <c r="DK46" s="439"/>
      <c r="DL46" s="439"/>
      <c r="DM46" s="439"/>
      <c r="DN46" s="439"/>
      <c r="DO46" s="439"/>
      <c r="DP46" s="439"/>
      <c r="DQ46" s="439"/>
      <c r="DR46" s="439"/>
      <c r="DS46" s="439"/>
      <c r="DT46" s="439"/>
      <c r="DU46" s="439"/>
      <c r="DV46" s="439"/>
      <c r="DW46" s="439"/>
      <c r="DX46" s="439"/>
      <c r="DY46" s="439"/>
      <c r="DZ46" s="439"/>
      <c r="EA46" s="439"/>
      <c r="EB46" s="439"/>
      <c r="EC46" s="439"/>
      <c r="ED46" s="439"/>
      <c r="EE46" s="439"/>
      <c r="EF46" s="439"/>
      <c r="EG46" s="439"/>
      <c r="EH46" s="439"/>
      <c r="EI46" s="439"/>
      <c r="EJ46" s="439"/>
      <c r="EK46" s="439"/>
      <c r="EL46" s="439"/>
      <c r="EM46" s="439"/>
      <c r="EN46" s="439"/>
      <c r="EO46" s="439"/>
      <c r="EP46" s="439"/>
      <c r="EQ46" s="439"/>
      <c r="ER46" s="439"/>
      <c r="ES46" s="439"/>
      <c r="ET46" s="439"/>
      <c r="EU46" s="439"/>
      <c r="EV46" s="439"/>
      <c r="EW46" s="439"/>
      <c r="EX46" s="439"/>
      <c r="EY46" s="439"/>
      <c r="EZ46" s="439"/>
      <c r="FA46" s="439"/>
      <c r="FB46" s="439"/>
      <c r="FC46" s="439"/>
      <c r="FD46" s="439"/>
      <c r="FE46" s="439"/>
      <c r="FF46" s="439"/>
      <c r="FG46" s="439"/>
      <c r="FH46" s="439"/>
      <c r="FI46" s="439"/>
      <c r="FJ46" s="439"/>
      <c r="FK46" s="439"/>
      <c r="FL46" s="439"/>
      <c r="FM46" s="439"/>
      <c r="FN46" s="439"/>
      <c r="FO46" s="439"/>
      <c r="FP46" s="439"/>
      <c r="FQ46" s="439"/>
      <c r="FR46" s="439"/>
      <c r="FS46" s="439"/>
      <c r="FT46" s="439"/>
      <c r="FU46" s="439"/>
      <c r="FV46" s="439"/>
      <c r="FW46" s="439"/>
      <c r="FX46" s="439"/>
      <c r="FY46" s="439"/>
      <c r="FZ46" s="439"/>
      <c r="GA46" s="439"/>
      <c r="GB46" s="439"/>
      <c r="GC46" s="439"/>
      <c r="GD46" s="439"/>
      <c r="GE46" s="439"/>
      <c r="GF46" s="439"/>
      <c r="GG46" s="439"/>
      <c r="GH46" s="439"/>
      <c r="GI46" s="439"/>
      <c r="GJ46" s="439"/>
      <c r="GK46" s="439"/>
      <c r="GL46" s="439"/>
      <c r="GM46" s="439"/>
      <c r="GN46" s="439"/>
      <c r="GO46" s="439"/>
      <c r="GP46" s="439"/>
      <c r="GQ46" s="439"/>
      <c r="GR46" s="439"/>
      <c r="GS46" s="439"/>
      <c r="GT46" s="439"/>
      <c r="GU46" s="439"/>
      <c r="GV46" s="439"/>
      <c r="GW46" s="439"/>
      <c r="GX46" s="439"/>
      <c r="GY46" s="439"/>
      <c r="GZ46" s="439"/>
      <c r="HA46" s="439"/>
      <c r="HB46" s="439"/>
      <c r="HC46" s="439"/>
      <c r="HD46" s="439"/>
      <c r="HE46" s="439"/>
      <c r="HF46" s="439"/>
      <c r="HG46" s="439"/>
      <c r="HH46" s="439"/>
      <c r="HI46" s="439"/>
      <c r="HJ46" s="439"/>
      <c r="HK46" s="439"/>
      <c r="HL46" s="439"/>
      <c r="HM46" s="439"/>
      <c r="HN46" s="439"/>
      <c r="HO46" s="439"/>
      <c r="HP46" s="439"/>
      <c r="HQ46" s="439"/>
      <c r="HR46" s="439"/>
      <c r="HS46" s="439"/>
      <c r="HT46" s="439"/>
      <c r="HU46" s="439"/>
      <c r="HV46" s="439"/>
      <c r="HW46" s="439"/>
      <c r="HX46" s="439"/>
      <c r="HY46" s="439"/>
      <c r="HZ46" s="439"/>
      <c r="IA46" s="439"/>
      <c r="IB46" s="439"/>
      <c r="IC46" s="439"/>
      <c r="ID46" s="439"/>
      <c r="IE46" s="439"/>
      <c r="IF46" s="439"/>
      <c r="IG46" s="439"/>
      <c r="IH46" s="439"/>
      <c r="II46" s="439"/>
      <c r="IJ46" s="439"/>
      <c r="IK46" s="439"/>
      <c r="IL46" s="439"/>
      <c r="IM46" s="439"/>
      <c r="IN46" s="439"/>
      <c r="IO46" s="439"/>
      <c r="IP46" s="439"/>
      <c r="IQ46" s="439"/>
      <c r="IR46" s="439"/>
      <c r="IS46" s="439"/>
      <c r="IT46" s="439"/>
      <c r="IU46" s="439"/>
      <c r="IV46" s="439"/>
      <c r="IW46" s="439"/>
    </row>
    <row r="47" customFormat="false" ht="16.5" hidden="false" customHeight="false" outlineLevel="0" collapsed="false">
      <c r="A47" s="440"/>
      <c r="B47" s="440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  <c r="BB47" s="440"/>
      <c r="BC47" s="440"/>
      <c r="BD47" s="440"/>
      <c r="BE47" s="440"/>
      <c r="BF47" s="440"/>
      <c r="BG47" s="440"/>
      <c r="BH47" s="440"/>
      <c r="BI47" s="440"/>
      <c r="BJ47" s="440"/>
      <c r="BK47" s="440"/>
      <c r="BL47" s="440"/>
      <c r="BM47" s="440"/>
      <c r="BN47" s="440"/>
      <c r="BO47" s="440"/>
      <c r="BP47" s="440"/>
      <c r="BQ47" s="440"/>
      <c r="BR47" s="440"/>
      <c r="BS47" s="440"/>
      <c r="BT47" s="440"/>
      <c r="BU47" s="440"/>
      <c r="BV47" s="440"/>
      <c r="BW47" s="440"/>
      <c r="BX47" s="440"/>
      <c r="BY47" s="440"/>
      <c r="BZ47" s="440"/>
      <c r="CA47" s="440"/>
      <c r="CB47" s="440"/>
      <c r="CC47" s="440"/>
      <c r="CD47" s="440"/>
      <c r="CE47" s="440"/>
      <c r="CF47" s="440"/>
      <c r="CG47" s="440"/>
      <c r="CH47" s="440"/>
      <c r="CI47" s="440"/>
      <c r="CJ47" s="440"/>
      <c r="CK47" s="440"/>
      <c r="CL47" s="440"/>
      <c r="CM47" s="440"/>
      <c r="CN47" s="440"/>
      <c r="CO47" s="440"/>
      <c r="CP47" s="440"/>
      <c r="CQ47" s="440"/>
      <c r="CR47" s="440"/>
      <c r="CS47" s="440"/>
      <c r="CT47" s="440"/>
      <c r="CU47" s="440"/>
      <c r="CV47" s="440"/>
      <c r="CW47" s="440"/>
      <c r="CX47" s="440"/>
      <c r="CY47" s="440"/>
      <c r="CZ47" s="440"/>
      <c r="DA47" s="440"/>
      <c r="DB47" s="440"/>
      <c r="DC47" s="440"/>
      <c r="DD47" s="440"/>
      <c r="DE47" s="440"/>
      <c r="DF47" s="440"/>
      <c r="DG47" s="440"/>
      <c r="DH47" s="440"/>
      <c r="DI47" s="440"/>
      <c r="DJ47" s="440"/>
      <c r="DK47" s="440"/>
      <c r="DL47" s="440"/>
      <c r="DM47" s="440"/>
      <c r="DN47" s="440"/>
      <c r="DO47" s="440"/>
      <c r="DP47" s="440"/>
      <c r="DQ47" s="440"/>
      <c r="DR47" s="440"/>
      <c r="DS47" s="440"/>
      <c r="DT47" s="440"/>
      <c r="DU47" s="440"/>
      <c r="DV47" s="440"/>
      <c r="DW47" s="440"/>
      <c r="DX47" s="440"/>
      <c r="DY47" s="440"/>
      <c r="DZ47" s="440"/>
      <c r="EA47" s="440"/>
      <c r="EB47" s="440"/>
      <c r="EC47" s="440"/>
      <c r="ED47" s="440"/>
      <c r="EE47" s="440"/>
      <c r="EF47" s="440"/>
      <c r="EG47" s="440"/>
      <c r="EH47" s="440"/>
      <c r="EI47" s="440"/>
      <c r="EJ47" s="440"/>
      <c r="EK47" s="440"/>
      <c r="EL47" s="440"/>
      <c r="EM47" s="440"/>
      <c r="EN47" s="440"/>
      <c r="EO47" s="440"/>
      <c r="EP47" s="440"/>
      <c r="EQ47" s="440"/>
      <c r="ER47" s="440"/>
      <c r="ES47" s="440"/>
      <c r="ET47" s="440"/>
      <c r="EU47" s="440"/>
      <c r="EV47" s="440"/>
      <c r="EW47" s="440"/>
      <c r="EX47" s="440"/>
      <c r="EY47" s="440"/>
      <c r="EZ47" s="440"/>
      <c r="FA47" s="440"/>
      <c r="FB47" s="440"/>
      <c r="FC47" s="440"/>
      <c r="FD47" s="440"/>
      <c r="FE47" s="440"/>
      <c r="FF47" s="440"/>
      <c r="FG47" s="440"/>
      <c r="FH47" s="440"/>
      <c r="FI47" s="440"/>
      <c r="FJ47" s="440"/>
      <c r="FK47" s="440"/>
      <c r="FL47" s="440"/>
      <c r="FM47" s="440"/>
      <c r="FN47" s="440"/>
      <c r="FO47" s="440"/>
      <c r="FP47" s="440"/>
      <c r="FQ47" s="440"/>
      <c r="FR47" s="440"/>
      <c r="FS47" s="440"/>
      <c r="FT47" s="440"/>
      <c r="FU47" s="440"/>
      <c r="FV47" s="440"/>
      <c r="FW47" s="440"/>
      <c r="FX47" s="440"/>
      <c r="FY47" s="440"/>
      <c r="FZ47" s="440"/>
      <c r="GA47" s="440"/>
      <c r="GB47" s="440"/>
      <c r="GC47" s="440"/>
      <c r="GD47" s="440"/>
      <c r="GE47" s="440"/>
      <c r="GF47" s="440"/>
      <c r="GG47" s="440"/>
      <c r="GH47" s="440"/>
      <c r="GI47" s="440"/>
      <c r="GJ47" s="440"/>
      <c r="GK47" s="440"/>
      <c r="GL47" s="440"/>
      <c r="GM47" s="440"/>
      <c r="GN47" s="440"/>
      <c r="GO47" s="440"/>
      <c r="GP47" s="440"/>
      <c r="GQ47" s="440"/>
      <c r="GR47" s="440"/>
      <c r="GS47" s="440"/>
      <c r="GT47" s="440"/>
      <c r="GU47" s="440"/>
      <c r="GV47" s="440"/>
      <c r="GW47" s="440"/>
      <c r="GX47" s="440"/>
      <c r="GY47" s="440"/>
      <c r="GZ47" s="440"/>
      <c r="HA47" s="440"/>
      <c r="HB47" s="440"/>
      <c r="HC47" s="440"/>
      <c r="HD47" s="440"/>
      <c r="HE47" s="440"/>
      <c r="HF47" s="440"/>
      <c r="HG47" s="440"/>
      <c r="HH47" s="440"/>
      <c r="HI47" s="440"/>
      <c r="HJ47" s="440"/>
      <c r="HK47" s="440"/>
      <c r="HL47" s="440"/>
      <c r="HM47" s="440"/>
      <c r="HN47" s="440"/>
      <c r="HO47" s="440"/>
      <c r="HP47" s="440"/>
      <c r="HQ47" s="440"/>
      <c r="HR47" s="440"/>
      <c r="HS47" s="440"/>
      <c r="HT47" s="440"/>
      <c r="HU47" s="440"/>
      <c r="HV47" s="440"/>
      <c r="HW47" s="440"/>
      <c r="HX47" s="440"/>
      <c r="HY47" s="440"/>
      <c r="HZ47" s="440"/>
      <c r="IA47" s="440"/>
      <c r="IB47" s="440"/>
      <c r="IC47" s="440"/>
      <c r="ID47" s="440"/>
      <c r="IE47" s="440"/>
      <c r="IF47" s="440"/>
      <c r="IG47" s="440"/>
      <c r="IH47" s="440"/>
      <c r="II47" s="440"/>
      <c r="IJ47" s="440"/>
      <c r="IK47" s="440"/>
      <c r="IL47" s="440"/>
      <c r="IM47" s="440"/>
      <c r="IN47" s="440"/>
      <c r="IO47" s="440"/>
      <c r="IP47" s="440"/>
      <c r="IQ47" s="440"/>
      <c r="IR47" s="440"/>
      <c r="IS47" s="440"/>
      <c r="IT47" s="440"/>
      <c r="IU47" s="440"/>
      <c r="IV47" s="440"/>
      <c r="IW47" s="440"/>
    </row>
    <row r="48" customFormat="false" ht="20.15" hidden="false" customHeight="true" outlineLevel="0" collapsed="false">
      <c r="A48" s="441" t="s">
        <v>190</v>
      </c>
      <c r="B48" s="442" t="s">
        <v>191</v>
      </c>
      <c r="C48" s="442"/>
      <c r="D48" s="442"/>
      <c r="E48" s="442"/>
      <c r="F48" s="442"/>
      <c r="G48" s="443" t="s">
        <v>192</v>
      </c>
      <c r="H48" s="443"/>
      <c r="I48" s="443"/>
      <c r="J48" s="443" t="s">
        <v>193</v>
      </c>
      <c r="K48" s="443"/>
      <c r="L48" s="443"/>
      <c r="M48" s="443" t="s">
        <v>194</v>
      </c>
      <c r="N48" s="443"/>
      <c r="O48" s="443"/>
      <c r="P48" s="443" t="s">
        <v>195</v>
      </c>
      <c r="Q48" s="443"/>
      <c r="R48" s="443"/>
      <c r="S48" s="443" t="s">
        <v>196</v>
      </c>
      <c r="T48" s="443"/>
      <c r="U48" s="443"/>
      <c r="V48" s="444" t="s">
        <v>48</v>
      </c>
      <c r="W48" s="445"/>
      <c r="X48" s="445"/>
      <c r="Y48" s="445"/>
      <c r="Z48" s="445"/>
      <c r="AA48" s="445"/>
      <c r="AB48" s="445"/>
      <c r="AC48" s="445"/>
      <c r="AD48" s="445"/>
      <c r="AE48" s="445"/>
      <c r="AF48" s="445"/>
      <c r="AG48" s="445"/>
      <c r="AH48" s="445"/>
      <c r="AI48" s="445"/>
      <c r="AJ48" s="445"/>
      <c r="AK48" s="445"/>
      <c r="AL48" s="445"/>
      <c r="AM48" s="445"/>
      <c r="AN48" s="445"/>
      <c r="AO48" s="445"/>
      <c r="AP48" s="445"/>
      <c r="AQ48" s="445"/>
      <c r="AR48" s="445"/>
      <c r="AS48" s="445"/>
      <c r="AT48" s="445"/>
      <c r="AU48" s="445"/>
      <c r="AV48" s="445"/>
      <c r="AW48" s="445"/>
      <c r="AX48" s="445"/>
      <c r="AY48" s="445"/>
      <c r="AZ48" s="445"/>
      <c r="BA48" s="445"/>
      <c r="BB48" s="445"/>
      <c r="BC48" s="445"/>
      <c r="BD48" s="445"/>
      <c r="BE48" s="445"/>
      <c r="BF48" s="445"/>
      <c r="BG48" s="445"/>
      <c r="BH48" s="445"/>
      <c r="BI48" s="445"/>
      <c r="BJ48" s="445"/>
      <c r="BK48" s="445"/>
      <c r="BL48" s="445"/>
      <c r="BM48" s="445"/>
      <c r="BN48" s="445"/>
      <c r="BO48" s="445"/>
      <c r="BP48" s="445"/>
      <c r="BQ48" s="445"/>
      <c r="BR48" s="445"/>
      <c r="BS48" s="445"/>
      <c r="BT48" s="445"/>
      <c r="BU48" s="445"/>
      <c r="BV48" s="445"/>
      <c r="BW48" s="445"/>
      <c r="BX48" s="445"/>
      <c r="BY48" s="445"/>
      <c r="BZ48" s="445"/>
      <c r="CA48" s="445"/>
      <c r="CB48" s="445"/>
      <c r="CC48" s="445"/>
      <c r="CD48" s="445"/>
      <c r="CE48" s="445"/>
      <c r="CF48" s="445"/>
      <c r="CG48" s="445"/>
      <c r="CH48" s="445"/>
      <c r="CI48" s="445"/>
      <c r="CJ48" s="445"/>
      <c r="CK48" s="445"/>
      <c r="CL48" s="445"/>
      <c r="CM48" s="445"/>
      <c r="CN48" s="445"/>
      <c r="CO48" s="445"/>
      <c r="CP48" s="445"/>
      <c r="CQ48" s="445"/>
      <c r="CR48" s="445"/>
      <c r="CS48" s="445"/>
      <c r="CT48" s="445"/>
      <c r="CU48" s="445"/>
      <c r="CV48" s="445"/>
      <c r="CW48" s="445"/>
      <c r="CX48" s="445"/>
      <c r="CY48" s="445"/>
      <c r="CZ48" s="445"/>
      <c r="DA48" s="445"/>
      <c r="DB48" s="445"/>
      <c r="DC48" s="445"/>
      <c r="DD48" s="445"/>
      <c r="DE48" s="445"/>
      <c r="DF48" s="445"/>
      <c r="DG48" s="445"/>
      <c r="DH48" s="445"/>
      <c r="DI48" s="445"/>
      <c r="DJ48" s="445"/>
      <c r="DK48" s="445"/>
      <c r="DL48" s="445"/>
      <c r="DM48" s="445"/>
      <c r="DN48" s="445"/>
      <c r="DO48" s="445"/>
      <c r="DP48" s="445"/>
      <c r="DQ48" s="445"/>
      <c r="DR48" s="445"/>
      <c r="DS48" s="445"/>
      <c r="DT48" s="445"/>
      <c r="DU48" s="445"/>
      <c r="DV48" s="445"/>
      <c r="DW48" s="445"/>
      <c r="DX48" s="445"/>
      <c r="DY48" s="445"/>
      <c r="DZ48" s="445"/>
      <c r="EA48" s="445"/>
      <c r="EB48" s="445"/>
      <c r="EC48" s="445"/>
      <c r="ED48" s="445"/>
      <c r="EE48" s="445"/>
      <c r="EF48" s="445"/>
      <c r="EG48" s="445"/>
      <c r="EH48" s="445"/>
      <c r="EI48" s="445"/>
      <c r="EJ48" s="445"/>
      <c r="EK48" s="445"/>
      <c r="EL48" s="445"/>
      <c r="EM48" s="445"/>
      <c r="EN48" s="445"/>
      <c r="EO48" s="445"/>
      <c r="EP48" s="445"/>
      <c r="EQ48" s="445"/>
      <c r="ER48" s="445"/>
      <c r="ES48" s="445"/>
      <c r="ET48" s="445"/>
      <c r="EU48" s="445"/>
      <c r="EV48" s="445"/>
      <c r="EW48" s="445"/>
      <c r="EX48" s="445"/>
      <c r="EY48" s="445"/>
      <c r="EZ48" s="445"/>
      <c r="FA48" s="445"/>
      <c r="FB48" s="445"/>
      <c r="FC48" s="445"/>
      <c r="FD48" s="445"/>
      <c r="FE48" s="445"/>
      <c r="FF48" s="445"/>
      <c r="FG48" s="445"/>
      <c r="FH48" s="445"/>
      <c r="FI48" s="445"/>
      <c r="FJ48" s="445"/>
      <c r="FK48" s="445"/>
      <c r="FL48" s="445"/>
      <c r="FM48" s="445"/>
      <c r="FN48" s="445"/>
      <c r="FO48" s="445"/>
      <c r="FP48" s="445"/>
      <c r="FQ48" s="445"/>
      <c r="FR48" s="445"/>
      <c r="FS48" s="445"/>
      <c r="FT48" s="445"/>
      <c r="FU48" s="445"/>
      <c r="FV48" s="445"/>
      <c r="FW48" s="445"/>
      <c r="FX48" s="445"/>
      <c r="FY48" s="445"/>
      <c r="FZ48" s="445"/>
      <c r="GA48" s="445"/>
      <c r="GB48" s="445"/>
      <c r="GC48" s="445"/>
      <c r="GD48" s="445"/>
      <c r="GE48" s="445"/>
      <c r="GF48" s="445"/>
      <c r="GG48" s="445"/>
      <c r="GH48" s="445"/>
      <c r="GI48" s="445"/>
      <c r="GJ48" s="445"/>
      <c r="GK48" s="445"/>
      <c r="GL48" s="445"/>
      <c r="GM48" s="445"/>
      <c r="GN48" s="445"/>
      <c r="GO48" s="445"/>
      <c r="GP48" s="445"/>
      <c r="GQ48" s="445"/>
      <c r="GR48" s="445"/>
      <c r="GS48" s="445"/>
      <c r="GT48" s="445"/>
      <c r="GU48" s="445"/>
      <c r="GV48" s="445"/>
      <c r="GW48" s="445"/>
      <c r="GX48" s="445"/>
      <c r="GY48" s="445"/>
      <c r="GZ48" s="445"/>
      <c r="HA48" s="445"/>
      <c r="HB48" s="445"/>
      <c r="HC48" s="445"/>
      <c r="HD48" s="445"/>
      <c r="HE48" s="445"/>
      <c r="HF48" s="445"/>
      <c r="HG48" s="445"/>
      <c r="HH48" s="445"/>
      <c r="HI48" s="445"/>
      <c r="HJ48" s="445"/>
      <c r="HK48" s="445"/>
      <c r="HL48" s="445"/>
      <c r="HM48" s="445"/>
      <c r="HN48" s="445"/>
      <c r="HO48" s="445"/>
      <c r="HP48" s="445"/>
      <c r="HQ48" s="445"/>
      <c r="HR48" s="445"/>
      <c r="HS48" s="445"/>
      <c r="HT48" s="445"/>
      <c r="HU48" s="445"/>
      <c r="HV48" s="445"/>
      <c r="HW48" s="445"/>
      <c r="HX48" s="445"/>
      <c r="HY48" s="445"/>
      <c r="HZ48" s="445"/>
      <c r="IA48" s="445"/>
      <c r="IB48" s="445"/>
      <c r="IC48" s="445"/>
      <c r="ID48" s="445"/>
      <c r="IE48" s="445"/>
      <c r="IF48" s="445"/>
      <c r="IG48" s="445"/>
      <c r="IH48" s="445"/>
      <c r="II48" s="445"/>
      <c r="IJ48" s="445"/>
      <c r="IK48" s="445"/>
      <c r="IL48" s="445"/>
      <c r="IM48" s="445"/>
      <c r="IN48" s="445"/>
      <c r="IO48" s="445"/>
      <c r="IP48" s="445"/>
      <c r="IQ48" s="445"/>
      <c r="IR48" s="445"/>
      <c r="IS48" s="445"/>
      <c r="IT48" s="445"/>
      <c r="IU48" s="445"/>
      <c r="IV48" s="445"/>
      <c r="IW48" s="445"/>
    </row>
    <row r="49" customFormat="false" ht="20.15" hidden="false" customHeight="true" outlineLevel="0" collapsed="false">
      <c r="A49" s="441"/>
      <c r="B49" s="446" t="s">
        <v>197</v>
      </c>
      <c r="C49" s="447" t="s">
        <v>198</v>
      </c>
      <c r="D49" s="446" t="s">
        <v>199</v>
      </c>
      <c r="E49" s="447" t="s">
        <v>179</v>
      </c>
      <c r="F49" s="448" t="s">
        <v>200</v>
      </c>
      <c r="G49" s="449" t="s">
        <v>178</v>
      </c>
      <c r="H49" s="450" t="s">
        <v>179</v>
      </c>
      <c r="I49" s="327" t="s">
        <v>180</v>
      </c>
      <c r="J49" s="451" t="s">
        <v>178</v>
      </c>
      <c r="K49" s="450" t="s">
        <v>179</v>
      </c>
      <c r="L49" s="327" t="s">
        <v>180</v>
      </c>
      <c r="M49" s="451" t="s">
        <v>178</v>
      </c>
      <c r="N49" s="450" t="s">
        <v>179</v>
      </c>
      <c r="O49" s="327" t="s">
        <v>180</v>
      </c>
      <c r="P49" s="451" t="s">
        <v>178</v>
      </c>
      <c r="Q49" s="450" t="s">
        <v>179</v>
      </c>
      <c r="R49" s="327" t="s">
        <v>180</v>
      </c>
      <c r="S49" s="451" t="s">
        <v>178</v>
      </c>
      <c r="T49" s="450" t="s">
        <v>179</v>
      </c>
      <c r="U49" s="327" t="s">
        <v>180</v>
      </c>
      <c r="V49" s="452" t="s">
        <v>201</v>
      </c>
      <c r="W49" s="445"/>
      <c r="X49" s="445"/>
      <c r="Y49" s="445"/>
      <c r="Z49" s="445"/>
      <c r="AA49" s="445"/>
      <c r="AB49" s="445"/>
      <c r="AC49" s="445"/>
      <c r="AD49" s="445"/>
      <c r="AE49" s="445"/>
      <c r="AF49" s="445"/>
      <c r="AG49" s="445"/>
      <c r="AH49" s="445"/>
      <c r="AI49" s="445"/>
      <c r="AJ49" s="445"/>
      <c r="AK49" s="445"/>
      <c r="AL49" s="445"/>
      <c r="AM49" s="445"/>
      <c r="AN49" s="445"/>
      <c r="AO49" s="445"/>
      <c r="AP49" s="445"/>
      <c r="AQ49" s="445"/>
      <c r="AR49" s="445"/>
      <c r="AS49" s="445"/>
      <c r="AT49" s="445"/>
      <c r="AU49" s="445"/>
      <c r="AV49" s="445"/>
      <c r="AW49" s="445"/>
      <c r="AX49" s="445"/>
      <c r="AY49" s="445"/>
      <c r="AZ49" s="445"/>
      <c r="BA49" s="445"/>
      <c r="BB49" s="445"/>
      <c r="BC49" s="445"/>
      <c r="BD49" s="445"/>
      <c r="BE49" s="445"/>
      <c r="BF49" s="445"/>
      <c r="BG49" s="445"/>
      <c r="BH49" s="445"/>
      <c r="BI49" s="445"/>
      <c r="BJ49" s="445"/>
      <c r="BK49" s="445"/>
      <c r="BL49" s="445"/>
      <c r="BM49" s="445"/>
      <c r="BN49" s="445"/>
      <c r="BO49" s="445"/>
      <c r="BP49" s="445"/>
      <c r="BQ49" s="445"/>
      <c r="BR49" s="445"/>
      <c r="BS49" s="445"/>
      <c r="BT49" s="445"/>
      <c r="BU49" s="445"/>
      <c r="BV49" s="445"/>
      <c r="BW49" s="445"/>
      <c r="BX49" s="445"/>
      <c r="BY49" s="445"/>
      <c r="BZ49" s="445"/>
      <c r="CA49" s="445"/>
      <c r="CB49" s="445"/>
      <c r="CC49" s="445"/>
      <c r="CD49" s="445"/>
      <c r="CE49" s="445"/>
      <c r="CF49" s="445"/>
      <c r="CG49" s="445"/>
      <c r="CH49" s="445"/>
      <c r="CI49" s="445"/>
      <c r="CJ49" s="445"/>
      <c r="CK49" s="445"/>
      <c r="CL49" s="445"/>
      <c r="CM49" s="445"/>
      <c r="CN49" s="445"/>
      <c r="CO49" s="445"/>
      <c r="CP49" s="445"/>
      <c r="CQ49" s="445"/>
      <c r="CR49" s="445"/>
      <c r="CS49" s="445"/>
      <c r="CT49" s="445"/>
      <c r="CU49" s="445"/>
      <c r="CV49" s="445"/>
      <c r="CW49" s="445"/>
      <c r="CX49" s="445"/>
      <c r="CY49" s="445"/>
      <c r="CZ49" s="445"/>
      <c r="DA49" s="445"/>
      <c r="DB49" s="445"/>
      <c r="DC49" s="445"/>
      <c r="DD49" s="445"/>
      <c r="DE49" s="445"/>
      <c r="DF49" s="445"/>
      <c r="DG49" s="445"/>
      <c r="DH49" s="445"/>
      <c r="DI49" s="445"/>
      <c r="DJ49" s="445"/>
      <c r="DK49" s="445"/>
      <c r="DL49" s="445"/>
      <c r="DM49" s="445"/>
      <c r="DN49" s="445"/>
      <c r="DO49" s="445"/>
      <c r="DP49" s="445"/>
      <c r="DQ49" s="445"/>
      <c r="DR49" s="445"/>
      <c r="DS49" s="445"/>
      <c r="DT49" s="445"/>
      <c r="DU49" s="445"/>
      <c r="DV49" s="445"/>
      <c r="DW49" s="445"/>
      <c r="DX49" s="445"/>
      <c r="DY49" s="445"/>
      <c r="DZ49" s="445"/>
      <c r="EA49" s="445"/>
      <c r="EB49" s="445"/>
      <c r="EC49" s="445"/>
      <c r="ED49" s="445"/>
      <c r="EE49" s="445"/>
      <c r="EF49" s="445"/>
      <c r="EG49" s="445"/>
      <c r="EH49" s="445"/>
      <c r="EI49" s="445"/>
      <c r="EJ49" s="445"/>
      <c r="EK49" s="445"/>
      <c r="EL49" s="445"/>
      <c r="EM49" s="445"/>
      <c r="EN49" s="445"/>
      <c r="EO49" s="445"/>
      <c r="EP49" s="445"/>
      <c r="EQ49" s="445"/>
      <c r="ER49" s="445"/>
      <c r="ES49" s="445"/>
      <c r="ET49" s="445"/>
      <c r="EU49" s="445"/>
      <c r="EV49" s="445"/>
      <c r="EW49" s="445"/>
      <c r="EX49" s="445"/>
      <c r="EY49" s="445"/>
      <c r="EZ49" s="445"/>
      <c r="FA49" s="445"/>
      <c r="FB49" s="445"/>
      <c r="FC49" s="445"/>
      <c r="FD49" s="445"/>
      <c r="FE49" s="445"/>
      <c r="FF49" s="445"/>
      <c r="FG49" s="445"/>
      <c r="FH49" s="445"/>
      <c r="FI49" s="445"/>
      <c r="FJ49" s="445"/>
      <c r="FK49" s="445"/>
      <c r="FL49" s="445"/>
      <c r="FM49" s="445"/>
      <c r="FN49" s="445"/>
      <c r="FO49" s="445"/>
      <c r="FP49" s="445"/>
      <c r="FQ49" s="445"/>
      <c r="FR49" s="445"/>
      <c r="FS49" s="445"/>
      <c r="FT49" s="445"/>
      <c r="FU49" s="445"/>
      <c r="FV49" s="445"/>
      <c r="FW49" s="445"/>
      <c r="FX49" s="445"/>
      <c r="FY49" s="445"/>
      <c r="FZ49" s="445"/>
      <c r="GA49" s="445"/>
      <c r="GB49" s="445"/>
      <c r="GC49" s="445"/>
      <c r="GD49" s="445"/>
      <c r="GE49" s="445"/>
      <c r="GF49" s="445"/>
      <c r="GG49" s="445"/>
      <c r="GH49" s="445"/>
      <c r="GI49" s="445"/>
      <c r="GJ49" s="445"/>
      <c r="GK49" s="445"/>
      <c r="GL49" s="445"/>
      <c r="GM49" s="445"/>
      <c r="GN49" s="445"/>
      <c r="GO49" s="445"/>
      <c r="GP49" s="445"/>
      <c r="GQ49" s="445"/>
      <c r="GR49" s="445"/>
      <c r="GS49" s="445"/>
      <c r="GT49" s="445"/>
      <c r="GU49" s="445"/>
      <c r="GV49" s="445"/>
      <c r="GW49" s="445"/>
      <c r="GX49" s="445"/>
      <c r="GY49" s="445"/>
      <c r="GZ49" s="445"/>
      <c r="HA49" s="445"/>
      <c r="HB49" s="445"/>
      <c r="HC49" s="445"/>
      <c r="HD49" s="445"/>
      <c r="HE49" s="445"/>
      <c r="HF49" s="445"/>
      <c r="HG49" s="445"/>
      <c r="HH49" s="445"/>
      <c r="HI49" s="445"/>
      <c r="HJ49" s="445"/>
      <c r="HK49" s="445"/>
      <c r="HL49" s="445"/>
      <c r="HM49" s="445"/>
      <c r="HN49" s="445"/>
      <c r="HO49" s="445"/>
      <c r="HP49" s="445"/>
      <c r="HQ49" s="445"/>
      <c r="HR49" s="445"/>
      <c r="HS49" s="445"/>
      <c r="HT49" s="445"/>
      <c r="HU49" s="445"/>
      <c r="HV49" s="445"/>
      <c r="HW49" s="445"/>
      <c r="HX49" s="445"/>
      <c r="HY49" s="445"/>
      <c r="HZ49" s="445"/>
      <c r="IA49" s="445"/>
      <c r="IB49" s="445"/>
      <c r="IC49" s="445"/>
      <c r="ID49" s="445"/>
      <c r="IE49" s="445"/>
      <c r="IF49" s="445"/>
      <c r="IG49" s="445"/>
      <c r="IH49" s="445"/>
      <c r="II49" s="445"/>
      <c r="IJ49" s="445"/>
      <c r="IK49" s="445"/>
      <c r="IL49" s="445"/>
      <c r="IM49" s="445"/>
      <c r="IN49" s="445"/>
      <c r="IO49" s="445"/>
      <c r="IP49" s="445"/>
      <c r="IQ49" s="445"/>
      <c r="IR49" s="445"/>
      <c r="IS49" s="445"/>
      <c r="IT49" s="445"/>
      <c r="IU49" s="445"/>
      <c r="IV49" s="445"/>
      <c r="IW49" s="445"/>
    </row>
    <row r="50" customFormat="false" ht="20.15" hidden="false" customHeight="true" outlineLevel="0" collapsed="false">
      <c r="A50" s="248" t="s">
        <v>66</v>
      </c>
      <c r="B50" s="250" t="n">
        <v>1300</v>
      </c>
      <c r="C50" s="243" t="n">
        <v>1900</v>
      </c>
      <c r="D50" s="445" t="n">
        <f aca="false">SUM(B50:C50)</f>
        <v>3200</v>
      </c>
      <c r="E50" s="453" t="n">
        <v>1116</v>
      </c>
      <c r="F50" s="454" t="n">
        <f aca="false">D50*E50</f>
        <v>3571200</v>
      </c>
      <c r="G50" s="250" t="n">
        <v>0</v>
      </c>
      <c r="H50" s="243" t="n">
        <v>1300</v>
      </c>
      <c r="I50" s="454" t="n">
        <f aca="false">G50*H50</f>
        <v>0</v>
      </c>
      <c r="J50" s="245" t="n">
        <v>15040</v>
      </c>
      <c r="K50" s="243" t="n">
        <v>295</v>
      </c>
      <c r="L50" s="455" t="n">
        <f aca="false">J50*K50</f>
        <v>4436800</v>
      </c>
      <c r="M50" s="245" t="n">
        <v>8640</v>
      </c>
      <c r="N50" s="243" t="n">
        <v>140</v>
      </c>
      <c r="O50" s="455" t="n">
        <f aca="false">M50*N50</f>
        <v>1209600</v>
      </c>
      <c r="P50" s="245" t="n">
        <v>0</v>
      </c>
      <c r="Q50" s="243" t="n">
        <v>1650</v>
      </c>
      <c r="R50" s="455" t="n">
        <f aca="false">P50*Q50</f>
        <v>0</v>
      </c>
      <c r="S50" s="245" t="n">
        <v>0</v>
      </c>
      <c r="T50" s="243" t="n">
        <v>2500</v>
      </c>
      <c r="U50" s="455" t="n">
        <f aca="false">S50*220</f>
        <v>0</v>
      </c>
      <c r="V50" s="456" t="n">
        <f aca="false">SUM(F50,I50,L50,O50,R50,U50)</f>
        <v>9217600</v>
      </c>
      <c r="W50" s="445"/>
      <c r="X50" s="445"/>
      <c r="Y50" s="445"/>
      <c r="Z50" s="445"/>
      <c r="AA50" s="445"/>
      <c r="AB50" s="445"/>
      <c r="AC50" s="445"/>
      <c r="AD50" s="445"/>
      <c r="AE50" s="445"/>
      <c r="AF50" s="445"/>
      <c r="AG50" s="445"/>
      <c r="AH50" s="445"/>
      <c r="AI50" s="445"/>
      <c r="AJ50" s="445"/>
      <c r="AK50" s="445"/>
      <c r="AL50" s="445"/>
      <c r="AM50" s="445"/>
      <c r="AN50" s="445"/>
      <c r="AO50" s="445"/>
      <c r="AP50" s="445"/>
      <c r="AQ50" s="445"/>
      <c r="AR50" s="445"/>
      <c r="AS50" s="445"/>
      <c r="AT50" s="445"/>
      <c r="AU50" s="445"/>
      <c r="AV50" s="445"/>
      <c r="AW50" s="445"/>
      <c r="AX50" s="445"/>
      <c r="AY50" s="445"/>
      <c r="AZ50" s="445"/>
      <c r="BA50" s="445"/>
      <c r="BB50" s="445"/>
      <c r="BC50" s="445"/>
      <c r="BD50" s="445"/>
      <c r="BE50" s="445"/>
      <c r="BF50" s="445"/>
      <c r="BG50" s="445"/>
      <c r="BH50" s="445"/>
      <c r="BI50" s="445"/>
      <c r="BJ50" s="445"/>
      <c r="BK50" s="445"/>
      <c r="BL50" s="445"/>
      <c r="BM50" s="445"/>
      <c r="BN50" s="445"/>
      <c r="BO50" s="445"/>
      <c r="BP50" s="445"/>
      <c r="BQ50" s="445"/>
      <c r="BR50" s="445"/>
      <c r="BS50" s="445"/>
      <c r="BT50" s="445"/>
      <c r="BU50" s="445"/>
      <c r="BV50" s="445"/>
      <c r="BW50" s="445"/>
      <c r="BX50" s="445"/>
      <c r="BY50" s="445"/>
      <c r="BZ50" s="445"/>
      <c r="CA50" s="445"/>
      <c r="CB50" s="445"/>
      <c r="CC50" s="445"/>
      <c r="CD50" s="445"/>
      <c r="CE50" s="445"/>
      <c r="CF50" s="445"/>
      <c r="CG50" s="445"/>
      <c r="CH50" s="445"/>
      <c r="CI50" s="445"/>
      <c r="CJ50" s="445"/>
      <c r="CK50" s="445"/>
      <c r="CL50" s="445"/>
      <c r="CM50" s="445"/>
      <c r="CN50" s="445"/>
      <c r="CO50" s="445"/>
      <c r="CP50" s="445"/>
      <c r="CQ50" s="445"/>
      <c r="CR50" s="445"/>
      <c r="CS50" s="445"/>
      <c r="CT50" s="445"/>
      <c r="CU50" s="445"/>
      <c r="CV50" s="445"/>
      <c r="CW50" s="445"/>
      <c r="CX50" s="445"/>
      <c r="CY50" s="445"/>
      <c r="CZ50" s="445"/>
      <c r="DA50" s="445"/>
      <c r="DB50" s="445"/>
      <c r="DC50" s="445"/>
      <c r="DD50" s="445"/>
      <c r="DE50" s="445"/>
      <c r="DF50" s="445"/>
      <c r="DG50" s="445"/>
      <c r="DH50" s="445"/>
      <c r="DI50" s="445"/>
      <c r="DJ50" s="445"/>
      <c r="DK50" s="445"/>
      <c r="DL50" s="445"/>
      <c r="DM50" s="445"/>
      <c r="DN50" s="445"/>
      <c r="DO50" s="445"/>
      <c r="DP50" s="445"/>
      <c r="DQ50" s="445"/>
      <c r="DR50" s="445"/>
      <c r="DS50" s="445"/>
      <c r="DT50" s="445"/>
      <c r="DU50" s="445"/>
      <c r="DV50" s="445"/>
      <c r="DW50" s="445"/>
      <c r="DX50" s="445"/>
      <c r="DY50" s="445"/>
      <c r="DZ50" s="445"/>
      <c r="EA50" s="445"/>
      <c r="EB50" s="445"/>
      <c r="EC50" s="445"/>
      <c r="ED50" s="445"/>
      <c r="EE50" s="445"/>
      <c r="EF50" s="445"/>
      <c r="EG50" s="445"/>
      <c r="EH50" s="445"/>
      <c r="EI50" s="445"/>
      <c r="EJ50" s="445"/>
      <c r="EK50" s="445"/>
      <c r="EL50" s="445"/>
      <c r="EM50" s="445"/>
      <c r="EN50" s="445"/>
      <c r="EO50" s="445"/>
      <c r="EP50" s="445"/>
      <c r="EQ50" s="445"/>
      <c r="ER50" s="445"/>
      <c r="ES50" s="445"/>
      <c r="ET50" s="445"/>
      <c r="EU50" s="445"/>
      <c r="EV50" s="445"/>
      <c r="EW50" s="445"/>
      <c r="EX50" s="445"/>
      <c r="EY50" s="445"/>
      <c r="EZ50" s="445"/>
      <c r="FA50" s="445"/>
      <c r="FB50" s="445"/>
      <c r="FC50" s="445"/>
      <c r="FD50" s="445"/>
      <c r="FE50" s="445"/>
      <c r="FF50" s="445"/>
      <c r="FG50" s="445"/>
      <c r="FH50" s="445"/>
      <c r="FI50" s="445"/>
      <c r="FJ50" s="445"/>
      <c r="FK50" s="445"/>
      <c r="FL50" s="445"/>
      <c r="FM50" s="445"/>
      <c r="FN50" s="445"/>
      <c r="FO50" s="445"/>
      <c r="FP50" s="445"/>
      <c r="FQ50" s="445"/>
      <c r="FR50" s="445"/>
      <c r="FS50" s="445"/>
      <c r="FT50" s="445"/>
      <c r="FU50" s="445"/>
      <c r="FV50" s="445"/>
      <c r="FW50" s="445"/>
      <c r="FX50" s="445"/>
      <c r="FY50" s="445"/>
      <c r="FZ50" s="445"/>
      <c r="GA50" s="445"/>
      <c r="GB50" s="445"/>
      <c r="GC50" s="445"/>
      <c r="GD50" s="445"/>
      <c r="GE50" s="445"/>
      <c r="GF50" s="445"/>
      <c r="GG50" s="445"/>
      <c r="GH50" s="445"/>
      <c r="GI50" s="445"/>
      <c r="GJ50" s="445"/>
      <c r="GK50" s="445"/>
      <c r="GL50" s="445"/>
      <c r="GM50" s="445"/>
      <c r="GN50" s="445"/>
      <c r="GO50" s="445"/>
      <c r="GP50" s="445"/>
      <c r="GQ50" s="445"/>
      <c r="GR50" s="445"/>
      <c r="GS50" s="445"/>
      <c r="GT50" s="445"/>
      <c r="GU50" s="445"/>
      <c r="GV50" s="445"/>
      <c r="GW50" s="445"/>
      <c r="GX50" s="445"/>
      <c r="GY50" s="445"/>
      <c r="GZ50" s="445"/>
      <c r="HA50" s="445"/>
      <c r="HB50" s="445"/>
      <c r="HC50" s="445"/>
      <c r="HD50" s="445"/>
      <c r="HE50" s="445"/>
      <c r="HF50" s="445"/>
      <c r="HG50" s="445"/>
      <c r="HH50" s="445"/>
      <c r="HI50" s="445"/>
      <c r="HJ50" s="445"/>
      <c r="HK50" s="445"/>
      <c r="HL50" s="445"/>
      <c r="HM50" s="445"/>
      <c r="HN50" s="445"/>
      <c r="HO50" s="445"/>
      <c r="HP50" s="445"/>
      <c r="HQ50" s="445"/>
      <c r="HR50" s="445"/>
      <c r="HS50" s="445"/>
      <c r="HT50" s="445"/>
      <c r="HU50" s="445"/>
      <c r="HV50" s="445"/>
      <c r="HW50" s="445"/>
      <c r="HX50" s="445"/>
      <c r="HY50" s="445"/>
      <c r="HZ50" s="445"/>
      <c r="IA50" s="445"/>
      <c r="IB50" s="445"/>
      <c r="IC50" s="445"/>
      <c r="ID50" s="445"/>
      <c r="IE50" s="445"/>
      <c r="IF50" s="445"/>
      <c r="IG50" s="445"/>
      <c r="IH50" s="445"/>
      <c r="II50" s="445"/>
      <c r="IJ50" s="445"/>
      <c r="IK50" s="445"/>
      <c r="IL50" s="445"/>
      <c r="IM50" s="445"/>
      <c r="IN50" s="445"/>
      <c r="IO50" s="445"/>
      <c r="IP50" s="445"/>
      <c r="IQ50" s="445"/>
      <c r="IR50" s="445"/>
      <c r="IS50" s="445"/>
      <c r="IT50" s="445"/>
      <c r="IU50" s="445"/>
      <c r="IV50" s="445"/>
      <c r="IW50" s="445"/>
    </row>
    <row r="51" customFormat="false" ht="20.15" hidden="false" customHeight="true" outlineLevel="0" collapsed="false">
      <c r="A51" s="248" t="s">
        <v>67</v>
      </c>
      <c r="B51" s="445" t="n">
        <v>1300</v>
      </c>
      <c r="C51" s="453" t="n">
        <v>4400</v>
      </c>
      <c r="D51" s="445" t="n">
        <f aca="false">SUM(B51:C51)</f>
        <v>5700</v>
      </c>
      <c r="E51" s="453" t="n">
        <v>1116</v>
      </c>
      <c r="F51" s="454" t="n">
        <f aca="false">D51*E51</f>
        <v>6361200</v>
      </c>
      <c r="G51" s="250" t="n">
        <v>3070</v>
      </c>
      <c r="H51" s="243" t="n">
        <v>1300</v>
      </c>
      <c r="I51" s="454" t="n">
        <f aca="false">G51*H51</f>
        <v>3991000</v>
      </c>
      <c r="J51" s="245" t="n">
        <v>15380</v>
      </c>
      <c r="K51" s="243" t="n">
        <v>295</v>
      </c>
      <c r="L51" s="455" t="n">
        <f aca="false">J51*K51</f>
        <v>4537100</v>
      </c>
      <c r="M51" s="245" t="n">
        <v>10080</v>
      </c>
      <c r="N51" s="243" t="n">
        <v>140</v>
      </c>
      <c r="O51" s="455" t="n">
        <f aca="false">M51*N51</f>
        <v>1411200</v>
      </c>
      <c r="P51" s="245" t="n">
        <v>0</v>
      </c>
      <c r="Q51" s="243" t="n">
        <v>1650</v>
      </c>
      <c r="R51" s="455" t="n">
        <f aca="false">P51*Q51</f>
        <v>0</v>
      </c>
      <c r="S51" s="245" t="n">
        <v>0</v>
      </c>
      <c r="T51" s="243" t="n">
        <v>2500</v>
      </c>
      <c r="U51" s="455" t="n">
        <f aca="false">S51*220</f>
        <v>0</v>
      </c>
      <c r="V51" s="456" t="n">
        <f aca="false">SUM(F51,I51,L51,O51,R51,U51)</f>
        <v>16300500</v>
      </c>
      <c r="W51" s="445"/>
      <c r="X51" s="445"/>
      <c r="Y51" s="445"/>
      <c r="Z51" s="445"/>
      <c r="AA51" s="445"/>
      <c r="AB51" s="445"/>
      <c r="AC51" s="445"/>
      <c r="AD51" s="445"/>
      <c r="AE51" s="445"/>
      <c r="AF51" s="445"/>
      <c r="AG51" s="445"/>
      <c r="AH51" s="445"/>
      <c r="AI51" s="445"/>
      <c r="AJ51" s="445"/>
      <c r="AK51" s="445"/>
      <c r="AL51" s="445"/>
      <c r="AM51" s="445"/>
      <c r="AN51" s="445"/>
      <c r="AO51" s="445"/>
      <c r="AP51" s="445"/>
      <c r="AQ51" s="445"/>
      <c r="AR51" s="445"/>
      <c r="AS51" s="445"/>
      <c r="AT51" s="445"/>
      <c r="AU51" s="445"/>
      <c r="AV51" s="445"/>
      <c r="AW51" s="445"/>
      <c r="AX51" s="445"/>
      <c r="AY51" s="445"/>
      <c r="AZ51" s="445"/>
      <c r="BA51" s="445"/>
      <c r="BB51" s="445"/>
      <c r="BC51" s="445"/>
      <c r="BD51" s="445"/>
      <c r="BE51" s="445"/>
      <c r="BF51" s="445"/>
      <c r="BG51" s="445"/>
      <c r="BH51" s="445"/>
      <c r="BI51" s="445"/>
      <c r="BJ51" s="445"/>
      <c r="BK51" s="445"/>
      <c r="BL51" s="445"/>
      <c r="BM51" s="445"/>
      <c r="BN51" s="445"/>
      <c r="BO51" s="445"/>
      <c r="BP51" s="445"/>
      <c r="BQ51" s="445"/>
      <c r="BR51" s="445"/>
      <c r="BS51" s="445"/>
      <c r="BT51" s="445"/>
      <c r="BU51" s="445"/>
      <c r="BV51" s="445"/>
      <c r="BW51" s="445"/>
      <c r="BX51" s="445"/>
      <c r="BY51" s="445"/>
      <c r="BZ51" s="445"/>
      <c r="CA51" s="445"/>
      <c r="CB51" s="445"/>
      <c r="CC51" s="445"/>
      <c r="CD51" s="445"/>
      <c r="CE51" s="445"/>
      <c r="CF51" s="445"/>
      <c r="CG51" s="445"/>
      <c r="CH51" s="445"/>
      <c r="CI51" s="445"/>
      <c r="CJ51" s="445"/>
      <c r="CK51" s="445"/>
      <c r="CL51" s="445"/>
      <c r="CM51" s="445"/>
      <c r="CN51" s="445"/>
      <c r="CO51" s="445"/>
      <c r="CP51" s="445"/>
      <c r="CQ51" s="445"/>
      <c r="CR51" s="445"/>
      <c r="CS51" s="445"/>
      <c r="CT51" s="445"/>
      <c r="CU51" s="445"/>
      <c r="CV51" s="445"/>
      <c r="CW51" s="445"/>
      <c r="CX51" s="445"/>
      <c r="CY51" s="445"/>
      <c r="CZ51" s="445"/>
      <c r="DA51" s="445"/>
      <c r="DB51" s="445"/>
      <c r="DC51" s="445"/>
      <c r="DD51" s="445"/>
      <c r="DE51" s="445"/>
      <c r="DF51" s="445"/>
      <c r="DG51" s="445"/>
      <c r="DH51" s="445"/>
      <c r="DI51" s="445"/>
      <c r="DJ51" s="445"/>
      <c r="DK51" s="445"/>
      <c r="DL51" s="445"/>
      <c r="DM51" s="445"/>
      <c r="DN51" s="445"/>
      <c r="DO51" s="445"/>
      <c r="DP51" s="445"/>
      <c r="DQ51" s="445"/>
      <c r="DR51" s="445"/>
      <c r="DS51" s="445"/>
      <c r="DT51" s="445"/>
      <c r="DU51" s="445"/>
      <c r="DV51" s="445"/>
      <c r="DW51" s="445"/>
      <c r="DX51" s="445"/>
      <c r="DY51" s="445"/>
      <c r="DZ51" s="445"/>
      <c r="EA51" s="445"/>
      <c r="EB51" s="445"/>
      <c r="EC51" s="445"/>
      <c r="ED51" s="445"/>
      <c r="EE51" s="445"/>
      <c r="EF51" s="445"/>
      <c r="EG51" s="445"/>
      <c r="EH51" s="445"/>
      <c r="EI51" s="445"/>
      <c r="EJ51" s="445"/>
      <c r="EK51" s="445"/>
      <c r="EL51" s="445"/>
      <c r="EM51" s="445"/>
      <c r="EN51" s="445"/>
      <c r="EO51" s="445"/>
      <c r="EP51" s="445"/>
      <c r="EQ51" s="445"/>
      <c r="ER51" s="445"/>
      <c r="ES51" s="445"/>
      <c r="ET51" s="445"/>
      <c r="EU51" s="445"/>
      <c r="EV51" s="445"/>
      <c r="EW51" s="445"/>
      <c r="EX51" s="445"/>
      <c r="EY51" s="445"/>
      <c r="EZ51" s="445"/>
      <c r="FA51" s="445"/>
      <c r="FB51" s="445"/>
      <c r="FC51" s="445"/>
      <c r="FD51" s="445"/>
      <c r="FE51" s="445"/>
      <c r="FF51" s="445"/>
      <c r="FG51" s="445"/>
      <c r="FH51" s="445"/>
      <c r="FI51" s="445"/>
      <c r="FJ51" s="445"/>
      <c r="FK51" s="445"/>
      <c r="FL51" s="445"/>
      <c r="FM51" s="445"/>
      <c r="FN51" s="445"/>
      <c r="FO51" s="445"/>
      <c r="FP51" s="445"/>
      <c r="FQ51" s="445"/>
      <c r="FR51" s="445"/>
      <c r="FS51" s="445"/>
      <c r="FT51" s="445"/>
      <c r="FU51" s="445"/>
      <c r="FV51" s="445"/>
      <c r="FW51" s="445"/>
      <c r="FX51" s="445"/>
      <c r="FY51" s="445"/>
      <c r="FZ51" s="445"/>
      <c r="GA51" s="445"/>
      <c r="GB51" s="445"/>
      <c r="GC51" s="445"/>
      <c r="GD51" s="445"/>
      <c r="GE51" s="445"/>
      <c r="GF51" s="445"/>
      <c r="GG51" s="445"/>
      <c r="GH51" s="445"/>
      <c r="GI51" s="445"/>
      <c r="GJ51" s="445"/>
      <c r="GK51" s="445"/>
      <c r="GL51" s="445"/>
      <c r="GM51" s="445"/>
      <c r="GN51" s="445"/>
      <c r="GO51" s="445"/>
      <c r="GP51" s="445"/>
      <c r="GQ51" s="445"/>
      <c r="GR51" s="445"/>
      <c r="GS51" s="445"/>
      <c r="GT51" s="445"/>
      <c r="GU51" s="445"/>
      <c r="GV51" s="445"/>
      <c r="GW51" s="445"/>
      <c r="GX51" s="445"/>
      <c r="GY51" s="445"/>
      <c r="GZ51" s="445"/>
      <c r="HA51" s="445"/>
      <c r="HB51" s="445"/>
      <c r="HC51" s="445"/>
      <c r="HD51" s="445"/>
      <c r="HE51" s="445"/>
      <c r="HF51" s="445"/>
      <c r="HG51" s="445"/>
      <c r="HH51" s="445"/>
      <c r="HI51" s="445"/>
      <c r="HJ51" s="445"/>
      <c r="HK51" s="445"/>
      <c r="HL51" s="445"/>
      <c r="HM51" s="445"/>
      <c r="HN51" s="445"/>
      <c r="HO51" s="445"/>
      <c r="HP51" s="445"/>
      <c r="HQ51" s="445"/>
      <c r="HR51" s="445"/>
      <c r="HS51" s="445"/>
      <c r="HT51" s="445"/>
      <c r="HU51" s="445"/>
      <c r="HV51" s="445"/>
      <c r="HW51" s="445"/>
      <c r="HX51" s="445"/>
      <c r="HY51" s="445"/>
      <c r="HZ51" s="445"/>
      <c r="IA51" s="445"/>
      <c r="IB51" s="445"/>
      <c r="IC51" s="445"/>
      <c r="ID51" s="445"/>
      <c r="IE51" s="445"/>
      <c r="IF51" s="445"/>
      <c r="IG51" s="445"/>
      <c r="IH51" s="445"/>
      <c r="II51" s="445"/>
      <c r="IJ51" s="445"/>
      <c r="IK51" s="445"/>
      <c r="IL51" s="445"/>
      <c r="IM51" s="445"/>
      <c r="IN51" s="445"/>
      <c r="IO51" s="445"/>
      <c r="IP51" s="445"/>
      <c r="IQ51" s="445"/>
      <c r="IR51" s="445"/>
      <c r="IS51" s="445"/>
      <c r="IT51" s="445"/>
      <c r="IU51" s="445"/>
      <c r="IV51" s="445"/>
      <c r="IW51" s="445"/>
    </row>
    <row r="52" customFormat="false" ht="20.15" hidden="false" customHeight="true" outlineLevel="0" collapsed="false">
      <c r="A52" s="248" t="s">
        <v>68</v>
      </c>
      <c r="B52" s="445" t="n">
        <v>1000</v>
      </c>
      <c r="C52" s="453" t="n">
        <v>1400</v>
      </c>
      <c r="D52" s="445" t="n">
        <f aca="false">SUM(B52:C52)</f>
        <v>2400</v>
      </c>
      <c r="E52" s="453" t="n">
        <v>1116</v>
      </c>
      <c r="F52" s="454" t="n">
        <f aca="false">D52*E52</f>
        <v>2678400</v>
      </c>
      <c r="G52" s="360" t="n">
        <v>0</v>
      </c>
      <c r="H52" s="243" t="n">
        <v>1300</v>
      </c>
      <c r="I52" s="454" t="n">
        <f aca="false">G52*H52</f>
        <v>0</v>
      </c>
      <c r="J52" s="262" t="n">
        <v>29150</v>
      </c>
      <c r="K52" s="243" t="n">
        <v>295</v>
      </c>
      <c r="L52" s="455" t="n">
        <f aca="false">J52*K52</f>
        <v>8599250</v>
      </c>
      <c r="M52" s="262" t="n">
        <v>23040</v>
      </c>
      <c r="N52" s="243" t="n">
        <v>140</v>
      </c>
      <c r="O52" s="457" t="n">
        <f aca="false">M52*N52</f>
        <v>3225600</v>
      </c>
      <c r="P52" s="262" t="n">
        <v>0</v>
      </c>
      <c r="Q52" s="243" t="n">
        <v>1650</v>
      </c>
      <c r="R52" s="457" t="n">
        <f aca="false">P52*Q52</f>
        <v>0</v>
      </c>
      <c r="S52" s="245" t="n">
        <v>0</v>
      </c>
      <c r="T52" s="243" t="n">
        <v>2500</v>
      </c>
      <c r="U52" s="455" t="n">
        <f aca="false">S52*220</f>
        <v>0</v>
      </c>
      <c r="V52" s="456" t="n">
        <f aca="false">SUM(F52,I52,L52,O52,R52,U52)</f>
        <v>14503250</v>
      </c>
      <c r="W52" s="445"/>
      <c r="X52" s="445"/>
      <c r="Y52" s="445"/>
      <c r="Z52" s="445"/>
      <c r="AA52" s="445"/>
      <c r="AB52" s="445"/>
      <c r="AC52" s="445"/>
      <c r="AD52" s="445"/>
      <c r="AE52" s="445"/>
      <c r="AF52" s="445"/>
      <c r="AG52" s="445"/>
      <c r="AH52" s="445"/>
      <c r="AI52" s="445"/>
      <c r="AJ52" s="445"/>
      <c r="AK52" s="445"/>
      <c r="AL52" s="445"/>
      <c r="AM52" s="445"/>
      <c r="AN52" s="445"/>
      <c r="AO52" s="445"/>
      <c r="AP52" s="445"/>
      <c r="AQ52" s="445"/>
      <c r="AR52" s="445"/>
      <c r="AS52" s="445"/>
      <c r="AT52" s="445"/>
      <c r="AU52" s="445"/>
      <c r="AV52" s="445"/>
      <c r="AW52" s="445"/>
      <c r="AX52" s="445"/>
      <c r="AY52" s="445"/>
      <c r="AZ52" s="445"/>
      <c r="BA52" s="445"/>
      <c r="BB52" s="445"/>
      <c r="BC52" s="445"/>
      <c r="BD52" s="445"/>
      <c r="BE52" s="445"/>
      <c r="BF52" s="445"/>
      <c r="BG52" s="445"/>
      <c r="BH52" s="445"/>
      <c r="BI52" s="445"/>
      <c r="BJ52" s="445"/>
      <c r="BK52" s="445"/>
      <c r="BL52" s="445"/>
      <c r="BM52" s="445"/>
      <c r="BN52" s="445"/>
      <c r="BO52" s="445"/>
      <c r="BP52" s="445"/>
      <c r="BQ52" s="445"/>
      <c r="BR52" s="445"/>
      <c r="BS52" s="445"/>
      <c r="BT52" s="445"/>
      <c r="BU52" s="445"/>
      <c r="BV52" s="445"/>
      <c r="BW52" s="445"/>
      <c r="BX52" s="445"/>
      <c r="BY52" s="445"/>
      <c r="BZ52" s="445"/>
      <c r="CA52" s="445"/>
      <c r="CB52" s="445"/>
      <c r="CC52" s="445"/>
      <c r="CD52" s="445"/>
      <c r="CE52" s="445"/>
      <c r="CF52" s="445"/>
      <c r="CG52" s="445"/>
      <c r="CH52" s="445"/>
      <c r="CI52" s="445"/>
      <c r="CJ52" s="445"/>
      <c r="CK52" s="445"/>
      <c r="CL52" s="445"/>
      <c r="CM52" s="445"/>
      <c r="CN52" s="445"/>
      <c r="CO52" s="445"/>
      <c r="CP52" s="445"/>
      <c r="CQ52" s="445"/>
      <c r="CR52" s="445"/>
      <c r="CS52" s="445"/>
      <c r="CT52" s="445"/>
      <c r="CU52" s="445"/>
      <c r="CV52" s="445"/>
      <c r="CW52" s="445"/>
      <c r="CX52" s="445"/>
      <c r="CY52" s="445"/>
      <c r="CZ52" s="445"/>
      <c r="DA52" s="445"/>
      <c r="DB52" s="445"/>
      <c r="DC52" s="445"/>
      <c r="DD52" s="445"/>
      <c r="DE52" s="445"/>
      <c r="DF52" s="445"/>
      <c r="DG52" s="445"/>
      <c r="DH52" s="445"/>
      <c r="DI52" s="445"/>
      <c r="DJ52" s="445"/>
      <c r="DK52" s="445"/>
      <c r="DL52" s="445"/>
      <c r="DM52" s="445"/>
      <c r="DN52" s="445"/>
      <c r="DO52" s="445"/>
      <c r="DP52" s="445"/>
      <c r="DQ52" s="445"/>
      <c r="DR52" s="445"/>
      <c r="DS52" s="445"/>
      <c r="DT52" s="445"/>
      <c r="DU52" s="445"/>
      <c r="DV52" s="445"/>
      <c r="DW52" s="445"/>
      <c r="DX52" s="445"/>
      <c r="DY52" s="445"/>
      <c r="DZ52" s="445"/>
      <c r="EA52" s="445"/>
      <c r="EB52" s="445"/>
      <c r="EC52" s="445"/>
      <c r="ED52" s="445"/>
      <c r="EE52" s="445"/>
      <c r="EF52" s="445"/>
      <c r="EG52" s="445"/>
      <c r="EH52" s="445"/>
      <c r="EI52" s="445"/>
      <c r="EJ52" s="445"/>
      <c r="EK52" s="445"/>
      <c r="EL52" s="445"/>
      <c r="EM52" s="445"/>
      <c r="EN52" s="445"/>
      <c r="EO52" s="445"/>
      <c r="EP52" s="445"/>
      <c r="EQ52" s="445"/>
      <c r="ER52" s="445"/>
      <c r="ES52" s="445"/>
      <c r="ET52" s="445"/>
      <c r="EU52" s="445"/>
      <c r="EV52" s="445"/>
      <c r="EW52" s="445"/>
      <c r="EX52" s="445"/>
      <c r="EY52" s="445"/>
      <c r="EZ52" s="445"/>
      <c r="FA52" s="445"/>
      <c r="FB52" s="445"/>
      <c r="FC52" s="445"/>
      <c r="FD52" s="445"/>
      <c r="FE52" s="445"/>
      <c r="FF52" s="445"/>
      <c r="FG52" s="445"/>
      <c r="FH52" s="445"/>
      <c r="FI52" s="445"/>
      <c r="FJ52" s="445"/>
      <c r="FK52" s="445"/>
      <c r="FL52" s="445"/>
      <c r="FM52" s="445"/>
      <c r="FN52" s="445"/>
      <c r="FO52" s="445"/>
      <c r="FP52" s="445"/>
      <c r="FQ52" s="445"/>
      <c r="FR52" s="445"/>
      <c r="FS52" s="445"/>
      <c r="FT52" s="445"/>
      <c r="FU52" s="445"/>
      <c r="FV52" s="445"/>
      <c r="FW52" s="445"/>
      <c r="FX52" s="445"/>
      <c r="FY52" s="445"/>
      <c r="FZ52" s="445"/>
      <c r="GA52" s="445"/>
      <c r="GB52" s="445"/>
      <c r="GC52" s="445"/>
      <c r="GD52" s="445"/>
      <c r="GE52" s="445"/>
      <c r="GF52" s="445"/>
      <c r="GG52" s="445"/>
      <c r="GH52" s="445"/>
      <c r="GI52" s="445"/>
      <c r="GJ52" s="445"/>
      <c r="GK52" s="445"/>
      <c r="GL52" s="445"/>
      <c r="GM52" s="445"/>
      <c r="GN52" s="445"/>
      <c r="GO52" s="445"/>
      <c r="GP52" s="445"/>
      <c r="GQ52" s="445"/>
      <c r="GR52" s="445"/>
      <c r="GS52" s="445"/>
      <c r="GT52" s="445"/>
      <c r="GU52" s="445"/>
      <c r="GV52" s="445"/>
      <c r="GW52" s="445"/>
      <c r="GX52" s="445"/>
      <c r="GY52" s="445"/>
      <c r="GZ52" s="445"/>
      <c r="HA52" s="445"/>
      <c r="HB52" s="445"/>
      <c r="HC52" s="445"/>
      <c r="HD52" s="445"/>
      <c r="HE52" s="445"/>
      <c r="HF52" s="445"/>
      <c r="HG52" s="445"/>
      <c r="HH52" s="445"/>
      <c r="HI52" s="445"/>
      <c r="HJ52" s="445"/>
      <c r="HK52" s="445"/>
      <c r="HL52" s="445"/>
      <c r="HM52" s="445"/>
      <c r="HN52" s="445"/>
      <c r="HO52" s="445"/>
      <c r="HP52" s="445"/>
      <c r="HQ52" s="445"/>
      <c r="HR52" s="445"/>
      <c r="HS52" s="445"/>
      <c r="HT52" s="445"/>
      <c r="HU52" s="445"/>
      <c r="HV52" s="445"/>
      <c r="HW52" s="445"/>
      <c r="HX52" s="445"/>
      <c r="HY52" s="445"/>
      <c r="HZ52" s="445"/>
      <c r="IA52" s="445"/>
      <c r="IB52" s="445"/>
      <c r="IC52" s="445"/>
      <c r="ID52" s="445"/>
      <c r="IE52" s="445"/>
      <c r="IF52" s="445"/>
      <c r="IG52" s="445"/>
      <c r="IH52" s="445"/>
      <c r="II52" s="445"/>
      <c r="IJ52" s="445"/>
      <c r="IK52" s="445"/>
      <c r="IL52" s="445"/>
      <c r="IM52" s="445"/>
      <c r="IN52" s="445"/>
      <c r="IO52" s="445"/>
      <c r="IP52" s="445"/>
      <c r="IQ52" s="445"/>
      <c r="IR52" s="445"/>
      <c r="IS52" s="445"/>
      <c r="IT52" s="445"/>
      <c r="IU52" s="445"/>
      <c r="IV52" s="445"/>
      <c r="IW52" s="445"/>
    </row>
    <row r="53" customFormat="false" ht="20.15" hidden="false" customHeight="true" outlineLevel="0" collapsed="false">
      <c r="A53" s="248" t="s">
        <v>69</v>
      </c>
      <c r="B53" s="445" t="n">
        <v>0</v>
      </c>
      <c r="C53" s="453" t="n">
        <v>4500</v>
      </c>
      <c r="D53" s="445" t="n">
        <f aca="false">SUM(B53:C53)</f>
        <v>4500</v>
      </c>
      <c r="E53" s="453" t="n">
        <v>1116</v>
      </c>
      <c r="F53" s="454" t="n">
        <f aca="false">D53*E53</f>
        <v>5022000</v>
      </c>
      <c r="G53" s="250" t="n">
        <v>3010</v>
      </c>
      <c r="H53" s="243" t="n">
        <v>1300</v>
      </c>
      <c r="I53" s="454" t="n">
        <f aca="false">G53*H53</f>
        <v>3913000</v>
      </c>
      <c r="J53" s="245" t="n">
        <v>15480</v>
      </c>
      <c r="K53" s="243" t="n">
        <v>295</v>
      </c>
      <c r="L53" s="455" t="n">
        <f aca="false">J53*K53</f>
        <v>4566600</v>
      </c>
      <c r="M53" s="245" t="n">
        <v>10080</v>
      </c>
      <c r="N53" s="243" t="n">
        <v>140</v>
      </c>
      <c r="O53" s="457" t="n">
        <f aca="false">M53*N53</f>
        <v>1411200</v>
      </c>
      <c r="P53" s="245" t="n">
        <v>0</v>
      </c>
      <c r="Q53" s="243" t="n">
        <v>1650</v>
      </c>
      <c r="R53" s="457" t="n">
        <f aca="false">P53*Q53</f>
        <v>0</v>
      </c>
      <c r="S53" s="245" t="n">
        <v>0</v>
      </c>
      <c r="T53" s="243" t="n">
        <v>2500</v>
      </c>
      <c r="U53" s="455" t="n">
        <f aca="false">S53*220</f>
        <v>0</v>
      </c>
      <c r="V53" s="456" t="n">
        <f aca="false">SUM(F53,I53,L53,O53,R53,U53)</f>
        <v>14912800</v>
      </c>
      <c r="W53" s="445"/>
      <c r="X53" s="445"/>
      <c r="Y53" s="445"/>
      <c r="Z53" s="445"/>
      <c r="AA53" s="445"/>
      <c r="AB53" s="445"/>
      <c r="AC53" s="445"/>
      <c r="AD53" s="445"/>
      <c r="AE53" s="445"/>
      <c r="AF53" s="445"/>
      <c r="AG53" s="445"/>
      <c r="AH53" s="445"/>
      <c r="AI53" s="445"/>
      <c r="AJ53" s="445"/>
      <c r="AK53" s="445"/>
      <c r="AL53" s="445"/>
      <c r="AM53" s="445"/>
      <c r="AN53" s="445"/>
      <c r="AO53" s="445"/>
      <c r="AP53" s="445"/>
      <c r="AQ53" s="445"/>
      <c r="AR53" s="445"/>
      <c r="AS53" s="445"/>
      <c r="AT53" s="445"/>
      <c r="AU53" s="445"/>
      <c r="AV53" s="445"/>
      <c r="AW53" s="445"/>
      <c r="AX53" s="445"/>
      <c r="AY53" s="445"/>
      <c r="AZ53" s="445"/>
      <c r="BA53" s="445"/>
      <c r="BB53" s="445"/>
      <c r="BC53" s="445"/>
      <c r="BD53" s="445"/>
      <c r="BE53" s="445"/>
      <c r="BF53" s="445"/>
      <c r="BG53" s="445"/>
      <c r="BH53" s="445"/>
      <c r="BI53" s="445"/>
      <c r="BJ53" s="445"/>
      <c r="BK53" s="445"/>
      <c r="BL53" s="445"/>
      <c r="BM53" s="445"/>
      <c r="BN53" s="445"/>
      <c r="BO53" s="445"/>
      <c r="BP53" s="445"/>
      <c r="BQ53" s="445"/>
      <c r="BR53" s="445"/>
      <c r="BS53" s="445"/>
      <c r="BT53" s="445"/>
      <c r="BU53" s="445"/>
      <c r="BV53" s="445"/>
      <c r="BW53" s="445"/>
      <c r="BX53" s="445"/>
      <c r="BY53" s="445"/>
      <c r="BZ53" s="445"/>
      <c r="CA53" s="445"/>
      <c r="CB53" s="445"/>
      <c r="CC53" s="445"/>
      <c r="CD53" s="445"/>
      <c r="CE53" s="445"/>
      <c r="CF53" s="445"/>
      <c r="CG53" s="445"/>
      <c r="CH53" s="445"/>
      <c r="CI53" s="445"/>
      <c r="CJ53" s="445"/>
      <c r="CK53" s="445"/>
      <c r="CL53" s="445"/>
      <c r="CM53" s="445"/>
      <c r="CN53" s="445"/>
      <c r="CO53" s="445"/>
      <c r="CP53" s="445"/>
      <c r="CQ53" s="445"/>
      <c r="CR53" s="445"/>
      <c r="CS53" s="445"/>
      <c r="CT53" s="445"/>
      <c r="CU53" s="445"/>
      <c r="CV53" s="445"/>
      <c r="CW53" s="445"/>
      <c r="CX53" s="445"/>
      <c r="CY53" s="445"/>
      <c r="CZ53" s="445"/>
      <c r="DA53" s="445"/>
      <c r="DB53" s="445"/>
      <c r="DC53" s="445"/>
      <c r="DD53" s="445"/>
      <c r="DE53" s="445"/>
      <c r="DF53" s="445"/>
      <c r="DG53" s="445"/>
      <c r="DH53" s="445"/>
      <c r="DI53" s="445"/>
      <c r="DJ53" s="445"/>
      <c r="DK53" s="445"/>
      <c r="DL53" s="445"/>
      <c r="DM53" s="445"/>
      <c r="DN53" s="445"/>
      <c r="DO53" s="445"/>
      <c r="DP53" s="445"/>
      <c r="DQ53" s="445"/>
      <c r="DR53" s="445"/>
      <c r="DS53" s="445"/>
      <c r="DT53" s="445"/>
      <c r="DU53" s="445"/>
      <c r="DV53" s="445"/>
      <c r="DW53" s="445"/>
      <c r="DX53" s="445"/>
      <c r="DY53" s="445"/>
      <c r="DZ53" s="445"/>
      <c r="EA53" s="445"/>
      <c r="EB53" s="445"/>
      <c r="EC53" s="445"/>
      <c r="ED53" s="445"/>
      <c r="EE53" s="445"/>
      <c r="EF53" s="445"/>
      <c r="EG53" s="445"/>
      <c r="EH53" s="445"/>
      <c r="EI53" s="445"/>
      <c r="EJ53" s="445"/>
      <c r="EK53" s="445"/>
      <c r="EL53" s="445"/>
      <c r="EM53" s="445"/>
      <c r="EN53" s="445"/>
      <c r="EO53" s="445"/>
      <c r="EP53" s="445"/>
      <c r="EQ53" s="445"/>
      <c r="ER53" s="445"/>
      <c r="ES53" s="445"/>
      <c r="ET53" s="445"/>
      <c r="EU53" s="445"/>
      <c r="EV53" s="445"/>
      <c r="EW53" s="445"/>
      <c r="EX53" s="445"/>
      <c r="EY53" s="445"/>
      <c r="EZ53" s="445"/>
      <c r="FA53" s="445"/>
      <c r="FB53" s="445"/>
      <c r="FC53" s="445"/>
      <c r="FD53" s="445"/>
      <c r="FE53" s="445"/>
      <c r="FF53" s="445"/>
      <c r="FG53" s="445"/>
      <c r="FH53" s="445"/>
      <c r="FI53" s="445"/>
      <c r="FJ53" s="445"/>
      <c r="FK53" s="445"/>
      <c r="FL53" s="445"/>
      <c r="FM53" s="445"/>
      <c r="FN53" s="445"/>
      <c r="FO53" s="445"/>
      <c r="FP53" s="445"/>
      <c r="FQ53" s="445"/>
      <c r="FR53" s="445"/>
      <c r="FS53" s="445"/>
      <c r="FT53" s="445"/>
      <c r="FU53" s="445"/>
      <c r="FV53" s="445"/>
      <c r="FW53" s="445"/>
      <c r="FX53" s="445"/>
      <c r="FY53" s="445"/>
      <c r="FZ53" s="445"/>
      <c r="GA53" s="445"/>
      <c r="GB53" s="445"/>
      <c r="GC53" s="445"/>
      <c r="GD53" s="445"/>
      <c r="GE53" s="445"/>
      <c r="GF53" s="445"/>
      <c r="GG53" s="445"/>
      <c r="GH53" s="445"/>
      <c r="GI53" s="445"/>
      <c r="GJ53" s="445"/>
      <c r="GK53" s="445"/>
      <c r="GL53" s="445"/>
      <c r="GM53" s="445"/>
      <c r="GN53" s="445"/>
      <c r="GO53" s="445"/>
      <c r="GP53" s="445"/>
      <c r="GQ53" s="445"/>
      <c r="GR53" s="445"/>
      <c r="GS53" s="445"/>
      <c r="GT53" s="445"/>
      <c r="GU53" s="445"/>
      <c r="GV53" s="445"/>
      <c r="GW53" s="445"/>
      <c r="GX53" s="445"/>
      <c r="GY53" s="445"/>
      <c r="GZ53" s="445"/>
      <c r="HA53" s="445"/>
      <c r="HB53" s="445"/>
      <c r="HC53" s="445"/>
      <c r="HD53" s="445"/>
      <c r="HE53" s="445"/>
      <c r="HF53" s="445"/>
      <c r="HG53" s="445"/>
      <c r="HH53" s="445"/>
      <c r="HI53" s="445"/>
      <c r="HJ53" s="445"/>
      <c r="HK53" s="445"/>
      <c r="HL53" s="445"/>
      <c r="HM53" s="445"/>
      <c r="HN53" s="445"/>
      <c r="HO53" s="445"/>
      <c r="HP53" s="445"/>
      <c r="HQ53" s="445"/>
      <c r="HR53" s="445"/>
      <c r="HS53" s="445"/>
      <c r="HT53" s="445"/>
      <c r="HU53" s="445"/>
      <c r="HV53" s="445"/>
      <c r="HW53" s="445"/>
      <c r="HX53" s="445"/>
      <c r="HY53" s="445"/>
      <c r="HZ53" s="445"/>
      <c r="IA53" s="445"/>
      <c r="IB53" s="445"/>
      <c r="IC53" s="445"/>
      <c r="ID53" s="445"/>
      <c r="IE53" s="445"/>
      <c r="IF53" s="445"/>
      <c r="IG53" s="445"/>
      <c r="IH53" s="445"/>
      <c r="II53" s="445"/>
      <c r="IJ53" s="445"/>
      <c r="IK53" s="445"/>
      <c r="IL53" s="445"/>
      <c r="IM53" s="445"/>
      <c r="IN53" s="445"/>
      <c r="IO53" s="445"/>
      <c r="IP53" s="445"/>
      <c r="IQ53" s="445"/>
      <c r="IR53" s="445"/>
      <c r="IS53" s="445"/>
      <c r="IT53" s="445"/>
      <c r="IU53" s="445"/>
      <c r="IV53" s="445"/>
      <c r="IW53" s="445"/>
    </row>
    <row r="54" customFormat="false" ht="18.75" hidden="false" customHeight="true" outlineLevel="0" collapsed="false">
      <c r="A54" s="248" t="s">
        <v>70</v>
      </c>
      <c r="B54" s="445" t="n">
        <v>0</v>
      </c>
      <c r="C54" s="453" t="n">
        <v>1600</v>
      </c>
      <c r="D54" s="445" t="n">
        <f aca="false">SUM(B54:C54)</f>
        <v>1600</v>
      </c>
      <c r="E54" s="453" t="n">
        <v>1116</v>
      </c>
      <c r="F54" s="454" t="n">
        <f aca="false">D54*E54</f>
        <v>1785600</v>
      </c>
      <c r="G54" s="250" t="n">
        <v>0</v>
      </c>
      <c r="H54" s="243" t="n">
        <v>1300</v>
      </c>
      <c r="I54" s="454" t="n">
        <f aca="false">G54*H54</f>
        <v>0</v>
      </c>
      <c r="J54" s="245" t="n">
        <v>15500</v>
      </c>
      <c r="K54" s="243" t="n">
        <v>295</v>
      </c>
      <c r="L54" s="455" t="n">
        <f aca="false">J54*K54</f>
        <v>4572500</v>
      </c>
      <c r="M54" s="245" t="n">
        <v>8640</v>
      </c>
      <c r="N54" s="243" t="n">
        <v>140</v>
      </c>
      <c r="O54" s="457" t="n">
        <f aca="false">M54*N54</f>
        <v>1209600</v>
      </c>
      <c r="P54" s="245" t="n">
        <v>0</v>
      </c>
      <c r="Q54" s="243" t="n">
        <v>1650</v>
      </c>
      <c r="R54" s="457" t="n">
        <f aca="false">P54*Q54</f>
        <v>0</v>
      </c>
      <c r="S54" s="245" t="n">
        <v>0</v>
      </c>
      <c r="T54" s="243" t="n">
        <v>2500</v>
      </c>
      <c r="U54" s="455" t="n">
        <f aca="false">S54*220</f>
        <v>0</v>
      </c>
      <c r="V54" s="456" t="n">
        <f aca="false">SUM(F54,I54,L54,O54,R54,U54)</f>
        <v>7567700</v>
      </c>
      <c r="W54" s="445"/>
      <c r="X54" s="445"/>
      <c r="Y54" s="445"/>
      <c r="Z54" s="445"/>
      <c r="AA54" s="445"/>
      <c r="AB54" s="445"/>
      <c r="AC54" s="445"/>
      <c r="AD54" s="445"/>
      <c r="AE54" s="445"/>
      <c r="AF54" s="445"/>
      <c r="AG54" s="445"/>
      <c r="AH54" s="445"/>
      <c r="AI54" s="445"/>
      <c r="AJ54" s="445"/>
      <c r="AK54" s="445"/>
      <c r="AL54" s="445"/>
      <c r="AM54" s="445"/>
      <c r="AN54" s="445"/>
      <c r="AO54" s="445"/>
      <c r="AP54" s="445"/>
      <c r="AQ54" s="445"/>
      <c r="AR54" s="445"/>
      <c r="AS54" s="445"/>
      <c r="AT54" s="445"/>
      <c r="AU54" s="445"/>
      <c r="AV54" s="445"/>
      <c r="AW54" s="445"/>
      <c r="AX54" s="445"/>
      <c r="AY54" s="445"/>
      <c r="AZ54" s="445"/>
      <c r="BA54" s="445"/>
      <c r="BB54" s="445"/>
      <c r="BC54" s="445"/>
      <c r="BD54" s="445"/>
      <c r="BE54" s="445"/>
      <c r="BF54" s="445"/>
      <c r="BG54" s="445"/>
      <c r="BH54" s="445"/>
      <c r="BI54" s="445"/>
      <c r="BJ54" s="445"/>
      <c r="BK54" s="445"/>
      <c r="BL54" s="445"/>
      <c r="BM54" s="445"/>
      <c r="BN54" s="445"/>
      <c r="BO54" s="445"/>
      <c r="BP54" s="445"/>
      <c r="BQ54" s="445"/>
      <c r="BR54" s="445"/>
      <c r="BS54" s="445"/>
      <c r="BT54" s="445"/>
      <c r="BU54" s="445"/>
      <c r="BV54" s="445"/>
      <c r="BW54" s="445"/>
      <c r="BX54" s="445"/>
      <c r="BY54" s="445"/>
      <c r="BZ54" s="445"/>
      <c r="CA54" s="445"/>
      <c r="CB54" s="445"/>
      <c r="CC54" s="445"/>
      <c r="CD54" s="445"/>
      <c r="CE54" s="445"/>
      <c r="CF54" s="445"/>
      <c r="CG54" s="445"/>
      <c r="CH54" s="445"/>
      <c r="CI54" s="445"/>
      <c r="CJ54" s="445"/>
      <c r="CK54" s="445"/>
      <c r="CL54" s="445"/>
      <c r="CM54" s="445"/>
      <c r="CN54" s="445"/>
      <c r="CO54" s="445"/>
      <c r="CP54" s="445"/>
      <c r="CQ54" s="445"/>
      <c r="CR54" s="445"/>
      <c r="CS54" s="445"/>
      <c r="CT54" s="445"/>
      <c r="CU54" s="445"/>
      <c r="CV54" s="445"/>
      <c r="CW54" s="445"/>
      <c r="CX54" s="445"/>
      <c r="CY54" s="445"/>
      <c r="CZ54" s="445"/>
      <c r="DA54" s="445"/>
      <c r="DB54" s="445"/>
      <c r="DC54" s="445"/>
      <c r="DD54" s="445"/>
      <c r="DE54" s="445"/>
      <c r="DF54" s="445"/>
      <c r="DG54" s="445"/>
      <c r="DH54" s="445"/>
      <c r="DI54" s="445"/>
      <c r="DJ54" s="445"/>
      <c r="DK54" s="445"/>
      <c r="DL54" s="445"/>
      <c r="DM54" s="445"/>
      <c r="DN54" s="445"/>
      <c r="DO54" s="445"/>
      <c r="DP54" s="445"/>
      <c r="DQ54" s="445"/>
      <c r="DR54" s="445"/>
      <c r="DS54" s="445"/>
      <c r="DT54" s="445"/>
      <c r="DU54" s="445"/>
      <c r="DV54" s="445"/>
      <c r="DW54" s="445"/>
      <c r="DX54" s="445"/>
      <c r="DY54" s="445"/>
      <c r="DZ54" s="445"/>
      <c r="EA54" s="445"/>
      <c r="EB54" s="445"/>
      <c r="EC54" s="445"/>
      <c r="ED54" s="445"/>
      <c r="EE54" s="445"/>
      <c r="EF54" s="445"/>
      <c r="EG54" s="445"/>
      <c r="EH54" s="445"/>
      <c r="EI54" s="445"/>
      <c r="EJ54" s="445"/>
      <c r="EK54" s="445"/>
      <c r="EL54" s="445"/>
      <c r="EM54" s="445"/>
      <c r="EN54" s="445"/>
      <c r="EO54" s="445"/>
      <c r="EP54" s="445"/>
      <c r="EQ54" s="445"/>
      <c r="ER54" s="445"/>
      <c r="ES54" s="445"/>
      <c r="ET54" s="445"/>
      <c r="EU54" s="445"/>
      <c r="EV54" s="445"/>
      <c r="EW54" s="445"/>
      <c r="EX54" s="445"/>
      <c r="EY54" s="445"/>
      <c r="EZ54" s="445"/>
      <c r="FA54" s="445"/>
      <c r="FB54" s="445"/>
      <c r="FC54" s="445"/>
      <c r="FD54" s="445"/>
      <c r="FE54" s="445"/>
      <c r="FF54" s="445"/>
      <c r="FG54" s="445"/>
      <c r="FH54" s="445"/>
      <c r="FI54" s="445"/>
      <c r="FJ54" s="445"/>
      <c r="FK54" s="445"/>
      <c r="FL54" s="445"/>
      <c r="FM54" s="445"/>
      <c r="FN54" s="445"/>
      <c r="FO54" s="445"/>
      <c r="FP54" s="445"/>
      <c r="FQ54" s="445"/>
      <c r="FR54" s="445"/>
      <c r="FS54" s="445"/>
      <c r="FT54" s="445"/>
      <c r="FU54" s="445"/>
      <c r="FV54" s="445"/>
      <c r="FW54" s="445"/>
      <c r="FX54" s="445"/>
      <c r="FY54" s="445"/>
      <c r="FZ54" s="445"/>
      <c r="GA54" s="445"/>
      <c r="GB54" s="445"/>
      <c r="GC54" s="445"/>
      <c r="GD54" s="445"/>
      <c r="GE54" s="445"/>
      <c r="GF54" s="445"/>
      <c r="GG54" s="445"/>
      <c r="GH54" s="445"/>
      <c r="GI54" s="445"/>
      <c r="GJ54" s="445"/>
      <c r="GK54" s="445"/>
      <c r="GL54" s="445"/>
      <c r="GM54" s="445"/>
      <c r="GN54" s="445"/>
      <c r="GO54" s="445"/>
      <c r="GP54" s="445"/>
      <c r="GQ54" s="445"/>
      <c r="GR54" s="445"/>
      <c r="GS54" s="445"/>
      <c r="GT54" s="445"/>
      <c r="GU54" s="445"/>
      <c r="GV54" s="445"/>
      <c r="GW54" s="445"/>
      <c r="GX54" s="445"/>
      <c r="GY54" s="445"/>
      <c r="GZ54" s="445"/>
      <c r="HA54" s="445"/>
      <c r="HB54" s="445"/>
      <c r="HC54" s="445"/>
      <c r="HD54" s="445"/>
      <c r="HE54" s="445"/>
      <c r="HF54" s="445"/>
      <c r="HG54" s="445"/>
      <c r="HH54" s="445"/>
      <c r="HI54" s="445"/>
      <c r="HJ54" s="445"/>
      <c r="HK54" s="445"/>
      <c r="HL54" s="445"/>
      <c r="HM54" s="445"/>
      <c r="HN54" s="445"/>
      <c r="HO54" s="445"/>
      <c r="HP54" s="445"/>
      <c r="HQ54" s="445"/>
      <c r="HR54" s="445"/>
      <c r="HS54" s="445"/>
      <c r="HT54" s="445"/>
      <c r="HU54" s="445"/>
      <c r="HV54" s="445"/>
      <c r="HW54" s="445"/>
      <c r="HX54" s="445"/>
      <c r="HY54" s="445"/>
      <c r="HZ54" s="445"/>
      <c r="IA54" s="445"/>
      <c r="IB54" s="445"/>
      <c r="IC54" s="445"/>
      <c r="ID54" s="445"/>
      <c r="IE54" s="445"/>
      <c r="IF54" s="445"/>
      <c r="IG54" s="445"/>
      <c r="IH54" s="445"/>
      <c r="II54" s="445"/>
      <c r="IJ54" s="445"/>
      <c r="IK54" s="445"/>
      <c r="IL54" s="445"/>
      <c r="IM54" s="445"/>
      <c r="IN54" s="445"/>
      <c r="IO54" s="445"/>
      <c r="IP54" s="445"/>
      <c r="IQ54" s="445"/>
      <c r="IR54" s="445"/>
      <c r="IS54" s="445"/>
      <c r="IT54" s="445"/>
      <c r="IU54" s="445"/>
      <c r="IV54" s="445"/>
      <c r="IW54" s="445"/>
    </row>
    <row r="55" customFormat="false" ht="20.15" hidden="false" customHeight="true" outlineLevel="0" collapsed="false">
      <c r="A55" s="248" t="s">
        <v>71</v>
      </c>
      <c r="B55" s="445" t="n">
        <v>0</v>
      </c>
      <c r="C55" s="453" t="n">
        <v>1600</v>
      </c>
      <c r="D55" s="445" t="n">
        <f aca="false">SUM(B55:C55)</f>
        <v>1600</v>
      </c>
      <c r="E55" s="453" t="n">
        <v>1116</v>
      </c>
      <c r="F55" s="454" t="n">
        <f aca="false">D55*E55</f>
        <v>1785600</v>
      </c>
      <c r="G55" s="250" t="n">
        <v>0</v>
      </c>
      <c r="H55" s="243" t="n">
        <v>1300</v>
      </c>
      <c r="I55" s="454" t="n">
        <f aca="false">G55*H55</f>
        <v>0</v>
      </c>
      <c r="J55" s="245" t="n">
        <v>15500</v>
      </c>
      <c r="K55" s="243" t="n">
        <v>295</v>
      </c>
      <c r="L55" s="455" t="n">
        <f aca="false">J55*K55</f>
        <v>4572500</v>
      </c>
      <c r="M55" s="245" t="n">
        <v>8640</v>
      </c>
      <c r="N55" s="243" t="n">
        <v>140</v>
      </c>
      <c r="O55" s="455" t="n">
        <f aca="false">M55*N55</f>
        <v>1209600</v>
      </c>
      <c r="P55" s="245" t="n">
        <v>0</v>
      </c>
      <c r="Q55" s="243" t="n">
        <v>1650</v>
      </c>
      <c r="R55" s="455" t="n">
        <f aca="false">P55*Q55</f>
        <v>0</v>
      </c>
      <c r="S55" s="245" t="n">
        <v>0</v>
      </c>
      <c r="T55" s="243" t="n">
        <v>2500</v>
      </c>
      <c r="U55" s="455" t="n">
        <f aca="false">S55*220</f>
        <v>0</v>
      </c>
      <c r="V55" s="456" t="n">
        <f aca="false">SUM(F55,I55,L55,O55,R55,U55)</f>
        <v>7567700</v>
      </c>
      <c r="W55" s="445"/>
      <c r="X55" s="445"/>
      <c r="Y55" s="445"/>
      <c r="Z55" s="445"/>
      <c r="AA55" s="445"/>
      <c r="AB55" s="445"/>
      <c r="AC55" s="445"/>
      <c r="AD55" s="445"/>
      <c r="AE55" s="445"/>
      <c r="AF55" s="445"/>
      <c r="AG55" s="445"/>
      <c r="AH55" s="445"/>
      <c r="AI55" s="445"/>
      <c r="AJ55" s="445"/>
      <c r="AK55" s="445"/>
      <c r="AL55" s="445"/>
      <c r="AM55" s="445"/>
      <c r="AN55" s="445"/>
      <c r="AO55" s="445"/>
      <c r="AP55" s="445"/>
      <c r="AQ55" s="445"/>
      <c r="AR55" s="445"/>
      <c r="AS55" s="445"/>
      <c r="AT55" s="445"/>
      <c r="AU55" s="445"/>
      <c r="AV55" s="445"/>
      <c r="AW55" s="445"/>
      <c r="AX55" s="445"/>
      <c r="AY55" s="445"/>
      <c r="AZ55" s="445"/>
      <c r="BA55" s="445"/>
      <c r="BB55" s="445"/>
      <c r="BC55" s="445"/>
      <c r="BD55" s="445"/>
      <c r="BE55" s="445"/>
      <c r="BF55" s="445"/>
      <c r="BG55" s="445"/>
      <c r="BH55" s="445"/>
      <c r="BI55" s="445"/>
      <c r="BJ55" s="445"/>
      <c r="BK55" s="445"/>
      <c r="BL55" s="445"/>
      <c r="BM55" s="445"/>
      <c r="BN55" s="445"/>
      <c r="BO55" s="445"/>
      <c r="BP55" s="445"/>
      <c r="BQ55" s="445"/>
      <c r="BR55" s="445"/>
      <c r="BS55" s="445"/>
      <c r="BT55" s="445"/>
      <c r="BU55" s="445"/>
      <c r="BV55" s="445"/>
      <c r="BW55" s="445"/>
      <c r="BX55" s="445"/>
      <c r="BY55" s="445"/>
      <c r="BZ55" s="445"/>
      <c r="CA55" s="445"/>
      <c r="CB55" s="445"/>
      <c r="CC55" s="445"/>
      <c r="CD55" s="445"/>
      <c r="CE55" s="445"/>
      <c r="CF55" s="445"/>
      <c r="CG55" s="445"/>
      <c r="CH55" s="445"/>
      <c r="CI55" s="445"/>
      <c r="CJ55" s="445"/>
      <c r="CK55" s="445"/>
      <c r="CL55" s="445"/>
      <c r="CM55" s="445"/>
      <c r="CN55" s="445"/>
      <c r="CO55" s="445"/>
      <c r="CP55" s="445"/>
      <c r="CQ55" s="445"/>
      <c r="CR55" s="445"/>
      <c r="CS55" s="445"/>
      <c r="CT55" s="445"/>
      <c r="CU55" s="445"/>
      <c r="CV55" s="445"/>
      <c r="CW55" s="445"/>
      <c r="CX55" s="445"/>
      <c r="CY55" s="445"/>
      <c r="CZ55" s="445"/>
      <c r="DA55" s="445"/>
      <c r="DB55" s="445"/>
      <c r="DC55" s="445"/>
      <c r="DD55" s="445"/>
      <c r="DE55" s="445"/>
      <c r="DF55" s="445"/>
      <c r="DG55" s="445"/>
      <c r="DH55" s="445"/>
      <c r="DI55" s="445"/>
      <c r="DJ55" s="445"/>
      <c r="DK55" s="445"/>
      <c r="DL55" s="445"/>
      <c r="DM55" s="445"/>
      <c r="DN55" s="445"/>
      <c r="DO55" s="445"/>
      <c r="DP55" s="445"/>
      <c r="DQ55" s="445"/>
      <c r="DR55" s="445"/>
      <c r="DS55" s="445"/>
      <c r="DT55" s="445"/>
      <c r="DU55" s="445"/>
      <c r="DV55" s="445"/>
      <c r="DW55" s="445"/>
      <c r="DX55" s="445"/>
      <c r="DY55" s="445"/>
      <c r="DZ55" s="445"/>
      <c r="EA55" s="445"/>
      <c r="EB55" s="445"/>
      <c r="EC55" s="445"/>
      <c r="ED55" s="445"/>
      <c r="EE55" s="445"/>
      <c r="EF55" s="445"/>
      <c r="EG55" s="445"/>
      <c r="EH55" s="445"/>
      <c r="EI55" s="445"/>
      <c r="EJ55" s="445"/>
      <c r="EK55" s="445"/>
      <c r="EL55" s="445"/>
      <c r="EM55" s="445"/>
      <c r="EN55" s="445"/>
      <c r="EO55" s="445"/>
      <c r="EP55" s="445"/>
      <c r="EQ55" s="445"/>
      <c r="ER55" s="445"/>
      <c r="ES55" s="445"/>
      <c r="ET55" s="445"/>
      <c r="EU55" s="445"/>
      <c r="EV55" s="445"/>
      <c r="EW55" s="445"/>
      <c r="EX55" s="445"/>
      <c r="EY55" s="445"/>
      <c r="EZ55" s="445"/>
      <c r="FA55" s="445"/>
      <c r="FB55" s="445"/>
      <c r="FC55" s="445"/>
      <c r="FD55" s="445"/>
      <c r="FE55" s="445"/>
      <c r="FF55" s="445"/>
      <c r="FG55" s="445"/>
      <c r="FH55" s="445"/>
      <c r="FI55" s="445"/>
      <c r="FJ55" s="445"/>
      <c r="FK55" s="445"/>
      <c r="FL55" s="445"/>
      <c r="FM55" s="445"/>
      <c r="FN55" s="445"/>
      <c r="FO55" s="445"/>
      <c r="FP55" s="445"/>
      <c r="FQ55" s="445"/>
      <c r="FR55" s="445"/>
      <c r="FS55" s="445"/>
      <c r="FT55" s="445"/>
      <c r="FU55" s="445"/>
      <c r="FV55" s="445"/>
      <c r="FW55" s="445"/>
      <c r="FX55" s="445"/>
      <c r="FY55" s="445"/>
      <c r="FZ55" s="445"/>
      <c r="GA55" s="445"/>
      <c r="GB55" s="445"/>
      <c r="GC55" s="445"/>
      <c r="GD55" s="445"/>
      <c r="GE55" s="445"/>
      <c r="GF55" s="445"/>
      <c r="GG55" s="445"/>
      <c r="GH55" s="445"/>
      <c r="GI55" s="445"/>
      <c r="GJ55" s="445"/>
      <c r="GK55" s="445"/>
      <c r="GL55" s="445"/>
      <c r="GM55" s="445"/>
      <c r="GN55" s="445"/>
      <c r="GO55" s="445"/>
      <c r="GP55" s="445"/>
      <c r="GQ55" s="445"/>
      <c r="GR55" s="445"/>
      <c r="GS55" s="445"/>
      <c r="GT55" s="445"/>
      <c r="GU55" s="445"/>
      <c r="GV55" s="445"/>
      <c r="GW55" s="445"/>
      <c r="GX55" s="445"/>
      <c r="GY55" s="445"/>
      <c r="GZ55" s="445"/>
      <c r="HA55" s="445"/>
      <c r="HB55" s="445"/>
      <c r="HC55" s="445"/>
      <c r="HD55" s="445"/>
      <c r="HE55" s="445"/>
      <c r="HF55" s="445"/>
      <c r="HG55" s="445"/>
      <c r="HH55" s="445"/>
      <c r="HI55" s="445"/>
      <c r="HJ55" s="445"/>
      <c r="HK55" s="445"/>
      <c r="HL55" s="445"/>
      <c r="HM55" s="445"/>
      <c r="HN55" s="445"/>
      <c r="HO55" s="445"/>
      <c r="HP55" s="445"/>
      <c r="HQ55" s="445"/>
      <c r="HR55" s="445"/>
      <c r="HS55" s="445"/>
      <c r="HT55" s="445"/>
      <c r="HU55" s="445"/>
      <c r="HV55" s="445"/>
      <c r="HW55" s="445"/>
      <c r="HX55" s="445"/>
      <c r="HY55" s="445"/>
      <c r="HZ55" s="445"/>
      <c r="IA55" s="445"/>
      <c r="IB55" s="445"/>
      <c r="IC55" s="445"/>
      <c r="ID55" s="445"/>
      <c r="IE55" s="445"/>
      <c r="IF55" s="445"/>
      <c r="IG55" s="445"/>
      <c r="IH55" s="445"/>
      <c r="II55" s="445"/>
      <c r="IJ55" s="445"/>
      <c r="IK55" s="445"/>
      <c r="IL55" s="445"/>
      <c r="IM55" s="445"/>
      <c r="IN55" s="445"/>
      <c r="IO55" s="445"/>
      <c r="IP55" s="445"/>
      <c r="IQ55" s="445"/>
      <c r="IR55" s="445"/>
      <c r="IS55" s="445"/>
      <c r="IT55" s="445"/>
      <c r="IU55" s="445"/>
      <c r="IV55" s="445"/>
      <c r="IW55" s="445"/>
    </row>
    <row r="56" customFormat="false" ht="20.15" hidden="false" customHeight="true" outlineLevel="0" collapsed="false">
      <c r="A56" s="248" t="s">
        <v>72</v>
      </c>
      <c r="B56" s="445" t="n">
        <v>0</v>
      </c>
      <c r="C56" s="453" t="n">
        <v>5600</v>
      </c>
      <c r="D56" s="445" t="n">
        <f aca="false">SUM(B56:C56)</f>
        <v>5600</v>
      </c>
      <c r="E56" s="453" t="n">
        <v>1116</v>
      </c>
      <c r="F56" s="454" t="n">
        <f aca="false">D56*E56</f>
        <v>6249600</v>
      </c>
      <c r="G56" s="360" t="n">
        <v>3040</v>
      </c>
      <c r="H56" s="243" t="n">
        <v>1300</v>
      </c>
      <c r="I56" s="454" t="n">
        <f aca="false">G56*H56</f>
        <v>3952000</v>
      </c>
      <c r="J56" s="262" t="n">
        <v>13160</v>
      </c>
      <c r="K56" s="243" t="n">
        <v>295</v>
      </c>
      <c r="L56" s="455" t="n">
        <f aca="false">J56*K56</f>
        <v>3882200</v>
      </c>
      <c r="M56" s="262" t="n">
        <v>8895</v>
      </c>
      <c r="N56" s="243" t="n">
        <v>140</v>
      </c>
      <c r="O56" s="457" t="n">
        <f aca="false">M56*N56</f>
        <v>1245300</v>
      </c>
      <c r="P56" s="262" t="n">
        <v>0</v>
      </c>
      <c r="Q56" s="243" t="n">
        <v>1650</v>
      </c>
      <c r="R56" s="457" t="n">
        <f aca="false">P56*Q56</f>
        <v>0</v>
      </c>
      <c r="S56" s="245" t="n">
        <v>0</v>
      </c>
      <c r="T56" s="243" t="n">
        <v>2500</v>
      </c>
      <c r="U56" s="457" t="n">
        <f aca="false">S56*220</f>
        <v>0</v>
      </c>
      <c r="V56" s="456" t="n">
        <f aca="false">SUM(F56,I56,L56,O56,R56,U56)</f>
        <v>15329100</v>
      </c>
      <c r="W56" s="445"/>
      <c r="X56" s="445"/>
      <c r="Y56" s="445"/>
      <c r="Z56" s="445"/>
      <c r="AA56" s="445"/>
      <c r="AB56" s="445"/>
      <c r="AC56" s="445"/>
      <c r="AD56" s="445"/>
      <c r="AE56" s="445"/>
      <c r="AF56" s="445"/>
      <c r="AG56" s="445"/>
      <c r="AH56" s="445"/>
      <c r="AI56" s="445"/>
      <c r="AJ56" s="445"/>
      <c r="AK56" s="445"/>
      <c r="AL56" s="445"/>
      <c r="AM56" s="445"/>
      <c r="AN56" s="445"/>
      <c r="AO56" s="445"/>
      <c r="AP56" s="445"/>
      <c r="AQ56" s="445"/>
      <c r="AR56" s="445"/>
      <c r="AS56" s="445"/>
      <c r="AT56" s="445"/>
      <c r="AU56" s="445"/>
      <c r="AV56" s="445"/>
      <c r="AW56" s="445"/>
      <c r="AX56" s="445"/>
      <c r="AY56" s="445"/>
      <c r="AZ56" s="445"/>
      <c r="BA56" s="445"/>
      <c r="BB56" s="445"/>
      <c r="BC56" s="445"/>
      <c r="BD56" s="445"/>
      <c r="BE56" s="445"/>
      <c r="BF56" s="445"/>
      <c r="BG56" s="445"/>
      <c r="BH56" s="445"/>
      <c r="BI56" s="445"/>
      <c r="BJ56" s="445"/>
      <c r="BK56" s="445"/>
      <c r="BL56" s="445"/>
      <c r="BM56" s="445"/>
      <c r="BN56" s="445"/>
      <c r="BO56" s="445"/>
      <c r="BP56" s="445"/>
      <c r="BQ56" s="445"/>
      <c r="BR56" s="445"/>
      <c r="BS56" s="445"/>
      <c r="BT56" s="445"/>
      <c r="BU56" s="445"/>
      <c r="BV56" s="445"/>
      <c r="BW56" s="445"/>
      <c r="BX56" s="445"/>
      <c r="BY56" s="445"/>
      <c r="BZ56" s="445"/>
      <c r="CA56" s="445"/>
      <c r="CB56" s="445"/>
      <c r="CC56" s="445"/>
      <c r="CD56" s="445"/>
      <c r="CE56" s="445"/>
      <c r="CF56" s="445"/>
      <c r="CG56" s="445"/>
      <c r="CH56" s="445"/>
      <c r="CI56" s="445"/>
      <c r="CJ56" s="445"/>
      <c r="CK56" s="445"/>
      <c r="CL56" s="445"/>
      <c r="CM56" s="445"/>
      <c r="CN56" s="445"/>
      <c r="CO56" s="445"/>
      <c r="CP56" s="445"/>
      <c r="CQ56" s="445"/>
      <c r="CR56" s="445"/>
      <c r="CS56" s="445"/>
      <c r="CT56" s="445"/>
      <c r="CU56" s="445"/>
      <c r="CV56" s="445"/>
      <c r="CW56" s="445"/>
      <c r="CX56" s="445"/>
      <c r="CY56" s="445"/>
      <c r="CZ56" s="445"/>
      <c r="DA56" s="445"/>
      <c r="DB56" s="445"/>
      <c r="DC56" s="445"/>
      <c r="DD56" s="445"/>
      <c r="DE56" s="445"/>
      <c r="DF56" s="445"/>
      <c r="DG56" s="445"/>
      <c r="DH56" s="445"/>
      <c r="DI56" s="445"/>
      <c r="DJ56" s="445"/>
      <c r="DK56" s="445"/>
      <c r="DL56" s="445"/>
      <c r="DM56" s="445"/>
      <c r="DN56" s="445"/>
      <c r="DO56" s="445"/>
      <c r="DP56" s="445"/>
      <c r="DQ56" s="445"/>
      <c r="DR56" s="445"/>
      <c r="DS56" s="445"/>
      <c r="DT56" s="445"/>
      <c r="DU56" s="445"/>
      <c r="DV56" s="445"/>
      <c r="DW56" s="445"/>
      <c r="DX56" s="445"/>
      <c r="DY56" s="445"/>
      <c r="DZ56" s="445"/>
      <c r="EA56" s="445"/>
      <c r="EB56" s="445"/>
      <c r="EC56" s="445"/>
      <c r="ED56" s="445"/>
      <c r="EE56" s="445"/>
      <c r="EF56" s="445"/>
      <c r="EG56" s="445"/>
      <c r="EH56" s="445"/>
      <c r="EI56" s="445"/>
      <c r="EJ56" s="445"/>
      <c r="EK56" s="445"/>
      <c r="EL56" s="445"/>
      <c r="EM56" s="445"/>
      <c r="EN56" s="445"/>
      <c r="EO56" s="445"/>
      <c r="EP56" s="445"/>
      <c r="EQ56" s="445"/>
      <c r="ER56" s="445"/>
      <c r="ES56" s="445"/>
      <c r="ET56" s="445"/>
      <c r="EU56" s="445"/>
      <c r="EV56" s="445"/>
      <c r="EW56" s="445"/>
      <c r="EX56" s="445"/>
      <c r="EY56" s="445"/>
      <c r="EZ56" s="445"/>
      <c r="FA56" s="445"/>
      <c r="FB56" s="445"/>
      <c r="FC56" s="445"/>
      <c r="FD56" s="445"/>
      <c r="FE56" s="445"/>
      <c r="FF56" s="445"/>
      <c r="FG56" s="445"/>
      <c r="FH56" s="445"/>
      <c r="FI56" s="445"/>
      <c r="FJ56" s="445"/>
      <c r="FK56" s="445"/>
      <c r="FL56" s="445"/>
      <c r="FM56" s="445"/>
      <c r="FN56" s="445"/>
      <c r="FO56" s="445"/>
      <c r="FP56" s="445"/>
      <c r="FQ56" s="445"/>
      <c r="FR56" s="445"/>
      <c r="FS56" s="445"/>
      <c r="FT56" s="445"/>
      <c r="FU56" s="445"/>
      <c r="FV56" s="445"/>
      <c r="FW56" s="445"/>
      <c r="FX56" s="445"/>
      <c r="FY56" s="445"/>
      <c r="FZ56" s="445"/>
      <c r="GA56" s="445"/>
      <c r="GB56" s="445"/>
      <c r="GC56" s="445"/>
      <c r="GD56" s="445"/>
      <c r="GE56" s="445"/>
      <c r="GF56" s="445"/>
      <c r="GG56" s="445"/>
      <c r="GH56" s="445"/>
      <c r="GI56" s="445"/>
      <c r="GJ56" s="445"/>
      <c r="GK56" s="445"/>
      <c r="GL56" s="445"/>
      <c r="GM56" s="445"/>
      <c r="GN56" s="445"/>
      <c r="GO56" s="445"/>
      <c r="GP56" s="445"/>
      <c r="GQ56" s="445"/>
      <c r="GR56" s="445"/>
      <c r="GS56" s="445"/>
      <c r="GT56" s="445"/>
      <c r="GU56" s="445"/>
      <c r="GV56" s="445"/>
      <c r="GW56" s="445"/>
      <c r="GX56" s="445"/>
      <c r="GY56" s="445"/>
      <c r="GZ56" s="445"/>
      <c r="HA56" s="445"/>
      <c r="HB56" s="445"/>
      <c r="HC56" s="445"/>
      <c r="HD56" s="445"/>
      <c r="HE56" s="445"/>
      <c r="HF56" s="445"/>
      <c r="HG56" s="445"/>
      <c r="HH56" s="445"/>
      <c r="HI56" s="445"/>
      <c r="HJ56" s="445"/>
      <c r="HK56" s="445"/>
      <c r="HL56" s="445"/>
      <c r="HM56" s="445"/>
      <c r="HN56" s="445"/>
      <c r="HO56" s="445"/>
      <c r="HP56" s="445"/>
      <c r="HQ56" s="445"/>
      <c r="HR56" s="445"/>
      <c r="HS56" s="445"/>
      <c r="HT56" s="445"/>
      <c r="HU56" s="445"/>
      <c r="HV56" s="445"/>
      <c r="HW56" s="445"/>
      <c r="HX56" s="445"/>
      <c r="HY56" s="445"/>
      <c r="HZ56" s="445"/>
      <c r="IA56" s="445"/>
      <c r="IB56" s="445"/>
      <c r="IC56" s="445"/>
      <c r="ID56" s="445"/>
      <c r="IE56" s="445"/>
      <c r="IF56" s="445"/>
      <c r="IG56" s="445"/>
      <c r="IH56" s="445"/>
      <c r="II56" s="445"/>
      <c r="IJ56" s="445"/>
      <c r="IK56" s="445"/>
      <c r="IL56" s="445"/>
      <c r="IM56" s="445"/>
      <c r="IN56" s="445"/>
      <c r="IO56" s="445"/>
      <c r="IP56" s="445"/>
      <c r="IQ56" s="445"/>
      <c r="IR56" s="445"/>
      <c r="IS56" s="445"/>
      <c r="IT56" s="445"/>
      <c r="IU56" s="445"/>
      <c r="IV56" s="445"/>
      <c r="IW56" s="445"/>
    </row>
    <row r="57" customFormat="false" ht="20.15" hidden="false" customHeight="true" outlineLevel="0" collapsed="false">
      <c r="A57" s="248" t="s">
        <v>73</v>
      </c>
      <c r="B57" s="445" t="n">
        <v>0</v>
      </c>
      <c r="C57" s="453" t="n">
        <v>2200</v>
      </c>
      <c r="D57" s="445" t="n">
        <f aca="false">SUM(B57:C57)</f>
        <v>2200</v>
      </c>
      <c r="E57" s="453" t="n">
        <v>1116</v>
      </c>
      <c r="F57" s="454" t="n">
        <f aca="false">D57*E57</f>
        <v>2455200</v>
      </c>
      <c r="G57" s="360" t="n">
        <v>0</v>
      </c>
      <c r="H57" s="243" t="n">
        <v>1300</v>
      </c>
      <c r="I57" s="454" t="n">
        <f aca="false">G57*H57</f>
        <v>0</v>
      </c>
      <c r="J57" s="262" t="n">
        <v>13080</v>
      </c>
      <c r="K57" s="243" t="n">
        <v>295</v>
      </c>
      <c r="L57" s="455" t="n">
        <f aca="false">J57*K57</f>
        <v>3858600</v>
      </c>
      <c r="M57" s="245" t="n">
        <v>0</v>
      </c>
      <c r="N57" s="243" t="n">
        <v>140</v>
      </c>
      <c r="O57" s="457" t="n">
        <f aca="false">M57*N57</f>
        <v>0</v>
      </c>
      <c r="P57" s="262" t="n">
        <v>0</v>
      </c>
      <c r="Q57" s="243" t="n">
        <v>1650</v>
      </c>
      <c r="R57" s="457" t="n">
        <f aca="false">P57*Q57</f>
        <v>0</v>
      </c>
      <c r="S57" s="245" t="n">
        <v>0</v>
      </c>
      <c r="T57" s="243" t="n">
        <v>2500</v>
      </c>
      <c r="U57" s="457" t="n">
        <f aca="false">S57*220</f>
        <v>0</v>
      </c>
      <c r="V57" s="456" t="n">
        <f aca="false">SUM(F57,I57,L57,O57,R57,U57)</f>
        <v>6313800</v>
      </c>
      <c r="W57" s="445"/>
      <c r="X57" s="445"/>
      <c r="Y57" s="445"/>
      <c r="Z57" s="445"/>
      <c r="AA57" s="445"/>
      <c r="AB57" s="445"/>
      <c r="AC57" s="445"/>
      <c r="AD57" s="445"/>
      <c r="AE57" s="445"/>
      <c r="AF57" s="445"/>
      <c r="AG57" s="445"/>
      <c r="AH57" s="445"/>
      <c r="AI57" s="445"/>
      <c r="AJ57" s="445"/>
      <c r="AK57" s="445"/>
      <c r="AL57" s="445"/>
      <c r="AM57" s="445"/>
      <c r="AN57" s="445"/>
      <c r="AO57" s="445"/>
      <c r="AP57" s="445"/>
      <c r="AQ57" s="445"/>
      <c r="AR57" s="445"/>
      <c r="AS57" s="445"/>
      <c r="AT57" s="445"/>
      <c r="AU57" s="445"/>
      <c r="AV57" s="445"/>
      <c r="AW57" s="445"/>
      <c r="AX57" s="445"/>
      <c r="AY57" s="445"/>
      <c r="AZ57" s="445"/>
      <c r="BA57" s="445"/>
      <c r="BB57" s="445"/>
      <c r="BC57" s="445"/>
      <c r="BD57" s="445"/>
      <c r="BE57" s="445"/>
      <c r="BF57" s="445"/>
      <c r="BG57" s="445"/>
      <c r="BH57" s="445"/>
      <c r="BI57" s="445"/>
      <c r="BJ57" s="445"/>
      <c r="BK57" s="445"/>
      <c r="BL57" s="445"/>
      <c r="BM57" s="445"/>
      <c r="BN57" s="445"/>
      <c r="BO57" s="445"/>
      <c r="BP57" s="445"/>
      <c r="BQ57" s="445"/>
      <c r="BR57" s="445"/>
      <c r="BS57" s="445"/>
      <c r="BT57" s="445"/>
      <c r="BU57" s="445"/>
      <c r="BV57" s="445"/>
      <c r="BW57" s="445"/>
      <c r="BX57" s="445"/>
      <c r="BY57" s="445"/>
      <c r="BZ57" s="445"/>
      <c r="CA57" s="445"/>
      <c r="CB57" s="445"/>
      <c r="CC57" s="445"/>
      <c r="CD57" s="445"/>
      <c r="CE57" s="445"/>
      <c r="CF57" s="445"/>
      <c r="CG57" s="445"/>
      <c r="CH57" s="445"/>
      <c r="CI57" s="445"/>
      <c r="CJ57" s="445"/>
      <c r="CK57" s="445"/>
      <c r="CL57" s="445"/>
      <c r="CM57" s="445"/>
      <c r="CN57" s="445"/>
      <c r="CO57" s="445"/>
      <c r="CP57" s="445"/>
      <c r="CQ57" s="445"/>
      <c r="CR57" s="445"/>
      <c r="CS57" s="445"/>
      <c r="CT57" s="445"/>
      <c r="CU57" s="445"/>
      <c r="CV57" s="445"/>
      <c r="CW57" s="445"/>
      <c r="CX57" s="445"/>
      <c r="CY57" s="445"/>
      <c r="CZ57" s="445"/>
      <c r="DA57" s="445"/>
      <c r="DB57" s="445"/>
      <c r="DC57" s="445"/>
      <c r="DD57" s="445"/>
      <c r="DE57" s="445"/>
      <c r="DF57" s="445"/>
      <c r="DG57" s="445"/>
      <c r="DH57" s="445"/>
      <c r="DI57" s="445"/>
      <c r="DJ57" s="445"/>
      <c r="DK57" s="445"/>
      <c r="DL57" s="445"/>
      <c r="DM57" s="445"/>
      <c r="DN57" s="445"/>
      <c r="DO57" s="445"/>
      <c r="DP57" s="445"/>
      <c r="DQ57" s="445"/>
      <c r="DR57" s="445"/>
      <c r="DS57" s="445"/>
      <c r="DT57" s="445"/>
      <c r="DU57" s="445"/>
      <c r="DV57" s="445"/>
      <c r="DW57" s="445"/>
      <c r="DX57" s="445"/>
      <c r="DY57" s="445"/>
      <c r="DZ57" s="445"/>
      <c r="EA57" s="445"/>
      <c r="EB57" s="445"/>
      <c r="EC57" s="445"/>
      <c r="ED57" s="445"/>
      <c r="EE57" s="445"/>
      <c r="EF57" s="445"/>
      <c r="EG57" s="445"/>
      <c r="EH57" s="445"/>
      <c r="EI57" s="445"/>
      <c r="EJ57" s="445"/>
      <c r="EK57" s="445"/>
      <c r="EL57" s="445"/>
      <c r="EM57" s="445"/>
      <c r="EN57" s="445"/>
      <c r="EO57" s="445"/>
      <c r="EP57" s="445"/>
      <c r="EQ57" s="445"/>
      <c r="ER57" s="445"/>
      <c r="ES57" s="445"/>
      <c r="ET57" s="445"/>
      <c r="EU57" s="445"/>
      <c r="EV57" s="445"/>
      <c r="EW57" s="445"/>
      <c r="EX57" s="445"/>
      <c r="EY57" s="445"/>
      <c r="EZ57" s="445"/>
      <c r="FA57" s="445"/>
      <c r="FB57" s="445"/>
      <c r="FC57" s="445"/>
      <c r="FD57" s="445"/>
      <c r="FE57" s="445"/>
      <c r="FF57" s="445"/>
      <c r="FG57" s="445"/>
      <c r="FH57" s="445"/>
      <c r="FI57" s="445"/>
      <c r="FJ57" s="445"/>
      <c r="FK57" s="445"/>
      <c r="FL57" s="445"/>
      <c r="FM57" s="445"/>
      <c r="FN57" s="445"/>
      <c r="FO57" s="445"/>
      <c r="FP57" s="445"/>
      <c r="FQ57" s="445"/>
      <c r="FR57" s="445"/>
      <c r="FS57" s="445"/>
      <c r="FT57" s="445"/>
      <c r="FU57" s="445"/>
      <c r="FV57" s="445"/>
      <c r="FW57" s="445"/>
      <c r="FX57" s="445"/>
      <c r="FY57" s="445"/>
      <c r="FZ57" s="445"/>
      <c r="GA57" s="445"/>
      <c r="GB57" s="445"/>
      <c r="GC57" s="445"/>
      <c r="GD57" s="445"/>
      <c r="GE57" s="445"/>
      <c r="GF57" s="445"/>
      <c r="GG57" s="445"/>
      <c r="GH57" s="445"/>
      <c r="GI57" s="445"/>
      <c r="GJ57" s="445"/>
      <c r="GK57" s="445"/>
      <c r="GL57" s="445"/>
      <c r="GM57" s="445"/>
      <c r="GN57" s="445"/>
      <c r="GO57" s="445"/>
      <c r="GP57" s="445"/>
      <c r="GQ57" s="445"/>
      <c r="GR57" s="445"/>
      <c r="GS57" s="445"/>
      <c r="GT57" s="445"/>
      <c r="GU57" s="445"/>
      <c r="GV57" s="445"/>
      <c r="GW57" s="445"/>
      <c r="GX57" s="445"/>
      <c r="GY57" s="445"/>
      <c r="GZ57" s="445"/>
      <c r="HA57" s="445"/>
      <c r="HB57" s="445"/>
      <c r="HC57" s="445"/>
      <c r="HD57" s="445"/>
      <c r="HE57" s="445"/>
      <c r="HF57" s="445"/>
      <c r="HG57" s="445"/>
      <c r="HH57" s="445"/>
      <c r="HI57" s="445"/>
      <c r="HJ57" s="445"/>
      <c r="HK57" s="445"/>
      <c r="HL57" s="445"/>
      <c r="HM57" s="445"/>
      <c r="HN57" s="445"/>
      <c r="HO57" s="445"/>
      <c r="HP57" s="445"/>
      <c r="HQ57" s="445"/>
      <c r="HR57" s="445"/>
      <c r="HS57" s="445"/>
      <c r="HT57" s="445"/>
      <c r="HU57" s="445"/>
      <c r="HV57" s="445"/>
      <c r="HW57" s="445"/>
      <c r="HX57" s="445"/>
      <c r="HY57" s="445"/>
      <c r="HZ57" s="445"/>
      <c r="IA57" s="445"/>
      <c r="IB57" s="445"/>
      <c r="IC57" s="445"/>
      <c r="ID57" s="445"/>
      <c r="IE57" s="445"/>
      <c r="IF57" s="445"/>
      <c r="IG57" s="445"/>
      <c r="IH57" s="445"/>
      <c r="II57" s="445"/>
      <c r="IJ57" s="445"/>
      <c r="IK57" s="445"/>
      <c r="IL57" s="445"/>
      <c r="IM57" s="445"/>
      <c r="IN57" s="445"/>
      <c r="IO57" s="445"/>
      <c r="IP57" s="445"/>
      <c r="IQ57" s="445"/>
      <c r="IR57" s="445"/>
      <c r="IS57" s="445"/>
      <c r="IT57" s="445"/>
      <c r="IU57" s="445"/>
      <c r="IV57" s="445"/>
      <c r="IW57" s="445"/>
    </row>
    <row r="58" customFormat="false" ht="20.15" hidden="false" customHeight="true" outlineLevel="0" collapsed="false">
      <c r="A58" s="248" t="s">
        <v>74</v>
      </c>
      <c r="B58" s="445" t="n">
        <v>0</v>
      </c>
      <c r="C58" s="453" t="n">
        <v>1000</v>
      </c>
      <c r="D58" s="445" t="n">
        <f aca="false">SUM(B58:C58)</f>
        <v>1000</v>
      </c>
      <c r="E58" s="453" t="n">
        <v>1116</v>
      </c>
      <c r="F58" s="454" t="n">
        <f aca="false">D58*E58</f>
        <v>1116000</v>
      </c>
      <c r="G58" s="360" t="n">
        <v>0</v>
      </c>
      <c r="H58" s="243" t="n">
        <v>1300</v>
      </c>
      <c r="I58" s="454" t="n">
        <f aca="false">G58*H58</f>
        <v>0</v>
      </c>
      <c r="J58" s="262" t="n">
        <v>15080</v>
      </c>
      <c r="K58" s="243" t="n">
        <v>295</v>
      </c>
      <c r="L58" s="455" t="n">
        <f aca="false">J58*K58</f>
        <v>4448600</v>
      </c>
      <c r="M58" s="262" t="n">
        <v>23040</v>
      </c>
      <c r="N58" s="243" t="n">
        <v>140</v>
      </c>
      <c r="O58" s="457" t="n">
        <f aca="false">M58*N58</f>
        <v>3225600</v>
      </c>
      <c r="P58" s="262" t="n">
        <v>0</v>
      </c>
      <c r="Q58" s="243" t="n">
        <v>1650</v>
      </c>
      <c r="R58" s="457" t="n">
        <f aca="false">P58*Q58</f>
        <v>0</v>
      </c>
      <c r="S58" s="245" t="n">
        <v>0</v>
      </c>
      <c r="T58" s="243" t="n">
        <v>2500</v>
      </c>
      <c r="U58" s="457" t="n">
        <f aca="false">S58*220</f>
        <v>0</v>
      </c>
      <c r="V58" s="456" t="n">
        <f aca="false">SUM(F58,I58,L58,O58,R58,U58)</f>
        <v>8790200</v>
      </c>
      <c r="W58" s="445"/>
      <c r="X58" s="445"/>
      <c r="Y58" s="445"/>
      <c r="Z58" s="445"/>
      <c r="AA58" s="445"/>
      <c r="AB58" s="445"/>
      <c r="AC58" s="445"/>
      <c r="AD58" s="445"/>
      <c r="AE58" s="445"/>
      <c r="AF58" s="445"/>
      <c r="AG58" s="445"/>
      <c r="AH58" s="445"/>
      <c r="AI58" s="445"/>
      <c r="AJ58" s="445"/>
      <c r="AK58" s="445"/>
      <c r="AL58" s="445"/>
      <c r="AM58" s="445"/>
      <c r="AN58" s="445"/>
      <c r="AO58" s="445"/>
      <c r="AP58" s="445"/>
      <c r="AQ58" s="445"/>
      <c r="AR58" s="445"/>
      <c r="AS58" s="445"/>
      <c r="AT58" s="445"/>
      <c r="AU58" s="445"/>
      <c r="AV58" s="445"/>
      <c r="AW58" s="445"/>
      <c r="AX58" s="445"/>
      <c r="AY58" s="445"/>
      <c r="AZ58" s="445"/>
      <c r="BA58" s="445"/>
      <c r="BB58" s="445"/>
      <c r="BC58" s="445"/>
      <c r="BD58" s="445"/>
      <c r="BE58" s="445"/>
      <c r="BF58" s="445"/>
      <c r="BG58" s="445"/>
      <c r="BH58" s="445"/>
      <c r="BI58" s="445"/>
      <c r="BJ58" s="445"/>
      <c r="BK58" s="445"/>
      <c r="BL58" s="445"/>
      <c r="BM58" s="445"/>
      <c r="BN58" s="445"/>
      <c r="BO58" s="445"/>
      <c r="BP58" s="445"/>
      <c r="BQ58" s="445"/>
      <c r="BR58" s="445"/>
      <c r="BS58" s="445"/>
      <c r="BT58" s="445"/>
      <c r="BU58" s="445"/>
      <c r="BV58" s="445"/>
      <c r="BW58" s="445"/>
      <c r="BX58" s="445"/>
      <c r="BY58" s="445"/>
      <c r="BZ58" s="445"/>
      <c r="CA58" s="445"/>
      <c r="CB58" s="445"/>
      <c r="CC58" s="445"/>
      <c r="CD58" s="445"/>
      <c r="CE58" s="445"/>
      <c r="CF58" s="445"/>
      <c r="CG58" s="445"/>
      <c r="CH58" s="445"/>
      <c r="CI58" s="445"/>
      <c r="CJ58" s="445"/>
      <c r="CK58" s="445"/>
      <c r="CL58" s="445"/>
      <c r="CM58" s="445"/>
      <c r="CN58" s="445"/>
      <c r="CO58" s="445"/>
      <c r="CP58" s="445"/>
      <c r="CQ58" s="445"/>
      <c r="CR58" s="445"/>
      <c r="CS58" s="445"/>
      <c r="CT58" s="445"/>
      <c r="CU58" s="445"/>
      <c r="CV58" s="445"/>
      <c r="CW58" s="445"/>
      <c r="CX58" s="445"/>
      <c r="CY58" s="445"/>
      <c r="CZ58" s="445"/>
      <c r="DA58" s="445"/>
      <c r="DB58" s="445"/>
      <c r="DC58" s="445"/>
      <c r="DD58" s="445"/>
      <c r="DE58" s="445"/>
      <c r="DF58" s="445"/>
      <c r="DG58" s="445"/>
      <c r="DH58" s="445"/>
      <c r="DI58" s="445"/>
      <c r="DJ58" s="445"/>
      <c r="DK58" s="445"/>
      <c r="DL58" s="445"/>
      <c r="DM58" s="445"/>
      <c r="DN58" s="445"/>
      <c r="DO58" s="445"/>
      <c r="DP58" s="445"/>
      <c r="DQ58" s="445"/>
      <c r="DR58" s="445"/>
      <c r="DS58" s="445"/>
      <c r="DT58" s="445"/>
      <c r="DU58" s="445"/>
      <c r="DV58" s="445"/>
      <c r="DW58" s="445"/>
      <c r="DX58" s="445"/>
      <c r="DY58" s="445"/>
      <c r="DZ58" s="445"/>
      <c r="EA58" s="445"/>
      <c r="EB58" s="445"/>
      <c r="EC58" s="445"/>
      <c r="ED58" s="445"/>
      <c r="EE58" s="445"/>
      <c r="EF58" s="445"/>
      <c r="EG58" s="445"/>
      <c r="EH58" s="445"/>
      <c r="EI58" s="445"/>
      <c r="EJ58" s="445"/>
      <c r="EK58" s="445"/>
      <c r="EL58" s="445"/>
      <c r="EM58" s="445"/>
      <c r="EN58" s="445"/>
      <c r="EO58" s="445"/>
      <c r="EP58" s="445"/>
      <c r="EQ58" s="445"/>
      <c r="ER58" s="445"/>
      <c r="ES58" s="445"/>
      <c r="ET58" s="445"/>
      <c r="EU58" s="445"/>
      <c r="EV58" s="445"/>
      <c r="EW58" s="445"/>
      <c r="EX58" s="445"/>
      <c r="EY58" s="445"/>
      <c r="EZ58" s="445"/>
      <c r="FA58" s="445"/>
      <c r="FB58" s="445"/>
      <c r="FC58" s="445"/>
      <c r="FD58" s="445"/>
      <c r="FE58" s="445"/>
      <c r="FF58" s="445"/>
      <c r="FG58" s="445"/>
      <c r="FH58" s="445"/>
      <c r="FI58" s="445"/>
      <c r="FJ58" s="445"/>
      <c r="FK58" s="445"/>
      <c r="FL58" s="445"/>
      <c r="FM58" s="445"/>
      <c r="FN58" s="445"/>
      <c r="FO58" s="445"/>
      <c r="FP58" s="445"/>
      <c r="FQ58" s="445"/>
      <c r="FR58" s="445"/>
      <c r="FS58" s="445"/>
      <c r="FT58" s="445"/>
      <c r="FU58" s="445"/>
      <c r="FV58" s="445"/>
      <c r="FW58" s="445"/>
      <c r="FX58" s="445"/>
      <c r="FY58" s="445"/>
      <c r="FZ58" s="445"/>
      <c r="GA58" s="445"/>
      <c r="GB58" s="445"/>
      <c r="GC58" s="445"/>
      <c r="GD58" s="445"/>
      <c r="GE58" s="445"/>
      <c r="GF58" s="445"/>
      <c r="GG58" s="445"/>
      <c r="GH58" s="445"/>
      <c r="GI58" s="445"/>
      <c r="GJ58" s="445"/>
      <c r="GK58" s="445"/>
      <c r="GL58" s="445"/>
      <c r="GM58" s="445"/>
      <c r="GN58" s="445"/>
      <c r="GO58" s="445"/>
      <c r="GP58" s="445"/>
      <c r="GQ58" s="445"/>
      <c r="GR58" s="445"/>
      <c r="GS58" s="445"/>
      <c r="GT58" s="445"/>
      <c r="GU58" s="445"/>
      <c r="GV58" s="445"/>
      <c r="GW58" s="445"/>
      <c r="GX58" s="445"/>
      <c r="GY58" s="445"/>
      <c r="GZ58" s="445"/>
      <c r="HA58" s="445"/>
      <c r="HB58" s="445"/>
      <c r="HC58" s="445"/>
      <c r="HD58" s="445"/>
      <c r="HE58" s="445"/>
      <c r="HF58" s="445"/>
      <c r="HG58" s="445"/>
      <c r="HH58" s="445"/>
      <c r="HI58" s="445"/>
      <c r="HJ58" s="445"/>
      <c r="HK58" s="445"/>
      <c r="HL58" s="445"/>
      <c r="HM58" s="445"/>
      <c r="HN58" s="445"/>
      <c r="HO58" s="445"/>
      <c r="HP58" s="445"/>
      <c r="HQ58" s="445"/>
      <c r="HR58" s="445"/>
      <c r="HS58" s="445"/>
      <c r="HT58" s="445"/>
      <c r="HU58" s="445"/>
      <c r="HV58" s="445"/>
      <c r="HW58" s="445"/>
      <c r="HX58" s="445"/>
      <c r="HY58" s="445"/>
      <c r="HZ58" s="445"/>
      <c r="IA58" s="445"/>
      <c r="IB58" s="445"/>
      <c r="IC58" s="445"/>
      <c r="ID58" s="445"/>
      <c r="IE58" s="445"/>
      <c r="IF58" s="445"/>
      <c r="IG58" s="445"/>
      <c r="IH58" s="445"/>
      <c r="II58" s="445"/>
      <c r="IJ58" s="445"/>
      <c r="IK58" s="445"/>
      <c r="IL58" s="445"/>
      <c r="IM58" s="445"/>
      <c r="IN58" s="445"/>
      <c r="IO58" s="445"/>
      <c r="IP58" s="445"/>
      <c r="IQ58" s="445"/>
      <c r="IR58" s="445"/>
      <c r="IS58" s="445"/>
      <c r="IT58" s="445"/>
      <c r="IU58" s="445"/>
      <c r="IV58" s="445"/>
      <c r="IW58" s="445"/>
    </row>
    <row r="59" customFormat="false" ht="20.15" hidden="false" customHeight="true" outlineLevel="0" collapsed="false">
      <c r="A59" s="248" t="s">
        <v>75</v>
      </c>
      <c r="B59" s="445" t="n">
        <v>0</v>
      </c>
      <c r="C59" s="453" t="n">
        <v>6500</v>
      </c>
      <c r="D59" s="445" t="n">
        <f aca="false">SUM(B59:C59)</f>
        <v>6500</v>
      </c>
      <c r="E59" s="453" t="n">
        <v>1116</v>
      </c>
      <c r="F59" s="454" t="n">
        <f aca="false">D59*E59</f>
        <v>7254000</v>
      </c>
      <c r="G59" s="360" t="n">
        <v>3040</v>
      </c>
      <c r="H59" s="243" t="n">
        <v>1300</v>
      </c>
      <c r="I59" s="454" t="n">
        <f aca="false">G59*H59</f>
        <v>3952000</v>
      </c>
      <c r="J59" s="262" t="n">
        <v>15610</v>
      </c>
      <c r="K59" s="243" t="n">
        <v>295</v>
      </c>
      <c r="L59" s="455" t="n">
        <f aca="false">J59*K59</f>
        <v>4604950</v>
      </c>
      <c r="M59" s="262" t="n">
        <v>0</v>
      </c>
      <c r="N59" s="243" t="n">
        <v>140</v>
      </c>
      <c r="O59" s="457" t="n">
        <f aca="false">M59*N59</f>
        <v>0</v>
      </c>
      <c r="P59" s="262" t="n">
        <v>0</v>
      </c>
      <c r="Q59" s="243" t="n">
        <v>1650</v>
      </c>
      <c r="R59" s="457" t="n">
        <f aca="false">P59*Q59</f>
        <v>0</v>
      </c>
      <c r="S59" s="245" t="n">
        <v>0</v>
      </c>
      <c r="T59" s="243" t="n">
        <v>2500</v>
      </c>
      <c r="U59" s="457" t="n">
        <f aca="false">S59*220</f>
        <v>0</v>
      </c>
      <c r="V59" s="456" t="n">
        <f aca="false">SUM(F59,I59,L59,O59,R59,U59)</f>
        <v>15810950</v>
      </c>
      <c r="W59" s="445"/>
      <c r="X59" s="445"/>
      <c r="Y59" s="445"/>
      <c r="Z59" s="445"/>
      <c r="AA59" s="445"/>
      <c r="AB59" s="445"/>
      <c r="AC59" s="445"/>
      <c r="AD59" s="445"/>
      <c r="AE59" s="445"/>
      <c r="AF59" s="445"/>
      <c r="AG59" s="445"/>
      <c r="AH59" s="445"/>
      <c r="AI59" s="445"/>
      <c r="AJ59" s="445"/>
      <c r="AK59" s="445"/>
      <c r="AL59" s="445"/>
      <c r="AM59" s="445"/>
      <c r="AN59" s="445"/>
      <c r="AO59" s="445"/>
      <c r="AP59" s="445"/>
      <c r="AQ59" s="445"/>
      <c r="AR59" s="445"/>
      <c r="AS59" s="445"/>
      <c r="AT59" s="445"/>
      <c r="AU59" s="445"/>
      <c r="AV59" s="445"/>
      <c r="AW59" s="445"/>
      <c r="AX59" s="445"/>
      <c r="AY59" s="445"/>
      <c r="AZ59" s="445"/>
      <c r="BA59" s="445"/>
      <c r="BB59" s="445"/>
      <c r="BC59" s="445"/>
      <c r="BD59" s="445"/>
      <c r="BE59" s="445"/>
      <c r="BF59" s="445"/>
      <c r="BG59" s="445"/>
      <c r="BH59" s="445"/>
      <c r="BI59" s="445"/>
      <c r="BJ59" s="445"/>
      <c r="BK59" s="445"/>
      <c r="BL59" s="445"/>
      <c r="BM59" s="445"/>
      <c r="BN59" s="445"/>
      <c r="BO59" s="445"/>
      <c r="BP59" s="445"/>
      <c r="BQ59" s="445"/>
      <c r="BR59" s="445"/>
      <c r="BS59" s="445"/>
      <c r="BT59" s="445"/>
      <c r="BU59" s="445"/>
      <c r="BV59" s="445"/>
      <c r="BW59" s="445"/>
      <c r="BX59" s="445"/>
      <c r="BY59" s="445"/>
      <c r="BZ59" s="445"/>
      <c r="CA59" s="445"/>
      <c r="CB59" s="445"/>
      <c r="CC59" s="445"/>
      <c r="CD59" s="445"/>
      <c r="CE59" s="445"/>
      <c r="CF59" s="445"/>
      <c r="CG59" s="445"/>
      <c r="CH59" s="445"/>
      <c r="CI59" s="445"/>
      <c r="CJ59" s="445"/>
      <c r="CK59" s="445"/>
      <c r="CL59" s="445"/>
      <c r="CM59" s="445"/>
      <c r="CN59" s="445"/>
      <c r="CO59" s="445"/>
      <c r="CP59" s="445"/>
      <c r="CQ59" s="445"/>
      <c r="CR59" s="445"/>
      <c r="CS59" s="445"/>
      <c r="CT59" s="445"/>
      <c r="CU59" s="445"/>
      <c r="CV59" s="445"/>
      <c r="CW59" s="445"/>
      <c r="CX59" s="445"/>
      <c r="CY59" s="445"/>
      <c r="CZ59" s="445"/>
      <c r="DA59" s="445"/>
      <c r="DB59" s="445"/>
      <c r="DC59" s="445"/>
      <c r="DD59" s="445"/>
      <c r="DE59" s="445"/>
      <c r="DF59" s="445"/>
      <c r="DG59" s="445"/>
      <c r="DH59" s="445"/>
      <c r="DI59" s="445"/>
      <c r="DJ59" s="445"/>
      <c r="DK59" s="445"/>
      <c r="DL59" s="445"/>
      <c r="DM59" s="445"/>
      <c r="DN59" s="445"/>
      <c r="DO59" s="445"/>
      <c r="DP59" s="445"/>
      <c r="DQ59" s="445"/>
      <c r="DR59" s="445"/>
      <c r="DS59" s="445"/>
      <c r="DT59" s="445"/>
      <c r="DU59" s="445"/>
      <c r="DV59" s="445"/>
      <c r="DW59" s="445"/>
      <c r="DX59" s="445"/>
      <c r="DY59" s="445"/>
      <c r="DZ59" s="445"/>
      <c r="EA59" s="445"/>
      <c r="EB59" s="445"/>
      <c r="EC59" s="445"/>
      <c r="ED59" s="445"/>
      <c r="EE59" s="445"/>
      <c r="EF59" s="445"/>
      <c r="EG59" s="445"/>
      <c r="EH59" s="445"/>
      <c r="EI59" s="445"/>
      <c r="EJ59" s="445"/>
      <c r="EK59" s="445"/>
      <c r="EL59" s="445"/>
      <c r="EM59" s="445"/>
      <c r="EN59" s="445"/>
      <c r="EO59" s="445"/>
      <c r="EP59" s="445"/>
      <c r="EQ59" s="445"/>
      <c r="ER59" s="445"/>
      <c r="ES59" s="445"/>
      <c r="ET59" s="445"/>
      <c r="EU59" s="445"/>
      <c r="EV59" s="445"/>
      <c r="EW59" s="445"/>
      <c r="EX59" s="445"/>
      <c r="EY59" s="445"/>
      <c r="EZ59" s="445"/>
      <c r="FA59" s="445"/>
      <c r="FB59" s="445"/>
      <c r="FC59" s="445"/>
      <c r="FD59" s="445"/>
      <c r="FE59" s="445"/>
      <c r="FF59" s="445"/>
      <c r="FG59" s="445"/>
      <c r="FH59" s="445"/>
      <c r="FI59" s="445"/>
      <c r="FJ59" s="445"/>
      <c r="FK59" s="445"/>
      <c r="FL59" s="445"/>
      <c r="FM59" s="445"/>
      <c r="FN59" s="445"/>
      <c r="FO59" s="445"/>
      <c r="FP59" s="445"/>
      <c r="FQ59" s="445"/>
      <c r="FR59" s="445"/>
      <c r="FS59" s="445"/>
      <c r="FT59" s="445"/>
      <c r="FU59" s="445"/>
      <c r="FV59" s="445"/>
      <c r="FW59" s="445"/>
      <c r="FX59" s="445"/>
      <c r="FY59" s="445"/>
      <c r="FZ59" s="445"/>
      <c r="GA59" s="445"/>
      <c r="GB59" s="445"/>
      <c r="GC59" s="445"/>
      <c r="GD59" s="445"/>
      <c r="GE59" s="445"/>
      <c r="GF59" s="445"/>
      <c r="GG59" s="445"/>
      <c r="GH59" s="445"/>
      <c r="GI59" s="445"/>
      <c r="GJ59" s="445"/>
      <c r="GK59" s="445"/>
      <c r="GL59" s="445"/>
      <c r="GM59" s="445"/>
      <c r="GN59" s="445"/>
      <c r="GO59" s="445"/>
      <c r="GP59" s="445"/>
      <c r="GQ59" s="445"/>
      <c r="GR59" s="445"/>
      <c r="GS59" s="445"/>
      <c r="GT59" s="445"/>
      <c r="GU59" s="445"/>
      <c r="GV59" s="445"/>
      <c r="GW59" s="445"/>
      <c r="GX59" s="445"/>
      <c r="GY59" s="445"/>
      <c r="GZ59" s="445"/>
      <c r="HA59" s="445"/>
      <c r="HB59" s="445"/>
      <c r="HC59" s="445"/>
      <c r="HD59" s="445"/>
      <c r="HE59" s="445"/>
      <c r="HF59" s="445"/>
      <c r="HG59" s="445"/>
      <c r="HH59" s="445"/>
      <c r="HI59" s="445"/>
      <c r="HJ59" s="445"/>
      <c r="HK59" s="445"/>
      <c r="HL59" s="445"/>
      <c r="HM59" s="445"/>
      <c r="HN59" s="445"/>
      <c r="HO59" s="445"/>
      <c r="HP59" s="445"/>
      <c r="HQ59" s="445"/>
      <c r="HR59" s="445"/>
      <c r="HS59" s="445"/>
      <c r="HT59" s="445"/>
      <c r="HU59" s="445"/>
      <c r="HV59" s="445"/>
      <c r="HW59" s="445"/>
      <c r="HX59" s="445"/>
      <c r="HY59" s="445"/>
      <c r="HZ59" s="445"/>
      <c r="IA59" s="445"/>
      <c r="IB59" s="445"/>
      <c r="IC59" s="445"/>
      <c r="ID59" s="445"/>
      <c r="IE59" s="445"/>
      <c r="IF59" s="445"/>
      <c r="IG59" s="445"/>
      <c r="IH59" s="445"/>
      <c r="II59" s="445"/>
      <c r="IJ59" s="445"/>
      <c r="IK59" s="445"/>
      <c r="IL59" s="445"/>
      <c r="IM59" s="445"/>
      <c r="IN59" s="445"/>
      <c r="IO59" s="445"/>
      <c r="IP59" s="445"/>
      <c r="IQ59" s="445"/>
      <c r="IR59" s="445"/>
      <c r="IS59" s="445"/>
      <c r="IT59" s="445"/>
      <c r="IU59" s="445"/>
      <c r="IV59" s="445"/>
      <c r="IW59" s="445"/>
    </row>
    <row r="60" customFormat="false" ht="20.15" hidden="false" customHeight="true" outlineLevel="0" collapsed="false">
      <c r="A60" s="248" t="s">
        <v>76</v>
      </c>
      <c r="B60" s="445"/>
      <c r="C60" s="453"/>
      <c r="D60" s="445" t="n">
        <f aca="false">SUM(B60:C60)</f>
        <v>0</v>
      </c>
      <c r="E60" s="453" t="n">
        <v>1116</v>
      </c>
      <c r="F60" s="454" t="n">
        <f aca="false">D60*E60</f>
        <v>0</v>
      </c>
      <c r="G60" s="250"/>
      <c r="H60" s="243" t="n">
        <v>1300</v>
      </c>
      <c r="I60" s="454" t="n">
        <f aca="false">G60*H60</f>
        <v>0</v>
      </c>
      <c r="J60" s="245"/>
      <c r="K60" s="243" t="n">
        <v>295</v>
      </c>
      <c r="L60" s="455" t="n">
        <f aca="false">J60*K60</f>
        <v>0</v>
      </c>
      <c r="M60" s="245"/>
      <c r="N60" s="243" t="n">
        <v>140</v>
      </c>
      <c r="O60" s="457" t="n">
        <f aca="false">M60*N60</f>
        <v>0</v>
      </c>
      <c r="P60" s="245" t="n">
        <v>0</v>
      </c>
      <c r="Q60" s="243" t="n">
        <v>1650</v>
      </c>
      <c r="R60" s="457" t="n">
        <f aca="false">P60*Q60</f>
        <v>0</v>
      </c>
      <c r="S60" s="245" t="n">
        <v>0</v>
      </c>
      <c r="T60" s="243" t="n">
        <v>2500</v>
      </c>
      <c r="U60" s="455" t="n">
        <f aca="false">S60*220</f>
        <v>0</v>
      </c>
      <c r="V60" s="456" t="n">
        <f aca="false">SUM(F60,I60,L60,O60,R60,U60)</f>
        <v>0</v>
      </c>
      <c r="W60" s="445"/>
      <c r="X60" s="445"/>
      <c r="Y60" s="445"/>
      <c r="Z60" s="445"/>
      <c r="AA60" s="445"/>
      <c r="AB60" s="445"/>
      <c r="AC60" s="445"/>
      <c r="AD60" s="445"/>
      <c r="AE60" s="445"/>
      <c r="AF60" s="445"/>
      <c r="AG60" s="445"/>
      <c r="AH60" s="445"/>
      <c r="AI60" s="445"/>
      <c r="AJ60" s="445"/>
      <c r="AK60" s="445"/>
      <c r="AL60" s="445"/>
      <c r="AM60" s="445"/>
      <c r="AN60" s="445"/>
      <c r="AO60" s="445"/>
      <c r="AP60" s="445"/>
      <c r="AQ60" s="445"/>
      <c r="AR60" s="445"/>
      <c r="AS60" s="445"/>
      <c r="AT60" s="445"/>
      <c r="AU60" s="445"/>
      <c r="AV60" s="445"/>
      <c r="AW60" s="445"/>
      <c r="AX60" s="445"/>
      <c r="AY60" s="445"/>
      <c r="AZ60" s="445"/>
      <c r="BA60" s="445"/>
      <c r="BB60" s="445"/>
      <c r="BC60" s="445"/>
      <c r="BD60" s="445"/>
      <c r="BE60" s="445"/>
      <c r="BF60" s="445"/>
      <c r="BG60" s="445"/>
      <c r="BH60" s="445"/>
      <c r="BI60" s="445"/>
      <c r="BJ60" s="445"/>
      <c r="BK60" s="445"/>
      <c r="BL60" s="445"/>
      <c r="BM60" s="445"/>
      <c r="BN60" s="445"/>
      <c r="BO60" s="445"/>
      <c r="BP60" s="445"/>
      <c r="BQ60" s="445"/>
      <c r="BR60" s="445"/>
      <c r="BS60" s="445"/>
      <c r="BT60" s="445"/>
      <c r="BU60" s="445"/>
      <c r="BV60" s="445"/>
      <c r="BW60" s="445"/>
      <c r="BX60" s="445"/>
      <c r="BY60" s="445"/>
      <c r="BZ60" s="445"/>
      <c r="CA60" s="445"/>
      <c r="CB60" s="445"/>
      <c r="CC60" s="445"/>
      <c r="CD60" s="445"/>
      <c r="CE60" s="445"/>
      <c r="CF60" s="445"/>
      <c r="CG60" s="445"/>
      <c r="CH60" s="445"/>
      <c r="CI60" s="445"/>
      <c r="CJ60" s="445"/>
      <c r="CK60" s="445"/>
      <c r="CL60" s="445"/>
      <c r="CM60" s="445"/>
      <c r="CN60" s="445"/>
      <c r="CO60" s="445"/>
      <c r="CP60" s="445"/>
      <c r="CQ60" s="445"/>
      <c r="CR60" s="445"/>
      <c r="CS60" s="445"/>
      <c r="CT60" s="445"/>
      <c r="CU60" s="445"/>
      <c r="CV60" s="445"/>
      <c r="CW60" s="445"/>
      <c r="CX60" s="445"/>
      <c r="CY60" s="445"/>
      <c r="CZ60" s="445"/>
      <c r="DA60" s="445"/>
      <c r="DB60" s="445"/>
      <c r="DC60" s="445"/>
      <c r="DD60" s="445"/>
      <c r="DE60" s="445"/>
      <c r="DF60" s="445"/>
      <c r="DG60" s="445"/>
      <c r="DH60" s="445"/>
      <c r="DI60" s="445"/>
      <c r="DJ60" s="445"/>
      <c r="DK60" s="445"/>
      <c r="DL60" s="445"/>
      <c r="DM60" s="445"/>
      <c r="DN60" s="445"/>
      <c r="DO60" s="445"/>
      <c r="DP60" s="445"/>
      <c r="DQ60" s="445"/>
      <c r="DR60" s="445"/>
      <c r="DS60" s="445"/>
      <c r="DT60" s="445"/>
      <c r="DU60" s="445"/>
      <c r="DV60" s="445"/>
      <c r="DW60" s="445"/>
      <c r="DX60" s="445"/>
      <c r="DY60" s="445"/>
      <c r="DZ60" s="445"/>
      <c r="EA60" s="445"/>
      <c r="EB60" s="445"/>
      <c r="EC60" s="445"/>
      <c r="ED60" s="445"/>
      <c r="EE60" s="445"/>
      <c r="EF60" s="445"/>
      <c r="EG60" s="445"/>
      <c r="EH60" s="445"/>
      <c r="EI60" s="445"/>
      <c r="EJ60" s="445"/>
      <c r="EK60" s="445"/>
      <c r="EL60" s="445"/>
      <c r="EM60" s="445"/>
      <c r="EN60" s="445"/>
      <c r="EO60" s="445"/>
      <c r="EP60" s="445"/>
      <c r="EQ60" s="445"/>
      <c r="ER60" s="445"/>
      <c r="ES60" s="445"/>
      <c r="ET60" s="445"/>
      <c r="EU60" s="445"/>
      <c r="EV60" s="445"/>
      <c r="EW60" s="445"/>
      <c r="EX60" s="445"/>
      <c r="EY60" s="445"/>
      <c r="EZ60" s="445"/>
      <c r="FA60" s="445"/>
      <c r="FB60" s="445"/>
      <c r="FC60" s="445"/>
      <c r="FD60" s="445"/>
      <c r="FE60" s="445"/>
      <c r="FF60" s="445"/>
      <c r="FG60" s="445"/>
      <c r="FH60" s="445"/>
      <c r="FI60" s="445"/>
      <c r="FJ60" s="445"/>
      <c r="FK60" s="445"/>
      <c r="FL60" s="445"/>
      <c r="FM60" s="445"/>
      <c r="FN60" s="445"/>
      <c r="FO60" s="445"/>
      <c r="FP60" s="445"/>
      <c r="FQ60" s="445"/>
      <c r="FR60" s="445"/>
      <c r="FS60" s="445"/>
      <c r="FT60" s="445"/>
      <c r="FU60" s="445"/>
      <c r="FV60" s="445"/>
      <c r="FW60" s="445"/>
      <c r="FX60" s="445"/>
      <c r="FY60" s="445"/>
      <c r="FZ60" s="445"/>
      <c r="GA60" s="445"/>
      <c r="GB60" s="445"/>
      <c r="GC60" s="445"/>
      <c r="GD60" s="445"/>
      <c r="GE60" s="445"/>
      <c r="GF60" s="445"/>
      <c r="GG60" s="445"/>
      <c r="GH60" s="445"/>
      <c r="GI60" s="445"/>
      <c r="GJ60" s="445"/>
      <c r="GK60" s="445"/>
      <c r="GL60" s="445"/>
      <c r="GM60" s="445"/>
      <c r="GN60" s="445"/>
      <c r="GO60" s="445"/>
      <c r="GP60" s="445"/>
      <c r="GQ60" s="445"/>
      <c r="GR60" s="445"/>
      <c r="GS60" s="445"/>
      <c r="GT60" s="445"/>
      <c r="GU60" s="445"/>
      <c r="GV60" s="445"/>
      <c r="GW60" s="445"/>
      <c r="GX60" s="445"/>
      <c r="GY60" s="445"/>
      <c r="GZ60" s="445"/>
      <c r="HA60" s="445"/>
      <c r="HB60" s="445"/>
      <c r="HC60" s="445"/>
      <c r="HD60" s="445"/>
      <c r="HE60" s="445"/>
      <c r="HF60" s="445"/>
      <c r="HG60" s="445"/>
      <c r="HH60" s="445"/>
      <c r="HI60" s="445"/>
      <c r="HJ60" s="445"/>
      <c r="HK60" s="445"/>
      <c r="HL60" s="445"/>
      <c r="HM60" s="445"/>
      <c r="HN60" s="445"/>
      <c r="HO60" s="445"/>
      <c r="HP60" s="445"/>
      <c r="HQ60" s="445"/>
      <c r="HR60" s="445"/>
      <c r="HS60" s="445"/>
      <c r="HT60" s="445"/>
      <c r="HU60" s="445"/>
      <c r="HV60" s="445"/>
      <c r="HW60" s="445"/>
      <c r="HX60" s="445"/>
      <c r="HY60" s="445"/>
      <c r="HZ60" s="445"/>
      <c r="IA60" s="445"/>
      <c r="IB60" s="445"/>
      <c r="IC60" s="445"/>
      <c r="ID60" s="445"/>
      <c r="IE60" s="445"/>
      <c r="IF60" s="445"/>
      <c r="IG60" s="445"/>
      <c r="IH60" s="445"/>
      <c r="II60" s="445"/>
      <c r="IJ60" s="445"/>
      <c r="IK60" s="445"/>
      <c r="IL60" s="445"/>
      <c r="IM60" s="445"/>
      <c r="IN60" s="445"/>
      <c r="IO60" s="445"/>
      <c r="IP60" s="445"/>
      <c r="IQ60" s="445"/>
      <c r="IR60" s="445"/>
      <c r="IS60" s="445"/>
      <c r="IT60" s="445"/>
      <c r="IU60" s="445"/>
      <c r="IV60" s="445"/>
      <c r="IW60" s="445"/>
    </row>
    <row r="61" customFormat="false" ht="20.15" hidden="false" customHeight="true" outlineLevel="0" collapsed="false">
      <c r="A61" s="419" t="s">
        <v>77</v>
      </c>
      <c r="B61" s="310"/>
      <c r="C61" s="458"/>
      <c r="D61" s="445" t="n">
        <f aca="false">SUM(B61:C61)</f>
        <v>0</v>
      </c>
      <c r="E61" s="453" t="n">
        <v>1116</v>
      </c>
      <c r="F61" s="454" t="n">
        <f aca="false">D61*E61</f>
        <v>0</v>
      </c>
      <c r="G61" s="360"/>
      <c r="H61" s="243" t="n">
        <v>1300</v>
      </c>
      <c r="I61" s="454" t="n">
        <f aca="false">G61*H61</f>
        <v>0</v>
      </c>
      <c r="J61" s="262"/>
      <c r="K61" s="243" t="n">
        <v>295</v>
      </c>
      <c r="L61" s="455" t="n">
        <f aca="false">J61*K61</f>
        <v>0</v>
      </c>
      <c r="M61" s="262"/>
      <c r="N61" s="243" t="n">
        <v>140</v>
      </c>
      <c r="O61" s="457" t="n">
        <f aca="false">M61*N61</f>
        <v>0</v>
      </c>
      <c r="P61" s="262" t="n">
        <v>0</v>
      </c>
      <c r="Q61" s="243" t="n">
        <v>1650</v>
      </c>
      <c r="R61" s="457" t="n">
        <f aca="false">P61*Q61</f>
        <v>0</v>
      </c>
      <c r="S61" s="262" t="n">
        <v>0</v>
      </c>
      <c r="T61" s="243" t="n">
        <v>2500</v>
      </c>
      <c r="U61" s="457" t="n">
        <f aca="false">S61*265</f>
        <v>0</v>
      </c>
      <c r="V61" s="456" t="n">
        <f aca="false">SUM(F61,I61,L61,O61,R61,U61)</f>
        <v>0</v>
      </c>
      <c r="W61" s="310"/>
      <c r="X61" s="310"/>
      <c r="Y61" s="310"/>
      <c r="Z61" s="310"/>
      <c r="AA61" s="310"/>
      <c r="AB61" s="310"/>
      <c r="AC61" s="310"/>
      <c r="AD61" s="310"/>
      <c r="AE61" s="310"/>
      <c r="AF61" s="310"/>
      <c r="AG61" s="310"/>
      <c r="AH61" s="310"/>
      <c r="AI61" s="310"/>
      <c r="AJ61" s="310"/>
      <c r="AK61" s="310"/>
      <c r="AL61" s="310"/>
      <c r="AM61" s="310"/>
      <c r="AN61" s="310"/>
      <c r="AO61" s="310"/>
      <c r="AP61" s="310"/>
      <c r="AQ61" s="310"/>
      <c r="AR61" s="310"/>
      <c r="AS61" s="310"/>
      <c r="AT61" s="310"/>
      <c r="AU61" s="310"/>
      <c r="AV61" s="310"/>
      <c r="AW61" s="310"/>
      <c r="AX61" s="310"/>
      <c r="AY61" s="310"/>
      <c r="AZ61" s="310"/>
      <c r="BA61" s="310"/>
      <c r="BB61" s="310"/>
      <c r="BC61" s="310"/>
      <c r="BD61" s="310"/>
      <c r="BE61" s="310"/>
      <c r="BF61" s="310"/>
      <c r="BG61" s="310"/>
      <c r="BH61" s="310"/>
      <c r="BI61" s="310"/>
      <c r="BJ61" s="310"/>
      <c r="BK61" s="310"/>
      <c r="BL61" s="310"/>
      <c r="BM61" s="310"/>
      <c r="BN61" s="310"/>
      <c r="BO61" s="310"/>
      <c r="BP61" s="310"/>
      <c r="BQ61" s="310"/>
      <c r="BR61" s="310"/>
      <c r="BS61" s="310"/>
      <c r="BT61" s="310"/>
      <c r="BU61" s="310"/>
      <c r="BV61" s="310"/>
      <c r="BW61" s="310"/>
      <c r="BX61" s="310"/>
      <c r="BY61" s="310"/>
      <c r="BZ61" s="310"/>
      <c r="CA61" s="310"/>
      <c r="CB61" s="310"/>
      <c r="CC61" s="310"/>
      <c r="CD61" s="310"/>
      <c r="CE61" s="310"/>
      <c r="CF61" s="310"/>
      <c r="CG61" s="310"/>
      <c r="CH61" s="310"/>
      <c r="CI61" s="310"/>
      <c r="CJ61" s="310"/>
      <c r="CK61" s="310"/>
      <c r="CL61" s="310"/>
      <c r="CM61" s="310"/>
      <c r="CN61" s="310"/>
      <c r="CO61" s="310"/>
      <c r="CP61" s="310"/>
      <c r="CQ61" s="310"/>
      <c r="CR61" s="310"/>
      <c r="CS61" s="310"/>
      <c r="CT61" s="310"/>
      <c r="CU61" s="310"/>
      <c r="CV61" s="310"/>
      <c r="CW61" s="310"/>
      <c r="CX61" s="310"/>
      <c r="CY61" s="310"/>
      <c r="CZ61" s="310"/>
      <c r="DA61" s="310"/>
      <c r="DB61" s="310"/>
      <c r="DC61" s="310"/>
      <c r="DD61" s="310"/>
      <c r="DE61" s="310"/>
      <c r="DF61" s="310"/>
      <c r="DG61" s="310"/>
      <c r="DH61" s="310"/>
      <c r="DI61" s="310"/>
      <c r="DJ61" s="310"/>
      <c r="DK61" s="310"/>
      <c r="DL61" s="310"/>
      <c r="DM61" s="310"/>
      <c r="DN61" s="310"/>
      <c r="DO61" s="310"/>
      <c r="DP61" s="310"/>
      <c r="DQ61" s="310"/>
      <c r="DR61" s="310"/>
      <c r="DS61" s="310"/>
      <c r="DT61" s="310"/>
      <c r="DU61" s="310"/>
      <c r="DV61" s="310"/>
      <c r="DW61" s="310"/>
      <c r="DX61" s="310"/>
      <c r="DY61" s="310"/>
      <c r="DZ61" s="310"/>
      <c r="EA61" s="310"/>
      <c r="EB61" s="310"/>
      <c r="EC61" s="310"/>
      <c r="ED61" s="310"/>
      <c r="EE61" s="310"/>
      <c r="EF61" s="310"/>
      <c r="EG61" s="310"/>
      <c r="EH61" s="310"/>
      <c r="EI61" s="310"/>
      <c r="EJ61" s="310"/>
      <c r="EK61" s="310"/>
      <c r="EL61" s="310"/>
      <c r="EM61" s="310"/>
      <c r="EN61" s="310"/>
      <c r="EO61" s="310"/>
      <c r="EP61" s="310"/>
      <c r="EQ61" s="310"/>
      <c r="ER61" s="310"/>
      <c r="ES61" s="310"/>
      <c r="ET61" s="310"/>
      <c r="EU61" s="310"/>
      <c r="EV61" s="310"/>
      <c r="EW61" s="310"/>
      <c r="EX61" s="310"/>
      <c r="EY61" s="310"/>
      <c r="EZ61" s="310"/>
      <c r="FA61" s="310"/>
      <c r="FB61" s="310"/>
      <c r="FC61" s="310"/>
      <c r="FD61" s="310"/>
      <c r="FE61" s="310"/>
      <c r="FF61" s="310"/>
      <c r="FG61" s="310"/>
      <c r="FH61" s="310"/>
      <c r="FI61" s="310"/>
      <c r="FJ61" s="310"/>
      <c r="FK61" s="310"/>
      <c r="FL61" s="310"/>
      <c r="FM61" s="310"/>
      <c r="FN61" s="310"/>
      <c r="FO61" s="310"/>
      <c r="FP61" s="310"/>
      <c r="FQ61" s="310"/>
      <c r="FR61" s="310"/>
      <c r="FS61" s="310"/>
      <c r="FT61" s="310"/>
      <c r="FU61" s="310"/>
      <c r="FV61" s="310"/>
      <c r="FW61" s="310"/>
      <c r="FX61" s="310"/>
      <c r="FY61" s="310"/>
      <c r="FZ61" s="310"/>
      <c r="GA61" s="310"/>
      <c r="GB61" s="310"/>
      <c r="GC61" s="310"/>
      <c r="GD61" s="310"/>
      <c r="GE61" s="310"/>
      <c r="GF61" s="310"/>
      <c r="GG61" s="310"/>
      <c r="GH61" s="310"/>
      <c r="GI61" s="310"/>
      <c r="GJ61" s="310"/>
      <c r="GK61" s="310"/>
      <c r="GL61" s="310"/>
      <c r="GM61" s="310"/>
      <c r="GN61" s="310"/>
      <c r="GO61" s="310"/>
      <c r="GP61" s="310"/>
      <c r="GQ61" s="310"/>
      <c r="GR61" s="310"/>
      <c r="GS61" s="310"/>
      <c r="GT61" s="310"/>
      <c r="GU61" s="310"/>
      <c r="GV61" s="310"/>
      <c r="GW61" s="310"/>
      <c r="GX61" s="310"/>
      <c r="GY61" s="310"/>
      <c r="GZ61" s="310"/>
      <c r="HA61" s="310"/>
      <c r="HB61" s="310"/>
      <c r="HC61" s="310"/>
      <c r="HD61" s="310"/>
      <c r="HE61" s="310"/>
      <c r="HF61" s="310"/>
      <c r="HG61" s="310"/>
      <c r="HH61" s="310"/>
      <c r="HI61" s="310"/>
      <c r="HJ61" s="310"/>
      <c r="HK61" s="310"/>
      <c r="HL61" s="310"/>
      <c r="HM61" s="310"/>
      <c r="HN61" s="310"/>
      <c r="HO61" s="310"/>
      <c r="HP61" s="310"/>
      <c r="HQ61" s="310"/>
      <c r="HR61" s="310"/>
      <c r="HS61" s="310"/>
      <c r="HT61" s="310"/>
      <c r="HU61" s="310"/>
      <c r="HV61" s="310"/>
      <c r="HW61" s="310"/>
      <c r="HX61" s="310"/>
      <c r="HY61" s="310"/>
      <c r="HZ61" s="310"/>
      <c r="IA61" s="310"/>
      <c r="IB61" s="310"/>
      <c r="IC61" s="310"/>
      <c r="ID61" s="310"/>
      <c r="IE61" s="310"/>
      <c r="IF61" s="310"/>
      <c r="IG61" s="310"/>
      <c r="IH61" s="310"/>
      <c r="II61" s="310"/>
      <c r="IJ61" s="310"/>
      <c r="IK61" s="310"/>
      <c r="IL61" s="310"/>
      <c r="IM61" s="310"/>
      <c r="IN61" s="310"/>
      <c r="IO61" s="310"/>
      <c r="IP61" s="310"/>
      <c r="IQ61" s="310"/>
      <c r="IR61" s="310"/>
      <c r="IS61" s="310"/>
      <c r="IT61" s="310"/>
      <c r="IU61" s="310"/>
      <c r="IV61" s="310"/>
      <c r="IW61" s="310"/>
    </row>
    <row r="62" customFormat="false" ht="20.15" hidden="false" customHeight="true" outlineLevel="0" collapsed="false">
      <c r="A62" s="459" t="s">
        <v>78</v>
      </c>
      <c r="B62" s="460" t="n">
        <f aca="false">SUM(B50:B61)</f>
        <v>3600</v>
      </c>
      <c r="C62" s="461" t="n">
        <f aca="false">SUM(C50:C61)</f>
        <v>30700</v>
      </c>
      <c r="D62" s="460" t="n">
        <f aca="false">SUM(D50:D61)</f>
        <v>34300</v>
      </c>
      <c r="E62" s="461" t="n">
        <f aca="false">SUM(E50:E61)</f>
        <v>13392</v>
      </c>
      <c r="F62" s="462" t="n">
        <f aca="false">SUM(F50:F61)</f>
        <v>38278800</v>
      </c>
      <c r="G62" s="460" t="n">
        <f aca="false">SUM(G50:G61)</f>
        <v>12160</v>
      </c>
      <c r="H62" s="461" t="n">
        <f aca="false">SUM(H50:H61)</f>
        <v>15600</v>
      </c>
      <c r="I62" s="462" t="n">
        <f aca="false">SUM(I50:I61)</f>
        <v>15808000</v>
      </c>
      <c r="J62" s="463" t="n">
        <f aca="false">SUM(J50:J61)</f>
        <v>162980</v>
      </c>
      <c r="K62" s="461" t="n">
        <f aca="false">SUM(K50:K61)</f>
        <v>3540</v>
      </c>
      <c r="L62" s="464" t="n">
        <f aca="false">SUM(L50:L61)</f>
        <v>48079100</v>
      </c>
      <c r="M62" s="463" t="n">
        <f aca="false">SUM(M50:M61)</f>
        <v>101055</v>
      </c>
      <c r="N62" s="461" t="n">
        <f aca="false">SUM(N50:N61)</f>
        <v>1680</v>
      </c>
      <c r="O62" s="464" t="n">
        <f aca="false">SUM(O50:O61)</f>
        <v>14147700</v>
      </c>
      <c r="P62" s="463" t="n">
        <f aca="false">SUM(P50:P61)</f>
        <v>0</v>
      </c>
      <c r="Q62" s="461" t="n">
        <f aca="false">SUM(Q50:Q61)</f>
        <v>19800</v>
      </c>
      <c r="R62" s="464" t="n">
        <f aca="false">SUM(R50:R61)</f>
        <v>0</v>
      </c>
      <c r="S62" s="463" t="n">
        <f aca="false">SUM(S50:S61)</f>
        <v>0</v>
      </c>
      <c r="T62" s="461" t="n">
        <f aca="false">SUM(T50:T61)</f>
        <v>30000</v>
      </c>
      <c r="U62" s="464" t="n">
        <f aca="false">SUM(U50:U61)</f>
        <v>0</v>
      </c>
      <c r="V62" s="465" t="n">
        <f aca="false">SUM(V50:V61)</f>
        <v>116313600</v>
      </c>
      <c r="W62" s="445"/>
      <c r="X62" s="445"/>
      <c r="Y62" s="445"/>
      <c r="Z62" s="445"/>
      <c r="AA62" s="445"/>
      <c r="AB62" s="445"/>
      <c r="AC62" s="445"/>
      <c r="AD62" s="445"/>
      <c r="AE62" s="445"/>
      <c r="AF62" s="445"/>
      <c r="AG62" s="445"/>
      <c r="AH62" s="445"/>
      <c r="AI62" s="445"/>
      <c r="AJ62" s="445"/>
      <c r="AK62" s="445"/>
      <c r="AL62" s="445"/>
      <c r="AM62" s="445"/>
      <c r="AN62" s="445"/>
      <c r="AO62" s="445"/>
      <c r="AP62" s="445"/>
      <c r="AQ62" s="445"/>
      <c r="AR62" s="445"/>
      <c r="AS62" s="445"/>
      <c r="AT62" s="445"/>
      <c r="AU62" s="445"/>
      <c r="AV62" s="445"/>
      <c r="AW62" s="445"/>
      <c r="AX62" s="445"/>
      <c r="AY62" s="445"/>
      <c r="AZ62" s="445"/>
      <c r="BA62" s="445"/>
      <c r="BB62" s="445"/>
      <c r="BC62" s="445"/>
      <c r="BD62" s="445"/>
      <c r="BE62" s="445"/>
      <c r="BF62" s="445"/>
      <c r="BG62" s="445"/>
      <c r="BH62" s="445"/>
      <c r="BI62" s="445"/>
      <c r="BJ62" s="445"/>
      <c r="BK62" s="445"/>
      <c r="BL62" s="445"/>
      <c r="BM62" s="445"/>
      <c r="BN62" s="445"/>
      <c r="BO62" s="445"/>
      <c r="BP62" s="445"/>
      <c r="BQ62" s="445"/>
      <c r="BR62" s="445"/>
      <c r="BS62" s="445"/>
      <c r="BT62" s="445"/>
      <c r="BU62" s="445"/>
      <c r="BV62" s="445"/>
      <c r="BW62" s="445"/>
      <c r="BX62" s="445"/>
      <c r="BY62" s="445"/>
      <c r="BZ62" s="445"/>
      <c r="CA62" s="445"/>
      <c r="CB62" s="445"/>
      <c r="CC62" s="445"/>
      <c r="CD62" s="445"/>
      <c r="CE62" s="445"/>
      <c r="CF62" s="445"/>
      <c r="CG62" s="445"/>
      <c r="CH62" s="445"/>
      <c r="CI62" s="445"/>
      <c r="CJ62" s="445"/>
      <c r="CK62" s="445"/>
      <c r="CL62" s="445"/>
      <c r="CM62" s="445"/>
      <c r="CN62" s="445"/>
      <c r="CO62" s="445"/>
      <c r="CP62" s="445"/>
      <c r="CQ62" s="445"/>
      <c r="CR62" s="445"/>
      <c r="CS62" s="445"/>
      <c r="CT62" s="445"/>
      <c r="CU62" s="445"/>
      <c r="CV62" s="445"/>
      <c r="CW62" s="445"/>
      <c r="CX62" s="445"/>
      <c r="CY62" s="445"/>
      <c r="CZ62" s="445"/>
      <c r="DA62" s="445"/>
      <c r="DB62" s="445"/>
      <c r="DC62" s="445"/>
      <c r="DD62" s="445"/>
      <c r="DE62" s="445"/>
      <c r="DF62" s="445"/>
      <c r="DG62" s="445"/>
      <c r="DH62" s="445"/>
      <c r="DI62" s="445"/>
      <c r="DJ62" s="445"/>
      <c r="DK62" s="445"/>
      <c r="DL62" s="445"/>
      <c r="DM62" s="445"/>
      <c r="DN62" s="445"/>
      <c r="DO62" s="445"/>
      <c r="DP62" s="445"/>
      <c r="DQ62" s="445"/>
      <c r="DR62" s="445"/>
      <c r="DS62" s="445"/>
      <c r="DT62" s="445"/>
      <c r="DU62" s="445"/>
      <c r="DV62" s="445"/>
      <c r="DW62" s="445"/>
      <c r="DX62" s="445"/>
      <c r="DY62" s="445"/>
      <c r="DZ62" s="445"/>
      <c r="EA62" s="445"/>
      <c r="EB62" s="445"/>
      <c r="EC62" s="445"/>
      <c r="ED62" s="445"/>
      <c r="EE62" s="445"/>
      <c r="EF62" s="445"/>
      <c r="EG62" s="445"/>
      <c r="EH62" s="445"/>
      <c r="EI62" s="445"/>
      <c r="EJ62" s="445"/>
      <c r="EK62" s="445"/>
      <c r="EL62" s="445"/>
      <c r="EM62" s="445"/>
      <c r="EN62" s="445"/>
      <c r="EO62" s="445"/>
      <c r="EP62" s="445"/>
      <c r="EQ62" s="445"/>
      <c r="ER62" s="445"/>
      <c r="ES62" s="445"/>
      <c r="ET62" s="445"/>
      <c r="EU62" s="445"/>
      <c r="EV62" s="445"/>
      <c r="EW62" s="445"/>
      <c r="EX62" s="445"/>
      <c r="EY62" s="445"/>
      <c r="EZ62" s="445"/>
      <c r="FA62" s="445"/>
      <c r="FB62" s="445"/>
      <c r="FC62" s="445"/>
      <c r="FD62" s="445"/>
      <c r="FE62" s="445"/>
      <c r="FF62" s="445"/>
      <c r="FG62" s="445"/>
      <c r="FH62" s="445"/>
      <c r="FI62" s="445"/>
      <c r="FJ62" s="445"/>
      <c r="FK62" s="445"/>
      <c r="FL62" s="445"/>
      <c r="FM62" s="445"/>
      <c r="FN62" s="445"/>
      <c r="FO62" s="445"/>
      <c r="FP62" s="445"/>
      <c r="FQ62" s="445"/>
      <c r="FR62" s="445"/>
      <c r="FS62" s="445"/>
      <c r="FT62" s="445"/>
      <c r="FU62" s="445"/>
      <c r="FV62" s="445"/>
      <c r="FW62" s="445"/>
      <c r="FX62" s="445"/>
      <c r="FY62" s="445"/>
      <c r="FZ62" s="445"/>
      <c r="GA62" s="445"/>
      <c r="GB62" s="445"/>
      <c r="GC62" s="445"/>
      <c r="GD62" s="445"/>
      <c r="GE62" s="445"/>
      <c r="GF62" s="445"/>
      <c r="GG62" s="445"/>
      <c r="GH62" s="445"/>
      <c r="GI62" s="445"/>
      <c r="GJ62" s="445"/>
      <c r="GK62" s="445"/>
      <c r="GL62" s="445"/>
      <c r="GM62" s="445"/>
      <c r="GN62" s="445"/>
      <c r="GO62" s="445"/>
      <c r="GP62" s="445"/>
      <c r="GQ62" s="445"/>
      <c r="GR62" s="445"/>
      <c r="GS62" s="445"/>
      <c r="GT62" s="445"/>
      <c r="GU62" s="445"/>
      <c r="GV62" s="445"/>
      <c r="GW62" s="445"/>
      <c r="GX62" s="445"/>
      <c r="GY62" s="445"/>
      <c r="GZ62" s="445"/>
      <c r="HA62" s="445"/>
      <c r="HB62" s="445"/>
      <c r="HC62" s="445"/>
      <c r="HD62" s="445"/>
      <c r="HE62" s="445"/>
      <c r="HF62" s="445"/>
      <c r="HG62" s="445"/>
      <c r="HH62" s="445"/>
      <c r="HI62" s="445"/>
      <c r="HJ62" s="445"/>
      <c r="HK62" s="445"/>
      <c r="HL62" s="445"/>
      <c r="HM62" s="445"/>
      <c r="HN62" s="445"/>
      <c r="HO62" s="445"/>
      <c r="HP62" s="445"/>
      <c r="HQ62" s="445"/>
      <c r="HR62" s="445"/>
      <c r="HS62" s="445"/>
      <c r="HT62" s="445"/>
      <c r="HU62" s="445"/>
      <c r="HV62" s="445"/>
      <c r="HW62" s="445"/>
      <c r="HX62" s="445"/>
      <c r="HY62" s="445"/>
      <c r="HZ62" s="445"/>
      <c r="IA62" s="445"/>
      <c r="IB62" s="445"/>
      <c r="IC62" s="445"/>
      <c r="ID62" s="445"/>
      <c r="IE62" s="445"/>
      <c r="IF62" s="445"/>
      <c r="IG62" s="445"/>
      <c r="IH62" s="445"/>
      <c r="II62" s="445"/>
      <c r="IJ62" s="445"/>
      <c r="IK62" s="445"/>
      <c r="IL62" s="445"/>
      <c r="IM62" s="445"/>
      <c r="IN62" s="445"/>
      <c r="IO62" s="445"/>
      <c r="IP62" s="445"/>
      <c r="IQ62" s="445"/>
      <c r="IR62" s="445"/>
      <c r="IS62" s="445"/>
      <c r="IT62" s="445"/>
      <c r="IU62" s="445"/>
      <c r="IV62" s="445"/>
      <c r="IW62" s="445"/>
    </row>
    <row r="63" customFormat="false" ht="20.15" hidden="false" customHeight="true" outlineLevel="0" collapsed="false">
      <c r="A63" s="372" t="s">
        <v>130</v>
      </c>
      <c r="B63" s="379" t="n">
        <f aca="false">AVERAGE(B50:B61)</f>
        <v>360</v>
      </c>
      <c r="C63" s="267" t="n">
        <f aca="false">AVERAGE(C50:C61)</f>
        <v>3070</v>
      </c>
      <c r="D63" s="379" t="n">
        <f aca="false">AVERAGE(D50:D61)</f>
        <v>2858.33333333333</v>
      </c>
      <c r="E63" s="267" t="n">
        <f aca="false">AVERAGE(E50:E61)</f>
        <v>1116</v>
      </c>
      <c r="F63" s="466" t="n">
        <f aca="false">AVERAGE(F50:F61)</f>
        <v>3189900</v>
      </c>
      <c r="G63" s="379" t="n">
        <f aca="false">AVERAGE(G50:G61)</f>
        <v>1216</v>
      </c>
      <c r="H63" s="267" t="n">
        <f aca="false">AVERAGE(H50:H61)</f>
        <v>1300</v>
      </c>
      <c r="I63" s="466" t="n">
        <f aca="false">AVERAGE(I50:I61)</f>
        <v>1317333.33333333</v>
      </c>
      <c r="J63" s="377" t="n">
        <f aca="false">AVERAGE(J50:J61)</f>
        <v>16298</v>
      </c>
      <c r="K63" s="267" t="n">
        <f aca="false">AVERAGE(K50:K61)</f>
        <v>295</v>
      </c>
      <c r="L63" s="467" t="n">
        <f aca="false">AVERAGE(L50:L61)</f>
        <v>4006591.66666667</v>
      </c>
      <c r="M63" s="377" t="n">
        <f aca="false">AVERAGE(M50:M61)</f>
        <v>10105.5</v>
      </c>
      <c r="N63" s="267" t="n">
        <f aca="false">AVERAGE(N50:N61)</f>
        <v>140</v>
      </c>
      <c r="O63" s="467" t="n">
        <f aca="false">AVERAGE(O50:O61)</f>
        <v>1178975</v>
      </c>
      <c r="P63" s="377" t="n">
        <f aca="false">AVERAGE(P50:P61)</f>
        <v>0</v>
      </c>
      <c r="Q63" s="267" t="n">
        <f aca="false">AVERAGE(Q50:Q61)</f>
        <v>1650</v>
      </c>
      <c r="R63" s="467" t="n">
        <f aca="false">AVERAGE(R50:R61)</f>
        <v>0</v>
      </c>
      <c r="S63" s="377" t="n">
        <f aca="false">AVERAGE(S50:S61)</f>
        <v>0</v>
      </c>
      <c r="T63" s="267" t="n">
        <f aca="false">AVERAGE(T50:T61)</f>
        <v>2500</v>
      </c>
      <c r="U63" s="467" t="n">
        <f aca="false">AVERAGE(U50:U61)</f>
        <v>0</v>
      </c>
      <c r="V63" s="468" t="n">
        <f aca="false">AVERAGE(V50:V61)</f>
        <v>9692800</v>
      </c>
      <c r="W63" s="445"/>
      <c r="X63" s="445"/>
      <c r="Y63" s="445"/>
      <c r="Z63" s="445"/>
      <c r="AA63" s="445"/>
      <c r="AB63" s="445"/>
      <c r="AC63" s="445"/>
      <c r="AD63" s="445"/>
      <c r="AE63" s="445"/>
      <c r="AF63" s="445"/>
      <c r="AG63" s="445"/>
      <c r="AH63" s="445"/>
      <c r="AI63" s="445"/>
      <c r="AJ63" s="445"/>
      <c r="AK63" s="445"/>
      <c r="AL63" s="445"/>
      <c r="AM63" s="445"/>
      <c r="AN63" s="445"/>
      <c r="AO63" s="445"/>
      <c r="AP63" s="445"/>
      <c r="AQ63" s="445"/>
      <c r="AR63" s="445"/>
      <c r="AS63" s="445"/>
      <c r="AT63" s="445"/>
      <c r="AU63" s="445"/>
      <c r="AV63" s="445"/>
      <c r="AW63" s="445"/>
      <c r="AX63" s="445"/>
      <c r="AY63" s="445"/>
      <c r="AZ63" s="445"/>
      <c r="BA63" s="445"/>
      <c r="BB63" s="445"/>
      <c r="BC63" s="445"/>
      <c r="BD63" s="445"/>
      <c r="BE63" s="445"/>
      <c r="BF63" s="445"/>
      <c r="BG63" s="445"/>
      <c r="BH63" s="445"/>
      <c r="BI63" s="445"/>
      <c r="BJ63" s="445"/>
      <c r="BK63" s="445"/>
      <c r="BL63" s="445"/>
      <c r="BM63" s="445"/>
      <c r="BN63" s="445"/>
      <c r="BO63" s="445"/>
      <c r="BP63" s="445"/>
      <c r="BQ63" s="445"/>
      <c r="BR63" s="445"/>
      <c r="BS63" s="445"/>
      <c r="BT63" s="445"/>
      <c r="BU63" s="445"/>
      <c r="BV63" s="445"/>
      <c r="BW63" s="445"/>
      <c r="BX63" s="445"/>
      <c r="BY63" s="445"/>
      <c r="BZ63" s="445"/>
      <c r="CA63" s="445"/>
      <c r="CB63" s="445"/>
      <c r="CC63" s="445"/>
      <c r="CD63" s="445"/>
      <c r="CE63" s="445"/>
      <c r="CF63" s="445"/>
      <c r="CG63" s="445"/>
      <c r="CH63" s="445"/>
      <c r="CI63" s="445"/>
      <c r="CJ63" s="445"/>
      <c r="CK63" s="445"/>
      <c r="CL63" s="445"/>
      <c r="CM63" s="445"/>
      <c r="CN63" s="445"/>
      <c r="CO63" s="445"/>
      <c r="CP63" s="445"/>
      <c r="CQ63" s="445"/>
      <c r="CR63" s="445"/>
      <c r="CS63" s="445"/>
      <c r="CT63" s="445"/>
      <c r="CU63" s="445"/>
      <c r="CV63" s="445"/>
      <c r="CW63" s="445"/>
      <c r="CX63" s="445"/>
      <c r="CY63" s="445"/>
      <c r="CZ63" s="445"/>
      <c r="DA63" s="445"/>
      <c r="DB63" s="445"/>
      <c r="DC63" s="445"/>
      <c r="DD63" s="445"/>
      <c r="DE63" s="445"/>
      <c r="DF63" s="445"/>
      <c r="DG63" s="445"/>
      <c r="DH63" s="445"/>
      <c r="DI63" s="445"/>
      <c r="DJ63" s="445"/>
      <c r="DK63" s="445"/>
      <c r="DL63" s="445"/>
      <c r="DM63" s="445"/>
      <c r="DN63" s="445"/>
      <c r="DO63" s="445"/>
      <c r="DP63" s="445"/>
      <c r="DQ63" s="445"/>
      <c r="DR63" s="445"/>
      <c r="DS63" s="445"/>
      <c r="DT63" s="445"/>
      <c r="DU63" s="445"/>
      <c r="DV63" s="445"/>
      <c r="DW63" s="445"/>
      <c r="DX63" s="445"/>
      <c r="DY63" s="445"/>
      <c r="DZ63" s="445"/>
      <c r="EA63" s="445"/>
      <c r="EB63" s="445"/>
      <c r="EC63" s="445"/>
      <c r="ED63" s="445"/>
      <c r="EE63" s="445"/>
      <c r="EF63" s="445"/>
      <c r="EG63" s="445"/>
      <c r="EH63" s="445"/>
      <c r="EI63" s="445"/>
      <c r="EJ63" s="445"/>
      <c r="EK63" s="445"/>
      <c r="EL63" s="445"/>
      <c r="EM63" s="445"/>
      <c r="EN63" s="445"/>
      <c r="EO63" s="445"/>
      <c r="EP63" s="445"/>
      <c r="EQ63" s="445"/>
      <c r="ER63" s="445"/>
      <c r="ES63" s="445"/>
      <c r="ET63" s="445"/>
      <c r="EU63" s="445"/>
      <c r="EV63" s="445"/>
      <c r="EW63" s="445"/>
      <c r="EX63" s="445"/>
      <c r="EY63" s="445"/>
      <c r="EZ63" s="445"/>
      <c r="FA63" s="445"/>
      <c r="FB63" s="445"/>
      <c r="FC63" s="445"/>
      <c r="FD63" s="445"/>
      <c r="FE63" s="445"/>
      <c r="FF63" s="445"/>
      <c r="FG63" s="445"/>
      <c r="FH63" s="445"/>
      <c r="FI63" s="445"/>
      <c r="FJ63" s="445"/>
      <c r="FK63" s="445"/>
      <c r="FL63" s="445"/>
      <c r="FM63" s="445"/>
      <c r="FN63" s="445"/>
      <c r="FO63" s="445"/>
      <c r="FP63" s="445"/>
      <c r="FQ63" s="445"/>
      <c r="FR63" s="445"/>
      <c r="FS63" s="445"/>
      <c r="FT63" s="445"/>
      <c r="FU63" s="445"/>
      <c r="FV63" s="445"/>
      <c r="FW63" s="445"/>
      <c r="FX63" s="445"/>
      <c r="FY63" s="445"/>
      <c r="FZ63" s="445"/>
      <c r="GA63" s="445"/>
      <c r="GB63" s="445"/>
      <c r="GC63" s="445"/>
      <c r="GD63" s="445"/>
      <c r="GE63" s="445"/>
      <c r="GF63" s="445"/>
      <c r="GG63" s="445"/>
      <c r="GH63" s="445"/>
      <c r="GI63" s="445"/>
      <c r="GJ63" s="445"/>
      <c r="GK63" s="445"/>
      <c r="GL63" s="445"/>
      <c r="GM63" s="445"/>
      <c r="GN63" s="445"/>
      <c r="GO63" s="445"/>
      <c r="GP63" s="445"/>
      <c r="GQ63" s="445"/>
      <c r="GR63" s="445"/>
      <c r="GS63" s="445"/>
      <c r="GT63" s="445"/>
      <c r="GU63" s="445"/>
      <c r="GV63" s="445"/>
      <c r="GW63" s="445"/>
      <c r="GX63" s="445"/>
      <c r="GY63" s="445"/>
      <c r="GZ63" s="445"/>
      <c r="HA63" s="445"/>
      <c r="HB63" s="445"/>
      <c r="HC63" s="445"/>
      <c r="HD63" s="445"/>
      <c r="HE63" s="445"/>
      <c r="HF63" s="445"/>
      <c r="HG63" s="445"/>
      <c r="HH63" s="445"/>
      <c r="HI63" s="445"/>
      <c r="HJ63" s="445"/>
      <c r="HK63" s="445"/>
      <c r="HL63" s="445"/>
      <c r="HM63" s="445"/>
      <c r="HN63" s="445"/>
      <c r="HO63" s="445"/>
      <c r="HP63" s="445"/>
      <c r="HQ63" s="445"/>
      <c r="HR63" s="445"/>
      <c r="HS63" s="445"/>
      <c r="HT63" s="445"/>
      <c r="HU63" s="445"/>
      <c r="HV63" s="445"/>
      <c r="HW63" s="445"/>
      <c r="HX63" s="445"/>
      <c r="HY63" s="445"/>
      <c r="HZ63" s="445"/>
      <c r="IA63" s="445"/>
      <c r="IB63" s="445"/>
      <c r="IC63" s="445"/>
      <c r="ID63" s="445"/>
      <c r="IE63" s="445"/>
      <c r="IF63" s="445"/>
      <c r="IG63" s="445"/>
      <c r="IH63" s="445"/>
      <c r="II63" s="445"/>
      <c r="IJ63" s="445"/>
      <c r="IK63" s="445"/>
      <c r="IL63" s="445"/>
      <c r="IM63" s="445"/>
      <c r="IN63" s="445"/>
      <c r="IO63" s="445"/>
      <c r="IP63" s="445"/>
      <c r="IQ63" s="445"/>
      <c r="IR63" s="445"/>
      <c r="IS63" s="445"/>
      <c r="IT63" s="445"/>
      <c r="IU63" s="445"/>
      <c r="IV63" s="445"/>
      <c r="IW63" s="445"/>
    </row>
  </sheetData>
  <mergeCells count="42">
    <mergeCell ref="A3:A5"/>
    <mergeCell ref="B3:D3"/>
    <mergeCell ref="E3:F3"/>
    <mergeCell ref="G3:H3"/>
    <mergeCell ref="I3:K3"/>
    <mergeCell ref="L3:N3"/>
    <mergeCell ref="O3:W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R4"/>
    <mergeCell ref="S4:U4"/>
    <mergeCell ref="V4:V5"/>
    <mergeCell ref="W4:W5"/>
    <mergeCell ref="A24:A26"/>
    <mergeCell ref="B24:AB24"/>
    <mergeCell ref="B25:C25"/>
    <mergeCell ref="D25:I25"/>
    <mergeCell ref="J25:M25"/>
    <mergeCell ref="N25:R25"/>
    <mergeCell ref="S25:U25"/>
    <mergeCell ref="V25:Y25"/>
    <mergeCell ref="Z25:Z26"/>
    <mergeCell ref="AA25:AB25"/>
    <mergeCell ref="A48:A49"/>
    <mergeCell ref="B48:F48"/>
    <mergeCell ref="G48:I48"/>
    <mergeCell ref="J48:L48"/>
    <mergeCell ref="M48:O48"/>
    <mergeCell ref="P48:R48"/>
    <mergeCell ref="S48:U48"/>
  </mergeCells>
  <printOptions headings="false" gridLines="false" gridLinesSet="true" horizontalCentered="false" verticalCentered="false"/>
  <pageMargins left="0.433333333333333" right="0.354166666666667" top="0.39375" bottom="0.43333333333333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66015625" defaultRowHeight="16" customHeight="false" zeroHeight="false" outlineLevelRow="0" outlineLevelCol="0"/>
  <cols>
    <col collapsed="false" customWidth="true" hidden="false" outlineLevel="0" max="1" min="1" style="469" width="4.83"/>
    <col collapsed="false" customWidth="true" hidden="false" outlineLevel="0" max="2" min="2" style="469" width="6.99"/>
    <col collapsed="false" customWidth="true" hidden="false" outlineLevel="0" max="3" min="3" style="469" width="10.9"/>
    <col collapsed="false" customWidth="true" hidden="false" outlineLevel="0" max="4" min="4" style="469" width="50.24"/>
    <col collapsed="false" customWidth="true" hidden="false" outlineLevel="0" max="5" min="5" style="469" width="50.66"/>
    <col collapsed="false" customWidth="true" hidden="false" outlineLevel="0" max="6" min="6" style="469" width="11.49"/>
    <col collapsed="false" customWidth="true" hidden="false" outlineLevel="0" max="7" min="7" style="469" width="14.33"/>
    <col collapsed="false" customWidth="true" hidden="false" outlineLevel="0" max="8" min="8" style="469" width="49.66"/>
    <col collapsed="false" customWidth="false" hidden="false" outlineLevel="0" max="257" min="9" style="469" width="8.65"/>
  </cols>
  <sheetData>
    <row r="2" customFormat="false" ht="17" hidden="false" customHeight="false" outlineLevel="0" collapsed="false">
      <c r="A2" s="470"/>
      <c r="B2" s="471" t="s">
        <v>202</v>
      </c>
      <c r="C2" s="472"/>
      <c r="D2" s="471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  <c r="AM2" s="470"/>
      <c r="AN2" s="470"/>
      <c r="AO2" s="470"/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  <c r="BA2" s="470"/>
      <c r="BB2" s="470"/>
      <c r="BC2" s="470"/>
      <c r="BD2" s="470"/>
      <c r="BE2" s="470"/>
      <c r="BF2" s="470"/>
      <c r="BG2" s="470"/>
      <c r="BH2" s="470"/>
      <c r="BI2" s="470"/>
      <c r="BJ2" s="470"/>
      <c r="BK2" s="470"/>
      <c r="BL2" s="470"/>
      <c r="BM2" s="470"/>
      <c r="BN2" s="470"/>
      <c r="BO2" s="470"/>
      <c r="BP2" s="470"/>
      <c r="BQ2" s="470"/>
      <c r="BR2" s="470"/>
      <c r="BS2" s="470"/>
      <c r="BT2" s="470"/>
      <c r="BU2" s="470"/>
      <c r="BV2" s="470"/>
      <c r="BW2" s="470"/>
      <c r="BX2" s="470"/>
      <c r="BY2" s="470"/>
      <c r="BZ2" s="470"/>
      <c r="CA2" s="470"/>
      <c r="CB2" s="470"/>
      <c r="CC2" s="470"/>
      <c r="CD2" s="470"/>
      <c r="CE2" s="470"/>
      <c r="CF2" s="470"/>
      <c r="CG2" s="470"/>
      <c r="CH2" s="470"/>
      <c r="CI2" s="470"/>
      <c r="CJ2" s="470"/>
      <c r="CK2" s="470"/>
      <c r="CL2" s="470"/>
      <c r="CM2" s="470"/>
      <c r="CN2" s="470"/>
      <c r="CO2" s="470"/>
      <c r="CP2" s="470"/>
      <c r="CQ2" s="470"/>
      <c r="CR2" s="470"/>
      <c r="CS2" s="470"/>
      <c r="CT2" s="470"/>
      <c r="CU2" s="470"/>
      <c r="CV2" s="470"/>
      <c r="CW2" s="470"/>
      <c r="CX2" s="470"/>
      <c r="CY2" s="470"/>
      <c r="CZ2" s="470"/>
      <c r="DA2" s="470"/>
      <c r="DB2" s="470"/>
      <c r="DC2" s="470"/>
      <c r="DD2" s="470"/>
      <c r="DE2" s="470"/>
      <c r="DF2" s="470"/>
      <c r="DG2" s="470"/>
      <c r="DH2" s="470"/>
      <c r="DI2" s="470"/>
      <c r="DJ2" s="470"/>
      <c r="DK2" s="470"/>
      <c r="DL2" s="470"/>
      <c r="DM2" s="470"/>
      <c r="DN2" s="470"/>
      <c r="DO2" s="470"/>
      <c r="DP2" s="470"/>
      <c r="DQ2" s="470"/>
      <c r="DR2" s="470"/>
      <c r="DS2" s="470"/>
      <c r="DT2" s="470"/>
      <c r="DU2" s="470"/>
      <c r="DV2" s="470"/>
      <c r="DW2" s="470"/>
      <c r="DX2" s="470"/>
      <c r="DY2" s="470"/>
      <c r="DZ2" s="470"/>
      <c r="EA2" s="470"/>
      <c r="EB2" s="470"/>
      <c r="EC2" s="470"/>
      <c r="ED2" s="470"/>
      <c r="EE2" s="470"/>
      <c r="EF2" s="470"/>
      <c r="EG2" s="470"/>
      <c r="EH2" s="470"/>
      <c r="EI2" s="470"/>
      <c r="EJ2" s="470"/>
      <c r="EK2" s="470"/>
      <c r="EL2" s="470"/>
      <c r="EM2" s="470"/>
      <c r="EN2" s="470"/>
      <c r="EO2" s="470"/>
      <c r="EP2" s="470"/>
      <c r="EQ2" s="470"/>
      <c r="ER2" s="470"/>
      <c r="ES2" s="470"/>
      <c r="ET2" s="470"/>
      <c r="EU2" s="470"/>
      <c r="EV2" s="470"/>
      <c r="EW2" s="470"/>
      <c r="EX2" s="470"/>
      <c r="EY2" s="470"/>
      <c r="EZ2" s="470"/>
      <c r="FA2" s="470"/>
      <c r="FB2" s="470"/>
      <c r="FC2" s="470"/>
      <c r="FD2" s="470"/>
      <c r="FE2" s="470"/>
      <c r="FF2" s="470"/>
      <c r="FG2" s="470"/>
      <c r="FH2" s="470"/>
      <c r="FI2" s="470"/>
      <c r="FJ2" s="470"/>
      <c r="FK2" s="470"/>
      <c r="FL2" s="470"/>
      <c r="FM2" s="470"/>
      <c r="FN2" s="470"/>
      <c r="FO2" s="470"/>
      <c r="FP2" s="470"/>
      <c r="FQ2" s="470"/>
      <c r="FR2" s="470"/>
      <c r="FS2" s="470"/>
      <c r="FT2" s="470"/>
      <c r="FU2" s="470"/>
      <c r="FV2" s="470"/>
      <c r="FW2" s="470"/>
      <c r="FX2" s="470"/>
      <c r="FY2" s="470"/>
      <c r="FZ2" s="470"/>
      <c r="GA2" s="470"/>
      <c r="GB2" s="470"/>
      <c r="GC2" s="470"/>
      <c r="GD2" s="470"/>
      <c r="GE2" s="470"/>
      <c r="GF2" s="470"/>
      <c r="GG2" s="470"/>
      <c r="GH2" s="470"/>
      <c r="GI2" s="470"/>
      <c r="GJ2" s="470"/>
      <c r="GK2" s="470"/>
      <c r="GL2" s="470"/>
      <c r="GM2" s="470"/>
      <c r="GN2" s="470"/>
      <c r="GO2" s="470"/>
      <c r="GP2" s="470"/>
      <c r="GQ2" s="470"/>
      <c r="GR2" s="470"/>
      <c r="GS2" s="470"/>
      <c r="GT2" s="470"/>
      <c r="GU2" s="470"/>
      <c r="GV2" s="470"/>
      <c r="GW2" s="470"/>
      <c r="GX2" s="470"/>
      <c r="GY2" s="470"/>
      <c r="GZ2" s="470"/>
      <c r="HA2" s="470"/>
      <c r="HB2" s="470"/>
      <c r="HC2" s="470"/>
      <c r="HD2" s="470"/>
      <c r="HE2" s="470"/>
      <c r="HF2" s="470"/>
      <c r="HG2" s="470"/>
      <c r="HH2" s="470"/>
      <c r="HI2" s="470"/>
      <c r="HJ2" s="470"/>
      <c r="HK2" s="470"/>
      <c r="HL2" s="470"/>
      <c r="HM2" s="470"/>
      <c r="HN2" s="470"/>
      <c r="HO2" s="470"/>
      <c r="HP2" s="470"/>
      <c r="HQ2" s="470"/>
      <c r="HR2" s="470"/>
      <c r="HS2" s="470"/>
      <c r="HT2" s="470"/>
      <c r="HU2" s="470"/>
      <c r="HV2" s="470"/>
      <c r="HW2" s="470"/>
      <c r="HX2" s="470"/>
      <c r="HY2" s="470"/>
      <c r="HZ2" s="470"/>
      <c r="IA2" s="470"/>
      <c r="IB2" s="470"/>
      <c r="IC2" s="470"/>
      <c r="ID2" s="470"/>
      <c r="IE2" s="470"/>
      <c r="IF2" s="470"/>
      <c r="IG2" s="470"/>
      <c r="IH2" s="470"/>
      <c r="II2" s="470"/>
      <c r="IJ2" s="470"/>
      <c r="IK2" s="470"/>
      <c r="IL2" s="470"/>
      <c r="IM2" s="470"/>
      <c r="IN2" s="470"/>
      <c r="IO2" s="470"/>
      <c r="IP2" s="470"/>
      <c r="IQ2" s="470"/>
      <c r="IR2" s="470"/>
      <c r="IS2" s="470"/>
      <c r="IT2" s="470"/>
      <c r="IU2" s="470"/>
      <c r="IV2" s="470"/>
      <c r="IW2" s="470"/>
    </row>
    <row r="4" customFormat="false" ht="19" hidden="false" customHeight="true" outlineLevel="0" collapsed="false">
      <c r="B4" s="469" t="s">
        <v>203</v>
      </c>
      <c r="C4" s="469" t="s">
        <v>204</v>
      </c>
      <c r="D4" s="469" t="s">
        <v>205</v>
      </c>
      <c r="E4" s="469" t="s">
        <v>206</v>
      </c>
      <c r="F4" s="469" t="s">
        <v>12</v>
      </c>
      <c r="G4" s="469" t="s">
        <v>207</v>
      </c>
      <c r="H4" s="469" t="s">
        <v>208</v>
      </c>
    </row>
    <row r="5" customFormat="false" ht="16.5" hidden="false" customHeight="false" outlineLevel="0" collapsed="false">
      <c r="B5" s="473" t="n">
        <v>1</v>
      </c>
      <c r="C5" s="474" t="n">
        <v>45704</v>
      </c>
      <c r="D5" s="473" t="s">
        <v>209</v>
      </c>
      <c r="E5" s="473" t="s">
        <v>210</v>
      </c>
      <c r="F5" s="473" t="n">
        <v>10.8</v>
      </c>
      <c r="G5" s="475" t="n">
        <v>7.3</v>
      </c>
      <c r="H5" s="473" t="s">
        <v>211</v>
      </c>
    </row>
    <row r="6" customFormat="false" ht="16" hidden="false" customHeight="false" outlineLevel="0" collapsed="false">
      <c r="B6" s="476" t="n">
        <v>2</v>
      </c>
      <c r="C6" s="477" t="s">
        <v>212</v>
      </c>
      <c r="D6" s="478" t="s">
        <v>213</v>
      </c>
      <c r="E6" s="476"/>
      <c r="F6" s="479" t="n">
        <v>33.5</v>
      </c>
      <c r="G6" s="480" t="n">
        <v>8.9</v>
      </c>
      <c r="H6" s="476" t="s">
        <v>211</v>
      </c>
    </row>
    <row r="7" customFormat="false" ht="16" hidden="false" customHeight="false" outlineLevel="0" collapsed="false">
      <c r="B7" s="476" t="n">
        <v>3</v>
      </c>
      <c r="C7" s="477" t="n">
        <v>45764</v>
      </c>
      <c r="D7" s="476" t="s">
        <v>214</v>
      </c>
      <c r="E7" s="476" t="s">
        <v>215</v>
      </c>
      <c r="F7" s="479" t="n">
        <v>33</v>
      </c>
      <c r="G7" s="481" t="n">
        <v>0</v>
      </c>
      <c r="H7" s="476" t="s">
        <v>216</v>
      </c>
    </row>
    <row r="8" customFormat="false" ht="16" hidden="false" customHeight="false" outlineLevel="0" collapsed="false">
      <c r="B8" s="476" t="n">
        <v>4</v>
      </c>
      <c r="C8" s="477" t="s">
        <v>217</v>
      </c>
      <c r="D8" s="476" t="s">
        <v>214</v>
      </c>
      <c r="E8" s="476" t="s">
        <v>218</v>
      </c>
      <c r="F8" s="476" t="n">
        <v>59.5</v>
      </c>
      <c r="G8" s="481" t="n">
        <v>25</v>
      </c>
      <c r="H8" s="476" t="s">
        <v>211</v>
      </c>
    </row>
    <row r="9" customFormat="false" ht="16" hidden="false" customHeight="false" outlineLevel="0" collapsed="false">
      <c r="B9" s="476" t="n">
        <v>5</v>
      </c>
      <c r="C9" s="477" t="n">
        <v>45843</v>
      </c>
      <c r="D9" s="476" t="s">
        <v>214</v>
      </c>
      <c r="E9" s="476" t="s">
        <v>219</v>
      </c>
      <c r="F9" s="479" t="n">
        <v>11</v>
      </c>
      <c r="G9" s="481" t="n">
        <v>1.4</v>
      </c>
      <c r="H9" s="476" t="s">
        <v>211</v>
      </c>
    </row>
    <row r="10" customFormat="false" ht="16" hidden="false" customHeight="false" outlineLevel="0" collapsed="false">
      <c r="B10" s="476" t="n">
        <v>6</v>
      </c>
      <c r="C10" s="477" t="s">
        <v>220</v>
      </c>
      <c r="D10" s="476" t="s">
        <v>221</v>
      </c>
      <c r="E10" s="476" t="s">
        <v>222</v>
      </c>
      <c r="F10" s="479" t="n">
        <v>31</v>
      </c>
      <c r="G10" s="481" t="n">
        <v>0</v>
      </c>
      <c r="H10" s="476" t="s">
        <v>223</v>
      </c>
    </row>
    <row r="11" customFormat="false" ht="16" hidden="false" customHeight="false" outlineLevel="0" collapsed="false">
      <c r="B11" s="476" t="n">
        <v>7</v>
      </c>
      <c r="C11" s="477" t="n">
        <v>45860</v>
      </c>
      <c r="D11" s="476" t="s">
        <v>224</v>
      </c>
      <c r="E11" s="476" t="s">
        <v>225</v>
      </c>
      <c r="F11" s="479" t="n">
        <v>13</v>
      </c>
      <c r="G11" s="481"/>
      <c r="H11" s="476" t="s">
        <v>211</v>
      </c>
    </row>
    <row r="12" customFormat="false" ht="16" hidden="false" customHeight="false" outlineLevel="0" collapsed="false">
      <c r="B12" s="476" t="n">
        <v>8</v>
      </c>
      <c r="C12" s="477" t="n">
        <v>45947</v>
      </c>
      <c r="D12" s="476" t="s">
        <v>226</v>
      </c>
      <c r="E12" s="476" t="s">
        <v>227</v>
      </c>
      <c r="F12" s="479" t="n">
        <v>15.8</v>
      </c>
      <c r="G12" s="481" t="n">
        <v>9.1</v>
      </c>
      <c r="H12" s="476"/>
    </row>
    <row r="13" customFormat="false" ht="16" hidden="false" customHeight="false" outlineLevel="0" collapsed="false">
      <c r="B13" s="476" t="n">
        <v>9</v>
      </c>
      <c r="C13" s="477" t="s">
        <v>228</v>
      </c>
      <c r="D13" s="476" t="s">
        <v>229</v>
      </c>
      <c r="E13" s="476" t="s">
        <v>230</v>
      </c>
      <c r="F13" s="479" t="n">
        <v>63</v>
      </c>
      <c r="G13" s="481" t="n">
        <v>35.8</v>
      </c>
      <c r="H13" s="476" t="s">
        <v>211</v>
      </c>
    </row>
    <row r="14" customFormat="false" ht="16" hidden="false" customHeight="false" outlineLevel="0" collapsed="false">
      <c r="B14" s="476" t="n">
        <v>10</v>
      </c>
      <c r="C14" s="477" t="n">
        <v>45959</v>
      </c>
      <c r="D14" s="476" t="s">
        <v>224</v>
      </c>
      <c r="E14" s="476" t="s">
        <v>231</v>
      </c>
      <c r="F14" s="479" t="n">
        <v>15</v>
      </c>
      <c r="G14" s="481" t="n">
        <v>0</v>
      </c>
      <c r="H14" s="476" t="s">
        <v>216</v>
      </c>
    </row>
    <row r="15" customFormat="false" ht="16.5" hidden="false" customHeight="false" outlineLevel="0" collapsed="false">
      <c r="B15" s="476"/>
      <c r="C15" s="477"/>
      <c r="D15" s="476"/>
      <c r="E15" s="476"/>
      <c r="F15" s="479"/>
      <c r="G15" s="481"/>
      <c r="H15" s="476"/>
    </row>
    <row r="16" customFormat="false" ht="16" hidden="false" customHeight="false" outlineLevel="0" collapsed="false">
      <c r="B16" s="482" t="s">
        <v>232</v>
      </c>
      <c r="C16" s="482" t="n">
        <f aca="false">COUNTA(C5:C10)</f>
        <v>6</v>
      </c>
      <c r="D16" s="483" t="s">
        <v>233</v>
      </c>
      <c r="E16" s="483"/>
      <c r="F16" s="483" t="n">
        <f aca="false">SUM(F5:F14)</f>
        <v>285.6</v>
      </c>
      <c r="G16" s="484" t="n">
        <f aca="false">SUM(G5:G14)</f>
        <v>87.5</v>
      </c>
      <c r="H16" s="483"/>
    </row>
    <row r="17" customFormat="false" ht="17.5" hidden="false" customHeight="true" outlineLevel="0" collapsed="false">
      <c r="B17" s="482"/>
      <c r="C17" s="482"/>
      <c r="D17" s="485" t="s">
        <v>234</v>
      </c>
      <c r="E17" s="485"/>
      <c r="F17" s="486" t="n">
        <f aca="false">F16/24</f>
        <v>11.9</v>
      </c>
      <c r="G17" s="484"/>
      <c r="H17" s="485"/>
    </row>
    <row r="18" customFormat="false" ht="16" hidden="false" customHeight="false" outlineLevel="0" collapsed="false">
      <c r="B18" s="476"/>
      <c r="C18" s="476"/>
      <c r="D18" s="476"/>
      <c r="E18" s="476"/>
      <c r="F18" s="476"/>
      <c r="G18" s="476"/>
      <c r="H18" s="476"/>
    </row>
    <row r="19" customFormat="false" ht="16" hidden="false" customHeight="false" outlineLevel="0" collapsed="false">
      <c r="B19" s="476"/>
      <c r="C19" s="476"/>
      <c r="D19" s="476"/>
      <c r="E19" s="476"/>
      <c r="F19" s="476"/>
      <c r="G19" s="476"/>
      <c r="H19" s="476"/>
    </row>
    <row r="20" customFormat="false" ht="16" hidden="false" customHeight="false" outlineLevel="0" collapsed="false">
      <c r="B20" s="476"/>
      <c r="C20" s="476"/>
      <c r="D20" s="476"/>
      <c r="E20" s="476"/>
      <c r="F20" s="476"/>
      <c r="G20" s="476"/>
      <c r="H20" s="476"/>
    </row>
    <row r="21" customFormat="false" ht="17" hidden="false" customHeight="false" outlineLevel="0" collapsed="false">
      <c r="B21" s="471" t="s">
        <v>235</v>
      </c>
      <c r="C21" s="471"/>
      <c r="D21" s="471"/>
      <c r="E21" s="476"/>
      <c r="F21" s="476"/>
      <c r="G21" s="476"/>
      <c r="H21" s="476"/>
    </row>
    <row r="22" customFormat="false" ht="16" hidden="false" customHeight="false" outlineLevel="0" collapsed="false">
      <c r="B22" s="476"/>
      <c r="C22" s="476"/>
      <c r="D22" s="476"/>
      <c r="E22" s="476"/>
      <c r="F22" s="476"/>
      <c r="G22" s="476"/>
      <c r="H22" s="476"/>
    </row>
    <row r="23" customFormat="false" ht="19" hidden="false" customHeight="true" outlineLevel="0" collapsed="false">
      <c r="B23" s="469" t="s">
        <v>203</v>
      </c>
      <c r="C23" s="469" t="s">
        <v>204</v>
      </c>
      <c r="D23" s="469" t="s">
        <v>205</v>
      </c>
      <c r="E23" s="469" t="s">
        <v>206</v>
      </c>
      <c r="F23" s="469" t="s">
        <v>12</v>
      </c>
      <c r="G23" s="476" t="s">
        <v>208</v>
      </c>
      <c r="H23" s="476"/>
    </row>
    <row r="24" customFormat="false" ht="16.5" hidden="false" customHeight="false" outlineLevel="0" collapsed="false">
      <c r="B24" s="473"/>
      <c r="C24" s="473"/>
      <c r="D24" s="473"/>
      <c r="E24" s="473"/>
      <c r="F24" s="487"/>
      <c r="G24" s="473"/>
      <c r="H24" s="473"/>
    </row>
    <row r="25" customFormat="false" ht="16" hidden="false" customHeight="false" outlineLevel="0" collapsed="false">
      <c r="B25" s="476"/>
      <c r="C25" s="476"/>
      <c r="D25" s="476"/>
      <c r="E25" s="476"/>
      <c r="F25" s="488"/>
      <c r="G25" s="476"/>
    </row>
    <row r="26" customFormat="false" ht="16" hidden="false" customHeight="false" outlineLevel="0" collapsed="false">
      <c r="B26" s="476"/>
      <c r="C26" s="476"/>
      <c r="D26" s="476"/>
      <c r="E26" s="476"/>
      <c r="F26" s="479"/>
      <c r="G26" s="476"/>
    </row>
    <row r="27" customFormat="false" ht="16" hidden="false" customHeight="false" outlineLevel="0" collapsed="false">
      <c r="B27" s="476"/>
      <c r="C27" s="477"/>
      <c r="D27" s="476"/>
      <c r="E27" s="476"/>
      <c r="F27" s="479"/>
      <c r="G27" s="476"/>
    </row>
    <row r="28" customFormat="false" ht="16" hidden="false" customHeight="false" outlineLevel="0" collapsed="false">
      <c r="B28" s="476"/>
      <c r="C28" s="477"/>
      <c r="D28" s="476"/>
      <c r="E28" s="476"/>
      <c r="F28" s="479"/>
      <c r="G28" s="476"/>
    </row>
    <row r="29" customFormat="false" ht="16" hidden="false" customHeight="false" outlineLevel="0" collapsed="false">
      <c r="B29" s="476"/>
      <c r="C29" s="489"/>
      <c r="D29" s="490"/>
      <c r="E29" s="490"/>
      <c r="F29" s="488"/>
      <c r="G29" s="490"/>
    </row>
    <row r="30" customFormat="false" ht="16" hidden="false" customHeight="false" outlineLevel="0" collapsed="false">
      <c r="B30" s="476"/>
      <c r="C30" s="477"/>
      <c r="D30" s="476"/>
      <c r="E30" s="476"/>
      <c r="F30" s="479"/>
      <c r="G30" s="476"/>
    </row>
    <row r="31" customFormat="false" ht="16" hidden="false" customHeight="false" outlineLevel="0" collapsed="false">
      <c r="B31" s="476"/>
      <c r="C31" s="477"/>
      <c r="D31" s="476"/>
      <c r="E31" s="476"/>
      <c r="F31" s="479"/>
      <c r="G31" s="476"/>
    </row>
    <row r="32" customFormat="false" ht="16" hidden="false" customHeight="false" outlineLevel="0" collapsed="false">
      <c r="B32" s="476"/>
      <c r="C32" s="477"/>
      <c r="D32" s="476"/>
      <c r="E32" s="476"/>
      <c r="F32" s="479"/>
      <c r="G32" s="476"/>
    </row>
    <row r="33" customFormat="false" ht="16.5" hidden="false" customHeight="false" outlineLevel="0" collapsed="false">
      <c r="B33" s="476"/>
      <c r="C33" s="477"/>
      <c r="D33" s="476"/>
      <c r="E33" s="476"/>
      <c r="F33" s="479"/>
      <c r="G33" s="476"/>
    </row>
    <row r="34" customFormat="false" ht="16" hidden="false" customHeight="false" outlineLevel="0" collapsed="false">
      <c r="B34" s="482" t="s">
        <v>236</v>
      </c>
      <c r="C34" s="491" t="n">
        <f aca="false">COUNTA(C24:C33)</f>
        <v>0</v>
      </c>
      <c r="D34" s="483" t="s">
        <v>233</v>
      </c>
      <c r="E34" s="483"/>
      <c r="F34" s="492" t="n">
        <f aca="false">SUM(F24:F33)</f>
        <v>0</v>
      </c>
      <c r="G34" s="483"/>
      <c r="H34" s="493"/>
    </row>
    <row r="35" customFormat="false" ht="16.5" hidden="false" customHeight="false" outlineLevel="0" collapsed="false">
      <c r="B35" s="482"/>
      <c r="C35" s="491"/>
      <c r="D35" s="485" t="s">
        <v>234</v>
      </c>
      <c r="E35" s="485"/>
      <c r="F35" s="486" t="n">
        <f aca="false">F34/24</f>
        <v>0</v>
      </c>
      <c r="G35" s="485"/>
      <c r="H35" s="494"/>
    </row>
    <row r="36" customFormat="false" ht="16" hidden="false" customHeight="false" outlineLevel="0" collapsed="false">
      <c r="B36" s="476"/>
      <c r="C36" s="476"/>
      <c r="D36" s="476"/>
      <c r="E36" s="476"/>
      <c r="F36" s="476"/>
      <c r="G36" s="495" t="s">
        <v>237</v>
      </c>
      <c r="H36" s="496" t="n">
        <f aca="false">F16+F34</f>
        <v>285.6</v>
      </c>
    </row>
    <row r="37" customFormat="false" ht="16" hidden="false" customHeight="false" outlineLevel="0" collapsed="false">
      <c r="B37" s="476"/>
      <c r="C37" s="476"/>
      <c r="D37" s="476"/>
      <c r="E37" s="476"/>
      <c r="F37" s="476"/>
      <c r="G37" s="495" t="s">
        <v>238</v>
      </c>
      <c r="H37" s="496" t="n">
        <f aca="false">H36/24</f>
        <v>11.9</v>
      </c>
    </row>
    <row r="38" customFormat="false" ht="16" hidden="false" customHeight="false" outlineLevel="0" collapsed="false">
      <c r="B38" s="476"/>
      <c r="C38" s="476"/>
      <c r="D38" s="476"/>
      <c r="E38" s="476" t="s">
        <v>239</v>
      </c>
      <c r="F38" s="476"/>
      <c r="G38" s="476"/>
      <c r="H38" s="476"/>
    </row>
    <row r="39" customFormat="false" ht="16" hidden="false" customHeight="false" outlineLevel="0" collapsed="false">
      <c r="B39" s="476"/>
      <c r="C39" s="476"/>
      <c r="D39" s="476"/>
      <c r="E39" s="476"/>
      <c r="F39" s="476"/>
      <c r="G39" s="476"/>
      <c r="H39" s="497"/>
    </row>
    <row r="40" customFormat="false" ht="16" hidden="false" customHeight="false" outlineLevel="0" collapsed="false">
      <c r="B40" s="476"/>
      <c r="C40" s="476"/>
      <c r="D40" s="476"/>
      <c r="E40" s="476"/>
      <c r="F40" s="476"/>
      <c r="G40" s="476"/>
      <c r="H40" s="476"/>
    </row>
    <row r="41" customFormat="false" ht="16" hidden="false" customHeight="false" outlineLevel="0" collapsed="false">
      <c r="B41" s="476"/>
      <c r="C41" s="476"/>
      <c r="D41" s="476"/>
      <c r="E41" s="476"/>
      <c r="F41" s="476"/>
      <c r="G41" s="476"/>
      <c r="H41" s="476"/>
    </row>
    <row r="42" customFormat="false" ht="16" hidden="false" customHeight="false" outlineLevel="0" collapsed="false">
      <c r="B42" s="476"/>
      <c r="C42" s="476"/>
      <c r="D42" s="476"/>
      <c r="E42" s="476"/>
      <c r="F42" s="476"/>
      <c r="G42" s="476"/>
      <c r="H42" s="476"/>
    </row>
    <row r="43" customFormat="false" ht="16" hidden="false" customHeight="false" outlineLevel="0" collapsed="false">
      <c r="B43" s="476"/>
      <c r="C43" s="476"/>
      <c r="D43" s="476"/>
      <c r="E43" s="476"/>
      <c r="F43" s="476"/>
      <c r="G43" s="476"/>
      <c r="H43" s="476"/>
    </row>
    <row r="44" customFormat="false" ht="16" hidden="false" customHeight="false" outlineLevel="0" collapsed="false">
      <c r="B44" s="476"/>
      <c r="C44" s="476"/>
      <c r="D44" s="476"/>
      <c r="E44" s="476"/>
      <c r="F44" s="476"/>
      <c r="G44" s="476"/>
      <c r="H44" s="476"/>
    </row>
    <row r="45" customFormat="false" ht="16" hidden="false" customHeight="false" outlineLevel="0" collapsed="false">
      <c r="B45" s="476"/>
      <c r="C45" s="476"/>
      <c r="D45" s="476"/>
      <c r="E45" s="476"/>
      <c r="F45" s="476"/>
      <c r="G45" s="476"/>
      <c r="H45" s="476"/>
    </row>
    <row r="46" customFormat="false" ht="16" hidden="false" customHeight="false" outlineLevel="0" collapsed="false">
      <c r="B46" s="476"/>
      <c r="C46" s="476"/>
      <c r="D46" s="476"/>
      <c r="E46" s="476"/>
      <c r="F46" s="476"/>
      <c r="G46" s="476"/>
      <c r="H46" s="476"/>
    </row>
    <row r="47" customFormat="false" ht="16" hidden="false" customHeight="false" outlineLevel="0" collapsed="false">
      <c r="B47" s="476"/>
      <c r="C47" s="476"/>
      <c r="D47" s="476"/>
      <c r="E47" s="476"/>
      <c r="F47" s="476"/>
      <c r="G47" s="476"/>
      <c r="H47" s="476"/>
    </row>
    <row r="48" customFormat="false" ht="16" hidden="false" customHeight="false" outlineLevel="0" collapsed="false">
      <c r="B48" s="476"/>
      <c r="C48" s="476"/>
      <c r="D48" s="476"/>
      <c r="E48" s="476"/>
      <c r="F48" s="476"/>
      <c r="G48" s="476"/>
      <c r="H48" s="476"/>
    </row>
    <row r="49" customFormat="false" ht="16" hidden="false" customHeight="false" outlineLevel="0" collapsed="false">
      <c r="B49" s="476"/>
      <c r="C49" s="476"/>
      <c r="D49" s="476"/>
      <c r="E49" s="476"/>
      <c r="F49" s="476"/>
      <c r="G49" s="476"/>
      <c r="H49" s="476"/>
    </row>
  </sheetData>
  <mergeCells count="8">
    <mergeCell ref="B16:B17"/>
    <mergeCell ref="C16:C17"/>
    <mergeCell ref="D16:E16"/>
    <mergeCell ref="G16:G17"/>
    <mergeCell ref="D17:E17"/>
    <mergeCell ref="G23:H23"/>
    <mergeCell ref="B34:B35"/>
    <mergeCell ref="C34:C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2009-04-16T09:09:56Z</dcterms:created>
  <dc:creator>LG</dc:creator>
  <dc:description/>
  <dc:language>ko-KR</dc:language>
  <cp:lastModifiedBy>User</cp:lastModifiedBy>
  <cp:lastPrinted>2020-01-30T13:32:54Z</cp:lastPrinted>
  <dcterms:modified xsi:type="dcterms:W3CDTF">2025-11-19T13:26:05Z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소각로위탁운영비첨부자료(13년7월).xls</vt:lpwstr>
  </property>
</Properties>
</file>