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steam\원본\"/>
    </mc:Choice>
  </mc:AlternateContent>
  <bookViews>
    <workbookView xWindow="0" yWindow="0" windowWidth="23040" windowHeight="8925"/>
  </bookViews>
  <sheets>
    <sheet name="1. 운영실적" sheetId="18" r:id="rId1"/>
    <sheet name="2. 운영실적" sheetId="24" r:id="rId2"/>
    <sheet name="3. 세부 운영내역" sheetId="14" r:id="rId3"/>
    <sheet name="3-1. 월별 운영내역" sheetId="19" r:id="rId4"/>
    <sheet name="4. SRF입고내역" sheetId="15" r:id="rId5"/>
    <sheet name="5. 설비개선 비용현황" sheetId="22" state="hidden" r:id="rId6"/>
    <sheet name="5. 25년 설비개선리스트" sheetId="25" r:id="rId7"/>
    <sheet name="6. 25년 사고이력" sheetId="21" r:id="rId8"/>
    <sheet name="유동상 약품 원단위" sheetId="20" state="hidden" r:id="rId9"/>
  </sheets>
  <definedNames>
    <definedName name="_xlnm._FilterDatabase" hidden="1">#REF!</definedName>
    <definedName name="dd" hidden="1">#REF!</definedName>
  </definedNames>
  <calcPr calcId="162913"/>
</workbook>
</file>

<file path=xl/calcChain.xml><?xml version="1.0" encoding="utf-8"?>
<calcChain xmlns="http://schemas.openxmlformats.org/spreadsheetml/2006/main">
  <c r="AD6" i="18" l="1"/>
  <c r="AK64" i="14"/>
  <c r="AD7" i="18"/>
  <c r="AI14" i="14"/>
  <c r="Y48" i="14"/>
  <c r="L18" i="25" l="1"/>
  <c r="C20" i="18"/>
  <c r="H14" i="18" l="1"/>
  <c r="B14" i="18"/>
  <c r="AJ75" i="14" l="1"/>
  <c r="AF47" i="14" l="1"/>
  <c r="E36" i="15" l="1"/>
  <c r="M34" i="15"/>
  <c r="M35" i="15"/>
  <c r="E23" i="25" l="1"/>
  <c r="E24" i="25" s="1"/>
  <c r="E22" i="25"/>
  <c r="E21" i="25"/>
  <c r="AF44" i="14"/>
  <c r="AG44" i="14"/>
  <c r="AF45" i="14"/>
  <c r="AG45" i="14"/>
  <c r="N67" i="19"/>
  <c r="H67" i="19"/>
  <c r="E67" i="19"/>
  <c r="AF10" i="14" l="1"/>
  <c r="AG10" i="14"/>
  <c r="AF5" i="14"/>
  <c r="AG5" i="14"/>
  <c r="H33" i="19" l="1"/>
  <c r="H34" i="19"/>
  <c r="U6" i="19" l="1"/>
  <c r="U7" i="19"/>
  <c r="U8" i="19"/>
  <c r="U9" i="19"/>
  <c r="U10" i="19"/>
  <c r="U11" i="19"/>
  <c r="U12" i="19"/>
  <c r="U13" i="19"/>
  <c r="U5" i="19"/>
  <c r="C38" i="24" l="1"/>
  <c r="C38" i="14" l="1"/>
  <c r="C35" i="14"/>
  <c r="C32" i="14"/>
  <c r="C26" i="14"/>
  <c r="C23" i="14"/>
  <c r="C20" i="14"/>
  <c r="AF80" i="14" l="1"/>
  <c r="AF73" i="14"/>
  <c r="AG73" i="14"/>
  <c r="AF64" i="14"/>
  <c r="AF12" i="14"/>
  <c r="AE5" i="14"/>
  <c r="AE10" i="14"/>
  <c r="D37" i="24"/>
  <c r="F37" i="24"/>
  <c r="I37" i="24"/>
  <c r="J37" i="24" l="1"/>
  <c r="W6" i="19"/>
  <c r="W14" i="19"/>
  <c r="W15" i="19"/>
  <c r="X6" i="19"/>
  <c r="Y6" i="19"/>
  <c r="Y14" i="19"/>
  <c r="Y15" i="19"/>
  <c r="X14" i="19"/>
  <c r="X15" i="19"/>
  <c r="M6" i="25" l="1"/>
  <c r="M14" i="25"/>
  <c r="L36" i="15" l="1"/>
  <c r="L38" i="15" s="1"/>
  <c r="M6" i="15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5" i="15"/>
  <c r="W5" i="14" l="1"/>
  <c r="M23" i="25" l="1"/>
  <c r="M22" i="25"/>
  <c r="K23" i="25"/>
  <c r="K22" i="25"/>
  <c r="I29" i="19"/>
  <c r="H29" i="19"/>
  <c r="AG64" i="14"/>
  <c r="AG47" i="14"/>
  <c r="AG14" i="14" l="1"/>
  <c r="X5" i="14"/>
  <c r="Y5" i="14"/>
  <c r="G5" i="14"/>
  <c r="H5" i="14"/>
  <c r="I5" i="14"/>
  <c r="J5" i="14"/>
  <c r="K5" i="14"/>
  <c r="D7" i="24"/>
  <c r="F7" i="24"/>
  <c r="I7" i="24"/>
  <c r="AG80" i="14"/>
  <c r="C5" i="14"/>
  <c r="D5" i="14"/>
  <c r="E5" i="14"/>
  <c r="F5" i="14"/>
  <c r="L5" i="14"/>
  <c r="M5" i="14"/>
  <c r="N5" i="14"/>
  <c r="O5" i="14"/>
  <c r="P5" i="14"/>
  <c r="Q5" i="14"/>
  <c r="R5" i="14"/>
  <c r="S5" i="14"/>
  <c r="T5" i="14"/>
  <c r="U5" i="14"/>
  <c r="V5" i="14"/>
  <c r="Z5" i="14"/>
  <c r="AA5" i="14"/>
  <c r="AB5" i="14"/>
  <c r="AC5" i="14"/>
  <c r="AD5" i="14"/>
  <c r="AG12" i="14"/>
  <c r="J7" i="24" l="1"/>
  <c r="F35" i="24"/>
  <c r="J35" i="24" s="1"/>
  <c r="D35" i="24"/>
  <c r="AD44" i="14" l="1"/>
  <c r="AE44" i="14"/>
  <c r="AD45" i="14"/>
  <c r="AE45" i="14"/>
  <c r="L10" i="19" l="1"/>
  <c r="J5" i="19"/>
  <c r="J6" i="19"/>
  <c r="J7" i="19"/>
  <c r="J8" i="19"/>
  <c r="J9" i="19"/>
  <c r="M20" i="25" l="1"/>
  <c r="M9" i="25"/>
  <c r="M16" i="25"/>
  <c r="T8" i="19" l="1"/>
  <c r="L9" i="19"/>
  <c r="AH62" i="14" l="1"/>
  <c r="AK62" i="14" s="1"/>
  <c r="AI62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Z64" i="14"/>
  <c r="AA64" i="14"/>
  <c r="AB64" i="14"/>
  <c r="AC64" i="14"/>
  <c r="AD64" i="14"/>
  <c r="AE64" i="14"/>
  <c r="C64" i="14"/>
  <c r="J36" i="15" l="1"/>
  <c r="J38" i="15" s="1"/>
  <c r="N18" i="25" l="1"/>
  <c r="J15" i="19" l="1"/>
  <c r="J16" i="19"/>
  <c r="M8" i="19"/>
  <c r="L8" i="19"/>
  <c r="AD47" i="14" l="1"/>
  <c r="AE47" i="14"/>
  <c r="D36" i="15" l="1"/>
  <c r="F36" i="15"/>
  <c r="G36" i="15"/>
  <c r="H36" i="15"/>
  <c r="I36" i="15"/>
  <c r="K36" i="15"/>
  <c r="C36" i="15"/>
  <c r="L7" i="19" l="1"/>
  <c r="K15" i="19"/>
  <c r="K16" i="19"/>
  <c r="D5" i="19"/>
  <c r="D6" i="19"/>
  <c r="W5" i="19" l="1"/>
  <c r="X5" i="19"/>
  <c r="W4" i="19"/>
  <c r="X4" i="19"/>
  <c r="Y5" i="19"/>
  <c r="Y4" i="19"/>
  <c r="AD80" i="14"/>
  <c r="AE80" i="14"/>
  <c r="AD73" i="14"/>
  <c r="AE73" i="14"/>
  <c r="AD14" i="14"/>
  <c r="AE14" i="14"/>
  <c r="AD12" i="14"/>
  <c r="AE12" i="14"/>
  <c r="AD10" i="14"/>
  <c r="I36" i="24" l="1"/>
  <c r="F36" i="24"/>
  <c r="F34" i="24"/>
  <c r="I34" i="24"/>
  <c r="J36" i="24" l="1"/>
  <c r="J34" i="24"/>
  <c r="D34" i="24" l="1"/>
  <c r="D36" i="24"/>
  <c r="M19" i="25" l="1"/>
  <c r="K19" i="25" l="1"/>
  <c r="M18" i="25" l="1"/>
  <c r="J18" i="25"/>
  <c r="N27" i="25"/>
  <c r="J27" i="25"/>
  <c r="M27" i="25"/>
  <c r="C26" i="25"/>
  <c r="D26" i="25"/>
  <c r="E6" i="25"/>
  <c r="E7" i="25" s="1"/>
  <c r="E8" i="25" s="1"/>
  <c r="E9" i="25" s="1"/>
  <c r="E10" i="25" l="1"/>
  <c r="E11" i="25" s="1"/>
  <c r="E12" i="25" s="1"/>
  <c r="E13" i="25" s="1"/>
  <c r="O18" i="25"/>
  <c r="M28" i="25"/>
  <c r="N28" i="25"/>
  <c r="E26" i="25"/>
  <c r="E14" i="25" l="1"/>
  <c r="E15" i="25" s="1"/>
  <c r="E16" i="25" s="1"/>
  <c r="V68" i="19"/>
  <c r="V69" i="19"/>
  <c r="E17" i="25" l="1"/>
  <c r="E18" i="25" s="1"/>
  <c r="E19" i="25" s="1"/>
  <c r="L6" i="19"/>
  <c r="E25" i="25" l="1"/>
  <c r="E20" i="25"/>
  <c r="O80" i="14"/>
  <c r="P80" i="14"/>
  <c r="Q80" i="14"/>
  <c r="K67" i="19" l="1"/>
  <c r="K68" i="19"/>
  <c r="K69" i="19"/>
  <c r="P45" i="19"/>
  <c r="P46" i="19"/>
  <c r="P47" i="19"/>
  <c r="R9" i="18" l="1"/>
  <c r="G12" i="21" l="1"/>
  <c r="F12" i="21" l="1"/>
  <c r="N18" i="19" l="1"/>
  <c r="N17" i="19"/>
  <c r="D45" i="14" l="1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Y45" i="14"/>
  <c r="Z45" i="14"/>
  <c r="AA45" i="14"/>
  <c r="AB45" i="14"/>
  <c r="AC45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Y44" i="14"/>
  <c r="Z44" i="14"/>
  <c r="AA44" i="14"/>
  <c r="AB44" i="14"/>
  <c r="AC44" i="14"/>
  <c r="C44" i="14"/>
  <c r="C45" i="14"/>
  <c r="AH18" i="14" l="1"/>
  <c r="AI18" i="14"/>
  <c r="AH19" i="14"/>
  <c r="AI19" i="14"/>
  <c r="AJ19" i="14"/>
  <c r="I31" i="19" l="1"/>
  <c r="G32" i="19"/>
  <c r="I32" i="19" s="1"/>
  <c r="H31" i="19"/>
  <c r="F32" i="19"/>
  <c r="H32" i="19" s="1"/>
  <c r="I28" i="19"/>
  <c r="I30" i="19"/>
  <c r="H28" i="19"/>
  <c r="H30" i="19"/>
  <c r="I26" i="19"/>
  <c r="I27" i="19"/>
  <c r="H26" i="19"/>
  <c r="H27" i="19"/>
  <c r="I24" i="19"/>
  <c r="I25" i="19"/>
  <c r="H24" i="19"/>
  <c r="H25" i="19"/>
  <c r="AK18" i="14"/>
  <c r="AK19" i="14"/>
  <c r="D8" i="24"/>
  <c r="D9" i="24"/>
  <c r="D10" i="24"/>
  <c r="D11" i="24"/>
  <c r="D12" i="24"/>
  <c r="D13" i="24"/>
  <c r="D14" i="24"/>
  <c r="D15" i="24"/>
  <c r="D16" i="24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0" i="24"/>
  <c r="D31" i="24"/>
  <c r="D32" i="24"/>
  <c r="D33" i="24"/>
  <c r="M18" i="19" l="1"/>
  <c r="M17" i="19"/>
  <c r="G39" i="24" l="1"/>
  <c r="C39" i="24"/>
  <c r="D39" i="24" s="1"/>
  <c r="G38" i="24"/>
  <c r="I33" i="24"/>
  <c r="F33" i="24"/>
  <c r="I32" i="24"/>
  <c r="F32" i="24"/>
  <c r="I31" i="24"/>
  <c r="F31" i="24"/>
  <c r="I30" i="24"/>
  <c r="F30" i="24"/>
  <c r="I29" i="24"/>
  <c r="F29" i="24"/>
  <c r="I28" i="24"/>
  <c r="F28" i="24"/>
  <c r="I27" i="24"/>
  <c r="F27" i="24"/>
  <c r="I26" i="24"/>
  <c r="F26" i="24"/>
  <c r="I25" i="24"/>
  <c r="F25" i="24"/>
  <c r="I24" i="24"/>
  <c r="F24" i="24"/>
  <c r="I23" i="24"/>
  <c r="F23" i="24"/>
  <c r="I22" i="24"/>
  <c r="F22" i="24"/>
  <c r="I21" i="24"/>
  <c r="F21" i="24"/>
  <c r="I20" i="24"/>
  <c r="F20" i="24"/>
  <c r="I19" i="24"/>
  <c r="F19" i="24"/>
  <c r="I18" i="24"/>
  <c r="F18" i="24"/>
  <c r="I17" i="24"/>
  <c r="F17" i="24"/>
  <c r="I16" i="24"/>
  <c r="F16" i="24"/>
  <c r="I15" i="24"/>
  <c r="F15" i="24"/>
  <c r="I14" i="24"/>
  <c r="F14" i="24"/>
  <c r="I13" i="24"/>
  <c r="F13" i="24"/>
  <c r="I12" i="24"/>
  <c r="F12" i="24"/>
  <c r="I11" i="24"/>
  <c r="F11" i="24"/>
  <c r="I10" i="24"/>
  <c r="F10" i="24"/>
  <c r="I9" i="24"/>
  <c r="F9" i="24"/>
  <c r="I8" i="24"/>
  <c r="F8" i="24"/>
  <c r="I38" i="24" l="1"/>
  <c r="F38" i="24"/>
  <c r="J14" i="24"/>
  <c r="J22" i="24"/>
  <c r="J32" i="24"/>
  <c r="J31" i="24"/>
  <c r="J11" i="24"/>
  <c r="J19" i="24"/>
  <c r="J23" i="24"/>
  <c r="J27" i="24"/>
  <c r="J24" i="24"/>
  <c r="J28" i="24"/>
  <c r="J15" i="24"/>
  <c r="J9" i="24"/>
  <c r="J13" i="24"/>
  <c r="J17" i="24"/>
  <c r="J21" i="24"/>
  <c r="J25" i="24"/>
  <c r="J26" i="24"/>
  <c r="J8" i="24"/>
  <c r="J12" i="24"/>
  <c r="J16" i="24"/>
  <c r="J20" i="24"/>
  <c r="J29" i="24"/>
  <c r="J33" i="24"/>
  <c r="J10" i="24"/>
  <c r="J30" i="24"/>
  <c r="J18" i="24"/>
  <c r="F39" i="24"/>
  <c r="I39" i="24"/>
  <c r="J38" i="24" l="1"/>
  <c r="J39" i="24"/>
  <c r="H43" i="24"/>
  <c r="F43" i="24" l="1"/>
  <c r="E38" i="15"/>
  <c r="D12" i="14" l="1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Y12" i="14"/>
  <c r="Z12" i="14"/>
  <c r="AA12" i="14"/>
  <c r="AB12" i="14"/>
  <c r="AC12" i="14"/>
  <c r="C12" i="14"/>
  <c r="AH5" i="14" l="1"/>
  <c r="I14" i="19" s="1"/>
  <c r="K14" i="19" s="1"/>
  <c r="AI5" i="14"/>
  <c r="K12" i="19" l="1"/>
  <c r="K13" i="19"/>
  <c r="K10" i="19"/>
  <c r="K11" i="19"/>
  <c r="K8" i="19"/>
  <c r="K9" i="19"/>
  <c r="O9" i="19" s="1"/>
  <c r="K6" i="19"/>
  <c r="K7" i="19"/>
  <c r="C73" i="14"/>
  <c r="C80" i="14"/>
  <c r="K5" i="19" l="1"/>
  <c r="L5" i="19"/>
  <c r="L17" i="19" l="1"/>
  <c r="L18" i="19"/>
  <c r="I17" i="19" l="1"/>
  <c r="I18" i="19"/>
  <c r="K17" i="19" l="1"/>
  <c r="K18" i="19"/>
  <c r="AC80" i="14" l="1"/>
  <c r="AH46" i="14" l="1"/>
  <c r="E14" i="19" l="1"/>
  <c r="B67" i="19"/>
  <c r="AI50" i="14"/>
  <c r="AI51" i="14"/>
  <c r="AI52" i="14"/>
  <c r="AI53" i="14"/>
  <c r="AI54" i="14"/>
  <c r="AI55" i="14"/>
  <c r="AI56" i="14"/>
  <c r="AI57" i="14"/>
  <c r="AI58" i="14"/>
  <c r="AI59" i="14"/>
  <c r="AI60" i="14"/>
  <c r="AI61" i="14"/>
  <c r="AI63" i="14"/>
  <c r="AI49" i="14"/>
  <c r="AH50" i="14"/>
  <c r="AH51" i="14"/>
  <c r="AH52" i="14"/>
  <c r="AH53" i="14"/>
  <c r="AH54" i="14"/>
  <c r="AH55" i="14"/>
  <c r="AH56" i="14"/>
  <c r="AH57" i="14"/>
  <c r="AH58" i="14"/>
  <c r="AH59" i="14"/>
  <c r="AH60" i="14"/>
  <c r="AH61" i="14"/>
  <c r="R67" i="19" s="1"/>
  <c r="AH63" i="14"/>
  <c r="AH49" i="14"/>
  <c r="P67" i="19" l="1"/>
  <c r="AI75" i="14"/>
  <c r="AI76" i="14"/>
  <c r="AI77" i="14"/>
  <c r="AI78" i="14"/>
  <c r="AI79" i="14"/>
  <c r="AI74" i="14"/>
  <c r="AH75" i="14"/>
  <c r="J67" i="19" s="1"/>
  <c r="AH76" i="14"/>
  <c r="AH77" i="14"/>
  <c r="AH78" i="14"/>
  <c r="AH79" i="14"/>
  <c r="AH74" i="14"/>
  <c r="G67" i="19" s="1"/>
  <c r="AI66" i="14"/>
  <c r="AI67" i="14"/>
  <c r="AI68" i="14"/>
  <c r="AI69" i="14"/>
  <c r="AI70" i="14"/>
  <c r="AI71" i="14"/>
  <c r="AI72" i="14"/>
  <c r="AI65" i="14"/>
  <c r="AH66" i="14"/>
  <c r="AH67" i="14"/>
  <c r="AH68" i="14"/>
  <c r="AH69" i="14"/>
  <c r="AH70" i="14"/>
  <c r="AH71" i="14"/>
  <c r="AH72" i="14"/>
  <c r="AH65" i="14"/>
  <c r="D67" i="19" s="1"/>
  <c r="AI37" i="14"/>
  <c r="AI36" i="14"/>
  <c r="AH37" i="14"/>
  <c r="C32" i="19" s="1"/>
  <c r="AH36" i="14"/>
  <c r="B32" i="19" s="1"/>
  <c r="AI34" i="14"/>
  <c r="AI33" i="14"/>
  <c r="AH34" i="14"/>
  <c r="AH33" i="14"/>
  <c r="AI31" i="14"/>
  <c r="AI30" i="14"/>
  <c r="AH31" i="14"/>
  <c r="K49" i="19" s="1"/>
  <c r="AH30" i="14"/>
  <c r="AI25" i="14"/>
  <c r="AI24" i="14"/>
  <c r="AH25" i="14"/>
  <c r="O32" i="19" s="1"/>
  <c r="AH24" i="14"/>
  <c r="N32" i="19" s="1"/>
  <c r="AI22" i="14"/>
  <c r="AI21" i="14"/>
  <c r="AH22" i="14"/>
  <c r="K32" i="19" s="1"/>
  <c r="AH21" i="14"/>
  <c r="J32" i="19" s="1"/>
  <c r="AI9" i="14"/>
  <c r="AI8" i="14"/>
  <c r="AH9" i="14"/>
  <c r="C14" i="19" s="1"/>
  <c r="AH8" i="14"/>
  <c r="B14" i="19" s="1"/>
  <c r="AI7" i="14"/>
  <c r="AI6" i="14"/>
  <c r="AH7" i="14"/>
  <c r="G14" i="19" s="1"/>
  <c r="AH6" i="14"/>
  <c r="E48" i="19" l="1"/>
  <c r="C49" i="19"/>
  <c r="E49" i="19" s="1"/>
  <c r="D48" i="19"/>
  <c r="B49" i="19"/>
  <c r="D49" i="19" s="1"/>
  <c r="V67" i="19"/>
  <c r="D14" i="19"/>
  <c r="J13" i="19"/>
  <c r="F14" i="19"/>
  <c r="D13" i="19"/>
  <c r="V66" i="19"/>
  <c r="E46" i="19"/>
  <c r="E47" i="19"/>
  <c r="D46" i="19"/>
  <c r="D47" i="19"/>
  <c r="D12" i="19"/>
  <c r="V65" i="19"/>
  <c r="J11" i="19"/>
  <c r="O11" i="19" s="1"/>
  <c r="J12" i="19"/>
  <c r="O12" i="19" s="1"/>
  <c r="V63" i="19"/>
  <c r="V64" i="19"/>
  <c r="D44" i="19"/>
  <c r="D45" i="19"/>
  <c r="E44" i="19"/>
  <c r="E45" i="19"/>
  <c r="D10" i="19"/>
  <c r="Q9" i="19"/>
  <c r="J10" i="19"/>
  <c r="O10" i="19" s="1"/>
  <c r="D9" i="19"/>
  <c r="V62" i="19"/>
  <c r="D42" i="19"/>
  <c r="D43" i="19"/>
  <c r="D8" i="19"/>
  <c r="V61" i="19"/>
  <c r="O7" i="19"/>
  <c r="Q7" i="19" s="1"/>
  <c r="O8" i="19"/>
  <c r="E42" i="19"/>
  <c r="E43" i="19"/>
  <c r="V60" i="19"/>
  <c r="D40" i="19"/>
  <c r="D41" i="19"/>
  <c r="E40" i="19"/>
  <c r="E41" i="19"/>
  <c r="O6" i="19"/>
  <c r="V59" i="19"/>
  <c r="M50" i="19"/>
  <c r="M51" i="19"/>
  <c r="L50" i="19"/>
  <c r="O15" i="19"/>
  <c r="O16" i="19"/>
  <c r="AK36" i="14"/>
  <c r="D32" i="19" s="1"/>
  <c r="O13" i="19"/>
  <c r="P13" i="19" s="1"/>
  <c r="M46" i="19"/>
  <c r="L46" i="19"/>
  <c r="AI4" i="14"/>
  <c r="AH4" i="14"/>
  <c r="H14" i="19" s="1"/>
  <c r="W13" i="19" l="1"/>
  <c r="X13" i="19"/>
  <c r="Y13" i="19"/>
  <c r="J14" i="19"/>
  <c r="O14" i="19" s="1"/>
  <c r="P14" i="19" s="1"/>
  <c r="X8" i="19"/>
  <c r="W8" i="19"/>
  <c r="X11" i="19"/>
  <c r="W11" i="19"/>
  <c r="W7" i="19"/>
  <c r="X7" i="19"/>
  <c r="X9" i="19"/>
  <c r="W9" i="19"/>
  <c r="W12" i="19"/>
  <c r="Y12" i="19"/>
  <c r="X12" i="19"/>
  <c r="Y9" i="19"/>
  <c r="S8" i="19"/>
  <c r="Y7" i="19"/>
  <c r="Y11" i="19"/>
  <c r="Y8" i="19"/>
  <c r="Q12" i="19"/>
  <c r="P12" i="19"/>
  <c r="P9" i="19"/>
  <c r="D11" i="19"/>
  <c r="P10" i="19"/>
  <c r="Q10" i="19"/>
  <c r="O5" i="19"/>
  <c r="Q5" i="19" s="1"/>
  <c r="P7" i="19"/>
  <c r="P8" i="19"/>
  <c r="Q8" i="19"/>
  <c r="Q6" i="19"/>
  <c r="P6" i="19"/>
  <c r="V58" i="19"/>
  <c r="X10" i="19" l="1"/>
  <c r="W10" i="19"/>
  <c r="Y10" i="19"/>
  <c r="P11" i="19"/>
  <c r="Q11" i="19"/>
  <c r="P5" i="19"/>
  <c r="J18" i="19"/>
  <c r="J17" i="19"/>
  <c r="D9" i="22"/>
  <c r="L13" i="22"/>
  <c r="AJ34" i="14" l="1"/>
  <c r="D94" i="14" l="1"/>
  <c r="E94" i="14"/>
  <c r="F94" i="14"/>
  <c r="G94" i="14"/>
  <c r="H94" i="14"/>
  <c r="I94" i="14"/>
  <c r="J94" i="14"/>
  <c r="K94" i="14"/>
  <c r="L94" i="14"/>
  <c r="M94" i="14"/>
  <c r="N94" i="14"/>
  <c r="O94" i="14"/>
  <c r="P94" i="14"/>
  <c r="Q94" i="14"/>
  <c r="R94" i="14"/>
  <c r="S94" i="14"/>
  <c r="T94" i="14"/>
  <c r="U94" i="14"/>
  <c r="V94" i="14"/>
  <c r="W94" i="14"/>
  <c r="X94" i="14"/>
  <c r="Y94" i="14"/>
  <c r="Z94" i="14"/>
  <c r="AA94" i="14"/>
  <c r="AB94" i="14"/>
  <c r="AC94" i="14"/>
  <c r="C94" i="14"/>
  <c r="AH91" i="14"/>
  <c r="AK91" i="14" s="1"/>
  <c r="AI91" i="14"/>
  <c r="AH89" i="14"/>
  <c r="AK89" i="14" s="1"/>
  <c r="AI89" i="14"/>
  <c r="AH90" i="14"/>
  <c r="AK90" i="14" s="1"/>
  <c r="AI90" i="14"/>
  <c r="AH12" i="14" l="1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Y14" i="14"/>
  <c r="Z14" i="14"/>
  <c r="AA14" i="14"/>
  <c r="AB14" i="14"/>
  <c r="AC14" i="14"/>
  <c r="C14" i="14"/>
  <c r="AH14" i="14" l="1"/>
  <c r="AK14" i="14" s="1"/>
  <c r="Q13" i="19"/>
  <c r="Q14" i="19"/>
  <c r="Q15" i="19"/>
  <c r="Q16" i="19"/>
  <c r="D47" i="14" l="1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Y47" i="14"/>
  <c r="Z47" i="14"/>
  <c r="AA47" i="14"/>
  <c r="AB47" i="14"/>
  <c r="AC47" i="14"/>
  <c r="C47" i="14"/>
  <c r="C48" i="14" s="1"/>
  <c r="I33" i="19"/>
  <c r="I34" i="19"/>
  <c r="AH47" i="14" l="1"/>
  <c r="P42" i="19"/>
  <c r="P51" i="19"/>
  <c r="P25" i="19"/>
  <c r="Q25" i="19"/>
  <c r="P27" i="19"/>
  <c r="Q27" i="19"/>
  <c r="P28" i="19"/>
  <c r="Q28" i="19"/>
  <c r="P29" i="19"/>
  <c r="Q29" i="19"/>
  <c r="P30" i="19"/>
  <c r="Q30" i="19"/>
  <c r="P31" i="19"/>
  <c r="Q31" i="19"/>
  <c r="P32" i="19"/>
  <c r="Q32" i="19"/>
  <c r="P33" i="19"/>
  <c r="Q33" i="19"/>
  <c r="P34" i="19"/>
  <c r="Q34" i="19"/>
  <c r="L25" i="19"/>
  <c r="M25" i="19"/>
  <c r="L27" i="19"/>
  <c r="M27" i="19"/>
  <c r="L28" i="19"/>
  <c r="M28" i="19"/>
  <c r="L29" i="19"/>
  <c r="M29" i="19"/>
  <c r="L30" i="19"/>
  <c r="M30" i="19"/>
  <c r="L31" i="19"/>
  <c r="M31" i="19"/>
  <c r="L32" i="19"/>
  <c r="M32" i="19"/>
  <c r="L33" i="19"/>
  <c r="M33" i="19"/>
  <c r="L34" i="19"/>
  <c r="M34" i="19"/>
  <c r="AH64" i="14" l="1"/>
  <c r="AK61" i="14"/>
  <c r="S67" i="19" s="1"/>
  <c r="E6" i="22"/>
  <c r="AJ31" i="14" l="1"/>
  <c r="AI12" i="14" l="1"/>
  <c r="AK12" i="14"/>
  <c r="AK17" i="14" s="1"/>
  <c r="AD5" i="18" s="1"/>
  <c r="J103" i="14" l="1"/>
  <c r="O64" i="19"/>
  <c r="O65" i="19"/>
  <c r="F64" i="19"/>
  <c r="F65" i="19"/>
  <c r="F66" i="19"/>
  <c r="F67" i="19"/>
  <c r="L64" i="19"/>
  <c r="L65" i="19"/>
  <c r="L66" i="19"/>
  <c r="I64" i="19"/>
  <c r="I65" i="19"/>
  <c r="I66" i="19"/>
  <c r="P15" i="19"/>
  <c r="O17" i="19" l="1"/>
  <c r="O18" i="19"/>
  <c r="V51" i="19" l="1"/>
  <c r="V52" i="19" s="1"/>
  <c r="V53" i="19" l="1"/>
  <c r="AK43" i="14" l="1"/>
  <c r="W51" i="19" s="1"/>
  <c r="W52" i="19" l="1"/>
  <c r="W53" i="19"/>
  <c r="M36" i="15" l="1"/>
  <c r="L14" i="22" l="1"/>
  <c r="K80" i="14" l="1"/>
  <c r="L80" i="14"/>
  <c r="M80" i="14"/>
  <c r="K14" i="22" l="1"/>
  <c r="AC95" i="14" l="1"/>
  <c r="C95" i="14"/>
  <c r="H43" i="19" l="1"/>
  <c r="I43" i="19"/>
  <c r="I38" i="15" l="1"/>
  <c r="AH88" i="14" l="1"/>
  <c r="AK88" i="14" s="1"/>
  <c r="AI88" i="14"/>
  <c r="M14" i="22" l="1"/>
  <c r="I14" i="22"/>
  <c r="E7" i="22" l="1"/>
  <c r="E8" i="22" s="1"/>
  <c r="E9" i="22" s="1"/>
  <c r="E10" i="22" s="1"/>
  <c r="E11" i="22" s="1"/>
  <c r="E12" i="22" s="1"/>
  <c r="E13" i="22" s="1"/>
  <c r="E14" i="22" s="1"/>
  <c r="E15" i="22" s="1"/>
  <c r="E16" i="22" s="1"/>
  <c r="E17" i="22" s="1"/>
  <c r="D18" i="22"/>
  <c r="C18" i="22"/>
  <c r="E18" i="22" l="1"/>
  <c r="T73" i="14" l="1"/>
  <c r="U73" i="14"/>
  <c r="V73" i="14"/>
  <c r="F30" i="21" l="1"/>
  <c r="F31" i="21" s="1"/>
  <c r="C30" i="21"/>
  <c r="F13" i="21"/>
  <c r="C12" i="21"/>
  <c r="H32" i="21" l="1"/>
  <c r="H33" i="21" s="1"/>
  <c r="AC73" i="14" l="1"/>
  <c r="AC10" i="14" l="1"/>
  <c r="AH41" i="14" l="1"/>
  <c r="AH42" i="14"/>
  <c r="P44" i="19" s="1"/>
  <c r="AJ42" i="14"/>
  <c r="AK41" i="14" l="1"/>
  <c r="AK42" i="14"/>
  <c r="D38" i="15"/>
  <c r="Q41" i="19" l="1"/>
  <c r="Q42" i="19"/>
  <c r="Q43" i="19"/>
  <c r="Q44" i="19"/>
  <c r="Q45" i="19"/>
  <c r="Q47" i="19"/>
  <c r="Q49" i="19"/>
  <c r="Q50" i="19"/>
  <c r="Q51" i="19"/>
  <c r="Q40" i="19"/>
  <c r="L44" i="19"/>
  <c r="M44" i="19"/>
  <c r="L45" i="19"/>
  <c r="L47" i="19"/>
  <c r="M47" i="19"/>
  <c r="L48" i="19"/>
  <c r="M48" i="19"/>
  <c r="L49" i="19"/>
  <c r="M49" i="19"/>
  <c r="L51" i="19"/>
  <c r="O6" i="20" l="1"/>
  <c r="D14" i="20" l="1"/>
  <c r="D15" i="20" l="1"/>
  <c r="D12" i="20"/>
  <c r="D11" i="20"/>
  <c r="D6" i="20"/>
  <c r="E6" i="20"/>
  <c r="F6" i="20"/>
  <c r="G6" i="20"/>
  <c r="H6" i="20"/>
  <c r="I6" i="20"/>
  <c r="J6" i="20"/>
  <c r="K6" i="20"/>
  <c r="L6" i="20"/>
  <c r="M6" i="20"/>
  <c r="N6" i="20"/>
  <c r="C6" i="20"/>
  <c r="O5" i="20"/>
  <c r="O4" i="20"/>
  <c r="S51" i="19" l="1"/>
  <c r="U51" i="19"/>
  <c r="AI85" i="14" l="1"/>
  <c r="AH85" i="14"/>
  <c r="AK85" i="14" s="1"/>
  <c r="AH86" i="14"/>
  <c r="AK57" i="14" l="1"/>
  <c r="X48" i="19" l="1"/>
  <c r="I103" i="14" l="1"/>
  <c r="N80" i="14" l="1"/>
  <c r="S53" i="19" l="1"/>
  <c r="S52" i="19"/>
  <c r="AB95" i="14" l="1"/>
  <c r="C17" i="19" l="1"/>
  <c r="AK9" i="14"/>
  <c r="AK56" i="14" l="1"/>
  <c r="AJ72" i="14" l="1"/>
  <c r="Q24" i="19" l="1"/>
  <c r="Q26" i="19"/>
  <c r="AK72" i="14"/>
  <c r="C29" i="14"/>
  <c r="K38" i="15" l="1"/>
  <c r="C10" i="14" l="1"/>
  <c r="H38" i="15" l="1"/>
  <c r="H42" i="19" l="1"/>
  <c r="H44" i="19"/>
  <c r="H45" i="19"/>
  <c r="H48" i="19"/>
  <c r="H49" i="19"/>
  <c r="H51" i="19"/>
  <c r="A56" i="19" l="1"/>
  <c r="A38" i="19"/>
  <c r="A21" i="19"/>
  <c r="AJ67" i="14" l="1"/>
  <c r="AJ68" i="14"/>
  <c r="AJ69" i="14"/>
  <c r="AJ70" i="14"/>
  <c r="AJ71" i="14"/>
  <c r="AJ66" i="14"/>
  <c r="AK52" i="14" l="1"/>
  <c r="AI82" i="14"/>
  <c r="AI83" i="14"/>
  <c r="AI84" i="14"/>
  <c r="AI86" i="14"/>
  <c r="AI87" i="14"/>
  <c r="AI92" i="14"/>
  <c r="AI93" i="14"/>
  <c r="AI81" i="14"/>
  <c r="AK55" i="14" l="1"/>
  <c r="D23" i="14" l="1"/>
  <c r="E23" i="14" l="1"/>
  <c r="G38" i="15"/>
  <c r="F23" i="14" l="1"/>
  <c r="G23" i="14" s="1"/>
  <c r="H23" i="14" s="1"/>
  <c r="I23" i="14" s="1"/>
  <c r="J23" i="14" s="1"/>
  <c r="K23" i="14" s="1"/>
  <c r="L23" i="14" s="1"/>
  <c r="M23" i="14" s="1"/>
  <c r="N23" i="14" s="1"/>
  <c r="O23" i="14" s="1"/>
  <c r="P23" i="14" s="1"/>
  <c r="Q23" i="14" s="1"/>
  <c r="R23" i="14" s="1"/>
  <c r="S23" i="14" s="1"/>
  <c r="T23" i="14" s="1"/>
  <c r="U23" i="14" s="1"/>
  <c r="V23" i="14" s="1"/>
  <c r="W23" i="14" s="1"/>
  <c r="X23" i="14" s="1"/>
  <c r="Y23" i="14" s="1"/>
  <c r="Z23" i="14" s="1"/>
  <c r="AA23" i="14" s="1"/>
  <c r="AB23" i="14" s="1"/>
  <c r="AC23" i="14" s="1"/>
  <c r="AD23" i="14" s="1"/>
  <c r="AE23" i="14" s="1"/>
  <c r="AF23" i="14" s="1"/>
  <c r="AG23" i="14" s="1"/>
  <c r="AH81" i="14"/>
  <c r="AK81" i="14" s="1"/>
  <c r="AI23" i="14" l="1"/>
  <c r="T80" i="14" l="1"/>
  <c r="U80" i="14"/>
  <c r="V80" i="14"/>
  <c r="AK54" i="14" l="1"/>
  <c r="O58" i="19" l="1"/>
  <c r="L58" i="19"/>
  <c r="I58" i="19"/>
  <c r="F58" i="19"/>
  <c r="D80" i="14" l="1"/>
  <c r="E80" i="14"/>
  <c r="F80" i="14"/>
  <c r="AH82" i="14" l="1"/>
  <c r="AK82" i="14" s="1"/>
  <c r="T22" i="19" l="1"/>
  <c r="O59" i="19" l="1"/>
  <c r="O60" i="19"/>
  <c r="O61" i="19"/>
  <c r="O62" i="19"/>
  <c r="O63" i="19"/>
  <c r="O66" i="19"/>
  <c r="O67" i="19"/>
  <c r="O68" i="19"/>
  <c r="L59" i="19"/>
  <c r="L61" i="19"/>
  <c r="L63" i="19"/>
  <c r="L67" i="19"/>
  <c r="L68" i="19"/>
  <c r="I59" i="19"/>
  <c r="I61" i="19"/>
  <c r="I63" i="19"/>
  <c r="I67" i="19"/>
  <c r="I68" i="19"/>
  <c r="AI9" i="18" l="1"/>
  <c r="AF9" i="18"/>
  <c r="AC9" i="18"/>
  <c r="Z9" i="18"/>
  <c r="W9" i="18"/>
  <c r="T9" i="18"/>
  <c r="Q9" i="18"/>
  <c r="N9" i="18"/>
  <c r="K9" i="18"/>
  <c r="H9" i="18"/>
  <c r="E9" i="18"/>
  <c r="B9" i="18"/>
  <c r="O69" i="19" l="1"/>
  <c r="F59" i="19" l="1"/>
  <c r="F61" i="19"/>
  <c r="F62" i="19"/>
  <c r="F63" i="19"/>
  <c r="F68" i="19"/>
  <c r="AK53" i="14" l="1"/>
  <c r="AJ37" i="14" l="1"/>
  <c r="AK37" i="14" s="1"/>
  <c r="E32" i="19" s="1"/>
  <c r="R80" i="14"/>
  <c r="S80" i="14"/>
  <c r="AH84" i="14" l="1"/>
  <c r="AK84" i="14" s="1"/>
  <c r="AI46" i="14" l="1"/>
  <c r="AK8" i="18" l="1"/>
  <c r="F60" i="19"/>
  <c r="F69" i="19" l="1"/>
  <c r="AH39" i="14" l="1"/>
  <c r="P41" i="19" s="1"/>
  <c r="P50" i="19" l="1"/>
  <c r="P40" i="19"/>
  <c r="P43" i="19"/>
  <c r="P49" i="19"/>
  <c r="D48" i="14"/>
  <c r="E48" i="14" s="1"/>
  <c r="F48" i="14" s="1"/>
  <c r="G48" i="14" s="1"/>
  <c r="H48" i="14" s="1"/>
  <c r="I48" i="14" s="1"/>
  <c r="J48" i="14" s="1"/>
  <c r="K48" i="14" s="1"/>
  <c r="L48" i="14" s="1"/>
  <c r="M48" i="14" s="1"/>
  <c r="N48" i="14" s="1"/>
  <c r="O48" i="14" s="1"/>
  <c r="P48" i="14" s="1"/>
  <c r="Q48" i="14" s="1"/>
  <c r="R48" i="14" s="1"/>
  <c r="S48" i="14" s="1"/>
  <c r="T48" i="14" s="1"/>
  <c r="U48" i="14" s="1"/>
  <c r="V48" i="14" s="1"/>
  <c r="W48" i="14" s="1"/>
  <c r="X48" i="14" s="1"/>
  <c r="Z48" i="14" s="1"/>
  <c r="AA48" i="14" s="1"/>
  <c r="AB48" i="14" s="1"/>
  <c r="AC48" i="14" s="1"/>
  <c r="AD48" i="14" s="1"/>
  <c r="AE48" i="14" s="1"/>
  <c r="AG48" i="14" l="1"/>
  <c r="AF48" i="14"/>
  <c r="G80" i="14"/>
  <c r="H80" i="14"/>
  <c r="G8" i="18" l="1"/>
  <c r="I51" i="19" l="1"/>
  <c r="N71" i="19" l="1"/>
  <c r="M71" i="19"/>
  <c r="K71" i="19"/>
  <c r="H71" i="19"/>
  <c r="E71" i="19"/>
  <c r="N70" i="19"/>
  <c r="K70" i="19"/>
  <c r="H70" i="19"/>
  <c r="E70" i="19"/>
  <c r="O70" i="19"/>
  <c r="AK63" i="14" l="1"/>
  <c r="U65" i="19" s="1"/>
  <c r="M70" i="19"/>
  <c r="O71" i="19"/>
  <c r="T71" i="19" l="1"/>
  <c r="T70" i="19"/>
  <c r="U71" i="19"/>
  <c r="U70" i="19"/>
  <c r="AK60" i="14" l="1"/>
  <c r="Q52" i="19"/>
  <c r="O52" i="19"/>
  <c r="O53" i="19"/>
  <c r="Q53" i="19" l="1"/>
  <c r="AL8" i="18"/>
  <c r="O19" i="18" l="1"/>
  <c r="H23" i="19" l="1"/>
  <c r="F36" i="19"/>
  <c r="F35" i="19"/>
  <c r="S5" i="18"/>
  <c r="M5" i="18"/>
  <c r="J5" i="18"/>
  <c r="G5" i="18"/>
  <c r="D5" i="18"/>
  <c r="AL6" i="18" l="1"/>
  <c r="AL7" i="18"/>
  <c r="AL5" i="18"/>
  <c r="AL9" i="18" l="1"/>
  <c r="E14" i="18" s="1"/>
  <c r="J80" i="14"/>
  <c r="AJ73" i="14" l="1"/>
  <c r="C38" i="15" l="1"/>
  <c r="L60" i="19"/>
  <c r="L62" i="19"/>
  <c r="I60" i="19"/>
  <c r="I62" i="19"/>
  <c r="L69" i="19"/>
  <c r="I69" i="19"/>
  <c r="G71" i="19"/>
  <c r="J71" i="19"/>
  <c r="I80" i="14"/>
  <c r="G70" i="19" l="1"/>
  <c r="J70" i="19"/>
  <c r="I70" i="19"/>
  <c r="I71" i="19"/>
  <c r="L71" i="19"/>
  <c r="L70" i="19"/>
  <c r="Q18" i="19" l="1"/>
  <c r="AK7" i="14" l="1"/>
  <c r="G17" i="19"/>
  <c r="G18" i="19"/>
  <c r="AK86" i="14"/>
  <c r="R70" i="19" l="1"/>
  <c r="R71" i="19"/>
  <c r="D71" i="19" l="1"/>
  <c r="D70" i="19"/>
  <c r="AH73" i="14"/>
  <c r="AH83" i="14"/>
  <c r="AK83" i="14" s="1"/>
  <c r="AH87" i="14"/>
  <c r="AK87" i="14" s="1"/>
  <c r="AH92" i="14"/>
  <c r="AK92" i="14" s="1"/>
  <c r="AK93" i="14"/>
  <c r="F71" i="19" l="1"/>
  <c r="F70" i="19"/>
  <c r="M43" i="19"/>
  <c r="L43" i="19"/>
  <c r="AH28" i="14"/>
  <c r="AH27" i="14"/>
  <c r="F47" i="19" s="1"/>
  <c r="G47" i="19" l="1"/>
  <c r="AH45" i="14"/>
  <c r="L24" i="19"/>
  <c r="L26" i="19"/>
  <c r="M40" i="19"/>
  <c r="M42" i="19"/>
  <c r="L41" i="19"/>
  <c r="L40" i="19"/>
  <c r="M45" i="19"/>
  <c r="M41" i="19"/>
  <c r="L42" i="19"/>
  <c r="AK21" i="14"/>
  <c r="H47" i="19"/>
  <c r="I40" i="19"/>
  <c r="I41" i="19"/>
  <c r="L23" i="19"/>
  <c r="I42" i="19"/>
  <c r="J36" i="19" l="1"/>
  <c r="H41" i="19"/>
  <c r="J52" i="19"/>
  <c r="K52" i="19"/>
  <c r="J35" i="19"/>
  <c r="K53" i="19"/>
  <c r="J53" i="19"/>
  <c r="I53" i="19"/>
  <c r="I52" i="19"/>
  <c r="S95" i="14"/>
  <c r="T95" i="14"/>
  <c r="U95" i="14"/>
  <c r="V95" i="14"/>
  <c r="W95" i="14"/>
  <c r="X95" i="14"/>
  <c r="Y95" i="14"/>
  <c r="Z95" i="14"/>
  <c r="AA95" i="14"/>
  <c r="E95" i="14"/>
  <c r="F95" i="14"/>
  <c r="G95" i="14"/>
  <c r="H95" i="14"/>
  <c r="I95" i="14"/>
  <c r="J95" i="14"/>
  <c r="K95" i="14"/>
  <c r="L95" i="14"/>
  <c r="M95" i="14"/>
  <c r="N95" i="14"/>
  <c r="O95" i="14"/>
  <c r="P95" i="14"/>
  <c r="Q95" i="14"/>
  <c r="R95" i="14"/>
  <c r="D95" i="14" l="1"/>
  <c r="AH95" i="14" s="1"/>
  <c r="AH94" i="14"/>
  <c r="AK94" i="14" s="1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W73" i="14"/>
  <c r="X73" i="14"/>
  <c r="Y73" i="14"/>
  <c r="Z73" i="14"/>
  <c r="AA73" i="14"/>
  <c r="AB73" i="14"/>
  <c r="D38" i="14" l="1"/>
  <c r="D26" i="14"/>
  <c r="E26" i="14" l="1"/>
  <c r="F26" i="14" s="1"/>
  <c r="G26" i="14" s="1"/>
  <c r="H26" i="14" s="1"/>
  <c r="I26" i="14" s="1"/>
  <c r="J26" i="14" s="1"/>
  <c r="K26" i="14" s="1"/>
  <c r="L26" i="14" s="1"/>
  <c r="M26" i="14" s="1"/>
  <c r="N26" i="14" s="1"/>
  <c r="O26" i="14" s="1"/>
  <c r="P26" i="14" s="1"/>
  <c r="Q26" i="14" s="1"/>
  <c r="R26" i="14" s="1"/>
  <c r="S26" i="14" s="1"/>
  <c r="T26" i="14" s="1"/>
  <c r="U26" i="14" s="1"/>
  <c r="V26" i="14" s="1"/>
  <c r="W26" i="14" s="1"/>
  <c r="X26" i="14" s="1"/>
  <c r="Y26" i="14" s="1"/>
  <c r="Z26" i="14" s="1"/>
  <c r="AA26" i="14" s="1"/>
  <c r="AB26" i="14" s="1"/>
  <c r="AC26" i="14" s="1"/>
  <c r="AD26" i="14" s="1"/>
  <c r="AE26" i="14" s="1"/>
  <c r="AF26" i="14" s="1"/>
  <c r="AG26" i="14" s="1"/>
  <c r="E38" i="14"/>
  <c r="F38" i="14" s="1"/>
  <c r="G38" i="14" s="1"/>
  <c r="H38" i="14" s="1"/>
  <c r="I38" i="14" s="1"/>
  <c r="J38" i="14" s="1"/>
  <c r="K38" i="14" s="1"/>
  <c r="L38" i="14" s="1"/>
  <c r="M38" i="14" s="1"/>
  <c r="N38" i="14" s="1"/>
  <c r="O38" i="14" s="1"/>
  <c r="P38" i="14" s="1"/>
  <c r="Q38" i="14" s="1"/>
  <c r="R38" i="14" s="1"/>
  <c r="S38" i="14" s="1"/>
  <c r="T38" i="14" s="1"/>
  <c r="U38" i="14" s="1"/>
  <c r="V38" i="14" s="1"/>
  <c r="W38" i="14" s="1"/>
  <c r="X38" i="14" s="1"/>
  <c r="Y38" i="14" s="1"/>
  <c r="Z38" i="14" s="1"/>
  <c r="AA38" i="14" s="1"/>
  <c r="AB38" i="14" s="1"/>
  <c r="AC38" i="14" s="1"/>
  <c r="AD38" i="14" s="1"/>
  <c r="AE38" i="14" s="1"/>
  <c r="AF38" i="14" s="1"/>
  <c r="AG38" i="14" s="1"/>
  <c r="D20" i="14"/>
  <c r="AI38" i="14" l="1"/>
  <c r="AI26" i="14"/>
  <c r="E20" i="14"/>
  <c r="F20" i="14" s="1"/>
  <c r="G20" i="14" s="1"/>
  <c r="H20" i="14" s="1"/>
  <c r="I20" i="14" s="1"/>
  <c r="J20" i="14" s="1"/>
  <c r="K20" i="14" s="1"/>
  <c r="L20" i="14" s="1"/>
  <c r="M20" i="14" s="1"/>
  <c r="N20" i="14" s="1"/>
  <c r="O20" i="14" s="1"/>
  <c r="P20" i="14" s="1"/>
  <c r="Q20" i="14" s="1"/>
  <c r="R20" i="14" s="1"/>
  <c r="S20" i="14" s="1"/>
  <c r="T20" i="14" s="1"/>
  <c r="U20" i="14" s="1"/>
  <c r="V20" i="14" s="1"/>
  <c r="W20" i="14" s="1"/>
  <c r="X20" i="14" s="1"/>
  <c r="Y20" i="14" s="1"/>
  <c r="Z20" i="14" s="1"/>
  <c r="AA20" i="14" s="1"/>
  <c r="AB20" i="14" s="1"/>
  <c r="AC20" i="14" s="1"/>
  <c r="AD20" i="14" s="1"/>
  <c r="AE20" i="14" s="1"/>
  <c r="AF20" i="14" s="1"/>
  <c r="AG20" i="14" s="1"/>
  <c r="AI20" i="14" l="1"/>
  <c r="AI73" i="14"/>
  <c r="F38" i="15" l="1"/>
  <c r="M38" i="15" s="1"/>
  <c r="P24" i="19" l="1"/>
  <c r="P26" i="19"/>
  <c r="M24" i="19"/>
  <c r="M26" i="19"/>
  <c r="AH44" i="14"/>
  <c r="X49" i="19"/>
  <c r="X47" i="19"/>
  <c r="X46" i="19"/>
  <c r="X45" i="19"/>
  <c r="X44" i="19"/>
  <c r="X43" i="19"/>
  <c r="X41" i="19"/>
  <c r="AK22" i="14"/>
  <c r="P23" i="19"/>
  <c r="P16" i="19"/>
  <c r="Y48" i="19"/>
  <c r="AK46" i="14"/>
  <c r="I23" i="19"/>
  <c r="Q23" i="19"/>
  <c r="M23" i="19"/>
  <c r="Y40" i="19"/>
  <c r="F17" i="19"/>
  <c r="Q17" i="19" s="1"/>
  <c r="F18" i="19"/>
  <c r="C18" i="19"/>
  <c r="B53" i="19"/>
  <c r="C53" i="19"/>
  <c r="B35" i="19"/>
  <c r="B36" i="19"/>
  <c r="C35" i="19"/>
  <c r="C36" i="19"/>
  <c r="N5" i="15"/>
  <c r="N6" i="15" s="1"/>
  <c r="N7" i="15" s="1"/>
  <c r="N8" i="15" s="1"/>
  <c r="N9" i="15" s="1"/>
  <c r="N10" i="15" s="1"/>
  <c r="N11" i="15" s="1"/>
  <c r="N12" i="15" s="1"/>
  <c r="N13" i="15" s="1"/>
  <c r="N14" i="15" s="1"/>
  <c r="N15" i="15" s="1"/>
  <c r="N16" i="15" s="1"/>
  <c r="N17" i="15" s="1"/>
  <c r="N18" i="15" s="1"/>
  <c r="N19" i="15" s="1"/>
  <c r="N20" i="15" s="1"/>
  <c r="N21" i="15" s="1"/>
  <c r="N22" i="15" s="1"/>
  <c r="N23" i="15" s="1"/>
  <c r="N24" i="15" s="1"/>
  <c r="N25" i="15" s="1"/>
  <c r="N26" i="15" s="1"/>
  <c r="N27" i="15" s="1"/>
  <c r="N28" i="15" s="1"/>
  <c r="N29" i="15" s="1"/>
  <c r="N30" i="15" s="1"/>
  <c r="N31" i="15" s="1"/>
  <c r="N32" i="15" s="1"/>
  <c r="N33" i="15" s="1"/>
  <c r="N34" i="15" s="1"/>
  <c r="N35" i="15" s="1"/>
  <c r="AD8" i="18" l="1"/>
  <c r="C67" i="19"/>
  <c r="AB8" i="18"/>
  <c r="Y8" i="18"/>
  <c r="V8" i="18"/>
  <c r="P8" i="18"/>
  <c r="M8" i="18"/>
  <c r="D8" i="18"/>
  <c r="AH8" i="18"/>
  <c r="S8" i="18"/>
  <c r="J8" i="18"/>
  <c r="X51" i="19"/>
  <c r="Y51" i="19"/>
  <c r="AJ46" i="14"/>
  <c r="Y46" i="19"/>
  <c r="AA42" i="19"/>
  <c r="X42" i="19"/>
  <c r="B17" i="19"/>
  <c r="D17" i="19" s="1"/>
  <c r="P17" i="19" s="1"/>
  <c r="N36" i="19"/>
  <c r="M37" i="15"/>
  <c r="N35" i="19"/>
  <c r="Y49" i="19"/>
  <c r="Y47" i="19"/>
  <c r="G36" i="19"/>
  <c r="Y43" i="19"/>
  <c r="Y42" i="19"/>
  <c r="Y41" i="19"/>
  <c r="G35" i="19"/>
  <c r="O36" i="19"/>
  <c r="K35" i="19"/>
  <c r="K36" i="19"/>
  <c r="C52" i="19"/>
  <c r="B52" i="19"/>
  <c r="Y45" i="19"/>
  <c r="O35" i="19"/>
  <c r="Y44" i="19"/>
  <c r="B18" i="19"/>
  <c r="D35" i="19"/>
  <c r="D36" i="19"/>
  <c r="AK65" i="14"/>
  <c r="P18" i="19" l="1"/>
  <c r="D6" i="18"/>
  <c r="Z42" i="19"/>
  <c r="J6" i="18"/>
  <c r="AK6" i="18"/>
  <c r="AB6" i="18"/>
  <c r="AH6" i="18"/>
  <c r="V6" i="18"/>
  <c r="D18" i="19"/>
  <c r="S6" i="18"/>
  <c r="P6" i="18"/>
  <c r="M6" i="18"/>
  <c r="V70" i="19"/>
  <c r="V71" i="19"/>
  <c r="AK73" i="14"/>
  <c r="AK51" i="14"/>
  <c r="AB42" i="19" l="1"/>
  <c r="AD42" i="19"/>
  <c r="AC42" i="19"/>
  <c r="G6" i="18"/>
  <c r="Y6" i="18"/>
  <c r="AM6" i="18"/>
  <c r="AN6" i="18" s="1"/>
  <c r="AE6" i="18"/>
  <c r="D32" i="14"/>
  <c r="D29" i="14"/>
  <c r="E29" i="14" s="1"/>
  <c r="E32" i="14" l="1"/>
  <c r="F32" i="14" s="1"/>
  <c r="G32" i="14" s="1"/>
  <c r="H32" i="14" s="1"/>
  <c r="I32" i="14" s="1"/>
  <c r="J32" i="14" s="1"/>
  <c r="K32" i="14" s="1"/>
  <c r="L32" i="14" s="1"/>
  <c r="M32" i="14" s="1"/>
  <c r="N32" i="14" s="1"/>
  <c r="O32" i="14" s="1"/>
  <c r="P32" i="14" s="1"/>
  <c r="Q32" i="14" s="1"/>
  <c r="R32" i="14" s="1"/>
  <c r="S32" i="14" s="1"/>
  <c r="T32" i="14" s="1"/>
  <c r="U32" i="14" s="1"/>
  <c r="V32" i="14" s="1"/>
  <c r="W32" i="14" s="1"/>
  <c r="X32" i="14" s="1"/>
  <c r="Y32" i="14" s="1"/>
  <c r="Z32" i="14" s="1"/>
  <c r="AA32" i="14" s="1"/>
  <c r="AB32" i="14" s="1"/>
  <c r="AC32" i="14" s="1"/>
  <c r="AD32" i="14" s="1"/>
  <c r="AE32" i="14" s="1"/>
  <c r="AF32" i="14" s="1"/>
  <c r="AG32" i="14" s="1"/>
  <c r="F29" i="14"/>
  <c r="G29" i="14" s="1"/>
  <c r="H29" i="14" s="1"/>
  <c r="I29" i="14" s="1"/>
  <c r="J29" i="14" s="1"/>
  <c r="K29" i="14" s="1"/>
  <c r="L29" i="14" s="1"/>
  <c r="M29" i="14" s="1"/>
  <c r="N29" i="14" s="1"/>
  <c r="O29" i="14" s="1"/>
  <c r="P29" i="14" s="1"/>
  <c r="Q29" i="14" s="1"/>
  <c r="R29" i="14" s="1"/>
  <c r="S29" i="14" s="1"/>
  <c r="T29" i="14" s="1"/>
  <c r="U29" i="14" s="1"/>
  <c r="V29" i="14" s="1"/>
  <c r="W29" i="14" s="1"/>
  <c r="X29" i="14" s="1"/>
  <c r="Y29" i="14" s="1"/>
  <c r="Z29" i="14" s="1"/>
  <c r="AA29" i="14" s="1"/>
  <c r="AB29" i="14" s="1"/>
  <c r="AC29" i="14" s="1"/>
  <c r="AD29" i="14" s="1"/>
  <c r="AE29" i="14" s="1"/>
  <c r="AG29" i="14" s="1"/>
  <c r="W80" i="14"/>
  <c r="X80" i="14"/>
  <c r="Y80" i="14"/>
  <c r="Z80" i="14"/>
  <c r="AA80" i="14"/>
  <c r="AB80" i="14"/>
  <c r="AJ80" i="14"/>
  <c r="AK74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Y10" i="14"/>
  <c r="Z10" i="14"/>
  <c r="AA10" i="14"/>
  <c r="AB10" i="14"/>
  <c r="AK70" i="14"/>
  <c r="AK67" i="14"/>
  <c r="AK66" i="14"/>
  <c r="AK79" i="14"/>
  <c r="AK78" i="14"/>
  <c r="AK77" i="14"/>
  <c r="AK76" i="14"/>
  <c r="AK75" i="14"/>
  <c r="AK20" i="14"/>
  <c r="AK23" i="14"/>
  <c r="AK26" i="14"/>
  <c r="AK35" i="14"/>
  <c r="AK38" i="14"/>
  <c r="AK40" i="14"/>
  <c r="AK48" i="14"/>
  <c r="AK32" i="14" l="1"/>
  <c r="AI32" i="14"/>
  <c r="H17" i="19"/>
  <c r="U17" i="19" s="1"/>
  <c r="H18" i="19"/>
  <c r="AK69" i="14"/>
  <c r="AK59" i="14"/>
  <c r="AK8" i="14"/>
  <c r="AK6" i="14"/>
  <c r="AK80" i="14"/>
  <c r="AH80" i="14"/>
  <c r="AI80" i="14"/>
  <c r="AI95" i="14"/>
  <c r="AK50" i="14"/>
  <c r="AH10" i="14"/>
  <c r="AI10" i="14"/>
  <c r="AK68" i="14"/>
  <c r="G7" i="18" l="1"/>
  <c r="G9" i="18" s="1"/>
  <c r="F9" i="18"/>
  <c r="P71" i="19"/>
  <c r="P70" i="19"/>
  <c r="AK49" i="14"/>
  <c r="S71" i="19"/>
  <c r="S70" i="19"/>
  <c r="AK71" i="14"/>
  <c r="AE7" i="18" l="1"/>
  <c r="Q67" i="19"/>
  <c r="AB7" i="18"/>
  <c r="Y7" i="18"/>
  <c r="V7" i="18"/>
  <c r="M7" i="18"/>
  <c r="M9" i="18" s="1"/>
  <c r="L9" i="18"/>
  <c r="W69" i="19"/>
  <c r="X69" i="19" s="1"/>
  <c r="W58" i="19"/>
  <c r="W68" i="19"/>
  <c r="Y68" i="19" s="1"/>
  <c r="AD68" i="19" s="1"/>
  <c r="AH7" i="18"/>
  <c r="W64" i="19"/>
  <c r="Y64" i="19" s="1"/>
  <c r="AD64" i="19" s="1"/>
  <c r="W65" i="19"/>
  <c r="Y65" i="19" s="1"/>
  <c r="AD65" i="19" s="1"/>
  <c r="W61" i="19"/>
  <c r="Y61" i="19" s="1"/>
  <c r="AD61" i="19" s="1"/>
  <c r="W59" i="19"/>
  <c r="X59" i="19" s="1"/>
  <c r="P7" i="18"/>
  <c r="D20" i="18"/>
  <c r="D21" i="18" s="1"/>
  <c r="AK7" i="18"/>
  <c r="B70" i="19"/>
  <c r="B71" i="19"/>
  <c r="E17" i="19"/>
  <c r="E18" i="19"/>
  <c r="AK29" i="14"/>
  <c r="Y69" i="19" l="1"/>
  <c r="AD69" i="19" s="1"/>
  <c r="F20" i="18"/>
  <c r="F21" i="18" s="1"/>
  <c r="W60" i="19"/>
  <c r="Z60" i="19"/>
  <c r="X68" i="19"/>
  <c r="X64" i="19"/>
  <c r="X65" i="19"/>
  <c r="X61" i="19"/>
  <c r="Y59" i="19"/>
  <c r="AD59" i="19" s="1"/>
  <c r="J7" i="18"/>
  <c r="J9" i="18" s="1"/>
  <c r="I9" i="18"/>
  <c r="Q71" i="19"/>
  <c r="Q70" i="19"/>
  <c r="Y58" i="19"/>
  <c r="AD58" i="19" s="1"/>
  <c r="X58" i="19"/>
  <c r="D7" i="18"/>
  <c r="D9" i="18" s="1"/>
  <c r="C9" i="18"/>
  <c r="S7" i="18"/>
  <c r="S9" i="18" s="1"/>
  <c r="W63" i="19"/>
  <c r="W62" i="19"/>
  <c r="AM7" i="18"/>
  <c r="AN7" i="18" s="1"/>
  <c r="AB60" i="19" l="1"/>
  <c r="AC60" i="19" s="1"/>
  <c r="AA60" i="19"/>
  <c r="Y60" i="19"/>
  <c r="AD60" i="19" s="1"/>
  <c r="X60" i="19"/>
  <c r="E20" i="18"/>
  <c r="E21" i="18" s="1"/>
  <c r="C21" i="18"/>
  <c r="Y63" i="19"/>
  <c r="AD63" i="19" s="1"/>
  <c r="X63" i="19"/>
  <c r="H20" i="18"/>
  <c r="H21" i="18" s="1"/>
  <c r="Y62" i="19"/>
  <c r="AD62" i="19" s="1"/>
  <c r="X62" i="19"/>
  <c r="D35" i="14"/>
  <c r="E35" i="14" l="1"/>
  <c r="F35" i="14" s="1"/>
  <c r="G35" i="14" s="1"/>
  <c r="H35" i="14" s="1"/>
  <c r="I35" i="14" s="1"/>
  <c r="J35" i="14" s="1"/>
  <c r="K35" i="14" s="1"/>
  <c r="L35" i="14" s="1"/>
  <c r="M35" i="14" s="1"/>
  <c r="N35" i="14" s="1"/>
  <c r="O35" i="14" s="1"/>
  <c r="P35" i="14" s="1"/>
  <c r="Q35" i="14" s="1"/>
  <c r="R35" i="14" s="1"/>
  <c r="S35" i="14" s="1"/>
  <c r="T35" i="14" s="1"/>
  <c r="U35" i="14" s="1"/>
  <c r="V35" i="14" s="1"/>
  <c r="W35" i="14" s="1"/>
  <c r="X35" i="14" s="1"/>
  <c r="Y35" i="14" s="1"/>
  <c r="Z35" i="14" s="1"/>
  <c r="AA35" i="14" s="1"/>
  <c r="AB35" i="14" s="1"/>
  <c r="AC35" i="14" s="1"/>
  <c r="AD35" i="14" s="1"/>
  <c r="AE35" i="14" s="1"/>
  <c r="AF35" i="14" s="1"/>
  <c r="AG35" i="14" s="1"/>
  <c r="H35" i="19"/>
  <c r="H36" i="19"/>
  <c r="AI27" i="14"/>
  <c r="AI28" i="14"/>
  <c r="AI29" i="14"/>
  <c r="AI39" i="14"/>
  <c r="AI40" i="14"/>
  <c r="AI47" i="14"/>
  <c r="AI48" i="14"/>
  <c r="G50" i="19" l="1"/>
  <c r="AI45" i="14"/>
  <c r="AI35" i="14"/>
  <c r="AI44" i="14"/>
  <c r="X40" i="19"/>
  <c r="F50" i="19"/>
  <c r="F53" i="19" s="1"/>
  <c r="G53" i="19"/>
  <c r="G52" i="19"/>
  <c r="Y50" i="19"/>
  <c r="H40" i="19"/>
  <c r="AK34" i="14"/>
  <c r="AK33" i="14"/>
  <c r="AK31" i="14"/>
  <c r="AK30" i="14"/>
  <c r="AK28" i="14"/>
  <c r="AK27" i="14"/>
  <c r="AK25" i="14"/>
  <c r="AK24" i="14"/>
  <c r="AK45" i="14" l="1"/>
  <c r="Z47" i="19"/>
  <c r="AC47" i="19" s="1"/>
  <c r="Z48" i="19"/>
  <c r="AA47" i="19"/>
  <c r="AA48" i="19"/>
  <c r="Z41" i="19"/>
  <c r="AC41" i="19" s="1"/>
  <c r="AA40" i="19"/>
  <c r="AA41" i="19"/>
  <c r="Z51" i="19"/>
  <c r="AC51" i="19" s="1"/>
  <c r="Z40" i="19"/>
  <c r="AA50" i="19"/>
  <c r="Z49" i="19"/>
  <c r="W66" i="19"/>
  <c r="Z45" i="19"/>
  <c r="Z46" i="19"/>
  <c r="AA45" i="19"/>
  <c r="AA46" i="19"/>
  <c r="Z43" i="19"/>
  <c r="AC43" i="19" s="1"/>
  <c r="Z44" i="19"/>
  <c r="AA43" i="19"/>
  <c r="Y52" i="19"/>
  <c r="Y53" i="19"/>
  <c r="F52" i="19"/>
  <c r="H50" i="19"/>
  <c r="X50" i="19"/>
  <c r="L52" i="19"/>
  <c r="L53" i="19"/>
  <c r="M52" i="19"/>
  <c r="M53" i="19"/>
  <c r="P35" i="19"/>
  <c r="P36" i="19"/>
  <c r="Q35" i="19"/>
  <c r="Q36" i="19"/>
  <c r="M36" i="19"/>
  <c r="M35" i="19"/>
  <c r="AK39" i="14"/>
  <c r="AD49" i="19" l="1"/>
  <c r="AB49" i="19"/>
  <c r="AC49" i="19"/>
  <c r="AD47" i="19"/>
  <c r="Z65" i="19" s="1"/>
  <c r="AB65" i="19" s="1"/>
  <c r="AC65" i="19" s="1"/>
  <c r="AB47" i="19"/>
  <c r="AD48" i="19"/>
  <c r="Z66" i="19" s="1"/>
  <c r="AB66" i="19" s="1"/>
  <c r="AC66" i="19" s="1"/>
  <c r="AB48" i="19"/>
  <c r="AC48" i="19"/>
  <c r="AD41" i="19"/>
  <c r="Z59" i="19" s="1"/>
  <c r="AB59" i="19" s="1"/>
  <c r="AC59" i="19" s="1"/>
  <c r="AB41" i="19"/>
  <c r="D53" i="19"/>
  <c r="AD51" i="19"/>
  <c r="Z69" i="19" s="1"/>
  <c r="AA69" i="19" s="1"/>
  <c r="AB51" i="19"/>
  <c r="E52" i="19"/>
  <c r="AA51" i="19"/>
  <c r="AK44" i="14"/>
  <c r="Y66" i="19"/>
  <c r="AD66" i="19" s="1"/>
  <c r="X66" i="19"/>
  <c r="AD45" i="19"/>
  <c r="Z63" i="19" s="1"/>
  <c r="AA63" i="19" s="1"/>
  <c r="AB45" i="19"/>
  <c r="AC45" i="19"/>
  <c r="AB46" i="19"/>
  <c r="AC46" i="19"/>
  <c r="AD46" i="19"/>
  <c r="Z64" i="19" s="1"/>
  <c r="AB43" i="19"/>
  <c r="AD43" i="19"/>
  <c r="Z61" i="19" s="1"/>
  <c r="AA61" i="19" s="1"/>
  <c r="D52" i="19"/>
  <c r="E53" i="19"/>
  <c r="AC44" i="19"/>
  <c r="AD44" i="19"/>
  <c r="Z62" i="19" s="1"/>
  <c r="AB44" i="19"/>
  <c r="Z50" i="19"/>
  <c r="H53" i="19"/>
  <c r="H52" i="19"/>
  <c r="AD40" i="19"/>
  <c r="Z58" i="19" s="1"/>
  <c r="AB40" i="19"/>
  <c r="AC40" i="19"/>
  <c r="E36" i="19"/>
  <c r="E35" i="19"/>
  <c r="P52" i="19"/>
  <c r="P53" i="19"/>
  <c r="N52" i="19"/>
  <c r="N53" i="19"/>
  <c r="AA65" i="19" l="1"/>
  <c r="AA66" i="19"/>
  <c r="AA59" i="19"/>
  <c r="AB69" i="19"/>
  <c r="AC69" i="19" s="1"/>
  <c r="AB63" i="19"/>
  <c r="AC63" i="19" s="1"/>
  <c r="AA64" i="19"/>
  <c r="AB64" i="19"/>
  <c r="AC64" i="19" s="1"/>
  <c r="AB61" i="19"/>
  <c r="AC61" i="19" s="1"/>
  <c r="AA62" i="19"/>
  <c r="AB62" i="19"/>
  <c r="AC62" i="19" s="1"/>
  <c r="AD50" i="19"/>
  <c r="Z68" i="19" s="1"/>
  <c r="AC50" i="19"/>
  <c r="AB50" i="19"/>
  <c r="AB58" i="19"/>
  <c r="AA58" i="19"/>
  <c r="P5" i="18"/>
  <c r="P9" i="18" s="1"/>
  <c r="O9" i="18"/>
  <c r="L35" i="19"/>
  <c r="L36" i="19"/>
  <c r="X53" i="19"/>
  <c r="X52" i="19"/>
  <c r="AA68" i="19" l="1"/>
  <c r="AB68" i="19"/>
  <c r="AC68" i="19" s="1"/>
  <c r="AC53" i="19"/>
  <c r="AC58" i="19"/>
  <c r="AJ9" i="18"/>
  <c r="AK5" i="18"/>
  <c r="AG9" i="18"/>
  <c r="AH5" i="18"/>
  <c r="X9" i="18"/>
  <c r="AM5" i="18"/>
  <c r="Y5" i="18"/>
  <c r="U9" i="18"/>
  <c r="V5" i="18"/>
  <c r="V9" i="18" s="1"/>
  <c r="G20" i="18"/>
  <c r="G21" i="18" s="1"/>
  <c r="AE5" i="18"/>
  <c r="Z53" i="19"/>
  <c r="Z52" i="19"/>
  <c r="Y9" i="18" l="1"/>
  <c r="J20" i="18"/>
  <c r="J21" i="18" s="1"/>
  <c r="N20" i="18"/>
  <c r="N21" i="18" s="1"/>
  <c r="AK9" i="18"/>
  <c r="M20" i="18"/>
  <c r="M21" i="18" s="1"/>
  <c r="AH9" i="18"/>
  <c r="AA9" i="18"/>
  <c r="AB5" i="18"/>
  <c r="I20" i="18"/>
  <c r="I21" i="18" s="1"/>
  <c r="AN5" i="18"/>
  <c r="AK95" i="14"/>
  <c r="AK96" i="14" s="1"/>
  <c r="R14" i="19" s="1"/>
  <c r="K20" i="18" l="1"/>
  <c r="K21" i="18" s="1"/>
  <c r="AB9" i="18"/>
  <c r="AB53" i="19"/>
  <c r="AA44" i="19"/>
  <c r="AA49" i="19"/>
  <c r="I36" i="19"/>
  <c r="I35" i="19"/>
  <c r="AA53" i="19" l="1"/>
  <c r="AA52" i="19"/>
  <c r="AE8" i="18" l="1"/>
  <c r="AJ47" i="14"/>
  <c r="AK47" i="14" s="1"/>
  <c r="AK97" i="14" l="1"/>
  <c r="W67" i="19"/>
  <c r="Y67" i="19" s="1"/>
  <c r="AD67" i="19" s="1"/>
  <c r="Z67" i="19"/>
  <c r="Z70" i="19" s="1"/>
  <c r="AD9" i="18"/>
  <c r="C70" i="19"/>
  <c r="AM8" i="18"/>
  <c r="AN8" i="18" s="1"/>
  <c r="C71" i="19"/>
  <c r="C14" i="18" l="1"/>
  <c r="L20" i="18"/>
  <c r="S12" i="19"/>
  <c r="T12" i="19"/>
  <c r="T11" i="19"/>
  <c r="S11" i="19"/>
  <c r="S10" i="19"/>
  <c r="T10" i="19"/>
  <c r="S9" i="19"/>
  <c r="T9" i="19"/>
  <c r="S7" i="19"/>
  <c r="T7" i="19"/>
  <c r="S6" i="19"/>
  <c r="T6" i="19"/>
  <c r="S16" i="19"/>
  <c r="R18" i="19"/>
  <c r="T16" i="19"/>
  <c r="T14" i="19"/>
  <c r="S14" i="19"/>
  <c r="O20" i="18"/>
  <c r="O21" i="18" s="1"/>
  <c r="S13" i="19"/>
  <c r="T13" i="19"/>
  <c r="X67" i="19"/>
  <c r="AB67" i="19"/>
  <c r="AB71" i="19" s="1"/>
  <c r="Z71" i="19"/>
  <c r="AA67" i="19"/>
  <c r="AA71" i="19" s="1"/>
  <c r="AE9" i="18"/>
  <c r="AM9" i="18"/>
  <c r="F14" i="18" s="1"/>
  <c r="G14" i="18" s="1"/>
  <c r="S5" i="19" l="1"/>
  <c r="T5" i="19"/>
  <c r="L21" i="18"/>
  <c r="R17" i="19"/>
  <c r="S17" i="19" s="1"/>
  <c r="T15" i="19"/>
  <c r="T18" i="19" s="1"/>
  <c r="S15" i="19"/>
  <c r="AC67" i="19"/>
  <c r="AN9" i="18"/>
  <c r="I14" i="18"/>
  <c r="J14" i="18" s="1"/>
  <c r="D14" i="18"/>
  <c r="S18" i="19" l="1"/>
  <c r="T17" i="19"/>
</calcChain>
</file>

<file path=xl/comments1.xml><?xml version="1.0" encoding="utf-8"?>
<comments xmlns="http://schemas.openxmlformats.org/spreadsheetml/2006/main">
  <authors>
    <author>User</author>
  </authors>
  <commentList>
    <comment ref="N6" authorId="0" shapeId="0">
      <text>
        <r>
          <rPr>
            <b/>
            <sz val="9"/>
            <color indexed="81"/>
            <rFont val="Tahoma"/>
            <family val="2"/>
          </rPr>
          <t>'25.1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계약변경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소급분</t>
        </r>
      </text>
    </comment>
    <comment ref="N9" authorId="0" shapeId="0">
      <text>
        <r>
          <rPr>
            <b/>
            <sz val="9"/>
            <color indexed="81"/>
            <rFont val="Tahoma"/>
            <family val="2"/>
          </rPr>
          <t>TMS</t>
        </r>
        <r>
          <rPr>
            <b/>
            <sz val="9"/>
            <color indexed="81"/>
            <rFont val="돋움"/>
            <family val="3"/>
            <charset val="129"/>
          </rPr>
          <t xml:space="preserve">정도검사비용
</t>
        </r>
      </text>
    </comment>
    <comment ref="T22" authorId="0" shapeId="0">
      <text>
        <r>
          <rPr>
            <b/>
            <sz val="9"/>
            <color indexed="81"/>
            <rFont val="돋움"/>
            <family val="3"/>
            <charset val="129"/>
          </rPr>
          <t>경유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변동
</t>
        </r>
      </text>
    </comment>
    <comment ref="V57" authorId="0" shapeId="0">
      <text>
        <r>
          <rPr>
            <b/>
            <sz val="9"/>
            <color indexed="81"/>
            <rFont val="Tahoma"/>
            <family val="2"/>
          </rPr>
          <t>'25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처분부담금
처리량</t>
        </r>
        <r>
          <rPr>
            <b/>
            <sz val="9"/>
            <color indexed="81"/>
            <rFont val="Tahoma"/>
            <family val="2"/>
          </rPr>
          <t>kg*1.192*10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>/kg</t>
        </r>
      </text>
    </comment>
    <comment ref="M58" authorId="0" shapeId="0">
      <text>
        <r>
          <rPr>
            <b/>
            <sz val="9"/>
            <color indexed="81"/>
            <rFont val="돋움"/>
            <family val="3"/>
            <charset val="129"/>
          </rPr>
          <t>폐수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유량계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고장
</t>
        </r>
        <r>
          <rPr>
            <b/>
            <sz val="9"/>
            <color indexed="81"/>
            <rFont val="Tahoma"/>
            <family val="2"/>
          </rPr>
          <t>('19.7~'20.1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평균</t>
        </r>
        <r>
          <rPr>
            <b/>
            <sz val="9"/>
            <color indexed="81"/>
            <rFont val="Tahoma"/>
            <family val="2"/>
          </rPr>
          <t xml:space="preserve"> 
 </t>
        </r>
        <r>
          <rPr>
            <b/>
            <sz val="9"/>
            <color indexed="81"/>
            <rFont val="돋움"/>
            <family val="3"/>
            <charset val="129"/>
          </rPr>
          <t>폐수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<sst xmlns="http://schemas.openxmlformats.org/spreadsheetml/2006/main" count="706" uniqueCount="502">
  <si>
    <t>합계</t>
    <phoneticPr fontId="2" type="noConversion"/>
  </si>
  <si>
    <t>평균</t>
    <phoneticPr fontId="2" type="noConversion"/>
  </si>
  <si>
    <t>사용</t>
    <phoneticPr fontId="2" type="noConversion"/>
  </si>
  <si>
    <t>반입</t>
    <phoneticPr fontId="2" type="noConversion"/>
  </si>
  <si>
    <t>재고</t>
    <phoneticPr fontId="2" type="noConversion"/>
  </si>
  <si>
    <t>재이용수</t>
    <phoneticPr fontId="2" type="noConversion"/>
  </si>
  <si>
    <t>복류수</t>
    <phoneticPr fontId="2" type="noConversion"/>
  </si>
  <si>
    <t>응축수</t>
    <phoneticPr fontId="2" type="noConversion"/>
  </si>
  <si>
    <t>보일러급수</t>
    <phoneticPr fontId="2" type="noConversion"/>
  </si>
  <si>
    <t>폐수</t>
    <phoneticPr fontId="2" type="noConversion"/>
  </si>
  <si>
    <t>연수</t>
    <phoneticPr fontId="2" type="noConversion"/>
  </si>
  <si>
    <t>백필터</t>
    <phoneticPr fontId="2" type="noConversion"/>
  </si>
  <si>
    <t>스크러버</t>
    <phoneticPr fontId="2" type="noConversion"/>
  </si>
  <si>
    <t>활성탄공급</t>
    <phoneticPr fontId="2" type="noConversion"/>
  </si>
  <si>
    <t>소석회공급</t>
    <phoneticPr fontId="2" type="noConversion"/>
  </si>
  <si>
    <t>요소수</t>
    <phoneticPr fontId="2" type="noConversion"/>
  </si>
  <si>
    <t>Ash
밴트필터</t>
    <phoneticPr fontId="2" type="noConversion"/>
  </si>
  <si>
    <t>비산재(발생)</t>
    <phoneticPr fontId="2" type="noConversion"/>
  </si>
  <si>
    <t>바닥재(발생)</t>
    <phoneticPr fontId="2" type="noConversion"/>
  </si>
  <si>
    <t>경유(L)</t>
    <phoneticPr fontId="2" type="noConversion"/>
  </si>
  <si>
    <t>SRF(KG)</t>
    <phoneticPr fontId="2" type="noConversion"/>
  </si>
  <si>
    <t>규사(KG)</t>
    <phoneticPr fontId="2" type="noConversion"/>
  </si>
  <si>
    <t>소금(KG)</t>
    <phoneticPr fontId="2" type="noConversion"/>
  </si>
  <si>
    <t>가성소다
(KG)</t>
    <phoneticPr fontId="2" type="noConversion"/>
  </si>
  <si>
    <t>소석회
(KG)</t>
    <phoneticPr fontId="2" type="noConversion"/>
  </si>
  <si>
    <t>사용량 측정불가</t>
    <phoneticPr fontId="2" type="noConversion"/>
  </si>
  <si>
    <t>단가</t>
    <phoneticPr fontId="2" type="noConversion"/>
  </si>
  <si>
    <t>비용</t>
    <phoneticPr fontId="2" type="noConversion"/>
  </si>
  <si>
    <t xml:space="preserve"> </t>
    <phoneticPr fontId="2" type="noConversion"/>
  </si>
  <si>
    <t>소각량</t>
    <phoneticPr fontId="2" type="noConversion"/>
  </si>
  <si>
    <t>슬러지 (톤)</t>
    <phoneticPr fontId="2" type="noConversion"/>
  </si>
  <si>
    <t>SRF (톤)</t>
    <phoneticPr fontId="2" type="noConversion"/>
  </si>
  <si>
    <t>비산재(반출)-조은</t>
    <phoneticPr fontId="2" type="noConversion"/>
  </si>
  <si>
    <t>SRF. 폐기물 소계 (발생비용 기준)</t>
    <phoneticPr fontId="2" type="noConversion"/>
  </si>
  <si>
    <t>용 수</t>
    <phoneticPr fontId="2" type="noConversion"/>
  </si>
  <si>
    <t>기타</t>
    <phoneticPr fontId="2" type="noConversion"/>
  </si>
  <si>
    <t>측정검사비</t>
    <phoneticPr fontId="2" type="noConversion"/>
  </si>
  <si>
    <t>사후영향조사비</t>
    <phoneticPr fontId="2" type="noConversion"/>
  </si>
  <si>
    <t>기타 비용 소계</t>
    <phoneticPr fontId="2" type="noConversion"/>
  </si>
  <si>
    <t>총 비용</t>
    <phoneticPr fontId="2" type="noConversion"/>
  </si>
  <si>
    <t>기타비용 제외시</t>
    <phoneticPr fontId="2" type="noConversion"/>
  </si>
  <si>
    <t>Main</t>
    <phoneticPr fontId="2" type="noConversion"/>
  </si>
  <si>
    <t>슬러지위탁 - 에덴녹화</t>
    <phoneticPr fontId="2" type="noConversion"/>
  </si>
  <si>
    <t>품 명</t>
    <phoneticPr fontId="2" type="noConversion"/>
  </si>
  <si>
    <t>구 분</t>
    <phoneticPr fontId="2" type="noConversion"/>
  </si>
  <si>
    <t>합 계</t>
    <phoneticPr fontId="2" type="noConversion"/>
  </si>
  <si>
    <t>누 계</t>
    <phoneticPr fontId="2" type="noConversion"/>
  </si>
  <si>
    <t>SRF
(비성형)</t>
    <phoneticPr fontId="2" type="noConversion"/>
  </si>
  <si>
    <t>가동시간</t>
    <phoneticPr fontId="2" type="noConversion"/>
  </si>
  <si>
    <t>HR</t>
    <phoneticPr fontId="2" type="noConversion"/>
  </si>
  <si>
    <t>소각재(톤, 대)</t>
    <phoneticPr fontId="2" type="noConversion"/>
  </si>
  <si>
    <t>합 계</t>
    <phoneticPr fontId="2" type="noConversion"/>
  </si>
  <si>
    <t>처리단가</t>
    <phoneticPr fontId="2" type="noConversion"/>
  </si>
  <si>
    <t>처리비용</t>
    <phoneticPr fontId="2" type="noConversion"/>
  </si>
  <si>
    <t>계획</t>
    <phoneticPr fontId="2" type="noConversion"/>
  </si>
  <si>
    <t>전력비</t>
    <phoneticPr fontId="2" type="noConversion"/>
  </si>
  <si>
    <t>운영비</t>
    <phoneticPr fontId="2" type="noConversion"/>
  </si>
  <si>
    <t>폐기물처리비</t>
    <phoneticPr fontId="2" type="noConversion"/>
  </si>
  <si>
    <t>총 금액</t>
    <phoneticPr fontId="2" type="noConversion"/>
  </si>
  <si>
    <t>실적</t>
    <phoneticPr fontId="2" type="noConversion"/>
  </si>
  <si>
    <t>구   분</t>
  </si>
  <si>
    <t>전월 대비</t>
  </si>
  <si>
    <t>계 획</t>
  </si>
  <si>
    <t>실  적</t>
  </si>
  <si>
    <t>증 감</t>
  </si>
  <si>
    <t>구 분</t>
    <phoneticPr fontId="2" type="noConversion"/>
  </si>
  <si>
    <t>증감</t>
    <phoneticPr fontId="2" type="noConversion"/>
  </si>
  <si>
    <t>8월</t>
    <phoneticPr fontId="2" type="noConversion"/>
  </si>
  <si>
    <t>9월</t>
    <phoneticPr fontId="2" type="noConversion"/>
  </si>
  <si>
    <t>10월</t>
    <phoneticPr fontId="2" type="noConversion"/>
  </si>
  <si>
    <t>11월</t>
    <phoneticPr fontId="2" type="noConversion"/>
  </si>
  <si>
    <t>12월</t>
    <phoneticPr fontId="2" type="noConversion"/>
  </si>
  <si>
    <t>합 계</t>
    <phoneticPr fontId="2" type="noConversion"/>
  </si>
  <si>
    <t>비   고</t>
    <phoneticPr fontId="10" type="noConversion"/>
  </si>
  <si>
    <t>증 감</t>
    <phoneticPr fontId="10" type="noConversion"/>
  </si>
  <si>
    <t>계   획</t>
    <phoneticPr fontId="10" type="noConversion"/>
  </si>
  <si>
    <t>실  적</t>
    <phoneticPr fontId="10" type="noConversion"/>
  </si>
  <si>
    <t>증  감</t>
    <phoneticPr fontId="10" type="noConversion"/>
  </si>
  <si>
    <t>증감률(%)</t>
    <phoneticPr fontId="10" type="noConversion"/>
  </si>
  <si>
    <t>위탁운영비(백만)</t>
    <phoneticPr fontId="10" type="noConversion"/>
  </si>
  <si>
    <t>전력량 소계</t>
    <phoneticPr fontId="2" type="noConversion"/>
  </si>
  <si>
    <t>슬러지 비용 합계</t>
    <phoneticPr fontId="2" type="noConversion"/>
  </si>
  <si>
    <t>스팀 생산량 (톤)</t>
    <phoneticPr fontId="2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</si>
  <si>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</si>
  <si>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</si>
  <si>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</si>
  <si>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</si>
  <si>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</si>
  <si>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</si>
  <si>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</si>
  <si>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</si>
  <si>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</si>
  <si>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</si>
  <si>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</si>
  <si>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Total</t>
    <phoneticPr fontId="2" type="noConversion"/>
  </si>
  <si>
    <t>합계</t>
    <phoneticPr fontId="10" type="noConversion"/>
  </si>
  <si>
    <t>구입량</t>
    <phoneticPr fontId="10" type="noConversion"/>
  </si>
  <si>
    <t>사용비용</t>
    <phoneticPr fontId="10" type="noConversion"/>
  </si>
  <si>
    <t>1월</t>
    <phoneticPr fontId="2" type="noConversion"/>
  </si>
  <si>
    <t>1월</t>
    <phoneticPr fontId="10" type="noConversion"/>
  </si>
  <si>
    <t>2월</t>
    <phoneticPr fontId="10" type="noConversion"/>
  </si>
  <si>
    <t>4월</t>
    <phoneticPr fontId="10" type="noConversion"/>
  </si>
  <si>
    <t>5월</t>
    <phoneticPr fontId="10" type="noConversion"/>
  </si>
  <si>
    <t>7월</t>
    <phoneticPr fontId="10" type="noConversion"/>
  </si>
  <si>
    <t>8월</t>
    <phoneticPr fontId="10" type="noConversion"/>
  </si>
  <si>
    <t>9월</t>
    <phoneticPr fontId="10" type="noConversion"/>
  </si>
  <si>
    <t>평균</t>
    <phoneticPr fontId="10" type="noConversion"/>
  </si>
  <si>
    <t>사용량</t>
    <phoneticPr fontId="10" type="noConversion"/>
  </si>
  <si>
    <t>구입비용</t>
    <phoneticPr fontId="10" type="noConversion"/>
  </si>
  <si>
    <t>경 유</t>
    <phoneticPr fontId="10" type="noConversion"/>
  </si>
  <si>
    <t>청관제</t>
    <phoneticPr fontId="10" type="noConversion"/>
  </si>
  <si>
    <t>활성탄</t>
    <phoneticPr fontId="10" type="noConversion"/>
  </si>
  <si>
    <t>가성소다</t>
    <phoneticPr fontId="10" type="noConversion"/>
  </si>
  <si>
    <t>소석회</t>
    <phoneticPr fontId="10" type="noConversion"/>
  </si>
  <si>
    <t>운영비용(천원)</t>
    <phoneticPr fontId="2" type="noConversion"/>
  </si>
  <si>
    <t>유동상 소각로</t>
    <phoneticPr fontId="2" type="noConversion"/>
  </si>
  <si>
    <t>Average</t>
    <phoneticPr fontId="2" type="noConversion"/>
  </si>
  <si>
    <t>1. 운영현황</t>
    <phoneticPr fontId="2" type="noConversion"/>
  </si>
  <si>
    <t>가동시간(Hr)</t>
    <phoneticPr fontId="2" type="noConversion"/>
  </si>
  <si>
    <t>청관제
(KG)</t>
    <phoneticPr fontId="2" type="noConversion"/>
  </si>
  <si>
    <t>용수 사용량 (베올리아 지급비 기준)</t>
    <phoneticPr fontId="2" type="noConversion"/>
  </si>
  <si>
    <t>대일인터내셔널</t>
    <phoneticPr fontId="2" type="noConversion"/>
  </si>
  <si>
    <t>전력량(KW)</t>
    <phoneticPr fontId="2" type="noConversion"/>
  </si>
  <si>
    <t>1월</t>
    <phoneticPr fontId="2" type="noConversion"/>
  </si>
  <si>
    <t>탄산암모늄</t>
    <phoneticPr fontId="10" type="noConversion"/>
  </si>
  <si>
    <t>탄산암모늄
(KG)</t>
    <phoneticPr fontId="2" type="noConversion"/>
  </si>
  <si>
    <t>총 구입량</t>
    <phoneticPr fontId="2" type="noConversion"/>
  </si>
  <si>
    <t>총사용량</t>
    <phoneticPr fontId="2" type="noConversion"/>
  </si>
  <si>
    <t>총 구입비용</t>
    <phoneticPr fontId="2" type="noConversion"/>
  </si>
  <si>
    <t>구 분</t>
    <phoneticPr fontId="10" type="noConversion"/>
  </si>
  <si>
    <t xml:space="preserve"> </t>
    <phoneticPr fontId="10" type="noConversion"/>
  </si>
  <si>
    <t>증감</t>
    <phoneticPr fontId="10" type="noConversion"/>
  </si>
  <si>
    <t>1. 유동상 소각로 위탁 운영비용 사업계획대비 실적 (단위: 백만원)</t>
    <phoneticPr fontId="10" type="noConversion"/>
  </si>
  <si>
    <t>2. 유동상 소각로 위탁 운영비용 전년도 실적 및 비교 (단위:천원)</t>
    <phoneticPr fontId="10" type="noConversion"/>
  </si>
  <si>
    <t>유동상 소각로 (합계)</t>
    <phoneticPr fontId="10" type="noConversion"/>
  </si>
  <si>
    <t>총 사용비용</t>
    <phoneticPr fontId="2" type="noConversion"/>
  </si>
  <si>
    <t>SRF수입금</t>
    <phoneticPr fontId="2" type="noConversion"/>
  </si>
  <si>
    <t>폐토사</t>
    <phoneticPr fontId="2" type="noConversion"/>
  </si>
  <si>
    <t>SRF수입금</t>
    <phoneticPr fontId="10" type="noConversion"/>
  </si>
  <si>
    <t>입고량</t>
    <phoneticPr fontId="2" type="noConversion"/>
  </si>
  <si>
    <t>전력사용량</t>
    <phoneticPr fontId="10" type="noConversion"/>
  </si>
  <si>
    <t>전력단가</t>
    <phoneticPr fontId="10" type="noConversion"/>
  </si>
  <si>
    <t>재이용수</t>
    <phoneticPr fontId="10" type="noConversion"/>
  </si>
  <si>
    <t>처리단가</t>
    <phoneticPr fontId="10" type="noConversion"/>
  </si>
  <si>
    <t>처리단가</t>
    <phoneticPr fontId="10" type="noConversion"/>
  </si>
  <si>
    <t>복류수</t>
    <phoneticPr fontId="10" type="noConversion"/>
  </si>
  <si>
    <t>사용비용</t>
    <phoneticPr fontId="10" type="noConversion"/>
  </si>
  <si>
    <t>사용비용</t>
    <phoneticPr fontId="10" type="noConversion"/>
  </si>
  <si>
    <t>폐수</t>
    <phoneticPr fontId="10" type="noConversion"/>
  </si>
  <si>
    <t>폐기물처분부담금</t>
    <phoneticPr fontId="10" type="noConversion"/>
  </si>
  <si>
    <t>1월</t>
    <phoneticPr fontId="2" type="noConversion"/>
  </si>
  <si>
    <t>합계</t>
    <phoneticPr fontId="10" type="noConversion"/>
  </si>
  <si>
    <t>평균</t>
    <phoneticPr fontId="10" type="noConversion"/>
  </si>
  <si>
    <t>소각량</t>
    <phoneticPr fontId="10" type="noConversion"/>
  </si>
  <si>
    <t>스팀량</t>
    <phoneticPr fontId="10" type="noConversion"/>
  </si>
  <si>
    <t>수입금</t>
    <phoneticPr fontId="2" type="noConversion"/>
  </si>
  <si>
    <t>비산재(반출)-대광소재</t>
    <phoneticPr fontId="2" type="noConversion"/>
  </si>
  <si>
    <t>비산재 처리량</t>
    <phoneticPr fontId="10" type="noConversion"/>
  </si>
  <si>
    <t>비산재 처리금액</t>
    <phoneticPr fontId="10" type="noConversion"/>
  </si>
  <si>
    <t>바닥재 처리량</t>
    <phoneticPr fontId="10" type="noConversion"/>
  </si>
  <si>
    <t>바닥재 처리금액</t>
    <phoneticPr fontId="10" type="noConversion"/>
  </si>
  <si>
    <t>폐토사 처리량</t>
    <phoneticPr fontId="10" type="noConversion"/>
  </si>
  <si>
    <t>폐토사 처리금액</t>
    <phoneticPr fontId="10" type="noConversion"/>
  </si>
  <si>
    <t>스팀 원단위
(천원/톤)</t>
    <phoneticPr fontId="2" type="noConversion"/>
  </si>
  <si>
    <t>12월</t>
    <phoneticPr fontId="10" type="noConversion"/>
  </si>
  <si>
    <t>슬러지위탁 - 진들농산</t>
    <phoneticPr fontId="2" type="noConversion"/>
  </si>
  <si>
    <t>비산재(반출)-씨엠디기술단</t>
    <phoneticPr fontId="2" type="noConversion"/>
  </si>
  <si>
    <t>비산재(반출)-아이케이</t>
    <phoneticPr fontId="2" type="noConversion"/>
  </si>
  <si>
    <t>경유</t>
    <phoneticPr fontId="2" type="noConversion"/>
  </si>
  <si>
    <t>탄산암모늄</t>
    <phoneticPr fontId="2" type="noConversion"/>
  </si>
  <si>
    <t>청관제</t>
    <phoneticPr fontId="2" type="noConversion"/>
  </si>
  <si>
    <t>활성탄</t>
    <phoneticPr fontId="2" type="noConversion"/>
  </si>
  <si>
    <t>소금</t>
    <phoneticPr fontId="2" type="noConversion"/>
  </si>
  <si>
    <t>가성소다</t>
    <phoneticPr fontId="2" type="noConversion"/>
  </si>
  <si>
    <t>소석회</t>
    <phoneticPr fontId="2" type="noConversion"/>
  </si>
  <si>
    <t>규사</t>
    <phoneticPr fontId="2" type="noConversion"/>
  </si>
  <si>
    <t>단가(Kg/원)</t>
    <phoneticPr fontId="2" type="noConversion"/>
  </si>
  <si>
    <t>약품명</t>
    <phoneticPr fontId="2" type="noConversion"/>
  </si>
  <si>
    <t>소금</t>
    <phoneticPr fontId="10" type="noConversion"/>
  </si>
  <si>
    <t>규사</t>
    <phoneticPr fontId="10" type="noConversion"/>
  </si>
  <si>
    <t>구입량</t>
    <phoneticPr fontId="2" type="noConversion"/>
  </si>
  <si>
    <t>구입비용</t>
    <phoneticPr fontId="2" type="noConversion"/>
  </si>
  <si>
    <t>소각 원단위
(천원/톤)</t>
    <phoneticPr fontId="2" type="noConversion"/>
  </si>
  <si>
    <t>비산재(반출)-연경기초소재</t>
    <phoneticPr fontId="2" type="noConversion"/>
  </si>
  <si>
    <t>태창</t>
    <phoneticPr fontId="2" type="noConversion"/>
  </si>
  <si>
    <t>세종스틸</t>
    <phoneticPr fontId="2" type="noConversion"/>
  </si>
  <si>
    <t>F.D FAN</t>
    <phoneticPr fontId="2" type="noConversion"/>
  </si>
  <si>
    <t>자체 운영비용 (천원)</t>
    <phoneticPr fontId="10" type="noConversion"/>
  </si>
  <si>
    <t>활성탄
(KG)</t>
    <phoneticPr fontId="2" type="noConversion"/>
  </si>
  <si>
    <t>활성탄 (다이옥신 측정대비)</t>
    <phoneticPr fontId="2" type="noConversion"/>
  </si>
  <si>
    <t>바닥재(반출)-하이콘코리아</t>
    <phoneticPr fontId="2" type="noConversion"/>
  </si>
  <si>
    <t>비상발전기용 경유</t>
  </si>
  <si>
    <t>구입량</t>
  </si>
  <si>
    <t>구입비용</t>
  </si>
  <si>
    <t>비산재(반출)-주영이엔티</t>
    <phoneticPr fontId="2" type="noConversion"/>
  </si>
  <si>
    <t>반입</t>
    <phoneticPr fontId="2" type="noConversion"/>
  </si>
  <si>
    <t>'22. 1월</t>
    <phoneticPr fontId="2" type="noConversion"/>
  </si>
  <si>
    <t>2월</t>
    <phoneticPr fontId="2" type="noConversion"/>
  </si>
  <si>
    <t>스팀 생산량</t>
    <phoneticPr fontId="2" type="noConversion"/>
  </si>
  <si>
    <t>약품 구입비</t>
    <phoneticPr fontId="2" type="noConversion"/>
  </si>
  <si>
    <t>원단위</t>
    <phoneticPr fontId="2" type="noConversion"/>
  </si>
  <si>
    <t>* 유동상 연간 운영비</t>
    <phoneticPr fontId="2" type="noConversion"/>
  </si>
  <si>
    <t>2. 측정비 / 소수선비</t>
    <phoneticPr fontId="2" type="noConversion"/>
  </si>
  <si>
    <t xml:space="preserve">1. 인건비 등 고정비 </t>
    <phoneticPr fontId="2" type="noConversion"/>
  </si>
  <si>
    <t>3. 유지보수비</t>
    <phoneticPr fontId="2" type="noConversion"/>
  </si>
  <si>
    <t>백만원/년</t>
    <phoneticPr fontId="2" type="noConversion"/>
  </si>
  <si>
    <t>백만원/년</t>
    <phoneticPr fontId="2" type="noConversion"/>
  </si>
  <si>
    <t>4. 약품비</t>
    <phoneticPr fontId="2" type="noConversion"/>
  </si>
  <si>
    <t>5. 연간 예상 운영비</t>
    <phoneticPr fontId="2" type="noConversion"/>
  </si>
  <si>
    <t>스팀</t>
    <phoneticPr fontId="2" type="noConversion"/>
  </si>
  <si>
    <t>구 분</t>
    <phoneticPr fontId="2" type="noConversion"/>
  </si>
  <si>
    <t>유동상소각로</t>
    <phoneticPr fontId="2" type="noConversion"/>
  </si>
  <si>
    <t>인건비</t>
    <phoneticPr fontId="2" type="noConversion"/>
  </si>
  <si>
    <t>운영비</t>
    <phoneticPr fontId="2" type="noConversion"/>
  </si>
  <si>
    <t>합 계</t>
    <phoneticPr fontId="2" type="noConversion"/>
  </si>
  <si>
    <t>스팀 송기량 (톤)</t>
    <phoneticPr fontId="2" type="noConversion"/>
  </si>
  <si>
    <t>스팀 송기량(톤)</t>
    <phoneticPr fontId="2" type="noConversion"/>
  </si>
  <si>
    <t>스팀 생산량(톤)</t>
    <phoneticPr fontId="2" type="noConversion"/>
  </si>
  <si>
    <t>SRF반입량(톤)</t>
    <phoneticPr fontId="2" type="noConversion"/>
  </si>
  <si>
    <t>전체 소각량(톤)</t>
    <phoneticPr fontId="2" type="noConversion"/>
  </si>
  <si>
    <t>SRF소각량(톤)</t>
    <phoneticPr fontId="2" type="noConversion"/>
  </si>
  <si>
    <t>슬러지 소각량(톤)</t>
    <phoneticPr fontId="2" type="noConversion"/>
  </si>
  <si>
    <t>2. 약품 사용량 (실사용량 및 비용)</t>
    <phoneticPr fontId="2" type="noConversion"/>
  </si>
  <si>
    <t>평일</t>
    <phoneticPr fontId="2" type="noConversion"/>
  </si>
  <si>
    <t xml:space="preserve">유동상 소각로
정비 </t>
    <phoneticPr fontId="10" type="noConversion"/>
  </si>
  <si>
    <t>경유(L)-비상발전기</t>
    <phoneticPr fontId="2" type="noConversion"/>
  </si>
  <si>
    <t>총 계(천원)
(실 구매비용 기준)</t>
    <phoneticPr fontId="10" type="noConversion"/>
  </si>
  <si>
    <t>소각량</t>
    <phoneticPr fontId="10" type="noConversion"/>
  </si>
  <si>
    <t>스팀량</t>
    <phoneticPr fontId="10" type="noConversion"/>
  </si>
  <si>
    <t>발생횟수</t>
    <phoneticPr fontId="2" type="noConversion"/>
  </si>
  <si>
    <t>No.</t>
    <phoneticPr fontId="2" type="noConversion"/>
  </si>
  <si>
    <t>일 자</t>
    <phoneticPr fontId="2" type="noConversion"/>
  </si>
  <si>
    <t>사 유</t>
    <phoneticPr fontId="2" type="noConversion"/>
  </si>
  <si>
    <t>조치내역</t>
    <phoneticPr fontId="2" type="noConversion"/>
  </si>
  <si>
    <t>운휴시간(Hr)</t>
    <phoneticPr fontId="2" type="noConversion"/>
  </si>
  <si>
    <t>손실금액(백만원)</t>
    <phoneticPr fontId="2" type="noConversion"/>
  </si>
  <si>
    <t>비 고</t>
    <phoneticPr fontId="2" type="noConversion"/>
  </si>
  <si>
    <t>-</t>
    <phoneticPr fontId="2" type="noConversion"/>
  </si>
  <si>
    <t>합 계 (Hr)</t>
    <phoneticPr fontId="2" type="noConversion"/>
  </si>
  <si>
    <t>합 계 (Day)</t>
    <phoneticPr fontId="2" type="noConversion"/>
  </si>
  <si>
    <t>No.</t>
    <phoneticPr fontId="60" type="noConversion"/>
  </si>
  <si>
    <t>일 자</t>
    <phoneticPr fontId="60" type="noConversion"/>
  </si>
  <si>
    <t>사 유</t>
    <phoneticPr fontId="60" type="noConversion"/>
  </si>
  <si>
    <t>조치내역</t>
    <phoneticPr fontId="60" type="noConversion"/>
  </si>
  <si>
    <t>운휴시간(Hr)</t>
    <phoneticPr fontId="60" type="noConversion"/>
  </si>
  <si>
    <t>비 고</t>
    <phoneticPr fontId="60" type="noConversion"/>
  </si>
  <si>
    <t>정비횟수</t>
    <phoneticPr fontId="10" type="noConversion"/>
  </si>
  <si>
    <t>합 계 (Hr)</t>
  </si>
  <si>
    <t>총 운휴시간</t>
    <phoneticPr fontId="10" type="noConversion"/>
  </si>
  <si>
    <t>총 운휴일수</t>
    <phoneticPr fontId="10" type="noConversion"/>
  </si>
  <si>
    <t>.</t>
    <phoneticPr fontId="10" type="noConversion"/>
  </si>
  <si>
    <t>월</t>
    <phoneticPr fontId="2" type="noConversion"/>
  </si>
  <si>
    <t>지급액</t>
    <phoneticPr fontId="2" type="noConversion"/>
  </si>
  <si>
    <t>총 액</t>
    <phoneticPr fontId="2" type="noConversion"/>
  </si>
  <si>
    <t>사용액</t>
    <phoneticPr fontId="2" type="noConversion"/>
  </si>
  <si>
    <t>사용처</t>
    <phoneticPr fontId="2" type="noConversion"/>
  </si>
  <si>
    <t>잔 액</t>
    <phoneticPr fontId="2" type="noConversion"/>
  </si>
  <si>
    <t>Item</t>
    <phoneticPr fontId="2" type="noConversion"/>
  </si>
  <si>
    <t>설비
개선</t>
    <phoneticPr fontId="2" type="noConversion"/>
  </si>
  <si>
    <t>유지
보수</t>
    <phoneticPr fontId="2" type="noConversion"/>
  </si>
  <si>
    <t>완료여부</t>
    <phoneticPr fontId="2" type="noConversion"/>
  </si>
  <si>
    <t>완료건수</t>
    <phoneticPr fontId="2" type="noConversion"/>
  </si>
  <si>
    <t>추진건수</t>
    <phoneticPr fontId="2" type="noConversion"/>
  </si>
  <si>
    <t>슬러지위탁 - 삼화그린웰</t>
    <phoneticPr fontId="2" type="noConversion"/>
  </si>
  <si>
    <t>케이엠</t>
    <phoneticPr fontId="2" type="noConversion"/>
  </si>
  <si>
    <t>처리 원단위(천원/톤)
(실 구매비용 기준)</t>
    <phoneticPr fontId="10" type="noConversion"/>
  </si>
  <si>
    <t>약품비 원단위(천원/톤)
(실 구매비용 기준)</t>
    <phoneticPr fontId="10" type="noConversion"/>
  </si>
  <si>
    <t>슬러지위탁 - 보림씨에스</t>
    <phoneticPr fontId="2" type="noConversion"/>
  </si>
  <si>
    <t>바닥재(반출)-제이에이그린</t>
    <phoneticPr fontId="2" type="noConversion"/>
  </si>
  <si>
    <t>자체 운영비
소계(천원)</t>
    <phoneticPr fontId="10" type="noConversion"/>
  </si>
  <si>
    <t>소각량</t>
    <phoneticPr fontId="10" type="noConversion"/>
  </si>
  <si>
    <t>스팀량</t>
    <phoneticPr fontId="10" type="noConversion"/>
  </si>
  <si>
    <t>자체 운영단가 (천원/톤)</t>
    <phoneticPr fontId="10" type="noConversion"/>
  </si>
  <si>
    <t>슬러지위탁 - 에코비트</t>
    <phoneticPr fontId="2" type="noConversion"/>
  </si>
  <si>
    <t>슬러지위탁 - 신기산업</t>
    <phoneticPr fontId="2" type="noConversion"/>
  </si>
  <si>
    <t>[단위 : 원]</t>
    <phoneticPr fontId="2" type="noConversion"/>
  </si>
  <si>
    <t>슬러지위탁 - 오대오바이오</t>
    <phoneticPr fontId="2" type="noConversion"/>
  </si>
  <si>
    <t>계획비용(백만원)</t>
    <phoneticPr fontId="2" type="noConversion"/>
  </si>
  <si>
    <t>실 비용(원)</t>
    <phoneticPr fontId="2" type="noConversion"/>
  </si>
  <si>
    <t>[단위 : Kg, 원]</t>
    <phoneticPr fontId="2" type="noConversion"/>
  </si>
  <si>
    <t>케이제이환경</t>
    <phoneticPr fontId="2" type="noConversion"/>
  </si>
  <si>
    <t>등유(L)-열풍기용</t>
    <phoneticPr fontId="2" type="noConversion"/>
  </si>
  <si>
    <t>열풍기용 등유</t>
    <phoneticPr fontId="10" type="noConversion"/>
  </si>
  <si>
    <t>구입량</t>
    <phoneticPr fontId="10" type="noConversion"/>
  </si>
  <si>
    <t>구입비용</t>
    <phoneticPr fontId="10" type="noConversion"/>
  </si>
  <si>
    <t>그린플러스</t>
    <phoneticPr fontId="2" type="noConversion"/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</si>
  <si>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</si>
  <si>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</si>
  <si>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</si>
  <si>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</si>
  <si>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</si>
  <si>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</si>
  <si>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</si>
  <si>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</si>
  <si>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</si>
  <si>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</si>
  <si>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</si>
  <si>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</si>
  <si>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</si>
  <si>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</si>
  <si>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</si>
  <si>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</si>
  <si>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</si>
  <si>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</si>
  <si>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</si>
  <si>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</si>
  <si>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</si>
  <si>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</si>
  <si>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</si>
  <si>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</si>
  <si>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</si>
  <si>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</si>
  <si>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</si>
  <si>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합 계</t>
  </si>
  <si>
    <t>평 균</t>
  </si>
  <si>
    <t>2024실적</t>
    <phoneticPr fontId="10" type="noConversion"/>
  </si>
  <si>
    <t>탄산암모늄 및 희석수 탱크 이설 및 라인 개선</t>
    <phoneticPr fontId="2" type="noConversion"/>
  </si>
  <si>
    <t>에너지회수효율 계측기 추가 설치 및 검교정</t>
    <phoneticPr fontId="2" type="noConversion"/>
  </si>
  <si>
    <t>컴프레셔 토출 덕트 라인 개선</t>
    <phoneticPr fontId="2" type="noConversion"/>
  </si>
  <si>
    <t>2차 연소실 내화물 보수</t>
    <phoneticPr fontId="2" type="noConversion"/>
  </si>
  <si>
    <t>압입송풍기 모터 및 임펠러 교체</t>
    <phoneticPr fontId="2" type="noConversion"/>
  </si>
  <si>
    <t>산기관 교체</t>
    <phoneticPr fontId="2" type="noConversion"/>
  </si>
  <si>
    <t>1. '24년 설비개선 T.F.T</t>
    <phoneticPr fontId="2" type="noConversion"/>
  </si>
  <si>
    <t>바닥재(반출)-새롬산업</t>
    <phoneticPr fontId="2" type="noConversion"/>
  </si>
  <si>
    <t>도급비용(천원)</t>
    <phoneticPr fontId="10" type="noConversion"/>
  </si>
  <si>
    <t>소각 원단위
(천원/톤)</t>
    <phoneticPr fontId="10" type="noConversion"/>
  </si>
  <si>
    <t>스팀 원단위
(천원/톤)</t>
    <phoneticPr fontId="10" type="noConversion"/>
  </si>
  <si>
    <t>운영비 원단위</t>
    <phoneticPr fontId="10" type="noConversion"/>
  </si>
  <si>
    <t>도급비 원단위</t>
    <phoneticPr fontId="10" type="noConversion"/>
  </si>
  <si>
    <t>3. 유틸리티 사용량 / 운영비 (자체 운영비)</t>
    <phoneticPr fontId="10" type="noConversion"/>
  </si>
  <si>
    <t>설비개선비용</t>
    <phoneticPr fontId="2" type="noConversion"/>
  </si>
  <si>
    <t>KNE지급비용</t>
    <phoneticPr fontId="2" type="noConversion"/>
  </si>
  <si>
    <t>운영비 합계 (원/월)</t>
    <phoneticPr fontId="2" type="noConversion"/>
  </si>
  <si>
    <t>슬러지위탁 - 제이농장</t>
    <phoneticPr fontId="2" type="noConversion"/>
  </si>
  <si>
    <t>'23년 I.D Fan Power Cell 및 고압인버터용 GDB 구입비용 차액 정산</t>
    <phoneticPr fontId="2" type="noConversion"/>
  </si>
  <si>
    <t>-</t>
  </si>
  <si>
    <t>-</t>
    <phoneticPr fontId="2" type="noConversion"/>
  </si>
  <si>
    <t>스팀단가 (원/톤)</t>
    <phoneticPr fontId="2" type="noConversion"/>
  </si>
  <si>
    <t>스팀 구매비 (원/일)</t>
    <phoneticPr fontId="2" type="noConversion"/>
  </si>
  <si>
    <t>운휴시간 단가(원/시간)</t>
    <phoneticPr fontId="2" type="noConversion"/>
  </si>
  <si>
    <t>고정비(원/일)</t>
    <phoneticPr fontId="2" type="noConversion"/>
  </si>
  <si>
    <t>운휴시간</t>
    <phoneticPr fontId="2" type="noConversion"/>
  </si>
  <si>
    <t>슬러지위탁 - 관동녹화</t>
    <phoneticPr fontId="2" type="noConversion"/>
  </si>
  <si>
    <t>슬러지위탁 - 원진영농</t>
    <phoneticPr fontId="2" type="noConversion"/>
  </si>
  <si>
    <t>슬러지위탁 - 산우리</t>
    <phoneticPr fontId="2" type="noConversion"/>
  </si>
  <si>
    <t>완료</t>
    <phoneticPr fontId="2" type="noConversion"/>
  </si>
  <si>
    <t>여과집진기 역세 노즐 교체 (펄스V/V구매비 4.6백만원 추가)</t>
    <phoneticPr fontId="2" type="noConversion"/>
  </si>
  <si>
    <t>습식세정탑 보충수 공급 배관 개선 (여과집진기 공사비용에 포함)</t>
    <phoneticPr fontId="2" type="noConversion"/>
  </si>
  <si>
    <t>-</t>
    <phoneticPr fontId="2" type="noConversion"/>
  </si>
  <si>
    <t>백필터 펄싱 배관 (15백만원) + 펄싱밸브 구매 (4.6백만원) +HMI점검 (1.3백만원)</t>
    <phoneticPr fontId="2" type="noConversion"/>
  </si>
  <si>
    <t>유인송풍기 PID점검(지아이)</t>
    <phoneticPr fontId="2" type="noConversion"/>
  </si>
  <si>
    <t>운휴시간
(고정비 지급)</t>
    <phoneticPr fontId="10" type="noConversion"/>
  </si>
  <si>
    <t>운휴시간 고정비</t>
    <phoneticPr fontId="10" type="noConversion"/>
  </si>
  <si>
    <t>설비개선비용</t>
    <phoneticPr fontId="10" type="noConversion"/>
  </si>
  <si>
    <t>가동시간 운영비
스팀생산 운영비</t>
    <phoneticPr fontId="10" type="noConversion"/>
  </si>
  <si>
    <t>대림종합개발</t>
    <phoneticPr fontId="2" type="noConversion"/>
  </si>
  <si>
    <t>일별</t>
    <phoneticPr fontId="10" type="noConversion"/>
  </si>
  <si>
    <t xml:space="preserve">유동상 소각로 </t>
    <phoneticPr fontId="10" type="noConversion"/>
  </si>
  <si>
    <t>스팀 구매량 / 운휴시간</t>
    <phoneticPr fontId="10" type="noConversion"/>
  </si>
  <si>
    <t>총 운영비용(원)</t>
    <phoneticPr fontId="10" type="noConversion"/>
  </si>
  <si>
    <t>스팀단가
(원/톤)</t>
    <phoneticPr fontId="10" type="noConversion"/>
  </si>
  <si>
    <t>운영비용(원)</t>
    <phoneticPr fontId="10" type="noConversion"/>
  </si>
  <si>
    <t>운휴시간(Hr)</t>
    <phoneticPr fontId="10" type="noConversion"/>
  </si>
  <si>
    <t>운휴시간당
고정비(원/시간)</t>
    <phoneticPr fontId="10" type="noConversion"/>
  </si>
  <si>
    <t>1일</t>
    <phoneticPr fontId="10" type="noConversion"/>
  </si>
  <si>
    <t>[단위 : 원]</t>
    <phoneticPr fontId="2" type="noConversion"/>
  </si>
  <si>
    <t>설비명</t>
    <phoneticPr fontId="2" type="noConversion"/>
  </si>
  <si>
    <t>인건비</t>
    <phoneticPr fontId="2" type="noConversion"/>
  </si>
  <si>
    <t>운영비</t>
    <phoneticPr fontId="2" type="noConversion"/>
  </si>
  <si>
    <t>총 지급비용</t>
    <phoneticPr fontId="2" type="noConversion"/>
  </si>
  <si>
    <t>유동상소각로</t>
    <phoneticPr fontId="2" type="noConversion"/>
  </si>
  <si>
    <t>(T/D)</t>
    <phoneticPr fontId="10" type="noConversion"/>
  </si>
  <si>
    <t>(T/hr)</t>
    <phoneticPr fontId="2" type="noConversion"/>
  </si>
  <si>
    <t>스팀 생산량</t>
    <phoneticPr fontId="10" type="noConversion"/>
  </si>
  <si>
    <t>차감비</t>
    <phoneticPr fontId="10" type="noConversion"/>
  </si>
  <si>
    <t>추가 지급분</t>
    <phoneticPr fontId="10" type="noConversion"/>
  </si>
  <si>
    <t>2025실적</t>
    <phoneticPr fontId="10" type="noConversion"/>
  </si>
  <si>
    <t>'25년 누계</t>
    <phoneticPr fontId="10" type="noConversion"/>
  </si>
  <si>
    <t>1/13 제지 3호기 운휴시 동시운휴, 인버터 점검, 1/24~31 설 운휴기간 슬러지 감소로 운휴</t>
    <phoneticPr fontId="2" type="noConversion"/>
  </si>
  <si>
    <t>2025년도</t>
    <phoneticPr fontId="2" type="noConversion"/>
  </si>
  <si>
    <t>2/7~11 제지 조단시 슬러지 재고 감소로 운휴</t>
    <phoneticPr fontId="2" type="noConversion"/>
  </si>
  <si>
    <t>월</t>
    <phoneticPr fontId="2" type="noConversion"/>
  </si>
  <si>
    <t>사용액</t>
    <phoneticPr fontId="2" type="noConversion"/>
  </si>
  <si>
    <t>잔 액</t>
    <phoneticPr fontId="2" type="noConversion"/>
  </si>
  <si>
    <t>Item</t>
    <phoneticPr fontId="2" type="noConversion"/>
  </si>
  <si>
    <t>계획비용(백만원)</t>
    <phoneticPr fontId="2" type="noConversion"/>
  </si>
  <si>
    <t>실 비용(원)</t>
    <phoneticPr fontId="2" type="noConversion"/>
  </si>
  <si>
    <t>설비
개선</t>
    <phoneticPr fontId="2" type="noConversion"/>
  </si>
  <si>
    <t>진척률</t>
    <phoneticPr fontId="2" type="noConversion"/>
  </si>
  <si>
    <t>총 액</t>
    <phoneticPr fontId="2" type="noConversion"/>
  </si>
  <si>
    <t>완료건수</t>
    <phoneticPr fontId="2" type="noConversion"/>
  </si>
  <si>
    <t>추가 
작업사항
(개선비용처리)</t>
    <phoneticPr fontId="2" type="noConversion"/>
  </si>
  <si>
    <t>추가건수</t>
    <phoneticPr fontId="2" type="noConversion"/>
  </si>
  <si>
    <t>합계금액</t>
    <phoneticPr fontId="2" type="noConversion"/>
  </si>
  <si>
    <t>총 계</t>
    <phoneticPr fontId="2" type="noConversion"/>
  </si>
  <si>
    <t>컴프레셔 수냉식 쿨러 설치</t>
    <phoneticPr fontId="2" type="noConversion"/>
  </si>
  <si>
    <t>컨베이어 롤 브러쉬 설치</t>
    <phoneticPr fontId="2" type="noConversion"/>
  </si>
  <si>
    <t>혼합연료호퍼 물분무 소화설비 설치</t>
    <phoneticPr fontId="2" type="noConversion"/>
  </si>
  <si>
    <t>습식세정탑 폴링 교체 및 덕트 보수</t>
    <phoneticPr fontId="2" type="noConversion"/>
  </si>
  <si>
    <t>급수탱크 교체 및 급수 라인 내림관 설치 공사</t>
    <phoneticPr fontId="2" type="noConversion"/>
  </si>
  <si>
    <t>전기 분전반 설치</t>
    <phoneticPr fontId="2" type="noConversion"/>
  </si>
  <si>
    <t>탄산암모늄 공급 펌프 탱크 및 펌프 용량 개선</t>
    <phoneticPr fontId="2" type="noConversion"/>
  </si>
  <si>
    <t>소각로 산기관 교체</t>
    <phoneticPr fontId="2" type="noConversion"/>
  </si>
  <si>
    <t>압입송풍기 /유인송풍기 인터버 오버홀</t>
    <phoneticPr fontId="2" type="noConversion"/>
  </si>
  <si>
    <t>보일러 드럼 하부 부식 개선 및 보온</t>
    <phoneticPr fontId="2" type="noConversion"/>
  </si>
  <si>
    <t>제어실 LED모니터 교체</t>
    <phoneticPr fontId="2" type="noConversion"/>
  </si>
  <si>
    <t>소각로 내화물 보수 공사</t>
    <phoneticPr fontId="2" type="noConversion"/>
  </si>
  <si>
    <t>기관실 에너지회수효율 개선공사</t>
    <phoneticPr fontId="2" type="noConversion"/>
  </si>
  <si>
    <t>PLC A/O Module교체(전기팀)</t>
    <phoneticPr fontId="2" type="noConversion"/>
  </si>
  <si>
    <t>유인송풍기 인버터 트러블 불시 운휴 및 
혼합연료 이송컨베이어벨트 사행 발생</t>
    <phoneticPr fontId="2" type="noConversion"/>
  </si>
  <si>
    <t>인버터 점검(전기팀) 및 컨베이어벨트 이탈 방지용 가이드롤러 설치</t>
    <phoneticPr fontId="2" type="noConversion"/>
  </si>
  <si>
    <t>29일</t>
  </si>
  <si>
    <t>30일</t>
  </si>
  <si>
    <t>1차 연소실 내화물 보수공사 (50%)</t>
    <phoneticPr fontId="2" type="noConversion"/>
  </si>
  <si>
    <t>유인송풍기 인버터 트러블 불시 운휴</t>
    <phoneticPr fontId="2" type="noConversion"/>
  </si>
  <si>
    <t>유인송풍기 인버터 트러블 불시 운휴</t>
    <phoneticPr fontId="2" type="noConversion"/>
  </si>
  <si>
    <t>토글스위치 접점 불량으로 케이블 우회 결선(전기팀)</t>
    <phoneticPr fontId="2" type="noConversion"/>
  </si>
  <si>
    <t>'25년 유동상소각로 설비 사고 이력</t>
    <phoneticPr fontId="2" type="noConversion"/>
  </si>
  <si>
    <t>2. '25년 유동상소각로 정기 정비 이력</t>
    <phoneticPr fontId="2" type="noConversion"/>
  </si>
  <si>
    <t>3/27~4/6 제지 조단기간 정비 시행 (내화물 보수, B/F클리닝)</t>
    <phoneticPr fontId="2" type="noConversion"/>
  </si>
  <si>
    <t>3/27~4/6</t>
    <phoneticPr fontId="2" type="noConversion"/>
  </si>
  <si>
    <t>보일러 정기정비 (제지 조단기간 이용 정비진행)</t>
    <phoneticPr fontId="2" type="noConversion"/>
  </si>
  <si>
    <t>1차 연소실 내화물 보수 및 B/F클리닝 등</t>
    <phoneticPr fontId="2" type="noConversion"/>
  </si>
  <si>
    <t>4/1~4/4 제지 조단기간 운휴, 4/5~6 내화물 큐어링으로 인한 추가 운휴, 4/28~30 제지 조단기간 운휴</t>
    <phoneticPr fontId="2" type="noConversion"/>
  </si>
  <si>
    <t>제지 조단기간 제외 시 31hr 추가운휴(4/5~6)</t>
    <phoneticPr fontId="2" type="noConversion"/>
  </si>
  <si>
    <t>제어실 LED DID교체 계약금(50%)</t>
    <phoneticPr fontId="2" type="noConversion"/>
  </si>
  <si>
    <t>혼합연료 로터리밸브 'B' 구매 계약금 (50%)</t>
    <phoneticPr fontId="2" type="noConversion"/>
  </si>
  <si>
    <t>업체명</t>
    <phoneticPr fontId="2" type="noConversion"/>
  </si>
  <si>
    <t>케이앤이</t>
    <phoneticPr fontId="2" type="noConversion"/>
  </si>
  <si>
    <t>우진라페</t>
    <phoneticPr fontId="2" type="noConversion"/>
  </si>
  <si>
    <t>지아이오토메이션</t>
    <phoneticPr fontId="2" type="noConversion"/>
  </si>
  <si>
    <t>다올씨앤씨</t>
    <phoneticPr fontId="2" type="noConversion"/>
  </si>
  <si>
    <t>거성산업</t>
    <phoneticPr fontId="2" type="noConversion"/>
  </si>
  <si>
    <t>1차 연소실 내화물 보수공사 잔금 (50%)</t>
    <phoneticPr fontId="2" type="noConversion"/>
  </si>
  <si>
    <t>유인송풍기 인터록 작업</t>
    <phoneticPr fontId="2" type="noConversion"/>
  </si>
  <si>
    <t>완료</t>
    <phoneticPr fontId="2" type="noConversion"/>
  </si>
  <si>
    <t>1. '25년 설비개선 T.F.T</t>
    <phoneticPr fontId="2" type="noConversion"/>
  </si>
  <si>
    <t>두제</t>
    <phoneticPr fontId="2" type="noConversion"/>
  </si>
  <si>
    <t>바닥재(반출)-삼영에스엔알</t>
    <phoneticPr fontId="2" type="noConversion"/>
  </si>
  <si>
    <t>비산재(반출)-느티나무</t>
    <phoneticPr fontId="2" type="noConversion"/>
  </si>
  <si>
    <t>비산재(반출)-모두그린</t>
    <phoneticPr fontId="2" type="noConversion"/>
  </si>
  <si>
    <t>와이티엔텍</t>
    <phoneticPr fontId="2" type="noConversion"/>
  </si>
  <si>
    <t>세정탑 폴링 교체</t>
    <phoneticPr fontId="2" type="noConversion"/>
  </si>
  <si>
    <t>다올씨앤씨</t>
    <phoneticPr fontId="2" type="noConversion"/>
  </si>
  <si>
    <t>제어실 LED DID교체 잔금(50%)</t>
    <phoneticPr fontId="2" type="noConversion"/>
  </si>
  <si>
    <t>혼합연료 로터리밸브 'B' 구매 잔금 (50%)</t>
    <phoneticPr fontId="2" type="noConversion"/>
  </si>
  <si>
    <t>거성산업</t>
  </si>
  <si>
    <t>완료</t>
    <phoneticPr fontId="2" type="noConversion"/>
  </si>
  <si>
    <t>혼합연료 로터리밸브 'B' 구매</t>
  </si>
  <si>
    <t>완료</t>
    <phoneticPr fontId="2" type="noConversion"/>
  </si>
  <si>
    <t>유인송풍기 HMI 인터록 설정 작업</t>
    <phoneticPr fontId="2" type="noConversion"/>
  </si>
  <si>
    <t>5/1~4 제지 조단기간 운휴</t>
    <phoneticPr fontId="2" type="noConversion"/>
  </si>
  <si>
    <t>덕트보수 건 추가 진행 필요</t>
    <phoneticPr fontId="2" type="noConversion"/>
  </si>
  <si>
    <t>6/11~16 제지2 운휴로 인한 스팀사용량 감소로 설비 운휴</t>
    <phoneticPr fontId="2" type="noConversion"/>
  </si>
  <si>
    <t>선드라이브</t>
    <phoneticPr fontId="2" type="noConversion"/>
  </si>
  <si>
    <t>압입 / 유인송풍기 인버터 스패어 구매</t>
    <phoneticPr fontId="2" type="noConversion"/>
  </si>
  <si>
    <t>7/4~9 제지2 운휴로 인한 스팀사용량 감소로 설비 운휴</t>
    <phoneticPr fontId="2" type="noConversion"/>
  </si>
  <si>
    <t>정풍산업</t>
    <phoneticPr fontId="2" type="noConversion"/>
  </si>
  <si>
    <t>에어컴프레셔 수냉식 쿨러 설치 (A)</t>
    <phoneticPr fontId="2" type="noConversion"/>
  </si>
  <si>
    <t>냉난방기 설치</t>
    <phoneticPr fontId="2" type="noConversion"/>
  </si>
  <si>
    <t>승현상사</t>
    <phoneticPr fontId="2" type="noConversion"/>
  </si>
  <si>
    <t>완료</t>
    <phoneticPr fontId="2" type="noConversion"/>
  </si>
  <si>
    <t>리에나</t>
    <phoneticPr fontId="2" type="noConversion"/>
  </si>
  <si>
    <t>8/16~21정기정비 운휴 (고정비 지급 처리)</t>
    <phoneticPr fontId="2" type="noConversion"/>
  </si>
  <si>
    <t>정풍산업</t>
    <phoneticPr fontId="2" type="noConversion"/>
  </si>
  <si>
    <t>에어컴프레셔 수냉식 쿨러 설치 (B)</t>
    <phoneticPr fontId="2" type="noConversion"/>
  </si>
  <si>
    <t>선드라이브</t>
    <phoneticPr fontId="2" type="noConversion"/>
  </si>
  <si>
    <t>압입 / 유인송풍기 인버터 오버홀</t>
    <phoneticPr fontId="2" type="noConversion"/>
  </si>
  <si>
    <t>완료</t>
    <phoneticPr fontId="2" type="noConversion"/>
  </si>
  <si>
    <t>9/2 제지3호기 정비시 운휴</t>
    <phoneticPr fontId="2" type="noConversion"/>
  </si>
  <si>
    <t>지아이오토메이션</t>
    <phoneticPr fontId="2" type="noConversion"/>
  </si>
  <si>
    <t>와이티엔텍</t>
    <phoneticPr fontId="2" type="noConversion"/>
  </si>
  <si>
    <t xml:space="preserve">유동상 PLC점검 및 HMI수정 출장비 </t>
    <phoneticPr fontId="2" type="noConversion"/>
  </si>
  <si>
    <t>구 분</t>
    <phoneticPr fontId="10" type="noConversion"/>
  </si>
  <si>
    <t>1월</t>
    <phoneticPr fontId="10" type="noConversion"/>
  </si>
  <si>
    <t>탄산암모늄</t>
    <phoneticPr fontId="10" type="noConversion"/>
  </si>
  <si>
    <t>활성탄</t>
    <phoneticPr fontId="10" type="noConversion"/>
  </si>
  <si>
    <t>소석회</t>
    <phoneticPr fontId="10" type="noConversion"/>
  </si>
  <si>
    <t>* 소각톤당 약품사용량(Kg/ton)</t>
    <phoneticPr fontId="10" type="noConversion"/>
  </si>
  <si>
    <t>`25년 9월</t>
    <phoneticPr fontId="10" type="noConversion"/>
  </si>
  <si>
    <t>유동상 소각로 운영현황 및 비용 (2025. 10월)</t>
    <phoneticPr fontId="2" type="noConversion"/>
  </si>
  <si>
    <t>1. 2025년 10월 소각로 도급비용</t>
    <phoneticPr fontId="10" type="noConversion"/>
  </si>
  <si>
    <t>31일</t>
  </si>
  <si>
    <t>10/6~8 추석 연휴기간 스팀사용량 감소로 설비 운휴</t>
    <phoneticPr fontId="2" type="noConversion"/>
  </si>
  <si>
    <t>유동상소각로 습식세정탑 노즐 배관 개선 공사 (계약금 50%)</t>
    <phoneticPr fontId="2" type="noConversion"/>
  </si>
  <si>
    <t>완료</t>
    <phoneticPr fontId="2" type="noConversion"/>
  </si>
  <si>
    <t>완료</t>
    <phoneticPr fontId="2" type="noConversion"/>
  </si>
  <si>
    <t>SRF투입 크레인 브레이크 코일 소손</t>
    <phoneticPr fontId="2" type="noConversion"/>
  </si>
  <si>
    <t>브레이크 코일 교체 (전기팀)</t>
    <phoneticPr fontId="2" type="noConversion"/>
  </si>
  <si>
    <t>1/24~31</t>
    <phoneticPr fontId="2" type="noConversion"/>
  </si>
  <si>
    <t>보일러 및 공기예열기 소제 및 점검</t>
    <phoneticPr fontId="2" type="noConversion"/>
  </si>
  <si>
    <t>6/10~16</t>
    <phoneticPr fontId="2" type="noConversion"/>
  </si>
  <si>
    <t>보일러 정기정비 (제지 조단기간 이용 정비진행)</t>
    <phoneticPr fontId="2" type="noConversion"/>
  </si>
  <si>
    <t>8/16~21</t>
    <phoneticPr fontId="2" type="noConversion"/>
  </si>
  <si>
    <t xml:space="preserve">보일러 정기정비 </t>
    <phoneticPr fontId="2" type="noConversion"/>
  </si>
  <si>
    <t>폐합성2호기 잦은 운휴로 정비기간 고정비 지급 처리로 합의</t>
    <phoneticPr fontId="2" type="noConversion"/>
  </si>
  <si>
    <t>`25년 10월</t>
    <phoneticPr fontId="10" type="noConversion"/>
  </si>
  <si>
    <t>약품. 소모품 소계 (실 구매비용 기준)</t>
    <phoneticPr fontId="2" type="noConversion"/>
  </si>
  <si>
    <t>일 약품 사용량</t>
    <phoneticPr fontId="2" type="noConversion"/>
  </si>
  <si>
    <t>합 계 (Day)</t>
    <phoneticPr fontId="2" type="noConversion"/>
  </si>
  <si>
    <t>보일러 및 공기예열기 소제 및 점검, 인버터 오버홀</t>
    <phoneticPr fontId="2" type="noConversion"/>
  </si>
  <si>
    <t>추가비용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</si>
</sst>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4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0.0_ "/>
    <numFmt numFmtId="177" formatCode="_-* #,##0.00_-;\-* #,##0.00_-;_-* &quot;-&quot;_-;_-@_-"/>
    <numFmt numFmtId="178" formatCode="#,##0;\△#,##0"/>
    <numFmt numFmtId="179" formatCode="m&quot;월&quot;\ d&quot;일&quot;;@"/>
    <numFmt numFmtId="180" formatCode="_-* #,##0.0_-;\-* #,##0.0_-;_-* &quot;-&quot;_-;_-@_-"/>
    <numFmt numFmtId="181" formatCode="#,##0.0;\△#,##0.0"/>
    <numFmt numFmtId="182" formatCode="_-* #,##0_-;\-* #,##0_-;_-* &quot;-&quot;??_-;_-@_-"/>
    <numFmt numFmtId="183" formatCode="0.0%"/>
    <numFmt numFmtId="184" formatCode="_-* #,##0.0_-;\-* #,##0.0_-;_-* &quot;-&quot;??_-;_-@_-"/>
    <numFmt numFmtId="185" formatCode="0.0"/>
    <numFmt numFmtId="186" formatCode="_ * #,##0_ ;_ * \-#,##0_ ;_ * &quot;-&quot;_ ;_ @_ "/>
    <numFmt numFmtId="187" formatCode="_ * #,##0.00_ ;_ * \-#,##0.00_ ;_ * &quot;-&quot;??_ ;_ @_ "/>
    <numFmt numFmtId="188" formatCode="&quot;₩&quot;#,##0;&quot;₩&quot;&quot;₩&quot;\-#,##0"/>
    <numFmt numFmtId="189" formatCode="&quot;₩&quot;#,##0.00;&quot;₩&quot;&quot;₩&quot;\-#,##0.00"/>
    <numFmt numFmtId="190" formatCode="_ * #,##0.00_ ;_ * &quot;₩&quot;&quot;₩&quot;&quot;₩&quot;&quot;₩&quot;&quot;₩&quot;&quot;₩&quot;&quot;₩&quot;&quot;₩&quot;&quot;₩&quot;&quot;₩&quot;\-#,##0.00_ ;_ * &quot;-&quot;??_ ;_ @_ "/>
    <numFmt numFmtId="191" formatCode="&quot;₩&quot;#,##0;&quot;₩&quot;&quot;₩&quot;&quot;₩&quot;&quot;₩&quot;\-#,##0"/>
    <numFmt numFmtId="192" formatCode="#,##0;[Red]&quot;-&quot;#,##0"/>
    <numFmt numFmtId="193" formatCode="&quot;₩&quot;#,##0;[Red]&quot;₩&quot;&quot;₩&quot;&quot;₩&quot;&quot;₩&quot;\-#,##0"/>
    <numFmt numFmtId="194" formatCode="#,##0.00;[Red]&quot;-&quot;#,##0.00"/>
    <numFmt numFmtId="195" formatCode="_-* #,##0.00_-;&quot;₩&quot;&quot;₩&quot;\-* #,##0.00_-;_-* &quot;-&quot;??_-;_-@_-"/>
    <numFmt numFmtId="196" formatCode="_-&quot;₩&quot;* #,##0.00_-;&quot;₩&quot;&quot;₩&quot;\-&quot;₩&quot;* #,##0.00_-;_-&quot;₩&quot;* &quot;-&quot;??_-;_-@_-"/>
    <numFmt numFmtId="197" formatCode="&quot;₩&quot;#,##0.00;&quot;₩&quot;&quot;₩&quot;&quot;₩&quot;&quot;₩&quot;\-#,##0.00"/>
    <numFmt numFmtId="198" formatCode="#,##0.00;\△#,##0.00%"/>
    <numFmt numFmtId="199" formatCode="0.0000E+00"/>
    <numFmt numFmtId="200" formatCode="_-* #,##0.0_-;\-* #,##0.0_-;_-* &quot;-&quot;?_-;_-@_-"/>
    <numFmt numFmtId="201" formatCode="_-* #,##0.000_-;\-* #,##0.000_-;_-* &quot;-&quot;_-;_-@_-"/>
    <numFmt numFmtId="202" formatCode="m&quot;/&quot;d;@"/>
    <numFmt numFmtId="203" formatCode="0.000000000000_ "/>
    <numFmt numFmtId="204" formatCode="#,##0;\-#,##0;\-"/>
    <numFmt numFmtId="205" formatCode="#,##0.0;\-#,##0.0;\-"/>
    <numFmt numFmtId="206" formatCode="mm&quot;월&quot;\ dd&quot;일&quot;"/>
  </numFmts>
  <fonts count="6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2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 tint="0.49998474074526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 tint="-0.34998626667073579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1"/>
      <name val="새굴림"/>
      <family val="1"/>
      <charset val="129"/>
    </font>
    <font>
      <sz val="10"/>
      <color theme="1"/>
      <name val="맑은 고딕"/>
      <family val="3"/>
      <charset val="129"/>
    </font>
    <font>
      <b/>
      <sz val="12"/>
      <name val="Arial"/>
      <family val="2"/>
    </font>
    <font>
      <sz val="12"/>
      <name val="바탕체"/>
      <family val="1"/>
      <charset val="129"/>
    </font>
    <font>
      <sz val="11"/>
      <name val="뼻뮝"/>
      <family val="3"/>
      <charset val="129"/>
    </font>
    <font>
      <sz val="10"/>
      <name val="Arial"/>
      <family val="2"/>
    </font>
    <font>
      <sz val="14"/>
      <name val="뼻뮝"/>
      <family val="3"/>
      <charset val="129"/>
    </font>
    <font>
      <sz val="8"/>
      <name val="Arial"/>
      <family val="2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2"/>
      <name val="뼻뮝"/>
      <family val="3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1"/>
    </font>
    <font>
      <sz val="11"/>
      <color indexed="14"/>
      <name val="Calibri"/>
      <family val="2"/>
    </font>
    <font>
      <b/>
      <sz val="11"/>
      <color indexed="17"/>
      <name val="Calibri"/>
      <family val="2"/>
    </font>
    <font>
      <sz val="11"/>
      <color indexed="37"/>
      <name val="Calibri"/>
      <family val="2"/>
    </font>
    <font>
      <sz val="11"/>
      <color indexed="17"/>
      <name val="Calibri"/>
      <family val="2"/>
    </font>
    <font>
      <b/>
      <sz val="11"/>
      <color indexed="9"/>
      <name val="Calibri"/>
      <family val="2"/>
    </font>
    <font>
      <sz val="11"/>
      <color indexed="48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theme="1"/>
      <name val="맑은 고딕"/>
      <family val="2"/>
      <scheme val="minor"/>
    </font>
    <font>
      <b/>
      <sz val="9"/>
      <color rgb="FF0070C0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</fonts>
  <fills count="5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9"/>
      </patternFill>
    </fill>
    <fill>
      <patternFill patternType="solid">
        <fgColor indexed="45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23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48"/>
        <bgColor indexed="48"/>
      </patternFill>
    </fill>
    <fill>
      <patternFill patternType="solid">
        <fgColor indexed="25"/>
        <bgColor indexed="25"/>
      </patternFill>
    </fill>
    <fill>
      <patternFill patternType="solid">
        <fgColor indexed="57"/>
        <bgColor indexed="57"/>
      </patternFill>
    </fill>
    <fill>
      <patternFill patternType="solid">
        <fgColor indexed="18"/>
        <bgColor indexed="18"/>
      </patternFill>
    </fill>
    <fill>
      <patternFill patternType="solid">
        <fgColor indexed="53"/>
        <bgColor indexed="53"/>
      </patternFill>
    </fill>
    <fill>
      <patternFill patternType="solid">
        <fgColor indexed="35"/>
        <bgColor indexed="35"/>
      </patternFill>
    </fill>
  </fills>
  <borders count="2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indexed="64"/>
      </top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7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double">
        <color theme="3" tint="0.39994506668294322"/>
      </top>
      <bottom style="double">
        <color theme="3" tint="0.39994506668294322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auto="1"/>
      </right>
      <top/>
      <bottom style="double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ck">
        <color auto="1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indexed="64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indexed="64"/>
      </right>
      <top style="dotted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dotted">
        <color rgb="FF000000"/>
      </bottom>
      <diagonal/>
    </border>
    <border>
      <left style="thin">
        <color indexed="64"/>
      </left>
      <right style="thin">
        <color rgb="FF000000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hair">
        <color auto="1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dotted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rgb="FF000000"/>
      </left>
      <right style="thin">
        <color indexed="64"/>
      </right>
      <top style="thick">
        <color indexed="64"/>
      </top>
      <bottom style="dotted">
        <color rgb="FF000000"/>
      </bottom>
      <diagonal/>
    </border>
    <border>
      <left/>
      <right/>
      <top/>
      <bottom style="thick">
        <color indexed="64"/>
      </bottom>
      <diagonal/>
    </border>
  </borders>
  <cellStyleXfs count="1090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22" fillId="0" borderId="94" applyNumberFormat="0" applyFill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24" fillId="0" borderId="0">
      <alignment vertical="center"/>
    </xf>
    <xf numFmtId="186" fontId="2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0" fontId="8" fillId="0" borderId="0"/>
    <xf numFmtId="0" fontId="8" fillId="0" borderId="0"/>
    <xf numFmtId="41" fontId="25" fillId="0" borderId="0" applyFont="0" applyFill="0" applyBorder="0" applyAlignment="0" applyProtection="0"/>
    <xf numFmtId="0" fontId="25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0" fontId="25" fillId="0" borderId="0"/>
    <xf numFmtId="41" fontId="25" fillId="0" borderId="0" applyFont="0" applyFill="0" applyBorder="0" applyAlignment="0" applyProtection="0"/>
    <xf numFmtId="0" fontId="27" fillId="0" borderId="84" applyNumberFormat="0" applyAlignment="0" applyProtection="0">
      <alignment horizontal="left" vertical="center"/>
    </xf>
    <xf numFmtId="0" fontId="27" fillId="0" borderId="89">
      <alignment horizontal="left" vertical="center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41" fontId="25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24" fillId="0" borderId="0">
      <alignment vertical="center"/>
    </xf>
    <xf numFmtId="41" fontId="25" fillId="0" borderId="0" applyFont="0" applyFill="0" applyBorder="0" applyAlignment="0" applyProtection="0"/>
    <xf numFmtId="0" fontId="1" fillId="0" borderId="0">
      <alignment vertical="center"/>
    </xf>
    <xf numFmtId="41" fontId="25" fillId="0" borderId="0" applyFont="0" applyFill="0" applyBorder="0" applyAlignment="0" applyProtection="0"/>
    <xf numFmtId="0" fontId="25" fillId="0" borderId="0"/>
    <xf numFmtId="0" fontId="8" fillId="0" borderId="0">
      <alignment vertical="center"/>
    </xf>
    <xf numFmtId="0" fontId="8" fillId="0" borderId="0">
      <alignment vertical="center"/>
    </xf>
    <xf numFmtId="41" fontId="25" fillId="0" borderId="0" applyFont="0" applyFill="0" applyBorder="0" applyAlignment="0" applyProtection="0"/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8" fillId="0" borderId="0"/>
    <xf numFmtId="38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9" fillId="0" borderId="0"/>
    <xf numFmtId="0" fontId="30" fillId="0" borderId="0"/>
    <xf numFmtId="0" fontId="31" fillId="0" borderId="0"/>
    <xf numFmtId="0" fontId="30" fillId="0" borderId="0"/>
    <xf numFmtId="0" fontId="31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186" fontId="30" fillId="0" borderId="0" applyFont="0" applyFill="0" applyBorder="0" applyAlignment="0" applyProtection="0"/>
    <xf numFmtId="187" fontId="30" fillId="0" borderId="0" applyFont="0" applyFill="0" applyBorder="0" applyAlignment="0" applyProtection="0"/>
    <xf numFmtId="188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38" fontId="32" fillId="9" borderId="0" applyNumberFormat="0" applyBorder="0" applyAlignment="0" applyProtection="0"/>
    <xf numFmtId="10" fontId="32" fillId="10" borderId="1" applyNumberFormat="0" applyBorder="0" applyAlignment="0" applyProtection="0"/>
    <xf numFmtId="190" fontId="28" fillId="0" borderId="0"/>
    <xf numFmtId="0" fontId="30" fillId="0" borderId="0"/>
    <xf numFmtId="10" fontId="30" fillId="0" borderId="0" applyFont="0" applyFill="0" applyBorder="0" applyAlignment="0" applyProtection="0"/>
    <xf numFmtId="191" fontId="28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5" fillId="0" borderId="0"/>
    <xf numFmtId="192" fontId="3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29" fillId="0" borderId="0"/>
    <xf numFmtId="4" fontId="34" fillId="0" borderId="0">
      <protection locked="0"/>
    </xf>
    <xf numFmtId="193" fontId="28" fillId="0" borderId="0">
      <protection locked="0"/>
    </xf>
    <xf numFmtId="38" fontId="28" fillId="0" borderId="0" applyFont="0" applyFill="0" applyBorder="0" applyAlignment="0" applyProtection="0"/>
    <xf numFmtId="194" fontId="28" fillId="0" borderId="0" applyFont="0" applyFill="0" applyBorder="0" applyAlignment="0" applyProtection="0"/>
    <xf numFmtId="195" fontId="28" fillId="0" borderId="0">
      <protection locked="0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34" fillId="0" borderId="95">
      <protection locked="0"/>
    </xf>
    <xf numFmtId="196" fontId="28" fillId="0" borderId="0">
      <protection locked="0"/>
    </xf>
    <xf numFmtId="197" fontId="28" fillId="0" borderId="0">
      <protection locked="0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8" fillId="13" borderId="0" applyNumberFormat="0" applyBorder="0" applyAlignment="0" applyProtection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0" fontId="38" fillId="16" borderId="0" applyNumberFormat="0" applyBorder="0" applyAlignment="0" applyProtection="0"/>
    <xf numFmtId="0" fontId="37" fillId="17" borderId="0" applyNumberFormat="0" applyBorder="0" applyAlignment="0" applyProtection="0"/>
    <xf numFmtId="0" fontId="37" fillId="18" borderId="0" applyNumberFormat="0" applyBorder="0" applyAlignment="0" applyProtection="0"/>
    <xf numFmtId="0" fontId="38" fillId="19" borderId="0" applyNumberFormat="0" applyBorder="0" applyAlignment="0" applyProtection="0"/>
    <xf numFmtId="0" fontId="37" fillId="14" borderId="0" applyNumberFormat="0" applyBorder="0" applyAlignment="0" applyProtection="0"/>
    <xf numFmtId="0" fontId="37" fillId="20" borderId="0" applyNumberFormat="0" applyBorder="0" applyAlignment="0" applyProtection="0"/>
    <xf numFmtId="0" fontId="38" fillId="15" borderId="0" applyNumberFormat="0" applyBorder="0" applyAlignment="0" applyProtection="0"/>
    <xf numFmtId="0" fontId="37" fillId="21" borderId="0" applyNumberFormat="0" applyBorder="0" applyAlignment="0" applyProtection="0"/>
    <xf numFmtId="0" fontId="37" fillId="22" borderId="0" applyNumberFormat="0" applyBorder="0" applyAlignment="0" applyProtection="0"/>
    <xf numFmtId="0" fontId="38" fillId="13" borderId="0" applyNumberFormat="0" applyBorder="0" applyAlignment="0" applyProtection="0"/>
    <xf numFmtId="0" fontId="37" fillId="23" borderId="0" applyNumberFormat="0" applyBorder="0" applyAlignment="0" applyProtection="0"/>
    <xf numFmtId="0" fontId="37" fillId="24" borderId="0" applyNumberFormat="0" applyBorder="0" applyAlignment="0" applyProtection="0"/>
    <xf numFmtId="0" fontId="38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4" fontId="32" fillId="29" borderId="96" applyNumberFormat="0" applyProtection="0">
      <alignment vertical="center"/>
    </xf>
    <xf numFmtId="4" fontId="40" fillId="30" borderId="96" applyNumberFormat="0" applyProtection="0">
      <alignment vertical="center"/>
    </xf>
    <xf numFmtId="4" fontId="32" fillId="30" borderId="96" applyNumberFormat="0" applyProtection="0">
      <alignment horizontal="left" vertical="center" indent="1"/>
    </xf>
    <xf numFmtId="0" fontId="41" fillId="29" borderId="97" applyNumberFormat="0" applyProtection="0">
      <alignment horizontal="left" vertical="top" indent="1"/>
    </xf>
    <xf numFmtId="4" fontId="32" fillId="31" borderId="96" applyNumberFormat="0" applyProtection="0">
      <alignment horizontal="left" vertical="center" indent="1"/>
    </xf>
    <xf numFmtId="4" fontId="32" fillId="32" borderId="96" applyNumberFormat="0" applyProtection="0">
      <alignment horizontal="right" vertical="center"/>
    </xf>
    <xf numFmtId="4" fontId="32" fillId="33" borderId="96" applyNumberFormat="0" applyProtection="0">
      <alignment horizontal="right" vertical="center"/>
    </xf>
    <xf numFmtId="4" fontId="32" fillId="34" borderId="98" applyNumberFormat="0" applyProtection="0">
      <alignment horizontal="right" vertical="center"/>
    </xf>
    <xf numFmtId="4" fontId="32" fillId="35" borderId="96" applyNumberFormat="0" applyProtection="0">
      <alignment horizontal="right" vertical="center"/>
    </xf>
    <xf numFmtId="4" fontId="32" fillId="36" borderId="96" applyNumberFormat="0" applyProtection="0">
      <alignment horizontal="right" vertical="center"/>
    </xf>
    <xf numFmtId="4" fontId="32" fillId="37" borderId="96" applyNumberFormat="0" applyProtection="0">
      <alignment horizontal="right" vertical="center"/>
    </xf>
    <xf numFmtId="4" fontId="32" fillId="38" borderId="96" applyNumberFormat="0" applyProtection="0">
      <alignment horizontal="right" vertical="center"/>
    </xf>
    <xf numFmtId="4" fontId="32" fillId="39" borderId="96" applyNumberFormat="0" applyProtection="0">
      <alignment horizontal="right" vertical="center"/>
    </xf>
    <xf numFmtId="4" fontId="32" fillId="40" borderId="96" applyNumberFormat="0" applyProtection="0">
      <alignment horizontal="right" vertical="center"/>
    </xf>
    <xf numFmtId="4" fontId="32" fillId="41" borderId="98" applyNumberFormat="0" applyProtection="0">
      <alignment horizontal="left" vertical="center" indent="1"/>
    </xf>
    <xf numFmtId="4" fontId="30" fillId="42" borderId="98" applyNumberFormat="0" applyProtection="0">
      <alignment horizontal="left" vertical="center" indent="1"/>
    </xf>
    <xf numFmtId="4" fontId="30" fillId="42" borderId="98" applyNumberFormat="0" applyProtection="0">
      <alignment horizontal="left" vertical="center" indent="1"/>
    </xf>
    <xf numFmtId="4" fontId="32" fillId="43" borderId="96" applyNumberFormat="0" applyProtection="0">
      <alignment horizontal="right" vertical="center"/>
    </xf>
    <xf numFmtId="4" fontId="32" fillId="44" borderId="98" applyNumberFormat="0" applyProtection="0">
      <alignment horizontal="left" vertical="center" indent="1"/>
    </xf>
    <xf numFmtId="4" fontId="32" fillId="43" borderId="98" applyNumberFormat="0" applyProtection="0">
      <alignment horizontal="left" vertical="center" indent="1"/>
    </xf>
    <xf numFmtId="0" fontId="32" fillId="45" borderId="96" applyNumberFormat="0" applyProtection="0">
      <alignment horizontal="left" vertical="center" indent="1"/>
    </xf>
    <xf numFmtId="0" fontId="32" fillId="42" borderId="97" applyNumberFormat="0" applyProtection="0">
      <alignment horizontal="left" vertical="top" indent="1"/>
    </xf>
    <xf numFmtId="0" fontId="32" fillId="46" borderId="96" applyNumberFormat="0" applyProtection="0">
      <alignment horizontal="left" vertical="center" indent="1"/>
    </xf>
    <xf numFmtId="0" fontId="32" fillId="43" borderId="97" applyNumberFormat="0" applyProtection="0">
      <alignment horizontal="left" vertical="top" indent="1"/>
    </xf>
    <xf numFmtId="0" fontId="32" fillId="47" borderId="96" applyNumberFormat="0" applyProtection="0">
      <alignment horizontal="left" vertical="center" indent="1"/>
    </xf>
    <xf numFmtId="0" fontId="32" fillId="47" borderId="97" applyNumberFormat="0" applyProtection="0">
      <alignment horizontal="left" vertical="top" indent="1"/>
    </xf>
    <xf numFmtId="0" fontId="32" fillId="44" borderId="96" applyNumberFormat="0" applyProtection="0">
      <alignment horizontal="left" vertical="center" indent="1"/>
    </xf>
    <xf numFmtId="0" fontId="32" fillId="44" borderId="97" applyNumberFormat="0" applyProtection="0">
      <alignment horizontal="left" vertical="top" indent="1"/>
    </xf>
    <xf numFmtId="0" fontId="32" fillId="48" borderId="99" applyNumberFormat="0">
      <protection locked="0"/>
    </xf>
    <xf numFmtId="0" fontId="42" fillId="42" borderId="100" applyBorder="0"/>
    <xf numFmtId="4" fontId="43" fillId="49" borderId="97" applyNumberFormat="0" applyProtection="0">
      <alignment vertical="center"/>
    </xf>
    <xf numFmtId="4" fontId="40" fillId="10" borderId="1" applyNumberFormat="0" applyProtection="0">
      <alignment vertical="center"/>
    </xf>
    <xf numFmtId="4" fontId="43" fillId="45" borderId="97" applyNumberFormat="0" applyProtection="0">
      <alignment horizontal="left" vertical="center" indent="1"/>
    </xf>
    <xf numFmtId="0" fontId="43" fillId="49" borderId="97" applyNumberFormat="0" applyProtection="0">
      <alignment horizontal="left" vertical="top" indent="1"/>
    </xf>
    <xf numFmtId="4" fontId="32" fillId="0" borderId="96" applyNumberFormat="0" applyProtection="0">
      <alignment horizontal="right" vertical="center"/>
    </xf>
    <xf numFmtId="4" fontId="32" fillId="0" borderId="96" applyNumberFormat="0" applyProtection="0">
      <alignment horizontal="right" vertical="center"/>
    </xf>
    <xf numFmtId="4" fontId="40" fillId="50" borderId="96" applyNumberFormat="0" applyProtection="0">
      <alignment horizontal="right" vertical="center"/>
    </xf>
    <xf numFmtId="4" fontId="32" fillId="31" borderId="96" applyNumberFormat="0" applyProtection="0">
      <alignment horizontal="left" vertical="center" indent="1"/>
    </xf>
    <xf numFmtId="0" fontId="43" fillId="43" borderId="97" applyNumberFormat="0" applyProtection="0">
      <alignment horizontal="left" vertical="top" indent="1"/>
    </xf>
    <xf numFmtId="4" fontId="44" fillId="51" borderId="98" applyNumberFormat="0" applyProtection="0">
      <alignment horizontal="left" vertical="center" indent="1"/>
    </xf>
    <xf numFmtId="0" fontId="32" fillId="52" borderId="1"/>
    <xf numFmtId="4" fontId="45" fillId="48" borderId="96" applyNumberFormat="0" applyProtection="0">
      <alignment horizontal="right" vertical="center"/>
    </xf>
    <xf numFmtId="0" fontId="46" fillId="0" borderId="0" applyNumberFormat="0" applyFill="0" applyBorder="0" applyAlignment="0" applyProtection="0"/>
    <xf numFmtId="0" fontId="38" fillId="53" borderId="0" applyNumberFormat="0" applyBorder="0" applyAlignment="0" applyProtection="0"/>
    <xf numFmtId="0" fontId="38" fillId="54" borderId="0" applyNumberFormat="0" applyBorder="0" applyAlignment="0" applyProtection="0"/>
    <xf numFmtId="0" fontId="38" fillId="55" borderId="0" applyNumberFormat="0" applyBorder="0" applyAlignment="0" applyProtection="0"/>
    <xf numFmtId="0" fontId="38" fillId="56" borderId="0" applyNumberFormat="0" applyBorder="0" applyAlignment="0" applyProtection="0"/>
    <xf numFmtId="0" fontId="38" fillId="13" borderId="0" applyNumberFormat="0" applyBorder="0" applyAlignment="0" applyProtection="0"/>
    <xf numFmtId="0" fontId="38" fillId="57" borderId="0" applyNumberFormat="0" applyBorder="0" applyAlignment="0" applyProtection="0"/>
    <xf numFmtId="0" fontId="47" fillId="0" borderId="0" applyNumberFormat="0" applyFill="0" applyBorder="0" applyAlignment="0" applyProtection="0"/>
    <xf numFmtId="0" fontId="48" fillId="58" borderId="96" applyNumberFormat="0" applyAlignment="0" applyProtection="0"/>
    <xf numFmtId="0" fontId="49" fillId="23" borderId="0" applyNumberFormat="0" applyBorder="0" applyAlignment="0" applyProtection="0"/>
    <xf numFmtId="0" fontId="32" fillId="23" borderId="96" applyNumberFormat="0" applyFont="0" applyAlignment="0" applyProtection="0"/>
    <xf numFmtId="0" fontId="50" fillId="24" borderId="0" applyNumberFormat="0" applyBorder="0" applyAlignment="0" applyProtection="0"/>
    <xf numFmtId="0" fontId="51" fillId="56" borderId="101" applyNumberFormat="0" applyAlignment="0" applyProtection="0"/>
    <xf numFmtId="0" fontId="50" fillId="0" borderId="102" applyNumberFormat="0" applyFill="0" applyAlignment="0" applyProtection="0"/>
    <xf numFmtId="0" fontId="39" fillId="0" borderId="103" applyNumberFormat="0" applyFill="0" applyAlignment="0" applyProtection="0"/>
    <xf numFmtId="0" fontId="52" fillId="24" borderId="96" applyNumberFormat="0" applyAlignment="0" applyProtection="0"/>
    <xf numFmtId="0" fontId="53" fillId="0" borderId="104" applyNumberFormat="0" applyFill="0" applyAlignment="0" applyProtection="0"/>
    <xf numFmtId="0" fontId="54" fillId="0" borderId="105" applyNumberFormat="0" applyFill="0" applyAlignment="0" applyProtection="0"/>
    <xf numFmtId="0" fontId="55" fillId="0" borderId="106" applyNumberFormat="0" applyFill="0" applyAlignment="0" applyProtection="0"/>
    <xf numFmtId="0" fontId="55" fillId="0" borderId="0" applyNumberFormat="0" applyFill="0" applyBorder="0" applyAlignment="0" applyProtection="0"/>
    <xf numFmtId="0" fontId="37" fillId="18" borderId="0" applyNumberFormat="0" applyBorder="0" applyAlignment="0" applyProtection="0"/>
    <xf numFmtId="0" fontId="56" fillId="58" borderId="107" applyNumberFormat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180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17" fillId="0" borderId="0">
      <alignment vertical="center"/>
    </xf>
    <xf numFmtId="180" fontId="24" fillId="0" borderId="0" applyFont="0" applyFill="0" applyBorder="0" applyAlignment="0" applyProtection="0">
      <alignment vertical="center"/>
    </xf>
    <xf numFmtId="0" fontId="57" fillId="0" borderId="0"/>
    <xf numFmtId="41" fontId="57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" fontId="32" fillId="29" borderId="96" applyNumberFormat="0" applyProtection="0">
      <alignment vertical="center"/>
    </xf>
    <xf numFmtId="4" fontId="40" fillId="30" borderId="96" applyNumberFormat="0" applyProtection="0">
      <alignment vertical="center"/>
    </xf>
    <xf numFmtId="4" fontId="32" fillId="30" borderId="96" applyNumberFormat="0" applyProtection="0">
      <alignment horizontal="left" vertical="center" indent="1"/>
    </xf>
    <xf numFmtId="0" fontId="41" fillId="29" borderId="97" applyNumberFormat="0" applyProtection="0">
      <alignment horizontal="left" vertical="top" indent="1"/>
    </xf>
    <xf numFmtId="4" fontId="32" fillId="31" borderId="96" applyNumberFormat="0" applyProtection="0">
      <alignment horizontal="left" vertical="center" indent="1"/>
    </xf>
    <xf numFmtId="4" fontId="32" fillId="32" borderId="96" applyNumberFormat="0" applyProtection="0">
      <alignment horizontal="right" vertical="center"/>
    </xf>
    <xf numFmtId="4" fontId="32" fillId="33" borderId="96" applyNumberFormat="0" applyProtection="0">
      <alignment horizontal="right" vertical="center"/>
    </xf>
    <xf numFmtId="4" fontId="32" fillId="34" borderId="98" applyNumberFormat="0" applyProtection="0">
      <alignment horizontal="right" vertical="center"/>
    </xf>
    <xf numFmtId="4" fontId="32" fillId="35" borderId="96" applyNumberFormat="0" applyProtection="0">
      <alignment horizontal="right" vertical="center"/>
    </xf>
    <xf numFmtId="4" fontId="32" fillId="36" borderId="96" applyNumberFormat="0" applyProtection="0">
      <alignment horizontal="right" vertical="center"/>
    </xf>
    <xf numFmtId="4" fontId="32" fillId="37" borderId="96" applyNumberFormat="0" applyProtection="0">
      <alignment horizontal="right" vertical="center"/>
    </xf>
    <xf numFmtId="4" fontId="32" fillId="38" borderId="96" applyNumberFormat="0" applyProtection="0">
      <alignment horizontal="right" vertical="center"/>
    </xf>
    <xf numFmtId="4" fontId="32" fillId="39" borderId="96" applyNumberFormat="0" applyProtection="0">
      <alignment horizontal="right" vertical="center"/>
    </xf>
    <xf numFmtId="4" fontId="32" fillId="40" borderId="96" applyNumberFormat="0" applyProtection="0">
      <alignment horizontal="right" vertical="center"/>
    </xf>
    <xf numFmtId="4" fontId="32" fillId="41" borderId="98" applyNumberFormat="0" applyProtection="0">
      <alignment horizontal="left" vertical="center" indent="1"/>
    </xf>
    <xf numFmtId="4" fontId="30" fillId="42" borderId="98" applyNumberFormat="0" applyProtection="0">
      <alignment horizontal="left" vertical="center" indent="1"/>
    </xf>
    <xf numFmtId="4" fontId="30" fillId="42" borderId="98" applyNumberFormat="0" applyProtection="0">
      <alignment horizontal="left" vertical="center" indent="1"/>
    </xf>
    <xf numFmtId="4" fontId="32" fillId="43" borderId="96" applyNumberFormat="0" applyProtection="0">
      <alignment horizontal="right" vertical="center"/>
    </xf>
    <xf numFmtId="4" fontId="32" fillId="44" borderId="98" applyNumberFormat="0" applyProtection="0">
      <alignment horizontal="left" vertical="center" indent="1"/>
    </xf>
    <xf numFmtId="4" fontId="32" fillId="43" borderId="98" applyNumberFormat="0" applyProtection="0">
      <alignment horizontal="left" vertical="center" indent="1"/>
    </xf>
    <xf numFmtId="0" fontId="32" fillId="45" borderId="96" applyNumberFormat="0" applyProtection="0">
      <alignment horizontal="left" vertical="center" indent="1"/>
    </xf>
    <xf numFmtId="0" fontId="32" fillId="42" borderId="97" applyNumberFormat="0" applyProtection="0">
      <alignment horizontal="left" vertical="top" indent="1"/>
    </xf>
    <xf numFmtId="0" fontId="32" fillId="46" borderId="96" applyNumberFormat="0" applyProtection="0">
      <alignment horizontal="left" vertical="center" indent="1"/>
    </xf>
    <xf numFmtId="0" fontId="32" fillId="43" borderId="97" applyNumberFormat="0" applyProtection="0">
      <alignment horizontal="left" vertical="top" indent="1"/>
    </xf>
    <xf numFmtId="0" fontId="32" fillId="47" borderId="96" applyNumberFormat="0" applyProtection="0">
      <alignment horizontal="left" vertical="center" indent="1"/>
    </xf>
    <xf numFmtId="0" fontId="32" fillId="47" borderId="97" applyNumberFormat="0" applyProtection="0">
      <alignment horizontal="left" vertical="top" indent="1"/>
    </xf>
    <xf numFmtId="0" fontId="32" fillId="44" borderId="96" applyNumberFormat="0" applyProtection="0">
      <alignment horizontal="left" vertical="center" indent="1"/>
    </xf>
    <xf numFmtId="0" fontId="32" fillId="44" borderId="97" applyNumberFormat="0" applyProtection="0">
      <alignment horizontal="left" vertical="top" indent="1"/>
    </xf>
    <xf numFmtId="0" fontId="42" fillId="42" borderId="100" applyBorder="0"/>
    <xf numFmtId="4" fontId="43" fillId="49" borderId="97" applyNumberFormat="0" applyProtection="0">
      <alignment vertical="center"/>
    </xf>
    <xf numFmtId="4" fontId="43" fillId="45" borderId="97" applyNumberFormat="0" applyProtection="0">
      <alignment horizontal="left" vertical="center" indent="1"/>
    </xf>
    <xf numFmtId="0" fontId="43" fillId="49" borderId="97" applyNumberFormat="0" applyProtection="0">
      <alignment horizontal="left" vertical="top" indent="1"/>
    </xf>
    <xf numFmtId="4" fontId="32" fillId="0" borderId="96" applyNumberFormat="0" applyProtection="0">
      <alignment horizontal="right" vertical="center"/>
    </xf>
    <xf numFmtId="4" fontId="32" fillId="0" borderId="96" applyNumberFormat="0" applyProtection="0">
      <alignment horizontal="right" vertical="center"/>
    </xf>
    <xf numFmtId="4" fontId="40" fillId="50" borderId="96" applyNumberFormat="0" applyProtection="0">
      <alignment horizontal="right" vertical="center"/>
    </xf>
    <xf numFmtId="4" fontId="32" fillId="31" borderId="96" applyNumberFormat="0" applyProtection="0">
      <alignment horizontal="left" vertical="center" indent="1"/>
    </xf>
    <xf numFmtId="0" fontId="43" fillId="43" borderId="97" applyNumberFormat="0" applyProtection="0">
      <alignment horizontal="left" vertical="top" indent="1"/>
    </xf>
    <xf numFmtId="4" fontId="44" fillId="51" borderId="98" applyNumberFormat="0" applyProtection="0">
      <alignment horizontal="left" vertical="center" indent="1"/>
    </xf>
    <xf numFmtId="4" fontId="45" fillId="48" borderId="96" applyNumberFormat="0" applyProtection="0">
      <alignment horizontal="right" vertical="center"/>
    </xf>
    <xf numFmtId="0" fontId="48" fillId="58" borderId="96" applyNumberFormat="0" applyAlignment="0" applyProtection="0"/>
    <xf numFmtId="0" fontId="32" fillId="23" borderId="96" applyNumberFormat="0" applyFont="0" applyAlignment="0" applyProtection="0"/>
    <xf numFmtId="0" fontId="39" fillId="0" borderId="103" applyNumberFormat="0" applyFill="0" applyAlignment="0" applyProtection="0"/>
    <xf numFmtId="0" fontId="52" fillId="24" borderId="96" applyNumberFormat="0" applyAlignment="0" applyProtection="0"/>
    <xf numFmtId="0" fontId="56" fillId="58" borderId="107" applyNumberFormat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27" fillId="0" borderId="89">
      <alignment horizontal="left"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10" fontId="32" fillId="10" borderId="1" applyNumberFormat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" fontId="40" fillId="10" borderId="1" applyNumberFormat="0" applyProtection="0">
      <alignment vertical="center"/>
    </xf>
    <xf numFmtId="0" fontId="32" fillId="52" borderId="1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27" fillId="0" borderId="89">
      <alignment horizontal="left"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32" fillId="44" borderId="97" applyNumberFormat="0" applyProtection="0">
      <alignment horizontal="left" vertical="top" indent="1"/>
    </xf>
    <xf numFmtId="4" fontId="32" fillId="34" borderId="98" applyNumberFormat="0" applyProtection="0">
      <alignment horizontal="right" vertical="center"/>
    </xf>
    <xf numFmtId="0" fontId="39" fillId="0" borderId="103" applyNumberFormat="0" applyFill="0" applyAlignment="0" applyProtection="0"/>
    <xf numFmtId="4" fontId="32" fillId="0" borderId="96" applyNumberFormat="0" applyProtection="0">
      <alignment horizontal="right" vertical="center"/>
    </xf>
    <xf numFmtId="0" fontId="32" fillId="23" borderId="96" applyNumberFormat="0" applyFont="0" applyAlignment="0" applyProtection="0"/>
    <xf numFmtId="0" fontId="52" fillId="24" borderId="96" applyNumberFormat="0" applyAlignment="0" applyProtection="0"/>
    <xf numFmtId="4" fontId="32" fillId="29" borderId="96" applyNumberFormat="0" applyProtection="0">
      <alignment vertical="center"/>
    </xf>
    <xf numFmtId="4" fontId="32" fillId="38" borderId="96" applyNumberFormat="0" applyProtection="0">
      <alignment horizontal="right" vertical="center"/>
    </xf>
    <xf numFmtId="0" fontId="43" fillId="49" borderId="97" applyNumberFormat="0" applyProtection="0">
      <alignment horizontal="left" vertical="top" indent="1"/>
    </xf>
    <xf numFmtId="0" fontId="32" fillId="44" borderId="96" applyNumberFormat="0" applyProtection="0">
      <alignment horizontal="left" vertical="center" indent="1"/>
    </xf>
    <xf numFmtId="4" fontId="30" fillId="42" borderId="98" applyNumberFormat="0" applyProtection="0">
      <alignment horizontal="left" vertical="center" indent="1"/>
    </xf>
    <xf numFmtId="4" fontId="32" fillId="36" borderId="96" applyNumberFormat="0" applyProtection="0">
      <alignment horizontal="right" vertical="center"/>
    </xf>
    <xf numFmtId="0" fontId="32" fillId="52" borderId="1"/>
    <xf numFmtId="4" fontId="32" fillId="33" borderId="96" applyNumberFormat="0" applyProtection="0">
      <alignment horizontal="right" vertical="center"/>
    </xf>
    <xf numFmtId="0" fontId="27" fillId="0" borderId="89">
      <alignment horizontal="left" vertical="center"/>
    </xf>
    <xf numFmtId="0" fontId="32" fillId="47" borderId="96" applyNumberFormat="0" applyProtection="0">
      <alignment horizontal="left" vertical="center" indent="1"/>
    </xf>
    <xf numFmtId="4" fontId="44" fillId="51" borderId="98" applyNumberFormat="0" applyProtection="0">
      <alignment horizontal="left" vertical="center" indent="1"/>
    </xf>
    <xf numFmtId="4" fontId="32" fillId="43" borderId="98" applyNumberFormat="0" applyProtection="0">
      <alignment horizontal="left" vertical="center" indent="1"/>
    </xf>
    <xf numFmtId="4" fontId="32" fillId="32" borderId="96" applyNumberFormat="0" applyProtection="0">
      <alignment horizontal="right" vertical="center"/>
    </xf>
    <xf numFmtId="10" fontId="32" fillId="10" borderId="1" applyNumberFormat="0" applyBorder="0" applyAlignment="0" applyProtection="0"/>
    <xf numFmtId="4" fontId="32" fillId="29" borderId="96" applyNumberFormat="0" applyProtection="0">
      <alignment vertical="center"/>
    </xf>
    <xf numFmtId="4" fontId="40" fillId="30" borderId="96" applyNumberFormat="0" applyProtection="0">
      <alignment vertical="center"/>
    </xf>
    <xf numFmtId="4" fontId="32" fillId="30" borderId="96" applyNumberFormat="0" applyProtection="0">
      <alignment horizontal="left" vertical="center" indent="1"/>
    </xf>
    <xf numFmtId="0" fontId="41" fillId="29" borderId="97" applyNumberFormat="0" applyProtection="0">
      <alignment horizontal="left" vertical="top" indent="1"/>
    </xf>
    <xf numFmtId="4" fontId="32" fillId="31" borderId="96" applyNumberFormat="0" applyProtection="0">
      <alignment horizontal="left" vertical="center" indent="1"/>
    </xf>
    <xf numFmtId="4" fontId="32" fillId="32" borderId="96" applyNumberFormat="0" applyProtection="0">
      <alignment horizontal="right" vertical="center"/>
    </xf>
    <xf numFmtId="4" fontId="32" fillId="33" borderId="96" applyNumberFormat="0" applyProtection="0">
      <alignment horizontal="right" vertical="center"/>
    </xf>
    <xf numFmtId="4" fontId="32" fillId="34" borderId="98" applyNumberFormat="0" applyProtection="0">
      <alignment horizontal="right" vertical="center"/>
    </xf>
    <xf numFmtId="4" fontId="32" fillId="35" borderId="96" applyNumberFormat="0" applyProtection="0">
      <alignment horizontal="right" vertical="center"/>
    </xf>
    <xf numFmtId="4" fontId="32" fillId="36" borderId="96" applyNumberFormat="0" applyProtection="0">
      <alignment horizontal="right" vertical="center"/>
    </xf>
    <xf numFmtId="4" fontId="32" fillId="37" borderId="96" applyNumberFormat="0" applyProtection="0">
      <alignment horizontal="right" vertical="center"/>
    </xf>
    <xf numFmtId="4" fontId="32" fillId="38" borderId="96" applyNumberFormat="0" applyProtection="0">
      <alignment horizontal="right" vertical="center"/>
    </xf>
    <xf numFmtId="4" fontId="32" fillId="39" borderId="96" applyNumberFormat="0" applyProtection="0">
      <alignment horizontal="right" vertical="center"/>
    </xf>
    <xf numFmtId="4" fontId="32" fillId="40" borderId="96" applyNumberFormat="0" applyProtection="0">
      <alignment horizontal="right" vertical="center"/>
    </xf>
    <xf numFmtId="4" fontId="32" fillId="41" borderId="98" applyNumberFormat="0" applyProtection="0">
      <alignment horizontal="left" vertical="center" indent="1"/>
    </xf>
    <xf numFmtId="4" fontId="30" fillId="42" borderId="98" applyNumberFormat="0" applyProtection="0">
      <alignment horizontal="left" vertical="center" indent="1"/>
    </xf>
    <xf numFmtId="4" fontId="30" fillId="42" borderId="98" applyNumberFormat="0" applyProtection="0">
      <alignment horizontal="left" vertical="center" indent="1"/>
    </xf>
    <xf numFmtId="4" fontId="32" fillId="43" borderId="96" applyNumberFormat="0" applyProtection="0">
      <alignment horizontal="right" vertical="center"/>
    </xf>
    <xf numFmtId="4" fontId="32" fillId="44" borderId="98" applyNumberFormat="0" applyProtection="0">
      <alignment horizontal="left" vertical="center" indent="1"/>
    </xf>
    <xf numFmtId="4" fontId="32" fillId="43" borderId="98" applyNumberFormat="0" applyProtection="0">
      <alignment horizontal="left" vertical="center" indent="1"/>
    </xf>
    <xf numFmtId="0" fontId="32" fillId="45" borderId="96" applyNumberFormat="0" applyProtection="0">
      <alignment horizontal="left" vertical="center" indent="1"/>
    </xf>
    <xf numFmtId="0" fontId="32" fillId="42" borderId="97" applyNumberFormat="0" applyProtection="0">
      <alignment horizontal="left" vertical="top" indent="1"/>
    </xf>
    <xf numFmtId="0" fontId="32" fillId="46" borderId="96" applyNumberFormat="0" applyProtection="0">
      <alignment horizontal="left" vertical="center" indent="1"/>
    </xf>
    <xf numFmtId="0" fontId="32" fillId="43" borderId="97" applyNumberFormat="0" applyProtection="0">
      <alignment horizontal="left" vertical="top" indent="1"/>
    </xf>
    <xf numFmtId="0" fontId="32" fillId="47" borderId="96" applyNumberFormat="0" applyProtection="0">
      <alignment horizontal="left" vertical="center" indent="1"/>
    </xf>
    <xf numFmtId="0" fontId="32" fillId="47" borderId="97" applyNumberFormat="0" applyProtection="0">
      <alignment horizontal="left" vertical="top" indent="1"/>
    </xf>
    <xf numFmtId="0" fontId="32" fillId="44" borderId="96" applyNumberFormat="0" applyProtection="0">
      <alignment horizontal="left" vertical="center" indent="1"/>
    </xf>
    <xf numFmtId="0" fontId="32" fillId="44" borderId="97" applyNumberFormat="0" applyProtection="0">
      <alignment horizontal="left" vertical="top" indent="1"/>
    </xf>
    <xf numFmtId="0" fontId="42" fillId="42" borderId="100" applyBorder="0"/>
    <xf numFmtId="4" fontId="43" fillId="49" borderId="97" applyNumberFormat="0" applyProtection="0">
      <alignment vertical="center"/>
    </xf>
    <xf numFmtId="4" fontId="43" fillId="45" borderId="97" applyNumberFormat="0" applyProtection="0">
      <alignment horizontal="left" vertical="center" indent="1"/>
    </xf>
    <xf numFmtId="0" fontId="43" fillId="49" borderId="97" applyNumberFormat="0" applyProtection="0">
      <alignment horizontal="left" vertical="top" indent="1"/>
    </xf>
    <xf numFmtId="4" fontId="32" fillId="0" borderId="96" applyNumberFormat="0" applyProtection="0">
      <alignment horizontal="right" vertical="center"/>
    </xf>
    <xf numFmtId="4" fontId="32" fillId="0" borderId="96" applyNumberFormat="0" applyProtection="0">
      <alignment horizontal="right" vertical="center"/>
    </xf>
    <xf numFmtId="4" fontId="40" fillId="50" borderId="96" applyNumberFormat="0" applyProtection="0">
      <alignment horizontal="right" vertical="center"/>
    </xf>
    <xf numFmtId="4" fontId="32" fillId="31" borderId="96" applyNumberFormat="0" applyProtection="0">
      <alignment horizontal="left" vertical="center" indent="1"/>
    </xf>
    <xf numFmtId="0" fontId="43" fillId="43" borderId="97" applyNumberFormat="0" applyProtection="0">
      <alignment horizontal="left" vertical="top" indent="1"/>
    </xf>
    <xf numFmtId="4" fontId="44" fillId="51" borderId="98" applyNumberFormat="0" applyProtection="0">
      <alignment horizontal="left" vertical="center" indent="1"/>
    </xf>
    <xf numFmtId="4" fontId="45" fillId="48" borderId="96" applyNumberFormat="0" applyProtection="0">
      <alignment horizontal="right" vertical="center"/>
    </xf>
    <xf numFmtId="0" fontId="48" fillId="58" borderId="96" applyNumberFormat="0" applyAlignment="0" applyProtection="0"/>
    <xf numFmtId="0" fontId="32" fillId="23" borderId="96" applyNumberFormat="0" applyFont="0" applyAlignment="0" applyProtection="0"/>
    <xf numFmtId="0" fontId="39" fillId="0" borderId="103" applyNumberFormat="0" applyFill="0" applyAlignment="0" applyProtection="0"/>
    <xf numFmtId="0" fontId="52" fillId="24" borderId="96" applyNumberFormat="0" applyAlignment="0" applyProtection="0"/>
    <xf numFmtId="0" fontId="56" fillId="58" borderId="107" applyNumberFormat="0" applyAlignment="0" applyProtection="0"/>
    <xf numFmtId="4" fontId="32" fillId="31" borderId="96" applyNumberFormat="0" applyProtection="0">
      <alignment horizontal="left" vertical="center" indent="1"/>
    </xf>
    <xf numFmtId="0" fontId="32" fillId="45" borderId="96" applyNumberFormat="0" applyProtection="0">
      <alignment horizontal="left" vertical="center" indent="1"/>
    </xf>
    <xf numFmtId="4" fontId="43" fillId="49" borderId="97" applyNumberFormat="0" applyProtection="0">
      <alignment vertical="center"/>
    </xf>
    <xf numFmtId="4" fontId="32" fillId="40" borderId="96" applyNumberFormat="0" applyProtection="0">
      <alignment horizontal="right" vertical="center"/>
    </xf>
    <xf numFmtId="4" fontId="40" fillId="50" borderId="96" applyNumberFormat="0" applyProtection="0">
      <alignment horizontal="right"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56" fillId="58" borderId="107" applyNumberFormat="0" applyAlignment="0" applyProtection="0"/>
    <xf numFmtId="0" fontId="27" fillId="0" borderId="89">
      <alignment horizontal="left" vertical="center"/>
    </xf>
    <xf numFmtId="0" fontId="48" fillId="58" borderId="96" applyNumberFormat="0" applyAlignment="0" applyProtection="0"/>
    <xf numFmtId="0" fontId="32" fillId="43" borderId="97" applyNumberFormat="0" applyProtection="0">
      <alignment horizontal="left" vertical="top" indent="1"/>
    </xf>
    <xf numFmtId="0" fontId="42" fillId="42" borderId="100" applyBorder="0"/>
    <xf numFmtId="4" fontId="32" fillId="31" borderId="96" applyNumberFormat="0" applyProtection="0">
      <alignment horizontal="left" vertical="center" indent="1"/>
    </xf>
    <xf numFmtId="4" fontId="32" fillId="30" borderId="96" applyNumberFormat="0" applyProtection="0">
      <alignment horizontal="left" vertical="center" indent="1"/>
    </xf>
    <xf numFmtId="0" fontId="32" fillId="42" borderId="97" applyNumberFormat="0" applyProtection="0">
      <alignment horizontal="left" vertical="top" indent="1"/>
    </xf>
    <xf numFmtId="4" fontId="32" fillId="0" borderId="96" applyNumberFormat="0" applyProtection="0">
      <alignment horizontal="right" vertical="center"/>
    </xf>
    <xf numFmtId="4" fontId="32" fillId="37" borderId="96" applyNumberFormat="0" applyProtection="0">
      <alignment horizontal="right" vertical="center"/>
    </xf>
    <xf numFmtId="4" fontId="45" fillId="48" borderId="96" applyNumberFormat="0" applyProtection="0">
      <alignment horizontal="right" vertical="center"/>
    </xf>
    <xf numFmtId="4" fontId="40" fillId="30" borderId="96" applyNumberFormat="0" applyProtection="0">
      <alignment vertical="center"/>
    </xf>
    <xf numFmtId="4" fontId="32" fillId="39" borderId="96" applyNumberFormat="0" applyProtection="0">
      <alignment horizontal="right" vertical="center"/>
    </xf>
    <xf numFmtId="4" fontId="30" fillId="42" borderId="98" applyNumberFormat="0" applyProtection="0">
      <alignment horizontal="left" vertical="center" indent="1"/>
    </xf>
    <xf numFmtId="0" fontId="32" fillId="47" borderId="97" applyNumberFormat="0" applyProtection="0">
      <alignment horizontal="left" vertical="top" indent="1"/>
    </xf>
    <xf numFmtId="4" fontId="43" fillId="45" borderId="97" applyNumberFormat="0" applyProtection="0">
      <alignment horizontal="left" vertical="center" indent="1"/>
    </xf>
    <xf numFmtId="4" fontId="40" fillId="10" borderId="1" applyNumberFormat="0" applyProtection="0">
      <alignment vertical="center"/>
    </xf>
    <xf numFmtId="0" fontId="43" fillId="43" borderId="97" applyNumberFormat="0" applyProtection="0">
      <alignment horizontal="left" vertical="top" indent="1"/>
    </xf>
    <xf numFmtId="4" fontId="32" fillId="44" borderId="98" applyNumberFormat="0" applyProtection="0">
      <alignment horizontal="left" vertical="center" indent="1"/>
    </xf>
    <xf numFmtId="4" fontId="32" fillId="43" borderId="96" applyNumberFormat="0" applyProtection="0">
      <alignment horizontal="right" vertical="center"/>
    </xf>
    <xf numFmtId="0" fontId="27" fillId="0" borderId="89">
      <alignment horizontal="left" vertical="center"/>
    </xf>
    <xf numFmtId="0" fontId="41" fillId="29" borderId="97" applyNumberFormat="0" applyProtection="0">
      <alignment horizontal="left" vertical="top" indent="1"/>
    </xf>
    <xf numFmtId="4" fontId="32" fillId="35" borderId="96" applyNumberFormat="0" applyProtection="0">
      <alignment horizontal="right" vertical="center"/>
    </xf>
    <xf numFmtId="0" fontId="32" fillId="46" borderId="96" applyNumberFormat="0" applyProtection="0">
      <alignment horizontal="left" vertical="center" indent="1"/>
    </xf>
    <xf numFmtId="4" fontId="32" fillId="41" borderId="98" applyNumberFormat="0" applyProtection="0">
      <alignment horizontal="left" vertical="center" indent="1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30" fillId="0" borderId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30" fillId="0" borderId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186" fontId="2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25" fillId="0" borderId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27" fillId="0" borderId="109">
      <alignment horizontal="left"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10" fontId="32" fillId="10" borderId="108" applyNumberFormat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" fontId="32" fillId="29" borderId="110" applyNumberFormat="0" applyProtection="0">
      <alignment vertical="center"/>
    </xf>
    <xf numFmtId="4" fontId="40" fillId="30" borderId="110" applyNumberFormat="0" applyProtection="0">
      <alignment vertical="center"/>
    </xf>
    <xf numFmtId="4" fontId="32" fillId="30" borderId="110" applyNumberFormat="0" applyProtection="0">
      <alignment horizontal="left" vertical="center" indent="1"/>
    </xf>
    <xf numFmtId="0" fontId="41" fillId="29" borderId="111" applyNumberFormat="0" applyProtection="0">
      <alignment horizontal="left" vertical="top" indent="1"/>
    </xf>
    <xf numFmtId="4" fontId="32" fillId="31" borderId="110" applyNumberFormat="0" applyProtection="0">
      <alignment horizontal="left" vertical="center" indent="1"/>
    </xf>
    <xf numFmtId="4" fontId="32" fillId="32" borderId="110" applyNumberFormat="0" applyProtection="0">
      <alignment horizontal="right" vertical="center"/>
    </xf>
    <xf numFmtId="4" fontId="32" fillId="33" borderId="110" applyNumberFormat="0" applyProtection="0">
      <alignment horizontal="right" vertical="center"/>
    </xf>
    <xf numFmtId="4" fontId="32" fillId="34" borderId="112" applyNumberFormat="0" applyProtection="0">
      <alignment horizontal="right" vertical="center"/>
    </xf>
    <xf numFmtId="4" fontId="32" fillId="35" borderId="110" applyNumberFormat="0" applyProtection="0">
      <alignment horizontal="right" vertical="center"/>
    </xf>
    <xf numFmtId="4" fontId="32" fillId="36" borderId="110" applyNumberFormat="0" applyProtection="0">
      <alignment horizontal="right" vertical="center"/>
    </xf>
    <xf numFmtId="4" fontId="32" fillId="37" borderId="110" applyNumberFormat="0" applyProtection="0">
      <alignment horizontal="right" vertical="center"/>
    </xf>
    <xf numFmtId="4" fontId="32" fillId="38" borderId="110" applyNumberFormat="0" applyProtection="0">
      <alignment horizontal="right" vertical="center"/>
    </xf>
    <xf numFmtId="4" fontId="32" fillId="39" borderId="110" applyNumberFormat="0" applyProtection="0">
      <alignment horizontal="right" vertical="center"/>
    </xf>
    <xf numFmtId="4" fontId="32" fillId="40" borderId="110" applyNumberFormat="0" applyProtection="0">
      <alignment horizontal="right" vertical="center"/>
    </xf>
    <xf numFmtId="4" fontId="32" fillId="41" borderId="112" applyNumberFormat="0" applyProtection="0">
      <alignment horizontal="left" vertical="center" indent="1"/>
    </xf>
    <xf numFmtId="4" fontId="30" fillId="42" borderId="112" applyNumberFormat="0" applyProtection="0">
      <alignment horizontal="left" vertical="center" indent="1"/>
    </xf>
    <xf numFmtId="4" fontId="30" fillId="42" borderId="112" applyNumberFormat="0" applyProtection="0">
      <alignment horizontal="left" vertical="center" indent="1"/>
    </xf>
    <xf numFmtId="4" fontId="32" fillId="43" borderId="110" applyNumberFormat="0" applyProtection="0">
      <alignment horizontal="right" vertical="center"/>
    </xf>
    <xf numFmtId="4" fontId="32" fillId="44" borderId="112" applyNumberFormat="0" applyProtection="0">
      <alignment horizontal="left" vertical="center" indent="1"/>
    </xf>
    <xf numFmtId="4" fontId="32" fillId="43" borderId="112" applyNumberFormat="0" applyProtection="0">
      <alignment horizontal="left" vertical="center" indent="1"/>
    </xf>
    <xf numFmtId="0" fontId="32" fillId="45" borderId="110" applyNumberFormat="0" applyProtection="0">
      <alignment horizontal="left" vertical="center" indent="1"/>
    </xf>
    <xf numFmtId="0" fontId="32" fillId="42" borderId="111" applyNumberFormat="0" applyProtection="0">
      <alignment horizontal="left" vertical="top" indent="1"/>
    </xf>
    <xf numFmtId="0" fontId="32" fillId="46" borderId="110" applyNumberFormat="0" applyProtection="0">
      <alignment horizontal="left" vertical="center" indent="1"/>
    </xf>
    <xf numFmtId="0" fontId="32" fillId="43" borderId="111" applyNumberFormat="0" applyProtection="0">
      <alignment horizontal="left" vertical="top" indent="1"/>
    </xf>
    <xf numFmtId="0" fontId="32" fillId="47" borderId="110" applyNumberFormat="0" applyProtection="0">
      <alignment horizontal="left" vertical="center" indent="1"/>
    </xf>
    <xf numFmtId="0" fontId="32" fillId="47" borderId="111" applyNumberFormat="0" applyProtection="0">
      <alignment horizontal="left" vertical="top" indent="1"/>
    </xf>
    <xf numFmtId="0" fontId="32" fillId="44" borderId="110" applyNumberFormat="0" applyProtection="0">
      <alignment horizontal="left" vertical="center" indent="1"/>
    </xf>
    <xf numFmtId="0" fontId="32" fillId="44" borderId="111" applyNumberFormat="0" applyProtection="0">
      <alignment horizontal="left" vertical="top" indent="1"/>
    </xf>
    <xf numFmtId="0" fontId="42" fillId="42" borderId="113" applyBorder="0"/>
    <xf numFmtId="4" fontId="43" fillId="49" borderId="111" applyNumberFormat="0" applyProtection="0">
      <alignment vertical="center"/>
    </xf>
    <xf numFmtId="4" fontId="40" fillId="10" borderId="108" applyNumberFormat="0" applyProtection="0">
      <alignment vertical="center"/>
    </xf>
    <xf numFmtId="4" fontId="43" fillId="45" borderId="111" applyNumberFormat="0" applyProtection="0">
      <alignment horizontal="left" vertical="center" indent="1"/>
    </xf>
    <xf numFmtId="0" fontId="43" fillId="49" borderId="111" applyNumberFormat="0" applyProtection="0">
      <alignment horizontal="left" vertical="top" indent="1"/>
    </xf>
    <xf numFmtId="4" fontId="32" fillId="0" borderId="110" applyNumberFormat="0" applyProtection="0">
      <alignment horizontal="right" vertical="center"/>
    </xf>
    <xf numFmtId="4" fontId="32" fillId="0" borderId="110" applyNumberFormat="0" applyProtection="0">
      <alignment horizontal="right" vertical="center"/>
    </xf>
    <xf numFmtId="4" fontId="40" fillId="50" borderId="110" applyNumberFormat="0" applyProtection="0">
      <alignment horizontal="right" vertical="center"/>
    </xf>
    <xf numFmtId="4" fontId="32" fillId="31" borderId="110" applyNumberFormat="0" applyProtection="0">
      <alignment horizontal="left" vertical="center" indent="1"/>
    </xf>
    <xf numFmtId="0" fontId="43" fillId="43" borderId="111" applyNumberFormat="0" applyProtection="0">
      <alignment horizontal="left" vertical="top" indent="1"/>
    </xf>
    <xf numFmtId="4" fontId="44" fillId="51" borderId="112" applyNumberFormat="0" applyProtection="0">
      <alignment horizontal="left" vertical="center" indent="1"/>
    </xf>
    <xf numFmtId="0" fontId="32" fillId="52" borderId="108"/>
    <xf numFmtId="4" fontId="45" fillId="48" borderId="110" applyNumberFormat="0" applyProtection="0">
      <alignment horizontal="right" vertical="center"/>
    </xf>
    <xf numFmtId="0" fontId="48" fillId="58" borderId="110" applyNumberFormat="0" applyAlignment="0" applyProtection="0"/>
    <xf numFmtId="0" fontId="32" fillId="23" borderId="110" applyNumberFormat="0" applyFont="0" applyAlignment="0" applyProtection="0"/>
    <xf numFmtId="0" fontId="39" fillId="0" borderId="114" applyNumberFormat="0" applyFill="0" applyAlignment="0" applyProtection="0"/>
    <xf numFmtId="0" fontId="52" fillId="24" borderId="110" applyNumberFormat="0" applyAlignment="0" applyProtection="0"/>
    <xf numFmtId="0" fontId="56" fillId="58" borderId="115" applyNumberFormat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" fontId="32" fillId="29" borderId="110" applyNumberFormat="0" applyProtection="0">
      <alignment vertical="center"/>
    </xf>
    <xf numFmtId="4" fontId="40" fillId="30" borderId="110" applyNumberFormat="0" applyProtection="0">
      <alignment vertical="center"/>
    </xf>
    <xf numFmtId="4" fontId="32" fillId="30" borderId="110" applyNumberFormat="0" applyProtection="0">
      <alignment horizontal="left" vertical="center" indent="1"/>
    </xf>
    <xf numFmtId="0" fontId="41" fillId="29" borderId="111" applyNumberFormat="0" applyProtection="0">
      <alignment horizontal="left" vertical="top" indent="1"/>
    </xf>
    <xf numFmtId="4" fontId="32" fillId="31" borderId="110" applyNumberFormat="0" applyProtection="0">
      <alignment horizontal="left" vertical="center" indent="1"/>
    </xf>
    <xf numFmtId="4" fontId="32" fillId="32" borderId="110" applyNumberFormat="0" applyProtection="0">
      <alignment horizontal="right" vertical="center"/>
    </xf>
    <xf numFmtId="4" fontId="32" fillId="33" borderId="110" applyNumberFormat="0" applyProtection="0">
      <alignment horizontal="right" vertical="center"/>
    </xf>
    <xf numFmtId="4" fontId="32" fillId="34" borderId="112" applyNumberFormat="0" applyProtection="0">
      <alignment horizontal="right" vertical="center"/>
    </xf>
    <xf numFmtId="4" fontId="32" fillId="35" borderId="110" applyNumberFormat="0" applyProtection="0">
      <alignment horizontal="right" vertical="center"/>
    </xf>
    <xf numFmtId="4" fontId="32" fillId="36" borderId="110" applyNumberFormat="0" applyProtection="0">
      <alignment horizontal="right" vertical="center"/>
    </xf>
    <xf numFmtId="4" fontId="32" fillId="37" borderId="110" applyNumberFormat="0" applyProtection="0">
      <alignment horizontal="right" vertical="center"/>
    </xf>
    <xf numFmtId="4" fontId="32" fillId="38" borderId="110" applyNumberFormat="0" applyProtection="0">
      <alignment horizontal="right" vertical="center"/>
    </xf>
    <xf numFmtId="4" fontId="32" fillId="39" borderId="110" applyNumberFormat="0" applyProtection="0">
      <alignment horizontal="right" vertical="center"/>
    </xf>
    <xf numFmtId="4" fontId="32" fillId="40" borderId="110" applyNumberFormat="0" applyProtection="0">
      <alignment horizontal="right" vertical="center"/>
    </xf>
    <xf numFmtId="4" fontId="32" fillId="41" borderId="112" applyNumberFormat="0" applyProtection="0">
      <alignment horizontal="left" vertical="center" indent="1"/>
    </xf>
    <xf numFmtId="4" fontId="30" fillId="42" borderId="112" applyNumberFormat="0" applyProtection="0">
      <alignment horizontal="left" vertical="center" indent="1"/>
    </xf>
    <xf numFmtId="4" fontId="30" fillId="42" borderId="112" applyNumberFormat="0" applyProtection="0">
      <alignment horizontal="left" vertical="center" indent="1"/>
    </xf>
    <xf numFmtId="4" fontId="32" fillId="43" borderId="110" applyNumberFormat="0" applyProtection="0">
      <alignment horizontal="right" vertical="center"/>
    </xf>
    <xf numFmtId="4" fontId="32" fillId="44" borderId="112" applyNumberFormat="0" applyProtection="0">
      <alignment horizontal="left" vertical="center" indent="1"/>
    </xf>
    <xf numFmtId="4" fontId="32" fillId="43" borderId="112" applyNumberFormat="0" applyProtection="0">
      <alignment horizontal="left" vertical="center" indent="1"/>
    </xf>
    <xf numFmtId="0" fontId="32" fillId="45" borderId="110" applyNumberFormat="0" applyProtection="0">
      <alignment horizontal="left" vertical="center" indent="1"/>
    </xf>
    <xf numFmtId="0" fontId="32" fillId="42" borderId="111" applyNumberFormat="0" applyProtection="0">
      <alignment horizontal="left" vertical="top" indent="1"/>
    </xf>
    <xf numFmtId="0" fontId="32" fillId="46" borderId="110" applyNumberFormat="0" applyProtection="0">
      <alignment horizontal="left" vertical="center" indent="1"/>
    </xf>
    <xf numFmtId="0" fontId="32" fillId="43" borderId="111" applyNumberFormat="0" applyProtection="0">
      <alignment horizontal="left" vertical="top" indent="1"/>
    </xf>
    <xf numFmtId="0" fontId="32" fillId="47" borderId="110" applyNumberFormat="0" applyProtection="0">
      <alignment horizontal="left" vertical="center" indent="1"/>
    </xf>
    <xf numFmtId="0" fontId="32" fillId="47" borderId="111" applyNumberFormat="0" applyProtection="0">
      <alignment horizontal="left" vertical="top" indent="1"/>
    </xf>
    <xf numFmtId="0" fontId="32" fillId="44" borderId="110" applyNumberFormat="0" applyProtection="0">
      <alignment horizontal="left" vertical="center" indent="1"/>
    </xf>
    <xf numFmtId="0" fontId="32" fillId="44" borderId="111" applyNumberFormat="0" applyProtection="0">
      <alignment horizontal="left" vertical="top" indent="1"/>
    </xf>
    <xf numFmtId="0" fontId="42" fillId="42" borderId="113" applyBorder="0"/>
    <xf numFmtId="4" fontId="43" fillId="49" borderId="111" applyNumberFormat="0" applyProtection="0">
      <alignment vertical="center"/>
    </xf>
    <xf numFmtId="4" fontId="43" fillId="45" borderId="111" applyNumberFormat="0" applyProtection="0">
      <alignment horizontal="left" vertical="center" indent="1"/>
    </xf>
    <xf numFmtId="0" fontId="43" fillId="49" borderId="111" applyNumberFormat="0" applyProtection="0">
      <alignment horizontal="left" vertical="top" indent="1"/>
    </xf>
    <xf numFmtId="4" fontId="32" fillId="0" borderId="110" applyNumberFormat="0" applyProtection="0">
      <alignment horizontal="right" vertical="center"/>
    </xf>
    <xf numFmtId="4" fontId="32" fillId="0" borderId="110" applyNumberFormat="0" applyProtection="0">
      <alignment horizontal="right" vertical="center"/>
    </xf>
    <xf numFmtId="4" fontId="40" fillId="50" borderId="110" applyNumberFormat="0" applyProtection="0">
      <alignment horizontal="right" vertical="center"/>
    </xf>
    <xf numFmtId="4" fontId="32" fillId="31" borderId="110" applyNumberFormat="0" applyProtection="0">
      <alignment horizontal="left" vertical="center" indent="1"/>
    </xf>
    <xf numFmtId="0" fontId="43" fillId="43" borderId="111" applyNumberFormat="0" applyProtection="0">
      <alignment horizontal="left" vertical="top" indent="1"/>
    </xf>
    <xf numFmtId="4" fontId="44" fillId="51" borderId="112" applyNumberFormat="0" applyProtection="0">
      <alignment horizontal="left" vertical="center" indent="1"/>
    </xf>
    <xf numFmtId="4" fontId="45" fillId="48" borderId="110" applyNumberFormat="0" applyProtection="0">
      <alignment horizontal="right" vertical="center"/>
    </xf>
    <xf numFmtId="0" fontId="48" fillId="58" borderId="110" applyNumberFormat="0" applyAlignment="0" applyProtection="0"/>
    <xf numFmtId="0" fontId="32" fillId="23" borderId="110" applyNumberFormat="0" applyFont="0" applyAlignment="0" applyProtection="0"/>
    <xf numFmtId="0" fontId="39" fillId="0" borderId="114" applyNumberFormat="0" applyFill="0" applyAlignment="0" applyProtection="0"/>
    <xf numFmtId="0" fontId="52" fillId="24" borderId="110" applyNumberFormat="0" applyAlignment="0" applyProtection="0"/>
    <xf numFmtId="0" fontId="56" fillId="58" borderId="115" applyNumberFormat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27" fillId="0" borderId="109">
      <alignment horizontal="left"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10" fontId="32" fillId="10" borderId="108" applyNumberFormat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" fontId="40" fillId="10" borderId="108" applyNumberFormat="0" applyProtection="0">
      <alignment vertical="center"/>
    </xf>
    <xf numFmtId="0" fontId="32" fillId="52" borderId="108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27" fillId="0" borderId="109">
      <alignment horizontal="left"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32" fillId="44" borderId="111" applyNumberFormat="0" applyProtection="0">
      <alignment horizontal="left" vertical="top" indent="1"/>
    </xf>
    <xf numFmtId="4" fontId="32" fillId="34" borderId="112" applyNumberFormat="0" applyProtection="0">
      <alignment horizontal="right" vertical="center"/>
    </xf>
    <xf numFmtId="0" fontId="39" fillId="0" borderId="114" applyNumberFormat="0" applyFill="0" applyAlignment="0" applyProtection="0"/>
    <xf numFmtId="4" fontId="32" fillId="0" borderId="110" applyNumberFormat="0" applyProtection="0">
      <alignment horizontal="right" vertical="center"/>
    </xf>
    <xf numFmtId="0" fontId="32" fillId="23" borderId="110" applyNumberFormat="0" applyFont="0" applyAlignment="0" applyProtection="0"/>
    <xf numFmtId="0" fontId="52" fillId="24" borderId="110" applyNumberFormat="0" applyAlignment="0" applyProtection="0"/>
    <xf numFmtId="4" fontId="32" fillId="29" borderId="110" applyNumberFormat="0" applyProtection="0">
      <alignment vertical="center"/>
    </xf>
    <xf numFmtId="4" fontId="32" fillId="38" borderId="110" applyNumberFormat="0" applyProtection="0">
      <alignment horizontal="right" vertical="center"/>
    </xf>
    <xf numFmtId="0" fontId="43" fillId="49" borderId="111" applyNumberFormat="0" applyProtection="0">
      <alignment horizontal="left" vertical="top" indent="1"/>
    </xf>
    <xf numFmtId="0" fontId="32" fillId="44" borderId="110" applyNumberFormat="0" applyProtection="0">
      <alignment horizontal="left" vertical="center" indent="1"/>
    </xf>
    <xf numFmtId="4" fontId="30" fillId="42" borderId="112" applyNumberFormat="0" applyProtection="0">
      <alignment horizontal="left" vertical="center" indent="1"/>
    </xf>
    <xf numFmtId="4" fontId="32" fillId="36" borderId="110" applyNumberFormat="0" applyProtection="0">
      <alignment horizontal="right" vertical="center"/>
    </xf>
    <xf numFmtId="0" fontId="32" fillId="52" borderId="108"/>
    <xf numFmtId="4" fontId="32" fillId="33" borderId="110" applyNumberFormat="0" applyProtection="0">
      <alignment horizontal="right" vertical="center"/>
    </xf>
    <xf numFmtId="0" fontId="27" fillId="0" borderId="109">
      <alignment horizontal="left" vertical="center"/>
    </xf>
    <xf numFmtId="0" fontId="32" fillId="47" borderId="110" applyNumberFormat="0" applyProtection="0">
      <alignment horizontal="left" vertical="center" indent="1"/>
    </xf>
    <xf numFmtId="4" fontId="44" fillId="51" borderId="112" applyNumberFormat="0" applyProtection="0">
      <alignment horizontal="left" vertical="center" indent="1"/>
    </xf>
    <xf numFmtId="4" fontId="32" fillId="43" borderId="112" applyNumberFormat="0" applyProtection="0">
      <alignment horizontal="left" vertical="center" indent="1"/>
    </xf>
    <xf numFmtId="4" fontId="32" fillId="32" borderId="110" applyNumberFormat="0" applyProtection="0">
      <alignment horizontal="right" vertical="center"/>
    </xf>
    <xf numFmtId="10" fontId="32" fillId="10" borderId="108" applyNumberFormat="0" applyBorder="0" applyAlignment="0" applyProtection="0"/>
    <xf numFmtId="4" fontId="32" fillId="29" borderId="110" applyNumberFormat="0" applyProtection="0">
      <alignment vertical="center"/>
    </xf>
    <xf numFmtId="4" fontId="40" fillId="30" borderId="110" applyNumberFormat="0" applyProtection="0">
      <alignment vertical="center"/>
    </xf>
    <xf numFmtId="4" fontId="32" fillId="30" borderId="110" applyNumberFormat="0" applyProtection="0">
      <alignment horizontal="left" vertical="center" indent="1"/>
    </xf>
    <xf numFmtId="0" fontId="41" fillId="29" borderId="111" applyNumberFormat="0" applyProtection="0">
      <alignment horizontal="left" vertical="top" indent="1"/>
    </xf>
    <xf numFmtId="4" fontId="32" fillId="31" borderId="110" applyNumberFormat="0" applyProtection="0">
      <alignment horizontal="left" vertical="center" indent="1"/>
    </xf>
    <xf numFmtId="4" fontId="32" fillId="32" borderId="110" applyNumberFormat="0" applyProtection="0">
      <alignment horizontal="right" vertical="center"/>
    </xf>
    <xf numFmtId="4" fontId="32" fillId="33" borderId="110" applyNumberFormat="0" applyProtection="0">
      <alignment horizontal="right" vertical="center"/>
    </xf>
    <xf numFmtId="4" fontId="32" fillId="34" borderId="112" applyNumberFormat="0" applyProtection="0">
      <alignment horizontal="right" vertical="center"/>
    </xf>
    <xf numFmtId="4" fontId="32" fillId="35" borderId="110" applyNumberFormat="0" applyProtection="0">
      <alignment horizontal="right" vertical="center"/>
    </xf>
    <xf numFmtId="4" fontId="32" fillId="36" borderId="110" applyNumberFormat="0" applyProtection="0">
      <alignment horizontal="right" vertical="center"/>
    </xf>
    <xf numFmtId="4" fontId="32" fillId="37" borderId="110" applyNumberFormat="0" applyProtection="0">
      <alignment horizontal="right" vertical="center"/>
    </xf>
    <xf numFmtId="4" fontId="32" fillId="38" borderId="110" applyNumberFormat="0" applyProtection="0">
      <alignment horizontal="right" vertical="center"/>
    </xf>
    <xf numFmtId="4" fontId="32" fillId="39" borderId="110" applyNumberFormat="0" applyProtection="0">
      <alignment horizontal="right" vertical="center"/>
    </xf>
    <xf numFmtId="4" fontId="32" fillId="40" borderId="110" applyNumberFormat="0" applyProtection="0">
      <alignment horizontal="right" vertical="center"/>
    </xf>
    <xf numFmtId="4" fontId="32" fillId="41" borderId="112" applyNumberFormat="0" applyProtection="0">
      <alignment horizontal="left" vertical="center" indent="1"/>
    </xf>
    <xf numFmtId="4" fontId="30" fillId="42" borderId="112" applyNumberFormat="0" applyProtection="0">
      <alignment horizontal="left" vertical="center" indent="1"/>
    </xf>
    <xf numFmtId="4" fontId="30" fillId="42" borderId="112" applyNumberFormat="0" applyProtection="0">
      <alignment horizontal="left" vertical="center" indent="1"/>
    </xf>
    <xf numFmtId="4" fontId="32" fillId="43" borderId="110" applyNumberFormat="0" applyProtection="0">
      <alignment horizontal="right" vertical="center"/>
    </xf>
    <xf numFmtId="4" fontId="32" fillId="44" borderId="112" applyNumberFormat="0" applyProtection="0">
      <alignment horizontal="left" vertical="center" indent="1"/>
    </xf>
    <xf numFmtId="4" fontId="32" fillId="43" borderId="112" applyNumberFormat="0" applyProtection="0">
      <alignment horizontal="left" vertical="center" indent="1"/>
    </xf>
    <xf numFmtId="0" fontId="32" fillId="45" borderId="110" applyNumberFormat="0" applyProtection="0">
      <alignment horizontal="left" vertical="center" indent="1"/>
    </xf>
    <xf numFmtId="0" fontId="32" fillId="42" borderId="111" applyNumberFormat="0" applyProtection="0">
      <alignment horizontal="left" vertical="top" indent="1"/>
    </xf>
    <xf numFmtId="0" fontId="32" fillId="46" borderId="110" applyNumberFormat="0" applyProtection="0">
      <alignment horizontal="left" vertical="center" indent="1"/>
    </xf>
    <xf numFmtId="0" fontId="32" fillId="43" borderId="111" applyNumberFormat="0" applyProtection="0">
      <alignment horizontal="left" vertical="top" indent="1"/>
    </xf>
    <xf numFmtId="0" fontId="32" fillId="47" borderId="110" applyNumberFormat="0" applyProtection="0">
      <alignment horizontal="left" vertical="center" indent="1"/>
    </xf>
    <xf numFmtId="0" fontId="32" fillId="47" borderId="111" applyNumberFormat="0" applyProtection="0">
      <alignment horizontal="left" vertical="top" indent="1"/>
    </xf>
    <xf numFmtId="0" fontId="32" fillId="44" borderId="110" applyNumberFormat="0" applyProtection="0">
      <alignment horizontal="left" vertical="center" indent="1"/>
    </xf>
    <xf numFmtId="0" fontId="32" fillId="44" borderId="111" applyNumberFormat="0" applyProtection="0">
      <alignment horizontal="left" vertical="top" indent="1"/>
    </xf>
    <xf numFmtId="0" fontId="42" fillId="42" borderId="113" applyBorder="0"/>
    <xf numFmtId="4" fontId="43" fillId="49" borderId="111" applyNumberFormat="0" applyProtection="0">
      <alignment vertical="center"/>
    </xf>
    <xf numFmtId="4" fontId="43" fillId="45" borderId="111" applyNumberFormat="0" applyProtection="0">
      <alignment horizontal="left" vertical="center" indent="1"/>
    </xf>
    <xf numFmtId="0" fontId="43" fillId="49" borderId="111" applyNumberFormat="0" applyProtection="0">
      <alignment horizontal="left" vertical="top" indent="1"/>
    </xf>
    <xf numFmtId="4" fontId="32" fillId="0" borderId="110" applyNumberFormat="0" applyProtection="0">
      <alignment horizontal="right" vertical="center"/>
    </xf>
    <xf numFmtId="4" fontId="32" fillId="0" borderId="110" applyNumberFormat="0" applyProtection="0">
      <alignment horizontal="right" vertical="center"/>
    </xf>
    <xf numFmtId="4" fontId="40" fillId="50" borderId="110" applyNumberFormat="0" applyProtection="0">
      <alignment horizontal="right" vertical="center"/>
    </xf>
    <xf numFmtId="4" fontId="32" fillId="31" borderId="110" applyNumberFormat="0" applyProtection="0">
      <alignment horizontal="left" vertical="center" indent="1"/>
    </xf>
    <xf numFmtId="0" fontId="43" fillId="43" borderId="111" applyNumberFormat="0" applyProtection="0">
      <alignment horizontal="left" vertical="top" indent="1"/>
    </xf>
    <xf numFmtId="4" fontId="44" fillId="51" borderId="112" applyNumberFormat="0" applyProtection="0">
      <alignment horizontal="left" vertical="center" indent="1"/>
    </xf>
    <xf numFmtId="4" fontId="45" fillId="48" borderId="110" applyNumberFormat="0" applyProtection="0">
      <alignment horizontal="right" vertical="center"/>
    </xf>
    <xf numFmtId="0" fontId="48" fillId="58" borderId="110" applyNumberFormat="0" applyAlignment="0" applyProtection="0"/>
    <xf numFmtId="0" fontId="32" fillId="23" borderId="110" applyNumberFormat="0" applyFont="0" applyAlignment="0" applyProtection="0"/>
    <xf numFmtId="0" fontId="39" fillId="0" borderId="114" applyNumberFormat="0" applyFill="0" applyAlignment="0" applyProtection="0"/>
    <xf numFmtId="0" fontId="52" fillId="24" borderId="110" applyNumberFormat="0" applyAlignment="0" applyProtection="0"/>
    <xf numFmtId="0" fontId="56" fillId="58" borderId="115" applyNumberFormat="0" applyAlignment="0" applyProtection="0"/>
    <xf numFmtId="4" fontId="32" fillId="31" borderId="110" applyNumberFormat="0" applyProtection="0">
      <alignment horizontal="left" vertical="center" indent="1"/>
    </xf>
    <xf numFmtId="0" fontId="32" fillId="45" borderId="110" applyNumberFormat="0" applyProtection="0">
      <alignment horizontal="left" vertical="center" indent="1"/>
    </xf>
    <xf numFmtId="4" fontId="43" fillId="49" borderId="111" applyNumberFormat="0" applyProtection="0">
      <alignment vertical="center"/>
    </xf>
    <xf numFmtId="4" fontId="32" fillId="40" borderId="110" applyNumberFormat="0" applyProtection="0">
      <alignment horizontal="right" vertical="center"/>
    </xf>
    <xf numFmtId="4" fontId="40" fillId="50" borderId="110" applyNumberFormat="0" applyProtection="0">
      <alignment horizontal="right"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56" fillId="58" borderId="115" applyNumberFormat="0" applyAlignment="0" applyProtection="0"/>
    <xf numFmtId="0" fontId="27" fillId="0" borderId="109">
      <alignment horizontal="left" vertical="center"/>
    </xf>
    <xf numFmtId="0" fontId="48" fillId="58" borderId="110" applyNumberFormat="0" applyAlignment="0" applyProtection="0"/>
    <xf numFmtId="0" fontId="32" fillId="43" borderId="111" applyNumberFormat="0" applyProtection="0">
      <alignment horizontal="left" vertical="top" indent="1"/>
    </xf>
    <xf numFmtId="0" fontId="42" fillId="42" borderId="113" applyBorder="0"/>
    <xf numFmtId="4" fontId="32" fillId="31" borderId="110" applyNumberFormat="0" applyProtection="0">
      <alignment horizontal="left" vertical="center" indent="1"/>
    </xf>
    <xf numFmtId="4" fontId="32" fillId="30" borderId="110" applyNumberFormat="0" applyProtection="0">
      <alignment horizontal="left" vertical="center" indent="1"/>
    </xf>
    <xf numFmtId="0" fontId="32" fillId="42" borderId="111" applyNumberFormat="0" applyProtection="0">
      <alignment horizontal="left" vertical="top" indent="1"/>
    </xf>
    <xf numFmtId="4" fontId="32" fillId="0" borderId="110" applyNumberFormat="0" applyProtection="0">
      <alignment horizontal="right" vertical="center"/>
    </xf>
    <xf numFmtId="4" fontId="32" fillId="37" borderId="110" applyNumberFormat="0" applyProtection="0">
      <alignment horizontal="right" vertical="center"/>
    </xf>
    <xf numFmtId="4" fontId="45" fillId="48" borderId="110" applyNumberFormat="0" applyProtection="0">
      <alignment horizontal="right" vertical="center"/>
    </xf>
    <xf numFmtId="4" fontId="40" fillId="30" borderId="110" applyNumberFormat="0" applyProtection="0">
      <alignment vertical="center"/>
    </xf>
    <xf numFmtId="4" fontId="32" fillId="39" borderId="110" applyNumberFormat="0" applyProtection="0">
      <alignment horizontal="right" vertical="center"/>
    </xf>
    <xf numFmtId="4" fontId="30" fillId="42" borderId="112" applyNumberFormat="0" applyProtection="0">
      <alignment horizontal="left" vertical="center" indent="1"/>
    </xf>
    <xf numFmtId="0" fontId="32" fillId="47" borderId="111" applyNumberFormat="0" applyProtection="0">
      <alignment horizontal="left" vertical="top" indent="1"/>
    </xf>
    <xf numFmtId="4" fontId="43" fillId="45" borderId="111" applyNumberFormat="0" applyProtection="0">
      <alignment horizontal="left" vertical="center" indent="1"/>
    </xf>
    <xf numFmtId="4" fontId="40" fillId="10" borderId="108" applyNumberFormat="0" applyProtection="0">
      <alignment vertical="center"/>
    </xf>
    <xf numFmtId="0" fontId="43" fillId="43" borderId="111" applyNumberFormat="0" applyProtection="0">
      <alignment horizontal="left" vertical="top" indent="1"/>
    </xf>
    <xf numFmtId="4" fontId="32" fillId="44" borderId="112" applyNumberFormat="0" applyProtection="0">
      <alignment horizontal="left" vertical="center" indent="1"/>
    </xf>
    <xf numFmtId="4" fontId="32" fillId="43" borderId="110" applyNumberFormat="0" applyProtection="0">
      <alignment horizontal="right" vertical="center"/>
    </xf>
    <xf numFmtId="0" fontId="27" fillId="0" borderId="109">
      <alignment horizontal="left" vertical="center"/>
    </xf>
    <xf numFmtId="0" fontId="41" fillId="29" borderId="111" applyNumberFormat="0" applyProtection="0">
      <alignment horizontal="left" vertical="top" indent="1"/>
    </xf>
    <xf numFmtId="4" fontId="32" fillId="35" borderId="110" applyNumberFormat="0" applyProtection="0">
      <alignment horizontal="right" vertical="center"/>
    </xf>
    <xf numFmtId="0" fontId="32" fillId="46" borderId="110" applyNumberFormat="0" applyProtection="0">
      <alignment horizontal="left" vertical="center" indent="1"/>
    </xf>
    <xf numFmtId="4" fontId="32" fillId="41" borderId="112" applyNumberFormat="0" applyProtection="0">
      <alignment horizontal="left" vertical="center" indent="1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27" fillId="0" borderId="109">
      <alignment horizontal="left"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10" fontId="32" fillId="10" borderId="116" applyNumberFormat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" fontId="32" fillId="29" borderId="117" applyNumberFormat="0" applyProtection="0">
      <alignment vertical="center"/>
    </xf>
    <xf numFmtId="4" fontId="40" fillId="30" borderId="117" applyNumberFormat="0" applyProtection="0">
      <alignment vertical="center"/>
    </xf>
    <xf numFmtId="4" fontId="32" fillId="30" borderId="117" applyNumberFormat="0" applyProtection="0">
      <alignment horizontal="left" vertical="center" indent="1"/>
    </xf>
    <xf numFmtId="0" fontId="41" fillId="29" borderId="118" applyNumberFormat="0" applyProtection="0">
      <alignment horizontal="left" vertical="top" indent="1"/>
    </xf>
    <xf numFmtId="4" fontId="32" fillId="31" borderId="117" applyNumberFormat="0" applyProtection="0">
      <alignment horizontal="left" vertical="center" indent="1"/>
    </xf>
    <xf numFmtId="4" fontId="32" fillId="32" borderId="117" applyNumberFormat="0" applyProtection="0">
      <alignment horizontal="right" vertical="center"/>
    </xf>
    <xf numFmtId="4" fontId="32" fillId="33" borderId="117" applyNumberFormat="0" applyProtection="0">
      <alignment horizontal="right" vertical="center"/>
    </xf>
    <xf numFmtId="4" fontId="32" fillId="34" borderId="119" applyNumberFormat="0" applyProtection="0">
      <alignment horizontal="right" vertical="center"/>
    </xf>
    <xf numFmtId="4" fontId="32" fillId="35" borderId="117" applyNumberFormat="0" applyProtection="0">
      <alignment horizontal="right" vertical="center"/>
    </xf>
    <xf numFmtId="4" fontId="32" fillId="36" borderId="117" applyNumberFormat="0" applyProtection="0">
      <alignment horizontal="right" vertical="center"/>
    </xf>
    <xf numFmtId="4" fontId="32" fillId="37" borderId="117" applyNumberFormat="0" applyProtection="0">
      <alignment horizontal="right" vertical="center"/>
    </xf>
    <xf numFmtId="4" fontId="32" fillId="38" borderId="117" applyNumberFormat="0" applyProtection="0">
      <alignment horizontal="right" vertical="center"/>
    </xf>
    <xf numFmtId="4" fontId="32" fillId="39" borderId="117" applyNumberFormat="0" applyProtection="0">
      <alignment horizontal="right" vertical="center"/>
    </xf>
    <xf numFmtId="4" fontId="32" fillId="40" borderId="117" applyNumberFormat="0" applyProtection="0">
      <alignment horizontal="right" vertical="center"/>
    </xf>
    <xf numFmtId="4" fontId="32" fillId="41" borderId="119" applyNumberFormat="0" applyProtection="0">
      <alignment horizontal="left" vertical="center" indent="1"/>
    </xf>
    <xf numFmtId="4" fontId="30" fillId="42" borderId="119" applyNumberFormat="0" applyProtection="0">
      <alignment horizontal="left" vertical="center" indent="1"/>
    </xf>
    <xf numFmtId="4" fontId="30" fillId="42" borderId="119" applyNumberFormat="0" applyProtection="0">
      <alignment horizontal="left" vertical="center" indent="1"/>
    </xf>
    <xf numFmtId="4" fontId="32" fillId="43" borderId="117" applyNumberFormat="0" applyProtection="0">
      <alignment horizontal="right" vertical="center"/>
    </xf>
    <xf numFmtId="4" fontId="32" fillId="44" borderId="119" applyNumberFormat="0" applyProtection="0">
      <alignment horizontal="left" vertical="center" indent="1"/>
    </xf>
    <xf numFmtId="4" fontId="32" fillId="43" borderId="119" applyNumberFormat="0" applyProtection="0">
      <alignment horizontal="left" vertical="center" indent="1"/>
    </xf>
    <xf numFmtId="0" fontId="32" fillId="45" borderId="117" applyNumberFormat="0" applyProtection="0">
      <alignment horizontal="left" vertical="center" indent="1"/>
    </xf>
    <xf numFmtId="0" fontId="32" fillId="42" borderId="118" applyNumberFormat="0" applyProtection="0">
      <alignment horizontal="left" vertical="top" indent="1"/>
    </xf>
    <xf numFmtId="0" fontId="32" fillId="46" borderId="117" applyNumberFormat="0" applyProtection="0">
      <alignment horizontal="left" vertical="center" indent="1"/>
    </xf>
    <xf numFmtId="0" fontId="32" fillId="43" borderId="118" applyNumberFormat="0" applyProtection="0">
      <alignment horizontal="left" vertical="top" indent="1"/>
    </xf>
    <xf numFmtId="0" fontId="32" fillId="47" borderId="117" applyNumberFormat="0" applyProtection="0">
      <alignment horizontal="left" vertical="center" indent="1"/>
    </xf>
    <xf numFmtId="0" fontId="32" fillId="47" borderId="118" applyNumberFormat="0" applyProtection="0">
      <alignment horizontal="left" vertical="top" indent="1"/>
    </xf>
    <xf numFmtId="0" fontId="32" fillId="44" borderId="117" applyNumberFormat="0" applyProtection="0">
      <alignment horizontal="left" vertical="center" indent="1"/>
    </xf>
    <xf numFmtId="0" fontId="32" fillId="44" borderId="118" applyNumberFormat="0" applyProtection="0">
      <alignment horizontal="left" vertical="top" indent="1"/>
    </xf>
    <xf numFmtId="0" fontId="42" fillId="42" borderId="120" applyBorder="0"/>
    <xf numFmtId="4" fontId="43" fillId="49" borderId="118" applyNumberFormat="0" applyProtection="0">
      <alignment vertical="center"/>
    </xf>
    <xf numFmtId="4" fontId="40" fillId="10" borderId="116" applyNumberFormat="0" applyProtection="0">
      <alignment vertical="center"/>
    </xf>
    <xf numFmtId="4" fontId="43" fillId="45" borderId="118" applyNumberFormat="0" applyProtection="0">
      <alignment horizontal="left" vertical="center" indent="1"/>
    </xf>
    <xf numFmtId="0" fontId="43" fillId="49" borderId="118" applyNumberFormat="0" applyProtection="0">
      <alignment horizontal="left" vertical="top" indent="1"/>
    </xf>
    <xf numFmtId="4" fontId="32" fillId="0" borderId="117" applyNumberFormat="0" applyProtection="0">
      <alignment horizontal="right" vertical="center"/>
    </xf>
    <xf numFmtId="4" fontId="32" fillId="0" borderId="117" applyNumberFormat="0" applyProtection="0">
      <alignment horizontal="right" vertical="center"/>
    </xf>
    <xf numFmtId="4" fontId="40" fillId="50" borderId="117" applyNumberFormat="0" applyProtection="0">
      <alignment horizontal="right" vertical="center"/>
    </xf>
    <xf numFmtId="4" fontId="32" fillId="31" borderId="117" applyNumberFormat="0" applyProtection="0">
      <alignment horizontal="left" vertical="center" indent="1"/>
    </xf>
    <xf numFmtId="0" fontId="43" fillId="43" borderId="118" applyNumberFormat="0" applyProtection="0">
      <alignment horizontal="left" vertical="top" indent="1"/>
    </xf>
    <xf numFmtId="4" fontId="44" fillId="51" borderId="119" applyNumberFormat="0" applyProtection="0">
      <alignment horizontal="left" vertical="center" indent="1"/>
    </xf>
    <xf numFmtId="0" fontId="32" fillId="52" borderId="116"/>
    <xf numFmtId="4" fontId="45" fillId="48" borderId="117" applyNumberFormat="0" applyProtection="0">
      <alignment horizontal="right" vertical="center"/>
    </xf>
    <xf numFmtId="0" fontId="48" fillId="58" borderId="117" applyNumberFormat="0" applyAlignment="0" applyProtection="0"/>
    <xf numFmtId="0" fontId="32" fillId="23" borderId="117" applyNumberFormat="0" applyFont="0" applyAlignment="0" applyProtection="0"/>
    <xf numFmtId="0" fontId="39" fillId="0" borderId="121" applyNumberFormat="0" applyFill="0" applyAlignment="0" applyProtection="0"/>
    <xf numFmtId="0" fontId="52" fillId="24" borderId="117" applyNumberFormat="0" applyAlignment="0" applyProtection="0"/>
    <xf numFmtId="0" fontId="56" fillId="58" borderId="122" applyNumberFormat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" fontId="32" fillId="29" borderId="124" applyNumberFormat="0" applyProtection="0">
      <alignment vertical="center"/>
    </xf>
    <xf numFmtId="4" fontId="40" fillId="30" borderId="124" applyNumberFormat="0" applyProtection="0">
      <alignment vertical="center"/>
    </xf>
    <xf numFmtId="4" fontId="32" fillId="30" borderId="124" applyNumberFormat="0" applyProtection="0">
      <alignment horizontal="left" vertical="center" indent="1"/>
    </xf>
    <xf numFmtId="0" fontId="41" fillId="29" borderId="125" applyNumberFormat="0" applyProtection="0">
      <alignment horizontal="left" vertical="top" indent="1"/>
    </xf>
    <xf numFmtId="4" fontId="32" fillId="31" borderId="124" applyNumberFormat="0" applyProtection="0">
      <alignment horizontal="left" vertical="center" indent="1"/>
    </xf>
    <xf numFmtId="4" fontId="32" fillId="32" borderId="124" applyNumberFormat="0" applyProtection="0">
      <alignment horizontal="right" vertical="center"/>
    </xf>
    <xf numFmtId="4" fontId="32" fillId="33" borderId="124" applyNumberFormat="0" applyProtection="0">
      <alignment horizontal="right" vertical="center"/>
    </xf>
    <xf numFmtId="4" fontId="32" fillId="34" borderId="126" applyNumberFormat="0" applyProtection="0">
      <alignment horizontal="right" vertical="center"/>
    </xf>
    <xf numFmtId="4" fontId="32" fillId="35" borderId="124" applyNumberFormat="0" applyProtection="0">
      <alignment horizontal="right" vertical="center"/>
    </xf>
    <xf numFmtId="4" fontId="32" fillId="36" borderId="124" applyNumberFormat="0" applyProtection="0">
      <alignment horizontal="right" vertical="center"/>
    </xf>
    <xf numFmtId="4" fontId="32" fillId="37" borderId="124" applyNumberFormat="0" applyProtection="0">
      <alignment horizontal="right" vertical="center"/>
    </xf>
    <xf numFmtId="4" fontId="32" fillId="38" borderId="124" applyNumberFormat="0" applyProtection="0">
      <alignment horizontal="right" vertical="center"/>
    </xf>
    <xf numFmtId="4" fontId="32" fillId="39" borderId="124" applyNumberFormat="0" applyProtection="0">
      <alignment horizontal="right" vertical="center"/>
    </xf>
    <xf numFmtId="4" fontId="32" fillId="40" borderId="124" applyNumberFormat="0" applyProtection="0">
      <alignment horizontal="right" vertical="center"/>
    </xf>
    <xf numFmtId="4" fontId="32" fillId="41" borderId="126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2" fillId="43" borderId="124" applyNumberFormat="0" applyProtection="0">
      <alignment horizontal="right" vertical="center"/>
    </xf>
    <xf numFmtId="4" fontId="32" fillId="44" borderId="126" applyNumberFormat="0" applyProtection="0">
      <alignment horizontal="left" vertical="center" indent="1"/>
    </xf>
    <xf numFmtId="4" fontId="32" fillId="43" borderId="126" applyNumberFormat="0" applyProtection="0">
      <alignment horizontal="left" vertical="center" indent="1"/>
    </xf>
    <xf numFmtId="0" fontId="32" fillId="45" borderId="124" applyNumberFormat="0" applyProtection="0">
      <alignment horizontal="left" vertical="center" indent="1"/>
    </xf>
    <xf numFmtId="0" fontId="32" fillId="42" borderId="125" applyNumberFormat="0" applyProtection="0">
      <alignment horizontal="left" vertical="top" indent="1"/>
    </xf>
    <xf numFmtId="0" fontId="32" fillId="46" borderId="124" applyNumberFormat="0" applyProtection="0">
      <alignment horizontal="left" vertical="center" indent="1"/>
    </xf>
    <xf numFmtId="0" fontId="32" fillId="43" borderId="125" applyNumberFormat="0" applyProtection="0">
      <alignment horizontal="left" vertical="top" indent="1"/>
    </xf>
    <xf numFmtId="0" fontId="32" fillId="47" borderId="124" applyNumberFormat="0" applyProtection="0">
      <alignment horizontal="left" vertical="center" indent="1"/>
    </xf>
    <xf numFmtId="0" fontId="32" fillId="47" borderId="125" applyNumberFormat="0" applyProtection="0">
      <alignment horizontal="left" vertical="top" indent="1"/>
    </xf>
    <xf numFmtId="0" fontId="32" fillId="44" borderId="124" applyNumberFormat="0" applyProtection="0">
      <alignment horizontal="left" vertical="center" indent="1"/>
    </xf>
    <xf numFmtId="0" fontId="32" fillId="44" borderId="125" applyNumberFormat="0" applyProtection="0">
      <alignment horizontal="left" vertical="top" indent="1"/>
    </xf>
    <xf numFmtId="0" fontId="42" fillId="42" borderId="127" applyBorder="0"/>
    <xf numFmtId="4" fontId="43" fillId="49" borderId="125" applyNumberFormat="0" applyProtection="0">
      <alignment vertical="center"/>
    </xf>
    <xf numFmtId="4" fontId="43" fillId="45" borderId="125" applyNumberFormat="0" applyProtection="0">
      <alignment horizontal="left" vertical="center" indent="1"/>
    </xf>
    <xf numFmtId="0" fontId="43" fillId="49" borderId="125" applyNumberFormat="0" applyProtection="0">
      <alignment horizontal="left" vertical="top" indent="1"/>
    </xf>
    <xf numFmtId="4" fontId="32" fillId="0" borderId="124" applyNumberFormat="0" applyProtection="0">
      <alignment horizontal="right" vertical="center"/>
    </xf>
    <xf numFmtId="4" fontId="32" fillId="0" borderId="124" applyNumberFormat="0" applyProtection="0">
      <alignment horizontal="right" vertical="center"/>
    </xf>
    <xf numFmtId="4" fontId="40" fillId="50" borderId="124" applyNumberFormat="0" applyProtection="0">
      <alignment horizontal="right" vertical="center"/>
    </xf>
    <xf numFmtId="4" fontId="32" fillId="31" borderId="124" applyNumberFormat="0" applyProtection="0">
      <alignment horizontal="left" vertical="center" indent="1"/>
    </xf>
    <xf numFmtId="0" fontId="43" fillId="43" borderId="125" applyNumberFormat="0" applyProtection="0">
      <alignment horizontal="left" vertical="top" indent="1"/>
    </xf>
    <xf numFmtId="4" fontId="44" fillId="51" borderId="126" applyNumberFormat="0" applyProtection="0">
      <alignment horizontal="left" vertical="center" indent="1"/>
    </xf>
    <xf numFmtId="4" fontId="45" fillId="48" borderId="124" applyNumberFormat="0" applyProtection="0">
      <alignment horizontal="right" vertical="center"/>
    </xf>
    <xf numFmtId="0" fontId="48" fillId="58" borderId="124" applyNumberFormat="0" applyAlignment="0" applyProtection="0"/>
    <xf numFmtId="0" fontId="32" fillId="23" borderId="124" applyNumberFormat="0" applyFont="0" applyAlignment="0" applyProtection="0"/>
    <xf numFmtId="0" fontId="39" fillId="0" borderId="128" applyNumberFormat="0" applyFill="0" applyAlignment="0" applyProtection="0"/>
    <xf numFmtId="0" fontId="52" fillId="24" borderId="124" applyNumberFormat="0" applyAlignment="0" applyProtection="0"/>
    <xf numFmtId="0" fontId="56" fillId="58" borderId="129" applyNumberFormat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27" fillId="0" borderId="130">
      <alignment horizontal="left"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10" fontId="32" fillId="10" borderId="123" applyNumberFormat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" fontId="40" fillId="10" borderId="123" applyNumberFormat="0" applyProtection="0">
      <alignment vertical="center"/>
    </xf>
    <xf numFmtId="0" fontId="32" fillId="52" borderId="123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27" fillId="0" borderId="130">
      <alignment horizontal="left"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32" fillId="44" borderId="125" applyNumberFormat="0" applyProtection="0">
      <alignment horizontal="left" vertical="top" indent="1"/>
    </xf>
    <xf numFmtId="4" fontId="32" fillId="34" borderId="126" applyNumberFormat="0" applyProtection="0">
      <alignment horizontal="right" vertical="center"/>
    </xf>
    <xf numFmtId="0" fontId="39" fillId="0" borderId="128" applyNumberFormat="0" applyFill="0" applyAlignment="0" applyProtection="0"/>
    <xf numFmtId="4" fontId="32" fillId="0" borderId="124" applyNumberFormat="0" applyProtection="0">
      <alignment horizontal="right" vertical="center"/>
    </xf>
    <xf numFmtId="0" fontId="32" fillId="23" borderId="124" applyNumberFormat="0" applyFont="0" applyAlignment="0" applyProtection="0"/>
    <xf numFmtId="0" fontId="52" fillId="24" borderId="124" applyNumberFormat="0" applyAlignment="0" applyProtection="0"/>
    <xf numFmtId="4" fontId="32" fillId="29" borderId="124" applyNumberFormat="0" applyProtection="0">
      <alignment vertical="center"/>
    </xf>
    <xf numFmtId="4" fontId="32" fillId="38" borderId="124" applyNumberFormat="0" applyProtection="0">
      <alignment horizontal="right" vertical="center"/>
    </xf>
    <xf numFmtId="0" fontId="43" fillId="49" borderId="125" applyNumberFormat="0" applyProtection="0">
      <alignment horizontal="left" vertical="top" indent="1"/>
    </xf>
    <xf numFmtId="0" fontId="32" fillId="44" borderId="124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2" fillId="36" borderId="124" applyNumberFormat="0" applyProtection="0">
      <alignment horizontal="right" vertical="center"/>
    </xf>
    <xf numFmtId="0" fontId="32" fillId="52" borderId="123"/>
    <xf numFmtId="4" fontId="32" fillId="33" borderId="124" applyNumberFormat="0" applyProtection="0">
      <alignment horizontal="right" vertical="center"/>
    </xf>
    <xf numFmtId="0" fontId="27" fillId="0" borderId="130">
      <alignment horizontal="left" vertical="center"/>
    </xf>
    <xf numFmtId="0" fontId="32" fillId="47" borderId="124" applyNumberFormat="0" applyProtection="0">
      <alignment horizontal="left" vertical="center" indent="1"/>
    </xf>
    <xf numFmtId="4" fontId="44" fillId="51" borderId="126" applyNumberFormat="0" applyProtection="0">
      <alignment horizontal="left" vertical="center" indent="1"/>
    </xf>
    <xf numFmtId="4" fontId="32" fillId="43" borderId="126" applyNumberFormat="0" applyProtection="0">
      <alignment horizontal="left" vertical="center" indent="1"/>
    </xf>
    <xf numFmtId="4" fontId="32" fillId="32" borderId="124" applyNumberFormat="0" applyProtection="0">
      <alignment horizontal="right" vertical="center"/>
    </xf>
    <xf numFmtId="10" fontId="32" fillId="10" borderId="123" applyNumberFormat="0" applyBorder="0" applyAlignment="0" applyProtection="0"/>
    <xf numFmtId="4" fontId="32" fillId="29" borderId="124" applyNumberFormat="0" applyProtection="0">
      <alignment vertical="center"/>
    </xf>
    <xf numFmtId="4" fontId="40" fillId="30" borderId="124" applyNumberFormat="0" applyProtection="0">
      <alignment vertical="center"/>
    </xf>
    <xf numFmtId="4" fontId="32" fillId="30" borderId="124" applyNumberFormat="0" applyProtection="0">
      <alignment horizontal="left" vertical="center" indent="1"/>
    </xf>
    <xf numFmtId="0" fontId="41" fillId="29" borderId="125" applyNumberFormat="0" applyProtection="0">
      <alignment horizontal="left" vertical="top" indent="1"/>
    </xf>
    <xf numFmtId="4" fontId="32" fillId="31" borderId="124" applyNumberFormat="0" applyProtection="0">
      <alignment horizontal="left" vertical="center" indent="1"/>
    </xf>
    <xf numFmtId="4" fontId="32" fillId="32" borderId="124" applyNumberFormat="0" applyProtection="0">
      <alignment horizontal="right" vertical="center"/>
    </xf>
    <xf numFmtId="4" fontId="32" fillId="33" borderId="124" applyNumberFormat="0" applyProtection="0">
      <alignment horizontal="right" vertical="center"/>
    </xf>
    <xf numFmtId="4" fontId="32" fillId="34" borderId="126" applyNumberFormat="0" applyProtection="0">
      <alignment horizontal="right" vertical="center"/>
    </xf>
    <xf numFmtId="4" fontId="32" fillId="35" borderId="124" applyNumberFormat="0" applyProtection="0">
      <alignment horizontal="right" vertical="center"/>
    </xf>
    <xf numFmtId="4" fontId="32" fillId="36" borderId="124" applyNumberFormat="0" applyProtection="0">
      <alignment horizontal="right" vertical="center"/>
    </xf>
    <xf numFmtId="4" fontId="32" fillId="37" borderId="124" applyNumberFormat="0" applyProtection="0">
      <alignment horizontal="right" vertical="center"/>
    </xf>
    <xf numFmtId="4" fontId="32" fillId="38" borderId="124" applyNumberFormat="0" applyProtection="0">
      <alignment horizontal="right" vertical="center"/>
    </xf>
    <xf numFmtId="4" fontId="32" fillId="39" borderId="124" applyNumberFormat="0" applyProtection="0">
      <alignment horizontal="right" vertical="center"/>
    </xf>
    <xf numFmtId="4" fontId="32" fillId="40" borderId="124" applyNumberFormat="0" applyProtection="0">
      <alignment horizontal="right" vertical="center"/>
    </xf>
    <xf numFmtId="4" fontId="32" fillId="41" borderId="126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2" fillId="43" borderId="124" applyNumberFormat="0" applyProtection="0">
      <alignment horizontal="right" vertical="center"/>
    </xf>
    <xf numFmtId="4" fontId="32" fillId="44" borderId="126" applyNumberFormat="0" applyProtection="0">
      <alignment horizontal="left" vertical="center" indent="1"/>
    </xf>
    <xf numFmtId="4" fontId="32" fillId="43" borderId="126" applyNumberFormat="0" applyProtection="0">
      <alignment horizontal="left" vertical="center" indent="1"/>
    </xf>
    <xf numFmtId="0" fontId="32" fillId="45" borderId="124" applyNumberFormat="0" applyProtection="0">
      <alignment horizontal="left" vertical="center" indent="1"/>
    </xf>
    <xf numFmtId="0" fontId="32" fillId="42" borderId="125" applyNumberFormat="0" applyProtection="0">
      <alignment horizontal="left" vertical="top" indent="1"/>
    </xf>
    <xf numFmtId="0" fontId="32" fillId="46" borderId="124" applyNumberFormat="0" applyProtection="0">
      <alignment horizontal="left" vertical="center" indent="1"/>
    </xf>
    <xf numFmtId="0" fontId="32" fillId="43" borderId="125" applyNumberFormat="0" applyProtection="0">
      <alignment horizontal="left" vertical="top" indent="1"/>
    </xf>
    <xf numFmtId="0" fontId="32" fillId="47" borderId="124" applyNumberFormat="0" applyProtection="0">
      <alignment horizontal="left" vertical="center" indent="1"/>
    </xf>
    <xf numFmtId="0" fontId="32" fillId="47" borderId="125" applyNumberFormat="0" applyProtection="0">
      <alignment horizontal="left" vertical="top" indent="1"/>
    </xf>
    <xf numFmtId="0" fontId="32" fillId="44" borderId="124" applyNumberFormat="0" applyProtection="0">
      <alignment horizontal="left" vertical="center" indent="1"/>
    </xf>
    <xf numFmtId="0" fontId="32" fillId="44" borderId="125" applyNumberFormat="0" applyProtection="0">
      <alignment horizontal="left" vertical="top" indent="1"/>
    </xf>
    <xf numFmtId="0" fontId="42" fillId="42" borderId="127" applyBorder="0"/>
    <xf numFmtId="4" fontId="43" fillId="49" borderId="125" applyNumberFormat="0" applyProtection="0">
      <alignment vertical="center"/>
    </xf>
    <xf numFmtId="4" fontId="43" fillId="45" borderId="125" applyNumberFormat="0" applyProtection="0">
      <alignment horizontal="left" vertical="center" indent="1"/>
    </xf>
    <xf numFmtId="0" fontId="43" fillId="49" borderId="125" applyNumberFormat="0" applyProtection="0">
      <alignment horizontal="left" vertical="top" indent="1"/>
    </xf>
    <xf numFmtId="4" fontId="32" fillId="0" borderId="124" applyNumberFormat="0" applyProtection="0">
      <alignment horizontal="right" vertical="center"/>
    </xf>
    <xf numFmtId="4" fontId="32" fillId="0" borderId="124" applyNumberFormat="0" applyProtection="0">
      <alignment horizontal="right" vertical="center"/>
    </xf>
    <xf numFmtId="4" fontId="40" fillId="50" borderId="124" applyNumberFormat="0" applyProtection="0">
      <alignment horizontal="right" vertical="center"/>
    </xf>
    <xf numFmtId="4" fontId="32" fillId="31" borderId="124" applyNumberFormat="0" applyProtection="0">
      <alignment horizontal="left" vertical="center" indent="1"/>
    </xf>
    <xf numFmtId="0" fontId="43" fillId="43" borderId="125" applyNumberFormat="0" applyProtection="0">
      <alignment horizontal="left" vertical="top" indent="1"/>
    </xf>
    <xf numFmtId="4" fontId="44" fillId="51" borderId="126" applyNumberFormat="0" applyProtection="0">
      <alignment horizontal="left" vertical="center" indent="1"/>
    </xf>
    <xf numFmtId="4" fontId="45" fillId="48" borderId="124" applyNumberFormat="0" applyProtection="0">
      <alignment horizontal="right" vertical="center"/>
    </xf>
    <xf numFmtId="0" fontId="48" fillId="58" borderId="124" applyNumberFormat="0" applyAlignment="0" applyProtection="0"/>
    <xf numFmtId="0" fontId="32" fillId="23" borderId="124" applyNumberFormat="0" applyFont="0" applyAlignment="0" applyProtection="0"/>
    <xf numFmtId="0" fontId="39" fillId="0" borderId="128" applyNumberFormat="0" applyFill="0" applyAlignment="0" applyProtection="0"/>
    <xf numFmtId="0" fontId="52" fillId="24" borderId="124" applyNumberFormat="0" applyAlignment="0" applyProtection="0"/>
    <xf numFmtId="0" fontId="56" fillId="58" borderId="129" applyNumberFormat="0" applyAlignment="0" applyProtection="0"/>
    <xf numFmtId="4" fontId="32" fillId="31" borderId="124" applyNumberFormat="0" applyProtection="0">
      <alignment horizontal="left" vertical="center" indent="1"/>
    </xf>
    <xf numFmtId="0" fontId="32" fillId="45" borderId="124" applyNumberFormat="0" applyProtection="0">
      <alignment horizontal="left" vertical="center" indent="1"/>
    </xf>
    <xf numFmtId="4" fontId="43" fillId="49" borderId="125" applyNumberFormat="0" applyProtection="0">
      <alignment vertical="center"/>
    </xf>
    <xf numFmtId="4" fontId="32" fillId="40" borderId="124" applyNumberFormat="0" applyProtection="0">
      <alignment horizontal="right" vertical="center"/>
    </xf>
    <xf numFmtId="4" fontId="40" fillId="50" borderId="124" applyNumberFormat="0" applyProtection="0">
      <alignment horizontal="right"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56" fillId="58" borderId="129" applyNumberFormat="0" applyAlignment="0" applyProtection="0"/>
    <xf numFmtId="0" fontId="27" fillId="0" borderId="130">
      <alignment horizontal="left" vertical="center"/>
    </xf>
    <xf numFmtId="0" fontId="48" fillId="58" borderId="124" applyNumberFormat="0" applyAlignment="0" applyProtection="0"/>
    <xf numFmtId="0" fontId="32" fillId="43" borderId="125" applyNumberFormat="0" applyProtection="0">
      <alignment horizontal="left" vertical="top" indent="1"/>
    </xf>
    <xf numFmtId="0" fontId="42" fillId="42" borderId="127" applyBorder="0"/>
    <xf numFmtId="4" fontId="32" fillId="31" borderId="124" applyNumberFormat="0" applyProtection="0">
      <alignment horizontal="left" vertical="center" indent="1"/>
    </xf>
    <xf numFmtId="4" fontId="32" fillId="30" borderId="124" applyNumberFormat="0" applyProtection="0">
      <alignment horizontal="left" vertical="center" indent="1"/>
    </xf>
    <xf numFmtId="0" fontId="32" fillId="42" borderId="125" applyNumberFormat="0" applyProtection="0">
      <alignment horizontal="left" vertical="top" indent="1"/>
    </xf>
    <xf numFmtId="4" fontId="32" fillId="0" borderId="124" applyNumberFormat="0" applyProtection="0">
      <alignment horizontal="right" vertical="center"/>
    </xf>
    <xf numFmtId="4" fontId="32" fillId="37" borderId="124" applyNumberFormat="0" applyProtection="0">
      <alignment horizontal="right" vertical="center"/>
    </xf>
    <xf numFmtId="4" fontId="45" fillId="48" borderId="124" applyNumberFormat="0" applyProtection="0">
      <alignment horizontal="right" vertical="center"/>
    </xf>
    <xf numFmtId="4" fontId="40" fillId="30" borderId="124" applyNumberFormat="0" applyProtection="0">
      <alignment vertical="center"/>
    </xf>
    <xf numFmtId="4" fontId="32" fillId="39" borderId="124" applyNumberFormat="0" applyProtection="0">
      <alignment horizontal="right" vertical="center"/>
    </xf>
    <xf numFmtId="4" fontId="30" fillId="42" borderId="126" applyNumberFormat="0" applyProtection="0">
      <alignment horizontal="left" vertical="center" indent="1"/>
    </xf>
    <xf numFmtId="0" fontId="32" fillId="47" borderId="125" applyNumberFormat="0" applyProtection="0">
      <alignment horizontal="left" vertical="top" indent="1"/>
    </xf>
    <xf numFmtId="4" fontId="43" fillId="45" borderId="125" applyNumberFormat="0" applyProtection="0">
      <alignment horizontal="left" vertical="center" indent="1"/>
    </xf>
    <xf numFmtId="4" fontId="40" fillId="10" borderId="123" applyNumberFormat="0" applyProtection="0">
      <alignment vertical="center"/>
    </xf>
    <xf numFmtId="0" fontId="43" fillId="43" borderId="125" applyNumberFormat="0" applyProtection="0">
      <alignment horizontal="left" vertical="top" indent="1"/>
    </xf>
    <xf numFmtId="4" fontId="32" fillId="44" borderId="126" applyNumberFormat="0" applyProtection="0">
      <alignment horizontal="left" vertical="center" indent="1"/>
    </xf>
    <xf numFmtId="4" fontId="32" fillId="43" borderId="124" applyNumberFormat="0" applyProtection="0">
      <alignment horizontal="right" vertical="center"/>
    </xf>
    <xf numFmtId="0" fontId="27" fillId="0" borderId="130">
      <alignment horizontal="left" vertical="center"/>
    </xf>
    <xf numFmtId="0" fontId="41" fillId="29" borderId="125" applyNumberFormat="0" applyProtection="0">
      <alignment horizontal="left" vertical="top" indent="1"/>
    </xf>
    <xf numFmtId="4" fontId="32" fillId="35" borderId="124" applyNumberFormat="0" applyProtection="0">
      <alignment horizontal="right" vertical="center"/>
    </xf>
    <xf numFmtId="0" fontId="32" fillId="46" borderId="124" applyNumberFormat="0" applyProtection="0">
      <alignment horizontal="left" vertical="center" indent="1"/>
    </xf>
    <xf numFmtId="4" fontId="32" fillId="41" borderId="126" applyNumberFormat="0" applyProtection="0">
      <alignment horizontal="left" vertical="center" indent="1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27" fillId="0" borderId="130">
      <alignment horizontal="left"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10" fontId="32" fillId="10" borderId="123" applyNumberFormat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" fontId="32" fillId="29" borderId="124" applyNumberFormat="0" applyProtection="0">
      <alignment vertical="center"/>
    </xf>
    <xf numFmtId="4" fontId="40" fillId="30" borderId="124" applyNumberFormat="0" applyProtection="0">
      <alignment vertical="center"/>
    </xf>
    <xf numFmtId="4" fontId="32" fillId="30" borderId="124" applyNumberFormat="0" applyProtection="0">
      <alignment horizontal="left" vertical="center" indent="1"/>
    </xf>
    <xf numFmtId="0" fontId="41" fillId="29" borderId="125" applyNumberFormat="0" applyProtection="0">
      <alignment horizontal="left" vertical="top" indent="1"/>
    </xf>
    <xf numFmtId="4" fontId="32" fillId="31" borderId="124" applyNumberFormat="0" applyProtection="0">
      <alignment horizontal="left" vertical="center" indent="1"/>
    </xf>
    <xf numFmtId="4" fontId="32" fillId="32" borderId="124" applyNumberFormat="0" applyProtection="0">
      <alignment horizontal="right" vertical="center"/>
    </xf>
    <xf numFmtId="4" fontId="32" fillId="33" borderId="124" applyNumberFormat="0" applyProtection="0">
      <alignment horizontal="right" vertical="center"/>
    </xf>
    <xf numFmtId="4" fontId="32" fillId="34" borderId="126" applyNumberFormat="0" applyProtection="0">
      <alignment horizontal="right" vertical="center"/>
    </xf>
    <xf numFmtId="4" fontId="32" fillId="35" borderId="124" applyNumberFormat="0" applyProtection="0">
      <alignment horizontal="right" vertical="center"/>
    </xf>
    <xf numFmtId="4" fontId="32" fillId="36" borderId="124" applyNumberFormat="0" applyProtection="0">
      <alignment horizontal="right" vertical="center"/>
    </xf>
    <xf numFmtId="4" fontId="32" fillId="37" borderId="124" applyNumberFormat="0" applyProtection="0">
      <alignment horizontal="right" vertical="center"/>
    </xf>
    <xf numFmtId="4" fontId="32" fillId="38" borderId="124" applyNumberFormat="0" applyProtection="0">
      <alignment horizontal="right" vertical="center"/>
    </xf>
    <xf numFmtId="4" fontId="32" fillId="39" borderId="124" applyNumberFormat="0" applyProtection="0">
      <alignment horizontal="right" vertical="center"/>
    </xf>
    <xf numFmtId="4" fontId="32" fillId="40" borderId="124" applyNumberFormat="0" applyProtection="0">
      <alignment horizontal="right" vertical="center"/>
    </xf>
    <xf numFmtId="4" fontId="32" fillId="41" borderId="126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2" fillId="43" borderId="124" applyNumberFormat="0" applyProtection="0">
      <alignment horizontal="right" vertical="center"/>
    </xf>
    <xf numFmtId="4" fontId="32" fillId="44" borderId="126" applyNumberFormat="0" applyProtection="0">
      <alignment horizontal="left" vertical="center" indent="1"/>
    </xf>
    <xf numFmtId="4" fontId="32" fillId="43" borderId="126" applyNumberFormat="0" applyProtection="0">
      <alignment horizontal="left" vertical="center" indent="1"/>
    </xf>
    <xf numFmtId="0" fontId="32" fillId="45" borderId="124" applyNumberFormat="0" applyProtection="0">
      <alignment horizontal="left" vertical="center" indent="1"/>
    </xf>
    <xf numFmtId="0" fontId="32" fillId="42" borderId="125" applyNumberFormat="0" applyProtection="0">
      <alignment horizontal="left" vertical="top" indent="1"/>
    </xf>
    <xf numFmtId="0" fontId="32" fillId="46" borderId="124" applyNumberFormat="0" applyProtection="0">
      <alignment horizontal="left" vertical="center" indent="1"/>
    </xf>
    <xf numFmtId="0" fontId="32" fillId="43" borderId="125" applyNumberFormat="0" applyProtection="0">
      <alignment horizontal="left" vertical="top" indent="1"/>
    </xf>
    <xf numFmtId="0" fontId="32" fillId="47" borderId="124" applyNumberFormat="0" applyProtection="0">
      <alignment horizontal="left" vertical="center" indent="1"/>
    </xf>
    <xf numFmtId="0" fontId="32" fillId="47" borderId="125" applyNumberFormat="0" applyProtection="0">
      <alignment horizontal="left" vertical="top" indent="1"/>
    </xf>
    <xf numFmtId="0" fontId="32" fillId="44" borderId="124" applyNumberFormat="0" applyProtection="0">
      <alignment horizontal="left" vertical="center" indent="1"/>
    </xf>
    <xf numFmtId="0" fontId="32" fillId="44" borderId="125" applyNumberFormat="0" applyProtection="0">
      <alignment horizontal="left" vertical="top" indent="1"/>
    </xf>
    <xf numFmtId="0" fontId="42" fillId="42" borderId="127" applyBorder="0"/>
    <xf numFmtId="4" fontId="43" fillId="49" borderId="125" applyNumberFormat="0" applyProtection="0">
      <alignment vertical="center"/>
    </xf>
    <xf numFmtId="4" fontId="40" fillId="10" borderId="123" applyNumberFormat="0" applyProtection="0">
      <alignment vertical="center"/>
    </xf>
    <xf numFmtId="4" fontId="43" fillId="45" borderId="125" applyNumberFormat="0" applyProtection="0">
      <alignment horizontal="left" vertical="center" indent="1"/>
    </xf>
    <xf numFmtId="0" fontId="43" fillId="49" borderId="125" applyNumberFormat="0" applyProtection="0">
      <alignment horizontal="left" vertical="top" indent="1"/>
    </xf>
    <xf numFmtId="4" fontId="32" fillId="0" borderId="124" applyNumberFormat="0" applyProtection="0">
      <alignment horizontal="right" vertical="center"/>
    </xf>
    <xf numFmtId="4" fontId="32" fillId="0" borderId="124" applyNumberFormat="0" applyProtection="0">
      <alignment horizontal="right" vertical="center"/>
    </xf>
    <xf numFmtId="4" fontId="40" fillId="50" borderId="124" applyNumberFormat="0" applyProtection="0">
      <alignment horizontal="right" vertical="center"/>
    </xf>
    <xf numFmtId="4" fontId="32" fillId="31" borderId="124" applyNumberFormat="0" applyProtection="0">
      <alignment horizontal="left" vertical="center" indent="1"/>
    </xf>
    <xf numFmtId="0" fontId="43" fillId="43" borderId="125" applyNumberFormat="0" applyProtection="0">
      <alignment horizontal="left" vertical="top" indent="1"/>
    </xf>
    <xf numFmtId="4" fontId="44" fillId="51" borderId="126" applyNumberFormat="0" applyProtection="0">
      <alignment horizontal="left" vertical="center" indent="1"/>
    </xf>
    <xf numFmtId="0" fontId="32" fillId="52" borderId="123"/>
    <xf numFmtId="4" fontId="45" fillId="48" borderId="124" applyNumberFormat="0" applyProtection="0">
      <alignment horizontal="right" vertical="center"/>
    </xf>
    <xf numFmtId="0" fontId="48" fillId="58" borderId="124" applyNumberFormat="0" applyAlignment="0" applyProtection="0"/>
    <xf numFmtId="0" fontId="32" fillId="23" borderId="124" applyNumberFormat="0" applyFont="0" applyAlignment="0" applyProtection="0"/>
    <xf numFmtId="0" fontId="39" fillId="0" borderId="128" applyNumberFormat="0" applyFill="0" applyAlignment="0" applyProtection="0"/>
    <xf numFmtId="0" fontId="52" fillId="24" borderId="124" applyNumberFormat="0" applyAlignment="0" applyProtection="0"/>
    <xf numFmtId="0" fontId="56" fillId="58" borderId="129" applyNumberFormat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" fontId="32" fillId="29" borderId="124" applyNumberFormat="0" applyProtection="0">
      <alignment vertical="center"/>
    </xf>
    <xf numFmtId="4" fontId="40" fillId="30" borderId="124" applyNumberFormat="0" applyProtection="0">
      <alignment vertical="center"/>
    </xf>
    <xf numFmtId="4" fontId="32" fillId="30" borderId="124" applyNumberFormat="0" applyProtection="0">
      <alignment horizontal="left" vertical="center" indent="1"/>
    </xf>
    <xf numFmtId="0" fontId="41" fillId="29" borderId="125" applyNumberFormat="0" applyProtection="0">
      <alignment horizontal="left" vertical="top" indent="1"/>
    </xf>
    <xf numFmtId="4" fontId="32" fillId="31" borderId="124" applyNumberFormat="0" applyProtection="0">
      <alignment horizontal="left" vertical="center" indent="1"/>
    </xf>
    <xf numFmtId="4" fontId="32" fillId="32" borderId="124" applyNumberFormat="0" applyProtection="0">
      <alignment horizontal="right" vertical="center"/>
    </xf>
    <xf numFmtId="4" fontId="32" fillId="33" borderId="124" applyNumberFormat="0" applyProtection="0">
      <alignment horizontal="right" vertical="center"/>
    </xf>
    <xf numFmtId="4" fontId="32" fillId="34" borderId="126" applyNumberFormat="0" applyProtection="0">
      <alignment horizontal="right" vertical="center"/>
    </xf>
    <xf numFmtId="4" fontId="32" fillId="35" borderId="124" applyNumberFormat="0" applyProtection="0">
      <alignment horizontal="right" vertical="center"/>
    </xf>
    <xf numFmtId="4" fontId="32" fillId="36" borderId="124" applyNumberFormat="0" applyProtection="0">
      <alignment horizontal="right" vertical="center"/>
    </xf>
    <xf numFmtId="4" fontId="32" fillId="37" borderId="124" applyNumberFormat="0" applyProtection="0">
      <alignment horizontal="right" vertical="center"/>
    </xf>
    <xf numFmtId="4" fontId="32" fillId="38" borderId="124" applyNumberFormat="0" applyProtection="0">
      <alignment horizontal="right" vertical="center"/>
    </xf>
    <xf numFmtId="4" fontId="32" fillId="39" borderId="124" applyNumberFormat="0" applyProtection="0">
      <alignment horizontal="right" vertical="center"/>
    </xf>
    <xf numFmtId="4" fontId="32" fillId="40" borderId="124" applyNumberFormat="0" applyProtection="0">
      <alignment horizontal="right" vertical="center"/>
    </xf>
    <xf numFmtId="4" fontId="32" fillId="41" borderId="126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2" fillId="43" borderId="124" applyNumberFormat="0" applyProtection="0">
      <alignment horizontal="right" vertical="center"/>
    </xf>
    <xf numFmtId="4" fontId="32" fillId="44" borderId="126" applyNumberFormat="0" applyProtection="0">
      <alignment horizontal="left" vertical="center" indent="1"/>
    </xf>
    <xf numFmtId="4" fontId="32" fillId="43" borderId="126" applyNumberFormat="0" applyProtection="0">
      <alignment horizontal="left" vertical="center" indent="1"/>
    </xf>
    <xf numFmtId="0" fontId="32" fillId="45" borderId="124" applyNumberFormat="0" applyProtection="0">
      <alignment horizontal="left" vertical="center" indent="1"/>
    </xf>
    <xf numFmtId="0" fontId="32" fillId="42" borderId="125" applyNumberFormat="0" applyProtection="0">
      <alignment horizontal="left" vertical="top" indent="1"/>
    </xf>
    <xf numFmtId="0" fontId="32" fillId="46" borderId="124" applyNumberFormat="0" applyProtection="0">
      <alignment horizontal="left" vertical="center" indent="1"/>
    </xf>
    <xf numFmtId="0" fontId="32" fillId="43" borderId="125" applyNumberFormat="0" applyProtection="0">
      <alignment horizontal="left" vertical="top" indent="1"/>
    </xf>
    <xf numFmtId="0" fontId="32" fillId="47" borderId="124" applyNumberFormat="0" applyProtection="0">
      <alignment horizontal="left" vertical="center" indent="1"/>
    </xf>
    <xf numFmtId="0" fontId="32" fillId="47" borderId="125" applyNumberFormat="0" applyProtection="0">
      <alignment horizontal="left" vertical="top" indent="1"/>
    </xf>
    <xf numFmtId="0" fontId="32" fillId="44" borderId="124" applyNumberFormat="0" applyProtection="0">
      <alignment horizontal="left" vertical="center" indent="1"/>
    </xf>
    <xf numFmtId="0" fontId="32" fillId="44" borderId="125" applyNumberFormat="0" applyProtection="0">
      <alignment horizontal="left" vertical="top" indent="1"/>
    </xf>
    <xf numFmtId="0" fontId="42" fillId="42" borderId="127" applyBorder="0"/>
    <xf numFmtId="4" fontId="43" fillId="49" borderId="125" applyNumberFormat="0" applyProtection="0">
      <alignment vertical="center"/>
    </xf>
    <xf numFmtId="4" fontId="43" fillId="45" borderId="125" applyNumberFormat="0" applyProtection="0">
      <alignment horizontal="left" vertical="center" indent="1"/>
    </xf>
    <xf numFmtId="0" fontId="43" fillId="49" borderId="125" applyNumberFormat="0" applyProtection="0">
      <alignment horizontal="left" vertical="top" indent="1"/>
    </xf>
    <xf numFmtId="4" fontId="32" fillId="0" borderId="124" applyNumberFormat="0" applyProtection="0">
      <alignment horizontal="right" vertical="center"/>
    </xf>
    <xf numFmtId="4" fontId="32" fillId="0" borderId="124" applyNumberFormat="0" applyProtection="0">
      <alignment horizontal="right" vertical="center"/>
    </xf>
    <xf numFmtId="4" fontId="40" fillId="50" borderId="124" applyNumberFormat="0" applyProtection="0">
      <alignment horizontal="right" vertical="center"/>
    </xf>
    <xf numFmtId="4" fontId="32" fillId="31" borderId="124" applyNumberFormat="0" applyProtection="0">
      <alignment horizontal="left" vertical="center" indent="1"/>
    </xf>
    <xf numFmtId="0" fontId="43" fillId="43" borderId="125" applyNumberFormat="0" applyProtection="0">
      <alignment horizontal="left" vertical="top" indent="1"/>
    </xf>
    <xf numFmtId="4" fontId="44" fillId="51" borderId="126" applyNumberFormat="0" applyProtection="0">
      <alignment horizontal="left" vertical="center" indent="1"/>
    </xf>
    <xf numFmtId="4" fontId="45" fillId="48" borderId="124" applyNumberFormat="0" applyProtection="0">
      <alignment horizontal="right" vertical="center"/>
    </xf>
    <xf numFmtId="0" fontId="48" fillId="58" borderId="124" applyNumberFormat="0" applyAlignment="0" applyProtection="0"/>
    <xf numFmtId="0" fontId="32" fillId="23" borderId="124" applyNumberFormat="0" applyFont="0" applyAlignment="0" applyProtection="0"/>
    <xf numFmtId="0" fontId="39" fillId="0" borderId="128" applyNumberFormat="0" applyFill="0" applyAlignment="0" applyProtection="0"/>
    <xf numFmtId="0" fontId="52" fillId="24" borderId="124" applyNumberFormat="0" applyAlignment="0" applyProtection="0"/>
    <xf numFmtId="0" fontId="56" fillId="58" borderId="129" applyNumberFormat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27" fillId="0" borderId="130">
      <alignment horizontal="left"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10" fontId="32" fillId="10" borderId="123" applyNumberFormat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" fontId="40" fillId="10" borderId="123" applyNumberFormat="0" applyProtection="0">
      <alignment vertical="center"/>
    </xf>
    <xf numFmtId="0" fontId="32" fillId="52" borderId="123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27" fillId="0" borderId="130">
      <alignment horizontal="left"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32" fillId="44" borderId="125" applyNumberFormat="0" applyProtection="0">
      <alignment horizontal="left" vertical="top" indent="1"/>
    </xf>
    <xf numFmtId="4" fontId="32" fillId="34" borderId="126" applyNumberFormat="0" applyProtection="0">
      <alignment horizontal="right" vertical="center"/>
    </xf>
    <xf numFmtId="0" fontId="39" fillId="0" borderId="128" applyNumberFormat="0" applyFill="0" applyAlignment="0" applyProtection="0"/>
    <xf numFmtId="4" fontId="32" fillId="0" borderId="124" applyNumberFormat="0" applyProtection="0">
      <alignment horizontal="right" vertical="center"/>
    </xf>
    <xf numFmtId="0" fontId="32" fillId="23" borderId="124" applyNumberFormat="0" applyFont="0" applyAlignment="0" applyProtection="0"/>
    <xf numFmtId="0" fontId="52" fillId="24" borderId="124" applyNumberFormat="0" applyAlignment="0" applyProtection="0"/>
    <xf numFmtId="4" fontId="32" fillId="29" borderId="124" applyNumberFormat="0" applyProtection="0">
      <alignment vertical="center"/>
    </xf>
    <xf numFmtId="4" fontId="32" fillId="38" borderId="124" applyNumberFormat="0" applyProtection="0">
      <alignment horizontal="right" vertical="center"/>
    </xf>
    <xf numFmtId="0" fontId="43" fillId="49" borderId="125" applyNumberFormat="0" applyProtection="0">
      <alignment horizontal="left" vertical="top" indent="1"/>
    </xf>
    <xf numFmtId="0" fontId="32" fillId="44" borderId="124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2" fillId="36" borderId="124" applyNumberFormat="0" applyProtection="0">
      <alignment horizontal="right" vertical="center"/>
    </xf>
    <xf numFmtId="0" fontId="32" fillId="52" borderId="123"/>
    <xf numFmtId="4" fontId="32" fillId="33" borderId="124" applyNumberFormat="0" applyProtection="0">
      <alignment horizontal="right" vertical="center"/>
    </xf>
    <xf numFmtId="0" fontId="27" fillId="0" borderId="130">
      <alignment horizontal="left" vertical="center"/>
    </xf>
    <xf numFmtId="0" fontId="32" fillId="47" borderId="124" applyNumberFormat="0" applyProtection="0">
      <alignment horizontal="left" vertical="center" indent="1"/>
    </xf>
    <xf numFmtId="4" fontId="44" fillId="51" borderId="126" applyNumberFormat="0" applyProtection="0">
      <alignment horizontal="left" vertical="center" indent="1"/>
    </xf>
    <xf numFmtId="4" fontId="32" fillId="43" borderId="126" applyNumberFormat="0" applyProtection="0">
      <alignment horizontal="left" vertical="center" indent="1"/>
    </xf>
    <xf numFmtId="4" fontId="32" fillId="32" borderId="124" applyNumberFormat="0" applyProtection="0">
      <alignment horizontal="right" vertical="center"/>
    </xf>
    <xf numFmtId="10" fontId="32" fillId="10" borderId="123" applyNumberFormat="0" applyBorder="0" applyAlignment="0" applyProtection="0"/>
    <xf numFmtId="4" fontId="32" fillId="29" borderId="124" applyNumberFormat="0" applyProtection="0">
      <alignment vertical="center"/>
    </xf>
    <xf numFmtId="4" fontId="40" fillId="30" borderId="124" applyNumberFormat="0" applyProtection="0">
      <alignment vertical="center"/>
    </xf>
    <xf numFmtId="4" fontId="32" fillId="30" borderId="124" applyNumberFormat="0" applyProtection="0">
      <alignment horizontal="left" vertical="center" indent="1"/>
    </xf>
    <xf numFmtId="0" fontId="41" fillId="29" borderId="125" applyNumberFormat="0" applyProtection="0">
      <alignment horizontal="left" vertical="top" indent="1"/>
    </xf>
    <xf numFmtId="4" fontId="32" fillId="31" borderId="124" applyNumberFormat="0" applyProtection="0">
      <alignment horizontal="left" vertical="center" indent="1"/>
    </xf>
    <xf numFmtId="4" fontId="32" fillId="32" borderId="124" applyNumberFormat="0" applyProtection="0">
      <alignment horizontal="right" vertical="center"/>
    </xf>
    <xf numFmtId="4" fontId="32" fillId="33" borderId="124" applyNumberFormat="0" applyProtection="0">
      <alignment horizontal="right" vertical="center"/>
    </xf>
    <xf numFmtId="4" fontId="32" fillId="34" borderId="126" applyNumberFormat="0" applyProtection="0">
      <alignment horizontal="right" vertical="center"/>
    </xf>
    <xf numFmtId="4" fontId="32" fillId="35" borderId="124" applyNumberFormat="0" applyProtection="0">
      <alignment horizontal="right" vertical="center"/>
    </xf>
    <xf numFmtId="4" fontId="32" fillId="36" borderId="124" applyNumberFormat="0" applyProtection="0">
      <alignment horizontal="right" vertical="center"/>
    </xf>
    <xf numFmtId="4" fontId="32" fillId="37" borderId="124" applyNumberFormat="0" applyProtection="0">
      <alignment horizontal="right" vertical="center"/>
    </xf>
    <xf numFmtId="4" fontId="32" fillId="38" borderId="124" applyNumberFormat="0" applyProtection="0">
      <alignment horizontal="right" vertical="center"/>
    </xf>
    <xf numFmtId="4" fontId="32" fillId="39" borderId="124" applyNumberFormat="0" applyProtection="0">
      <alignment horizontal="right" vertical="center"/>
    </xf>
    <xf numFmtId="4" fontId="32" fillId="40" borderId="124" applyNumberFormat="0" applyProtection="0">
      <alignment horizontal="right" vertical="center"/>
    </xf>
    <xf numFmtId="4" fontId="32" fillId="41" borderId="126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2" fillId="43" borderId="124" applyNumberFormat="0" applyProtection="0">
      <alignment horizontal="right" vertical="center"/>
    </xf>
    <xf numFmtId="4" fontId="32" fillId="44" borderId="126" applyNumberFormat="0" applyProtection="0">
      <alignment horizontal="left" vertical="center" indent="1"/>
    </xf>
    <xf numFmtId="4" fontId="32" fillId="43" borderId="126" applyNumberFormat="0" applyProtection="0">
      <alignment horizontal="left" vertical="center" indent="1"/>
    </xf>
    <xf numFmtId="0" fontId="32" fillId="45" borderId="124" applyNumberFormat="0" applyProtection="0">
      <alignment horizontal="left" vertical="center" indent="1"/>
    </xf>
    <xf numFmtId="0" fontId="32" fillId="42" borderId="125" applyNumberFormat="0" applyProtection="0">
      <alignment horizontal="left" vertical="top" indent="1"/>
    </xf>
    <xf numFmtId="0" fontId="32" fillId="46" borderId="124" applyNumberFormat="0" applyProtection="0">
      <alignment horizontal="left" vertical="center" indent="1"/>
    </xf>
    <xf numFmtId="0" fontId="32" fillId="43" borderId="125" applyNumberFormat="0" applyProtection="0">
      <alignment horizontal="left" vertical="top" indent="1"/>
    </xf>
    <xf numFmtId="0" fontId="32" fillId="47" borderId="124" applyNumberFormat="0" applyProtection="0">
      <alignment horizontal="left" vertical="center" indent="1"/>
    </xf>
    <xf numFmtId="0" fontId="32" fillId="47" borderId="125" applyNumberFormat="0" applyProtection="0">
      <alignment horizontal="left" vertical="top" indent="1"/>
    </xf>
    <xf numFmtId="0" fontId="32" fillId="44" borderId="124" applyNumberFormat="0" applyProtection="0">
      <alignment horizontal="left" vertical="center" indent="1"/>
    </xf>
    <xf numFmtId="0" fontId="32" fillId="44" borderId="125" applyNumberFormat="0" applyProtection="0">
      <alignment horizontal="left" vertical="top" indent="1"/>
    </xf>
    <xf numFmtId="0" fontId="42" fillId="42" borderId="127" applyBorder="0"/>
    <xf numFmtId="4" fontId="43" fillId="49" borderId="125" applyNumberFormat="0" applyProtection="0">
      <alignment vertical="center"/>
    </xf>
    <xf numFmtId="4" fontId="43" fillId="45" borderId="125" applyNumberFormat="0" applyProtection="0">
      <alignment horizontal="left" vertical="center" indent="1"/>
    </xf>
    <xf numFmtId="0" fontId="43" fillId="49" borderId="125" applyNumberFormat="0" applyProtection="0">
      <alignment horizontal="left" vertical="top" indent="1"/>
    </xf>
    <xf numFmtId="4" fontId="32" fillId="0" borderId="124" applyNumberFormat="0" applyProtection="0">
      <alignment horizontal="right" vertical="center"/>
    </xf>
    <xf numFmtId="4" fontId="32" fillId="0" borderId="124" applyNumberFormat="0" applyProtection="0">
      <alignment horizontal="right" vertical="center"/>
    </xf>
    <xf numFmtId="4" fontId="40" fillId="50" borderId="124" applyNumberFormat="0" applyProtection="0">
      <alignment horizontal="right" vertical="center"/>
    </xf>
    <xf numFmtId="4" fontId="32" fillId="31" borderId="124" applyNumberFormat="0" applyProtection="0">
      <alignment horizontal="left" vertical="center" indent="1"/>
    </xf>
    <xf numFmtId="0" fontId="43" fillId="43" borderId="125" applyNumberFormat="0" applyProtection="0">
      <alignment horizontal="left" vertical="top" indent="1"/>
    </xf>
    <xf numFmtId="4" fontId="44" fillId="51" borderId="126" applyNumberFormat="0" applyProtection="0">
      <alignment horizontal="left" vertical="center" indent="1"/>
    </xf>
    <xf numFmtId="4" fontId="45" fillId="48" borderId="124" applyNumberFormat="0" applyProtection="0">
      <alignment horizontal="right" vertical="center"/>
    </xf>
    <xf numFmtId="0" fontId="48" fillId="58" borderId="124" applyNumberFormat="0" applyAlignment="0" applyProtection="0"/>
    <xf numFmtId="0" fontId="32" fillId="23" borderId="124" applyNumberFormat="0" applyFont="0" applyAlignment="0" applyProtection="0"/>
    <xf numFmtId="0" fontId="39" fillId="0" borderId="128" applyNumberFormat="0" applyFill="0" applyAlignment="0" applyProtection="0"/>
    <xf numFmtId="0" fontId="52" fillId="24" borderId="124" applyNumberFormat="0" applyAlignment="0" applyProtection="0"/>
    <xf numFmtId="0" fontId="56" fillId="58" borderId="129" applyNumberFormat="0" applyAlignment="0" applyProtection="0"/>
    <xf numFmtId="4" fontId="32" fillId="31" borderId="124" applyNumberFormat="0" applyProtection="0">
      <alignment horizontal="left" vertical="center" indent="1"/>
    </xf>
    <xf numFmtId="0" fontId="32" fillId="45" borderId="124" applyNumberFormat="0" applyProtection="0">
      <alignment horizontal="left" vertical="center" indent="1"/>
    </xf>
    <xf numFmtId="4" fontId="43" fillId="49" borderId="125" applyNumberFormat="0" applyProtection="0">
      <alignment vertical="center"/>
    </xf>
    <xf numFmtId="4" fontId="32" fillId="40" borderId="124" applyNumberFormat="0" applyProtection="0">
      <alignment horizontal="right" vertical="center"/>
    </xf>
    <xf numFmtId="4" fontId="40" fillId="50" borderId="124" applyNumberFormat="0" applyProtection="0">
      <alignment horizontal="right"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56" fillId="58" borderId="129" applyNumberFormat="0" applyAlignment="0" applyProtection="0"/>
    <xf numFmtId="0" fontId="27" fillId="0" borderId="130">
      <alignment horizontal="left" vertical="center"/>
    </xf>
    <xf numFmtId="0" fontId="48" fillId="58" borderId="124" applyNumberFormat="0" applyAlignment="0" applyProtection="0"/>
    <xf numFmtId="0" fontId="32" fillId="43" borderId="125" applyNumberFormat="0" applyProtection="0">
      <alignment horizontal="left" vertical="top" indent="1"/>
    </xf>
    <xf numFmtId="0" fontId="42" fillId="42" borderId="127" applyBorder="0"/>
    <xf numFmtId="4" fontId="32" fillId="31" borderId="124" applyNumberFormat="0" applyProtection="0">
      <alignment horizontal="left" vertical="center" indent="1"/>
    </xf>
    <xf numFmtId="4" fontId="32" fillId="30" borderId="124" applyNumberFormat="0" applyProtection="0">
      <alignment horizontal="left" vertical="center" indent="1"/>
    </xf>
    <xf numFmtId="0" fontId="32" fillId="42" borderId="125" applyNumberFormat="0" applyProtection="0">
      <alignment horizontal="left" vertical="top" indent="1"/>
    </xf>
    <xf numFmtId="4" fontId="32" fillId="0" borderId="124" applyNumberFormat="0" applyProtection="0">
      <alignment horizontal="right" vertical="center"/>
    </xf>
    <xf numFmtId="4" fontId="32" fillId="37" borderId="124" applyNumberFormat="0" applyProtection="0">
      <alignment horizontal="right" vertical="center"/>
    </xf>
    <xf numFmtId="4" fontId="45" fillId="48" borderId="124" applyNumberFormat="0" applyProtection="0">
      <alignment horizontal="right" vertical="center"/>
    </xf>
    <xf numFmtId="4" fontId="40" fillId="30" borderId="124" applyNumberFormat="0" applyProtection="0">
      <alignment vertical="center"/>
    </xf>
    <xf numFmtId="4" fontId="32" fillId="39" borderId="124" applyNumberFormat="0" applyProtection="0">
      <alignment horizontal="right" vertical="center"/>
    </xf>
    <xf numFmtId="4" fontId="30" fillId="42" borderId="126" applyNumberFormat="0" applyProtection="0">
      <alignment horizontal="left" vertical="center" indent="1"/>
    </xf>
    <xf numFmtId="0" fontId="32" fillId="47" borderId="125" applyNumberFormat="0" applyProtection="0">
      <alignment horizontal="left" vertical="top" indent="1"/>
    </xf>
    <xf numFmtId="4" fontId="43" fillId="45" borderId="125" applyNumberFormat="0" applyProtection="0">
      <alignment horizontal="left" vertical="center" indent="1"/>
    </xf>
    <xf numFmtId="4" fontId="40" fillId="10" borderId="123" applyNumberFormat="0" applyProtection="0">
      <alignment vertical="center"/>
    </xf>
    <xf numFmtId="0" fontId="43" fillId="43" borderId="125" applyNumberFormat="0" applyProtection="0">
      <alignment horizontal="left" vertical="top" indent="1"/>
    </xf>
    <xf numFmtId="4" fontId="32" fillId="44" borderId="126" applyNumberFormat="0" applyProtection="0">
      <alignment horizontal="left" vertical="center" indent="1"/>
    </xf>
    <xf numFmtId="4" fontId="32" fillId="43" borderId="124" applyNumberFormat="0" applyProtection="0">
      <alignment horizontal="right" vertical="center"/>
    </xf>
    <xf numFmtId="0" fontId="27" fillId="0" borderId="130">
      <alignment horizontal="left" vertical="center"/>
    </xf>
    <xf numFmtId="0" fontId="41" fillId="29" borderId="125" applyNumberFormat="0" applyProtection="0">
      <alignment horizontal="left" vertical="top" indent="1"/>
    </xf>
    <xf numFmtId="4" fontId="32" fillId="35" borderId="124" applyNumberFormat="0" applyProtection="0">
      <alignment horizontal="right" vertical="center"/>
    </xf>
    <xf numFmtId="0" fontId="32" fillId="46" borderId="124" applyNumberFormat="0" applyProtection="0">
      <alignment horizontal="left" vertical="center" indent="1"/>
    </xf>
    <xf numFmtId="4" fontId="32" fillId="41" borderId="126" applyNumberFormat="0" applyProtection="0">
      <alignment horizontal="left" vertical="center" indent="1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27" fillId="0" borderId="84" applyNumberFormat="0" applyAlignment="0" applyProtection="0">
      <alignment horizontal="left" vertical="center"/>
    </xf>
    <xf numFmtId="0" fontId="27" fillId="0" borderId="130">
      <alignment horizontal="left"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" fontId="32" fillId="40" borderId="141" applyNumberFormat="0" applyProtection="0">
      <alignment horizontal="right"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" fontId="32" fillId="40" borderId="149" applyNumberFormat="0" applyProtection="0">
      <alignment horizontal="right"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32" fillId="43" borderId="150" applyNumberFormat="0" applyProtection="0">
      <alignment horizontal="left" vertical="top" indent="1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" fontId="44" fillId="51" borderId="143" applyNumberFormat="0" applyProtection="0">
      <alignment horizontal="left" vertical="center" indent="1"/>
    </xf>
    <xf numFmtId="41" fontId="25" fillId="0" borderId="0" applyFont="0" applyFill="0" applyBorder="0" applyAlignment="0" applyProtection="0"/>
    <xf numFmtId="4" fontId="32" fillId="30" borderId="149" applyNumberFormat="0" applyProtection="0">
      <alignment horizontal="left" vertical="center" indent="1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4" fontId="30" fillId="42" borderId="151" applyNumberFormat="0" applyProtection="0">
      <alignment horizontal="left" vertical="center" indent="1"/>
    </xf>
    <xf numFmtId="0" fontId="32" fillId="23" borderId="141" applyNumberFormat="0" applyFont="0" applyAlignment="0" applyProtection="0"/>
    <xf numFmtId="10" fontId="32" fillId="10" borderId="140" applyNumberFormat="0" applyBorder="0" applyAlignment="0" applyProtection="0"/>
    <xf numFmtId="10" fontId="32" fillId="10" borderId="116" applyNumberFormat="0" applyBorder="0" applyAlignment="0" applyProtection="0"/>
    <xf numFmtId="4" fontId="32" fillId="43" borderId="124" applyNumberFormat="0" applyProtection="0">
      <alignment horizontal="right" vertical="center"/>
    </xf>
    <xf numFmtId="4" fontId="32" fillId="34" borderId="135" applyNumberFormat="0" applyProtection="0">
      <alignment horizontal="right" vertical="center"/>
    </xf>
    <xf numFmtId="0" fontId="32" fillId="44" borderId="141" applyNumberFormat="0" applyProtection="0">
      <alignment horizontal="left" vertical="center" indent="1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" fontId="32" fillId="43" borderId="141" applyNumberFormat="0" applyProtection="0">
      <alignment horizontal="right" vertical="center"/>
    </xf>
    <xf numFmtId="4" fontId="32" fillId="44" borderId="151" applyNumberFormat="0" applyProtection="0">
      <alignment horizontal="left" vertical="center" indent="1"/>
    </xf>
    <xf numFmtId="4" fontId="45" fillId="48" borderId="149" applyNumberFormat="0" applyProtection="0">
      <alignment horizontal="right" vertical="center"/>
    </xf>
    <xf numFmtId="0" fontId="32" fillId="23" borderId="133" applyNumberFormat="0" applyFont="0" applyAlignment="0" applyProtection="0"/>
    <xf numFmtId="0" fontId="32" fillId="52" borderId="148"/>
    <xf numFmtId="0" fontId="32" fillId="23" borderId="141" applyNumberFormat="0" applyFont="0" applyAlignment="0" applyProtection="0"/>
    <xf numFmtId="4" fontId="32" fillId="36" borderId="141" applyNumberFormat="0" applyProtection="0">
      <alignment horizontal="right" vertical="center"/>
    </xf>
    <xf numFmtId="4" fontId="32" fillId="33" borderId="141" applyNumberFormat="0" applyProtection="0">
      <alignment horizontal="right" vertical="center"/>
    </xf>
    <xf numFmtId="4" fontId="43" fillId="45" borderId="142" applyNumberFormat="0" applyProtection="0">
      <alignment horizontal="left" vertical="center" indent="1"/>
    </xf>
    <xf numFmtId="4" fontId="32" fillId="31" borderId="133" applyNumberFormat="0" applyProtection="0">
      <alignment horizontal="left" vertical="center" indent="1"/>
    </xf>
    <xf numFmtId="4" fontId="32" fillId="33" borderId="149" applyNumberFormat="0" applyProtection="0">
      <alignment horizontal="right" vertical="center"/>
    </xf>
    <xf numFmtId="4" fontId="32" fillId="43" borderId="149" applyNumberFormat="0" applyProtection="0">
      <alignment horizontal="right" vertical="center"/>
    </xf>
    <xf numFmtId="0" fontId="39" fillId="0" borderId="145" applyNumberFormat="0" applyFill="0" applyAlignment="0" applyProtection="0"/>
    <xf numFmtId="0" fontId="32" fillId="52" borderId="140"/>
    <xf numFmtId="0" fontId="43" fillId="49" borderId="134" applyNumberFormat="0" applyProtection="0">
      <alignment horizontal="left" vertical="top" indent="1"/>
    </xf>
    <xf numFmtId="41" fontId="17" fillId="0" borderId="0" applyFont="0" applyFill="0" applyBorder="0" applyAlignment="0" applyProtection="0">
      <alignment vertical="center"/>
    </xf>
    <xf numFmtId="0" fontId="39" fillId="0" borderId="145" applyNumberFormat="0" applyFill="0" applyAlignment="0" applyProtection="0"/>
    <xf numFmtId="4" fontId="32" fillId="29" borderId="124" applyNumberFormat="0" applyProtection="0">
      <alignment vertical="center"/>
    </xf>
    <xf numFmtId="4" fontId="40" fillId="30" borderId="124" applyNumberFormat="0" applyProtection="0">
      <alignment vertical="center"/>
    </xf>
    <xf numFmtId="4" fontId="32" fillId="30" borderId="124" applyNumberFormat="0" applyProtection="0">
      <alignment horizontal="left" vertical="center" indent="1"/>
    </xf>
    <xf numFmtId="0" fontId="41" fillId="29" borderId="125" applyNumberFormat="0" applyProtection="0">
      <alignment horizontal="left" vertical="top" indent="1"/>
    </xf>
    <xf numFmtId="4" fontId="32" fillId="31" borderId="124" applyNumberFormat="0" applyProtection="0">
      <alignment horizontal="left" vertical="center" indent="1"/>
    </xf>
    <xf numFmtId="4" fontId="32" fillId="32" borderId="124" applyNumberFormat="0" applyProtection="0">
      <alignment horizontal="right" vertical="center"/>
    </xf>
    <xf numFmtId="4" fontId="32" fillId="33" borderId="124" applyNumberFormat="0" applyProtection="0">
      <alignment horizontal="right" vertical="center"/>
    </xf>
    <xf numFmtId="4" fontId="32" fillId="34" borderId="126" applyNumberFormat="0" applyProtection="0">
      <alignment horizontal="right" vertical="center"/>
    </xf>
    <xf numFmtId="4" fontId="32" fillId="35" borderId="124" applyNumberFormat="0" applyProtection="0">
      <alignment horizontal="right" vertical="center"/>
    </xf>
    <xf numFmtId="4" fontId="32" fillId="36" borderId="124" applyNumberFormat="0" applyProtection="0">
      <alignment horizontal="right" vertical="center"/>
    </xf>
    <xf numFmtId="4" fontId="32" fillId="37" borderId="124" applyNumberFormat="0" applyProtection="0">
      <alignment horizontal="right" vertical="center"/>
    </xf>
    <xf numFmtId="4" fontId="32" fillId="38" borderId="124" applyNumberFormat="0" applyProtection="0">
      <alignment horizontal="right" vertical="center"/>
    </xf>
    <xf numFmtId="4" fontId="32" fillId="39" borderId="124" applyNumberFormat="0" applyProtection="0">
      <alignment horizontal="right" vertical="center"/>
    </xf>
    <xf numFmtId="4" fontId="32" fillId="40" borderId="124" applyNumberFormat="0" applyProtection="0">
      <alignment horizontal="right" vertical="center"/>
    </xf>
    <xf numFmtId="4" fontId="32" fillId="41" borderId="126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2" fillId="43" borderId="124" applyNumberFormat="0" applyProtection="0">
      <alignment horizontal="right" vertical="center"/>
    </xf>
    <xf numFmtId="4" fontId="32" fillId="44" borderId="126" applyNumberFormat="0" applyProtection="0">
      <alignment horizontal="left" vertical="center" indent="1"/>
    </xf>
    <xf numFmtId="4" fontId="32" fillId="43" borderId="126" applyNumberFormat="0" applyProtection="0">
      <alignment horizontal="left" vertical="center" indent="1"/>
    </xf>
    <xf numFmtId="0" fontId="32" fillId="45" borderId="124" applyNumberFormat="0" applyProtection="0">
      <alignment horizontal="left" vertical="center" indent="1"/>
    </xf>
    <xf numFmtId="0" fontId="32" fillId="42" borderId="125" applyNumberFormat="0" applyProtection="0">
      <alignment horizontal="left" vertical="top" indent="1"/>
    </xf>
    <xf numFmtId="0" fontId="32" fillId="46" borderId="124" applyNumberFormat="0" applyProtection="0">
      <alignment horizontal="left" vertical="center" indent="1"/>
    </xf>
    <xf numFmtId="0" fontId="32" fillId="43" borderId="125" applyNumberFormat="0" applyProtection="0">
      <alignment horizontal="left" vertical="top" indent="1"/>
    </xf>
    <xf numFmtId="0" fontId="32" fillId="47" borderId="124" applyNumberFormat="0" applyProtection="0">
      <alignment horizontal="left" vertical="center" indent="1"/>
    </xf>
    <xf numFmtId="0" fontId="32" fillId="47" borderId="125" applyNumberFormat="0" applyProtection="0">
      <alignment horizontal="left" vertical="top" indent="1"/>
    </xf>
    <xf numFmtId="0" fontId="32" fillId="44" borderId="124" applyNumberFormat="0" applyProtection="0">
      <alignment horizontal="left" vertical="center" indent="1"/>
    </xf>
    <xf numFmtId="0" fontId="32" fillId="44" borderId="125" applyNumberFormat="0" applyProtection="0">
      <alignment horizontal="left" vertical="top" indent="1"/>
    </xf>
    <xf numFmtId="0" fontId="32" fillId="48" borderId="131" applyNumberFormat="0">
      <protection locked="0"/>
    </xf>
    <xf numFmtId="0" fontId="42" fillId="42" borderId="127" applyBorder="0"/>
    <xf numFmtId="4" fontId="43" fillId="49" borderId="125" applyNumberFormat="0" applyProtection="0">
      <alignment vertical="center"/>
    </xf>
    <xf numFmtId="4" fontId="40" fillId="10" borderId="116" applyNumberFormat="0" applyProtection="0">
      <alignment vertical="center"/>
    </xf>
    <xf numFmtId="4" fontId="43" fillId="45" borderId="125" applyNumberFormat="0" applyProtection="0">
      <alignment horizontal="left" vertical="center" indent="1"/>
    </xf>
    <xf numFmtId="0" fontId="43" fillId="49" borderId="125" applyNumberFormat="0" applyProtection="0">
      <alignment horizontal="left" vertical="top" indent="1"/>
    </xf>
    <xf numFmtId="4" fontId="32" fillId="0" borderId="124" applyNumberFormat="0" applyProtection="0">
      <alignment horizontal="right" vertical="center"/>
    </xf>
    <xf numFmtId="4" fontId="32" fillId="0" borderId="124" applyNumberFormat="0" applyProtection="0">
      <alignment horizontal="right" vertical="center"/>
    </xf>
    <xf numFmtId="4" fontId="40" fillId="50" borderId="124" applyNumberFormat="0" applyProtection="0">
      <alignment horizontal="right" vertical="center"/>
    </xf>
    <xf numFmtId="4" fontId="32" fillId="31" borderId="124" applyNumberFormat="0" applyProtection="0">
      <alignment horizontal="left" vertical="center" indent="1"/>
    </xf>
    <xf numFmtId="0" fontId="43" fillId="43" borderId="125" applyNumberFormat="0" applyProtection="0">
      <alignment horizontal="left" vertical="top" indent="1"/>
    </xf>
    <xf numFmtId="4" fontId="44" fillId="51" borderId="126" applyNumberFormat="0" applyProtection="0">
      <alignment horizontal="left" vertical="center" indent="1"/>
    </xf>
    <xf numFmtId="0" fontId="32" fillId="52" borderId="116"/>
    <xf numFmtId="4" fontId="45" fillId="48" borderId="124" applyNumberFormat="0" applyProtection="0">
      <alignment horizontal="right" vertical="center"/>
    </xf>
    <xf numFmtId="0" fontId="32" fillId="42" borderId="150" applyNumberFormat="0" applyProtection="0">
      <alignment horizontal="left" vertical="top" indent="1"/>
    </xf>
    <xf numFmtId="4" fontId="32" fillId="34" borderId="135" applyNumberFormat="0" applyProtection="0">
      <alignment horizontal="right" vertical="center"/>
    </xf>
    <xf numFmtId="4" fontId="32" fillId="0" borderId="133" applyNumberFormat="0" applyProtection="0">
      <alignment horizontal="right" vertical="center"/>
    </xf>
    <xf numFmtId="0" fontId="48" fillId="58" borderId="124" applyNumberFormat="0" applyAlignment="0" applyProtection="0"/>
    <xf numFmtId="0" fontId="32" fillId="23" borderId="124" applyNumberFormat="0" applyFont="0" applyAlignment="0" applyProtection="0"/>
    <xf numFmtId="4" fontId="32" fillId="44" borderId="151" applyNumberFormat="0" applyProtection="0">
      <alignment horizontal="left" vertical="center" indent="1"/>
    </xf>
    <xf numFmtId="0" fontId="39" fillId="0" borderId="128" applyNumberFormat="0" applyFill="0" applyAlignment="0" applyProtection="0"/>
    <xf numFmtId="0" fontId="52" fillId="24" borderId="124" applyNumberFormat="0" applyAlignment="0" applyProtection="0"/>
    <xf numFmtId="4" fontId="30" fillId="42" borderId="143" applyNumberFormat="0" applyProtection="0">
      <alignment horizontal="left" vertical="center" indent="1"/>
    </xf>
    <xf numFmtId="4" fontId="32" fillId="0" borderId="149" applyNumberFormat="0" applyProtection="0">
      <alignment horizontal="right" vertical="center"/>
    </xf>
    <xf numFmtId="0" fontId="56" fillId="58" borderId="129" applyNumberFormat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43" fillId="43" borderId="142" applyNumberFormat="0" applyProtection="0">
      <alignment horizontal="left" vertical="top" indent="1"/>
    </xf>
    <xf numFmtId="41" fontId="57" fillId="0" borderId="0" applyFont="0" applyFill="0" applyBorder="0" applyAlignment="0" applyProtection="0">
      <alignment vertical="center"/>
    </xf>
    <xf numFmtId="4" fontId="40" fillId="10" borderId="148" applyNumberForma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" fontId="32" fillId="29" borderId="124" applyNumberFormat="0" applyProtection="0">
      <alignment vertical="center"/>
    </xf>
    <xf numFmtId="4" fontId="40" fillId="30" borderId="124" applyNumberFormat="0" applyProtection="0">
      <alignment vertical="center"/>
    </xf>
    <xf numFmtId="4" fontId="32" fillId="30" borderId="124" applyNumberFormat="0" applyProtection="0">
      <alignment horizontal="left" vertical="center" indent="1"/>
    </xf>
    <xf numFmtId="0" fontId="41" fillId="29" borderId="125" applyNumberFormat="0" applyProtection="0">
      <alignment horizontal="left" vertical="top" indent="1"/>
    </xf>
    <xf numFmtId="4" fontId="32" fillId="31" borderId="124" applyNumberFormat="0" applyProtection="0">
      <alignment horizontal="left" vertical="center" indent="1"/>
    </xf>
    <xf numFmtId="4" fontId="32" fillId="32" borderId="124" applyNumberFormat="0" applyProtection="0">
      <alignment horizontal="right" vertical="center"/>
    </xf>
    <xf numFmtId="4" fontId="32" fillId="33" borderId="124" applyNumberFormat="0" applyProtection="0">
      <alignment horizontal="right" vertical="center"/>
    </xf>
    <xf numFmtId="4" fontId="32" fillId="34" borderId="126" applyNumberFormat="0" applyProtection="0">
      <alignment horizontal="right" vertical="center"/>
    </xf>
    <xf numFmtId="4" fontId="32" fillId="35" borderId="124" applyNumberFormat="0" applyProtection="0">
      <alignment horizontal="right" vertical="center"/>
    </xf>
    <xf numFmtId="4" fontId="32" fillId="36" borderId="124" applyNumberFormat="0" applyProtection="0">
      <alignment horizontal="right" vertical="center"/>
    </xf>
    <xf numFmtId="4" fontId="32" fillId="37" borderId="124" applyNumberFormat="0" applyProtection="0">
      <alignment horizontal="right" vertical="center"/>
    </xf>
    <xf numFmtId="4" fontId="32" fillId="38" borderId="124" applyNumberFormat="0" applyProtection="0">
      <alignment horizontal="right" vertical="center"/>
    </xf>
    <xf numFmtId="4" fontId="32" fillId="39" borderId="124" applyNumberFormat="0" applyProtection="0">
      <alignment horizontal="right" vertical="center"/>
    </xf>
    <xf numFmtId="4" fontId="32" fillId="40" borderId="124" applyNumberFormat="0" applyProtection="0">
      <alignment horizontal="right" vertical="center"/>
    </xf>
    <xf numFmtId="4" fontId="32" fillId="41" borderId="126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2" fillId="43" borderId="124" applyNumberFormat="0" applyProtection="0">
      <alignment horizontal="right" vertical="center"/>
    </xf>
    <xf numFmtId="4" fontId="32" fillId="44" borderId="126" applyNumberFormat="0" applyProtection="0">
      <alignment horizontal="left" vertical="center" indent="1"/>
    </xf>
    <xf numFmtId="4" fontId="32" fillId="43" borderId="126" applyNumberFormat="0" applyProtection="0">
      <alignment horizontal="left" vertical="center" indent="1"/>
    </xf>
    <xf numFmtId="0" fontId="32" fillId="45" borderId="124" applyNumberFormat="0" applyProtection="0">
      <alignment horizontal="left" vertical="center" indent="1"/>
    </xf>
    <xf numFmtId="0" fontId="32" fillId="42" borderId="125" applyNumberFormat="0" applyProtection="0">
      <alignment horizontal="left" vertical="top" indent="1"/>
    </xf>
    <xf numFmtId="0" fontId="32" fillId="46" borderId="124" applyNumberFormat="0" applyProtection="0">
      <alignment horizontal="left" vertical="center" indent="1"/>
    </xf>
    <xf numFmtId="0" fontId="32" fillId="43" borderId="125" applyNumberFormat="0" applyProtection="0">
      <alignment horizontal="left" vertical="top" indent="1"/>
    </xf>
    <xf numFmtId="0" fontId="32" fillId="47" borderId="124" applyNumberFormat="0" applyProtection="0">
      <alignment horizontal="left" vertical="center" indent="1"/>
    </xf>
    <xf numFmtId="0" fontId="32" fillId="47" borderId="125" applyNumberFormat="0" applyProtection="0">
      <alignment horizontal="left" vertical="top" indent="1"/>
    </xf>
    <xf numFmtId="0" fontId="32" fillId="44" borderId="124" applyNumberFormat="0" applyProtection="0">
      <alignment horizontal="left" vertical="center" indent="1"/>
    </xf>
    <xf numFmtId="0" fontId="32" fillId="44" borderId="125" applyNumberFormat="0" applyProtection="0">
      <alignment horizontal="left" vertical="top" indent="1"/>
    </xf>
    <xf numFmtId="0" fontId="42" fillId="42" borderId="127" applyBorder="0"/>
    <xf numFmtId="4" fontId="43" fillId="49" borderId="125" applyNumberFormat="0" applyProtection="0">
      <alignment vertical="center"/>
    </xf>
    <xf numFmtId="4" fontId="43" fillId="45" borderId="125" applyNumberFormat="0" applyProtection="0">
      <alignment horizontal="left" vertical="center" indent="1"/>
    </xf>
    <xf numFmtId="0" fontId="43" fillId="49" borderId="125" applyNumberFormat="0" applyProtection="0">
      <alignment horizontal="left" vertical="top" indent="1"/>
    </xf>
    <xf numFmtId="4" fontId="32" fillId="0" borderId="124" applyNumberFormat="0" applyProtection="0">
      <alignment horizontal="right" vertical="center"/>
    </xf>
    <xf numFmtId="4" fontId="32" fillId="0" borderId="124" applyNumberFormat="0" applyProtection="0">
      <alignment horizontal="right" vertical="center"/>
    </xf>
    <xf numFmtId="4" fontId="40" fillId="50" borderId="124" applyNumberFormat="0" applyProtection="0">
      <alignment horizontal="right" vertical="center"/>
    </xf>
    <xf numFmtId="4" fontId="32" fillId="31" borderId="124" applyNumberFormat="0" applyProtection="0">
      <alignment horizontal="left" vertical="center" indent="1"/>
    </xf>
    <xf numFmtId="0" fontId="43" fillId="43" borderId="125" applyNumberFormat="0" applyProtection="0">
      <alignment horizontal="left" vertical="top" indent="1"/>
    </xf>
    <xf numFmtId="4" fontId="44" fillId="51" borderId="126" applyNumberFormat="0" applyProtection="0">
      <alignment horizontal="left" vertical="center" indent="1"/>
    </xf>
    <xf numFmtId="4" fontId="45" fillId="48" borderId="124" applyNumberFormat="0" applyProtection="0">
      <alignment horizontal="right" vertical="center"/>
    </xf>
    <xf numFmtId="0" fontId="48" fillId="58" borderId="124" applyNumberFormat="0" applyAlignment="0" applyProtection="0"/>
    <xf numFmtId="0" fontId="32" fillId="23" borderId="124" applyNumberFormat="0" applyFont="0" applyAlignment="0" applyProtection="0"/>
    <xf numFmtId="0" fontId="39" fillId="0" borderId="128" applyNumberFormat="0" applyFill="0" applyAlignment="0" applyProtection="0"/>
    <xf numFmtId="0" fontId="52" fillId="24" borderId="124" applyNumberFormat="0" applyAlignment="0" applyProtection="0"/>
    <xf numFmtId="0" fontId="56" fillId="58" borderId="129" applyNumberFormat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27" fillId="0" borderId="130">
      <alignment horizontal="left"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10" fontId="32" fillId="10" borderId="132" applyNumberFormat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" fontId="40" fillId="10" borderId="132" applyNumberFormat="0" applyProtection="0">
      <alignment vertical="center"/>
    </xf>
    <xf numFmtId="0" fontId="32" fillId="52" borderId="132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27" fillId="0" borderId="130">
      <alignment horizontal="left"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32" fillId="44" borderId="125" applyNumberFormat="0" applyProtection="0">
      <alignment horizontal="left" vertical="top" indent="1"/>
    </xf>
    <xf numFmtId="4" fontId="32" fillId="34" borderId="126" applyNumberFormat="0" applyProtection="0">
      <alignment horizontal="right" vertical="center"/>
    </xf>
    <xf numFmtId="0" fontId="39" fillId="0" borderId="128" applyNumberFormat="0" applyFill="0" applyAlignment="0" applyProtection="0"/>
    <xf numFmtId="4" fontId="32" fillId="0" borderId="124" applyNumberFormat="0" applyProtection="0">
      <alignment horizontal="right" vertical="center"/>
    </xf>
    <xf numFmtId="0" fontId="32" fillId="23" borderId="124" applyNumberFormat="0" applyFont="0" applyAlignment="0" applyProtection="0"/>
    <xf numFmtId="0" fontId="52" fillId="24" borderId="124" applyNumberFormat="0" applyAlignment="0" applyProtection="0"/>
    <xf numFmtId="4" fontId="32" fillId="29" borderId="124" applyNumberFormat="0" applyProtection="0">
      <alignment vertical="center"/>
    </xf>
    <xf numFmtId="4" fontId="32" fillId="38" borderId="124" applyNumberFormat="0" applyProtection="0">
      <alignment horizontal="right" vertical="center"/>
    </xf>
    <xf numFmtId="0" fontId="43" fillId="49" borderId="125" applyNumberFormat="0" applyProtection="0">
      <alignment horizontal="left" vertical="top" indent="1"/>
    </xf>
    <xf numFmtId="0" fontId="32" fillId="44" borderId="124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2" fillId="36" borderId="124" applyNumberFormat="0" applyProtection="0">
      <alignment horizontal="right" vertical="center"/>
    </xf>
    <xf numFmtId="0" fontId="32" fillId="52" borderId="132"/>
    <xf numFmtId="4" fontId="32" fillId="33" borderId="124" applyNumberFormat="0" applyProtection="0">
      <alignment horizontal="right" vertical="center"/>
    </xf>
    <xf numFmtId="0" fontId="27" fillId="0" borderId="130">
      <alignment horizontal="left" vertical="center"/>
    </xf>
    <xf numFmtId="0" fontId="32" fillId="47" borderId="124" applyNumberFormat="0" applyProtection="0">
      <alignment horizontal="left" vertical="center" indent="1"/>
    </xf>
    <xf numFmtId="4" fontId="44" fillId="51" borderId="126" applyNumberFormat="0" applyProtection="0">
      <alignment horizontal="left" vertical="center" indent="1"/>
    </xf>
    <xf numFmtId="4" fontId="32" fillId="43" borderId="126" applyNumberFormat="0" applyProtection="0">
      <alignment horizontal="left" vertical="center" indent="1"/>
    </xf>
    <xf numFmtId="4" fontId="32" fillId="32" borderId="124" applyNumberFormat="0" applyProtection="0">
      <alignment horizontal="right" vertical="center"/>
    </xf>
    <xf numFmtId="10" fontId="32" fillId="10" borderId="132" applyNumberFormat="0" applyBorder="0" applyAlignment="0" applyProtection="0"/>
    <xf numFmtId="4" fontId="32" fillId="29" borderId="124" applyNumberFormat="0" applyProtection="0">
      <alignment vertical="center"/>
    </xf>
    <xf numFmtId="4" fontId="40" fillId="30" borderId="124" applyNumberFormat="0" applyProtection="0">
      <alignment vertical="center"/>
    </xf>
    <xf numFmtId="4" fontId="32" fillId="30" borderId="124" applyNumberFormat="0" applyProtection="0">
      <alignment horizontal="left" vertical="center" indent="1"/>
    </xf>
    <xf numFmtId="0" fontId="41" fillId="29" borderId="125" applyNumberFormat="0" applyProtection="0">
      <alignment horizontal="left" vertical="top" indent="1"/>
    </xf>
    <xf numFmtId="4" fontId="32" fillId="31" borderId="124" applyNumberFormat="0" applyProtection="0">
      <alignment horizontal="left" vertical="center" indent="1"/>
    </xf>
    <xf numFmtId="4" fontId="32" fillId="32" borderId="124" applyNumberFormat="0" applyProtection="0">
      <alignment horizontal="right" vertical="center"/>
    </xf>
    <xf numFmtId="4" fontId="32" fillId="33" borderId="124" applyNumberFormat="0" applyProtection="0">
      <alignment horizontal="right" vertical="center"/>
    </xf>
    <xf numFmtId="4" fontId="32" fillId="34" borderId="126" applyNumberFormat="0" applyProtection="0">
      <alignment horizontal="right" vertical="center"/>
    </xf>
    <xf numFmtId="4" fontId="32" fillId="35" borderId="124" applyNumberFormat="0" applyProtection="0">
      <alignment horizontal="right" vertical="center"/>
    </xf>
    <xf numFmtId="4" fontId="32" fillId="36" borderId="124" applyNumberFormat="0" applyProtection="0">
      <alignment horizontal="right" vertical="center"/>
    </xf>
    <xf numFmtId="4" fontId="32" fillId="37" borderId="124" applyNumberFormat="0" applyProtection="0">
      <alignment horizontal="right" vertical="center"/>
    </xf>
    <xf numFmtId="4" fontId="32" fillId="38" borderId="124" applyNumberFormat="0" applyProtection="0">
      <alignment horizontal="right" vertical="center"/>
    </xf>
    <xf numFmtId="4" fontId="32" fillId="39" borderId="124" applyNumberFormat="0" applyProtection="0">
      <alignment horizontal="right" vertical="center"/>
    </xf>
    <xf numFmtId="4" fontId="32" fillId="40" borderId="124" applyNumberFormat="0" applyProtection="0">
      <alignment horizontal="right" vertical="center"/>
    </xf>
    <xf numFmtId="4" fontId="32" fillId="41" borderId="126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2" fillId="43" borderId="124" applyNumberFormat="0" applyProtection="0">
      <alignment horizontal="right" vertical="center"/>
    </xf>
    <xf numFmtId="4" fontId="32" fillId="44" borderId="126" applyNumberFormat="0" applyProtection="0">
      <alignment horizontal="left" vertical="center" indent="1"/>
    </xf>
    <xf numFmtId="4" fontId="32" fillId="43" borderId="126" applyNumberFormat="0" applyProtection="0">
      <alignment horizontal="left" vertical="center" indent="1"/>
    </xf>
    <xf numFmtId="0" fontId="32" fillId="45" borderId="124" applyNumberFormat="0" applyProtection="0">
      <alignment horizontal="left" vertical="center" indent="1"/>
    </xf>
    <xf numFmtId="0" fontId="32" fillId="42" borderId="125" applyNumberFormat="0" applyProtection="0">
      <alignment horizontal="left" vertical="top" indent="1"/>
    </xf>
    <xf numFmtId="0" fontId="32" fillId="46" borderId="124" applyNumberFormat="0" applyProtection="0">
      <alignment horizontal="left" vertical="center" indent="1"/>
    </xf>
    <xf numFmtId="0" fontId="32" fillId="43" borderId="125" applyNumberFormat="0" applyProtection="0">
      <alignment horizontal="left" vertical="top" indent="1"/>
    </xf>
    <xf numFmtId="0" fontId="32" fillId="47" borderId="124" applyNumberFormat="0" applyProtection="0">
      <alignment horizontal="left" vertical="center" indent="1"/>
    </xf>
    <xf numFmtId="0" fontId="32" fillId="47" borderId="125" applyNumberFormat="0" applyProtection="0">
      <alignment horizontal="left" vertical="top" indent="1"/>
    </xf>
    <xf numFmtId="0" fontId="32" fillId="44" borderId="124" applyNumberFormat="0" applyProtection="0">
      <alignment horizontal="left" vertical="center" indent="1"/>
    </xf>
    <xf numFmtId="0" fontId="32" fillId="44" borderId="125" applyNumberFormat="0" applyProtection="0">
      <alignment horizontal="left" vertical="top" indent="1"/>
    </xf>
    <xf numFmtId="0" fontId="42" fillId="42" borderId="127" applyBorder="0"/>
    <xf numFmtId="4" fontId="43" fillId="49" borderId="125" applyNumberFormat="0" applyProtection="0">
      <alignment vertical="center"/>
    </xf>
    <xf numFmtId="4" fontId="43" fillId="45" borderId="125" applyNumberFormat="0" applyProtection="0">
      <alignment horizontal="left" vertical="center" indent="1"/>
    </xf>
    <xf numFmtId="0" fontId="43" fillId="49" borderId="125" applyNumberFormat="0" applyProtection="0">
      <alignment horizontal="left" vertical="top" indent="1"/>
    </xf>
    <xf numFmtId="4" fontId="32" fillId="0" borderId="124" applyNumberFormat="0" applyProtection="0">
      <alignment horizontal="right" vertical="center"/>
    </xf>
    <xf numFmtId="4" fontId="32" fillId="0" borderId="124" applyNumberFormat="0" applyProtection="0">
      <alignment horizontal="right" vertical="center"/>
    </xf>
    <xf numFmtId="4" fontId="40" fillId="50" borderId="124" applyNumberFormat="0" applyProtection="0">
      <alignment horizontal="right" vertical="center"/>
    </xf>
    <xf numFmtId="4" fontId="32" fillId="31" borderId="124" applyNumberFormat="0" applyProtection="0">
      <alignment horizontal="left" vertical="center" indent="1"/>
    </xf>
    <xf numFmtId="0" fontId="43" fillId="43" borderId="125" applyNumberFormat="0" applyProtection="0">
      <alignment horizontal="left" vertical="top" indent="1"/>
    </xf>
    <xf numFmtId="4" fontId="44" fillId="51" borderId="126" applyNumberFormat="0" applyProtection="0">
      <alignment horizontal="left" vertical="center" indent="1"/>
    </xf>
    <xf numFmtId="4" fontId="45" fillId="48" borderId="124" applyNumberFormat="0" applyProtection="0">
      <alignment horizontal="right" vertical="center"/>
    </xf>
    <xf numFmtId="0" fontId="48" fillId="58" borderId="124" applyNumberFormat="0" applyAlignment="0" applyProtection="0"/>
    <xf numFmtId="0" fontId="32" fillId="23" borderId="124" applyNumberFormat="0" applyFont="0" applyAlignment="0" applyProtection="0"/>
    <xf numFmtId="0" fontId="39" fillId="0" borderId="128" applyNumberFormat="0" applyFill="0" applyAlignment="0" applyProtection="0"/>
    <xf numFmtId="0" fontId="52" fillId="24" borderId="124" applyNumberFormat="0" applyAlignment="0" applyProtection="0"/>
    <xf numFmtId="0" fontId="56" fillId="58" borderId="129" applyNumberFormat="0" applyAlignment="0" applyProtection="0"/>
    <xf numFmtId="4" fontId="32" fillId="31" borderId="124" applyNumberFormat="0" applyProtection="0">
      <alignment horizontal="left" vertical="center" indent="1"/>
    </xf>
    <xf numFmtId="0" fontId="32" fillId="45" borderId="124" applyNumberFormat="0" applyProtection="0">
      <alignment horizontal="left" vertical="center" indent="1"/>
    </xf>
    <xf numFmtId="4" fontId="43" fillId="49" borderId="125" applyNumberFormat="0" applyProtection="0">
      <alignment vertical="center"/>
    </xf>
    <xf numFmtId="4" fontId="32" fillId="40" borderId="124" applyNumberFormat="0" applyProtection="0">
      <alignment horizontal="right" vertical="center"/>
    </xf>
    <xf numFmtId="4" fontId="40" fillId="50" borderId="124" applyNumberFormat="0" applyProtection="0">
      <alignment horizontal="right"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56" fillId="58" borderId="129" applyNumberFormat="0" applyAlignment="0" applyProtection="0"/>
    <xf numFmtId="0" fontId="27" fillId="0" borderId="130">
      <alignment horizontal="left" vertical="center"/>
    </xf>
    <xf numFmtId="0" fontId="48" fillId="58" borderId="124" applyNumberFormat="0" applyAlignment="0" applyProtection="0"/>
    <xf numFmtId="0" fontId="32" fillId="43" borderId="125" applyNumberFormat="0" applyProtection="0">
      <alignment horizontal="left" vertical="top" indent="1"/>
    </xf>
    <xf numFmtId="0" fontId="42" fillId="42" borderId="127" applyBorder="0"/>
    <xf numFmtId="4" fontId="32" fillId="31" borderId="124" applyNumberFormat="0" applyProtection="0">
      <alignment horizontal="left" vertical="center" indent="1"/>
    </xf>
    <xf numFmtId="4" fontId="32" fillId="30" borderId="124" applyNumberFormat="0" applyProtection="0">
      <alignment horizontal="left" vertical="center" indent="1"/>
    </xf>
    <xf numFmtId="0" fontId="32" fillId="42" borderId="125" applyNumberFormat="0" applyProtection="0">
      <alignment horizontal="left" vertical="top" indent="1"/>
    </xf>
    <xf numFmtId="4" fontId="32" fillId="0" borderId="124" applyNumberFormat="0" applyProtection="0">
      <alignment horizontal="right" vertical="center"/>
    </xf>
    <xf numFmtId="4" fontId="32" fillId="37" borderId="124" applyNumberFormat="0" applyProtection="0">
      <alignment horizontal="right" vertical="center"/>
    </xf>
    <xf numFmtId="4" fontId="45" fillId="48" borderId="124" applyNumberFormat="0" applyProtection="0">
      <alignment horizontal="right" vertical="center"/>
    </xf>
    <xf numFmtId="4" fontId="40" fillId="30" borderId="124" applyNumberFormat="0" applyProtection="0">
      <alignment vertical="center"/>
    </xf>
    <xf numFmtId="4" fontId="32" fillId="39" borderId="124" applyNumberFormat="0" applyProtection="0">
      <alignment horizontal="right" vertical="center"/>
    </xf>
    <xf numFmtId="4" fontId="30" fillId="42" borderId="126" applyNumberFormat="0" applyProtection="0">
      <alignment horizontal="left" vertical="center" indent="1"/>
    </xf>
    <xf numFmtId="0" fontId="32" fillId="47" borderId="125" applyNumberFormat="0" applyProtection="0">
      <alignment horizontal="left" vertical="top" indent="1"/>
    </xf>
    <xf numFmtId="4" fontId="43" fillId="45" borderId="125" applyNumberFormat="0" applyProtection="0">
      <alignment horizontal="left" vertical="center" indent="1"/>
    </xf>
    <xf numFmtId="4" fontId="40" fillId="10" borderId="132" applyNumberFormat="0" applyProtection="0">
      <alignment vertical="center"/>
    </xf>
    <xf numFmtId="0" fontId="43" fillId="43" borderId="125" applyNumberFormat="0" applyProtection="0">
      <alignment horizontal="left" vertical="top" indent="1"/>
    </xf>
    <xf numFmtId="4" fontId="32" fillId="44" borderId="126" applyNumberFormat="0" applyProtection="0">
      <alignment horizontal="left" vertical="center" indent="1"/>
    </xf>
    <xf numFmtId="4" fontId="32" fillId="43" borderId="124" applyNumberFormat="0" applyProtection="0">
      <alignment horizontal="right" vertical="center"/>
    </xf>
    <xf numFmtId="0" fontId="27" fillId="0" borderId="130">
      <alignment horizontal="left" vertical="center"/>
    </xf>
    <xf numFmtId="0" fontId="41" fillId="29" borderId="125" applyNumberFormat="0" applyProtection="0">
      <alignment horizontal="left" vertical="top" indent="1"/>
    </xf>
    <xf numFmtId="4" fontId="32" fillId="35" borderId="124" applyNumberFormat="0" applyProtection="0">
      <alignment horizontal="right" vertical="center"/>
    </xf>
    <xf numFmtId="0" fontId="32" fillId="46" borderId="124" applyNumberFormat="0" applyProtection="0">
      <alignment horizontal="left" vertical="center" indent="1"/>
    </xf>
    <xf numFmtId="4" fontId="32" fillId="41" borderId="126" applyNumberFormat="0" applyProtection="0">
      <alignment horizontal="left" vertical="center" indent="1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" fontId="30" fillId="42" borderId="135" applyNumberFormat="0" applyProtection="0">
      <alignment horizontal="left" vertical="center" indent="1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27" fillId="0" borderId="147">
      <alignment horizontal="left"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27" fillId="0" borderId="130">
      <alignment horizontal="left"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10" fontId="32" fillId="10" borderId="132" applyNumberFormat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" fontId="32" fillId="29" borderId="124" applyNumberFormat="0" applyProtection="0">
      <alignment vertical="center"/>
    </xf>
    <xf numFmtId="4" fontId="40" fillId="30" borderId="124" applyNumberFormat="0" applyProtection="0">
      <alignment vertical="center"/>
    </xf>
    <xf numFmtId="4" fontId="32" fillId="30" borderId="124" applyNumberFormat="0" applyProtection="0">
      <alignment horizontal="left" vertical="center" indent="1"/>
    </xf>
    <xf numFmtId="0" fontId="41" fillId="29" borderId="125" applyNumberFormat="0" applyProtection="0">
      <alignment horizontal="left" vertical="top" indent="1"/>
    </xf>
    <xf numFmtId="4" fontId="32" fillId="31" borderId="124" applyNumberFormat="0" applyProtection="0">
      <alignment horizontal="left" vertical="center" indent="1"/>
    </xf>
    <xf numFmtId="4" fontId="32" fillId="32" borderId="124" applyNumberFormat="0" applyProtection="0">
      <alignment horizontal="right" vertical="center"/>
    </xf>
    <xf numFmtId="4" fontId="32" fillId="33" borderId="124" applyNumberFormat="0" applyProtection="0">
      <alignment horizontal="right" vertical="center"/>
    </xf>
    <xf numFmtId="4" fontId="32" fillId="34" borderId="126" applyNumberFormat="0" applyProtection="0">
      <alignment horizontal="right" vertical="center"/>
    </xf>
    <xf numFmtId="4" fontId="32" fillId="35" borderId="124" applyNumberFormat="0" applyProtection="0">
      <alignment horizontal="right" vertical="center"/>
    </xf>
    <xf numFmtId="4" fontId="32" fillId="36" borderId="124" applyNumberFormat="0" applyProtection="0">
      <alignment horizontal="right" vertical="center"/>
    </xf>
    <xf numFmtId="4" fontId="32" fillId="37" borderId="124" applyNumberFormat="0" applyProtection="0">
      <alignment horizontal="right" vertical="center"/>
    </xf>
    <xf numFmtId="4" fontId="32" fillId="38" borderId="124" applyNumberFormat="0" applyProtection="0">
      <alignment horizontal="right" vertical="center"/>
    </xf>
    <xf numFmtId="4" fontId="32" fillId="39" borderId="124" applyNumberFormat="0" applyProtection="0">
      <alignment horizontal="right" vertical="center"/>
    </xf>
    <xf numFmtId="4" fontId="32" fillId="40" borderId="124" applyNumberFormat="0" applyProtection="0">
      <alignment horizontal="right" vertical="center"/>
    </xf>
    <xf numFmtId="4" fontId="32" fillId="41" borderId="126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2" fillId="43" borderId="124" applyNumberFormat="0" applyProtection="0">
      <alignment horizontal="right" vertical="center"/>
    </xf>
    <xf numFmtId="4" fontId="32" fillId="44" borderId="126" applyNumberFormat="0" applyProtection="0">
      <alignment horizontal="left" vertical="center" indent="1"/>
    </xf>
    <xf numFmtId="4" fontId="32" fillId="43" borderId="126" applyNumberFormat="0" applyProtection="0">
      <alignment horizontal="left" vertical="center" indent="1"/>
    </xf>
    <xf numFmtId="0" fontId="32" fillId="45" borderId="124" applyNumberFormat="0" applyProtection="0">
      <alignment horizontal="left" vertical="center" indent="1"/>
    </xf>
    <xf numFmtId="0" fontId="32" fillId="42" borderId="125" applyNumberFormat="0" applyProtection="0">
      <alignment horizontal="left" vertical="top" indent="1"/>
    </xf>
    <xf numFmtId="0" fontId="32" fillId="46" borderId="124" applyNumberFormat="0" applyProtection="0">
      <alignment horizontal="left" vertical="center" indent="1"/>
    </xf>
    <xf numFmtId="0" fontId="32" fillId="43" borderId="125" applyNumberFormat="0" applyProtection="0">
      <alignment horizontal="left" vertical="top" indent="1"/>
    </xf>
    <xf numFmtId="0" fontId="32" fillId="47" borderId="124" applyNumberFormat="0" applyProtection="0">
      <alignment horizontal="left" vertical="center" indent="1"/>
    </xf>
    <xf numFmtId="0" fontId="32" fillId="47" borderId="125" applyNumberFormat="0" applyProtection="0">
      <alignment horizontal="left" vertical="top" indent="1"/>
    </xf>
    <xf numFmtId="0" fontId="32" fillId="44" borderId="124" applyNumberFormat="0" applyProtection="0">
      <alignment horizontal="left" vertical="center" indent="1"/>
    </xf>
    <xf numFmtId="0" fontId="32" fillId="44" borderId="125" applyNumberFormat="0" applyProtection="0">
      <alignment horizontal="left" vertical="top" indent="1"/>
    </xf>
    <xf numFmtId="0" fontId="42" fillId="42" borderId="127" applyBorder="0"/>
    <xf numFmtId="4" fontId="43" fillId="49" borderId="125" applyNumberFormat="0" applyProtection="0">
      <alignment vertical="center"/>
    </xf>
    <xf numFmtId="4" fontId="40" fillId="10" borderId="132" applyNumberFormat="0" applyProtection="0">
      <alignment vertical="center"/>
    </xf>
    <xf numFmtId="4" fontId="43" fillId="45" borderId="125" applyNumberFormat="0" applyProtection="0">
      <alignment horizontal="left" vertical="center" indent="1"/>
    </xf>
    <xf numFmtId="0" fontId="43" fillId="49" borderId="125" applyNumberFormat="0" applyProtection="0">
      <alignment horizontal="left" vertical="top" indent="1"/>
    </xf>
    <xf numFmtId="4" fontId="32" fillId="0" borderId="124" applyNumberFormat="0" applyProtection="0">
      <alignment horizontal="right" vertical="center"/>
    </xf>
    <xf numFmtId="4" fontId="32" fillId="0" borderId="124" applyNumberFormat="0" applyProtection="0">
      <alignment horizontal="right" vertical="center"/>
    </xf>
    <xf numFmtId="4" fontId="40" fillId="50" borderId="124" applyNumberFormat="0" applyProtection="0">
      <alignment horizontal="right" vertical="center"/>
    </xf>
    <xf numFmtId="4" fontId="32" fillId="31" borderId="124" applyNumberFormat="0" applyProtection="0">
      <alignment horizontal="left" vertical="center" indent="1"/>
    </xf>
    <xf numFmtId="0" fontId="43" fillId="43" borderId="125" applyNumberFormat="0" applyProtection="0">
      <alignment horizontal="left" vertical="top" indent="1"/>
    </xf>
    <xf numFmtId="4" fontId="44" fillId="51" borderId="126" applyNumberFormat="0" applyProtection="0">
      <alignment horizontal="left" vertical="center" indent="1"/>
    </xf>
    <xf numFmtId="0" fontId="32" fillId="52" borderId="132"/>
    <xf numFmtId="4" fontId="45" fillId="48" borderId="124" applyNumberFormat="0" applyProtection="0">
      <alignment horizontal="right" vertical="center"/>
    </xf>
    <xf numFmtId="0" fontId="48" fillId="58" borderId="124" applyNumberFormat="0" applyAlignment="0" applyProtection="0"/>
    <xf numFmtId="0" fontId="32" fillId="23" borderId="124" applyNumberFormat="0" applyFont="0" applyAlignment="0" applyProtection="0"/>
    <xf numFmtId="0" fontId="39" fillId="0" borderId="128" applyNumberFormat="0" applyFill="0" applyAlignment="0" applyProtection="0"/>
    <xf numFmtId="0" fontId="52" fillId="24" borderId="124" applyNumberFormat="0" applyAlignment="0" applyProtection="0"/>
    <xf numFmtId="0" fontId="56" fillId="58" borderId="129" applyNumberFormat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" fontId="32" fillId="29" borderId="124" applyNumberFormat="0" applyProtection="0">
      <alignment vertical="center"/>
    </xf>
    <xf numFmtId="4" fontId="40" fillId="30" borderId="124" applyNumberFormat="0" applyProtection="0">
      <alignment vertical="center"/>
    </xf>
    <xf numFmtId="4" fontId="32" fillId="30" borderId="124" applyNumberFormat="0" applyProtection="0">
      <alignment horizontal="left" vertical="center" indent="1"/>
    </xf>
    <xf numFmtId="0" fontId="41" fillId="29" borderId="125" applyNumberFormat="0" applyProtection="0">
      <alignment horizontal="left" vertical="top" indent="1"/>
    </xf>
    <xf numFmtId="4" fontId="32" fillId="31" borderId="124" applyNumberFormat="0" applyProtection="0">
      <alignment horizontal="left" vertical="center" indent="1"/>
    </xf>
    <xf numFmtId="4" fontId="32" fillId="32" borderId="124" applyNumberFormat="0" applyProtection="0">
      <alignment horizontal="right" vertical="center"/>
    </xf>
    <xf numFmtId="4" fontId="32" fillId="33" borderId="124" applyNumberFormat="0" applyProtection="0">
      <alignment horizontal="right" vertical="center"/>
    </xf>
    <xf numFmtId="4" fontId="32" fillId="34" borderId="126" applyNumberFormat="0" applyProtection="0">
      <alignment horizontal="right" vertical="center"/>
    </xf>
    <xf numFmtId="4" fontId="32" fillId="35" borderId="124" applyNumberFormat="0" applyProtection="0">
      <alignment horizontal="right" vertical="center"/>
    </xf>
    <xf numFmtId="4" fontId="32" fillId="36" borderId="124" applyNumberFormat="0" applyProtection="0">
      <alignment horizontal="right" vertical="center"/>
    </xf>
    <xf numFmtId="4" fontId="32" fillId="37" borderId="124" applyNumberFormat="0" applyProtection="0">
      <alignment horizontal="right" vertical="center"/>
    </xf>
    <xf numFmtId="4" fontId="32" fillId="38" borderId="124" applyNumberFormat="0" applyProtection="0">
      <alignment horizontal="right" vertical="center"/>
    </xf>
    <xf numFmtId="4" fontId="32" fillId="39" borderId="124" applyNumberFormat="0" applyProtection="0">
      <alignment horizontal="right" vertical="center"/>
    </xf>
    <xf numFmtId="4" fontId="32" fillId="40" borderId="124" applyNumberFormat="0" applyProtection="0">
      <alignment horizontal="right" vertical="center"/>
    </xf>
    <xf numFmtId="4" fontId="32" fillId="41" borderId="126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2" fillId="43" borderId="124" applyNumberFormat="0" applyProtection="0">
      <alignment horizontal="right" vertical="center"/>
    </xf>
    <xf numFmtId="4" fontId="32" fillId="44" borderId="126" applyNumberFormat="0" applyProtection="0">
      <alignment horizontal="left" vertical="center" indent="1"/>
    </xf>
    <xf numFmtId="4" fontId="32" fillId="43" borderId="126" applyNumberFormat="0" applyProtection="0">
      <alignment horizontal="left" vertical="center" indent="1"/>
    </xf>
    <xf numFmtId="0" fontId="32" fillId="45" borderId="124" applyNumberFormat="0" applyProtection="0">
      <alignment horizontal="left" vertical="center" indent="1"/>
    </xf>
    <xf numFmtId="0" fontId="32" fillId="42" borderId="125" applyNumberFormat="0" applyProtection="0">
      <alignment horizontal="left" vertical="top" indent="1"/>
    </xf>
    <xf numFmtId="0" fontId="32" fillId="46" borderId="124" applyNumberFormat="0" applyProtection="0">
      <alignment horizontal="left" vertical="center" indent="1"/>
    </xf>
    <xf numFmtId="0" fontId="32" fillId="43" borderId="125" applyNumberFormat="0" applyProtection="0">
      <alignment horizontal="left" vertical="top" indent="1"/>
    </xf>
    <xf numFmtId="0" fontId="32" fillId="47" borderId="124" applyNumberFormat="0" applyProtection="0">
      <alignment horizontal="left" vertical="center" indent="1"/>
    </xf>
    <xf numFmtId="0" fontId="32" fillId="47" borderId="125" applyNumberFormat="0" applyProtection="0">
      <alignment horizontal="left" vertical="top" indent="1"/>
    </xf>
    <xf numFmtId="0" fontId="32" fillId="44" borderId="124" applyNumberFormat="0" applyProtection="0">
      <alignment horizontal="left" vertical="center" indent="1"/>
    </xf>
    <xf numFmtId="0" fontId="32" fillId="44" borderId="125" applyNumberFormat="0" applyProtection="0">
      <alignment horizontal="left" vertical="top" indent="1"/>
    </xf>
    <xf numFmtId="0" fontId="42" fillId="42" borderId="127" applyBorder="0"/>
    <xf numFmtId="4" fontId="43" fillId="49" borderId="125" applyNumberFormat="0" applyProtection="0">
      <alignment vertical="center"/>
    </xf>
    <xf numFmtId="4" fontId="43" fillId="45" borderId="125" applyNumberFormat="0" applyProtection="0">
      <alignment horizontal="left" vertical="center" indent="1"/>
    </xf>
    <xf numFmtId="0" fontId="43" fillId="49" borderId="125" applyNumberFormat="0" applyProtection="0">
      <alignment horizontal="left" vertical="top" indent="1"/>
    </xf>
    <xf numFmtId="4" fontId="32" fillId="0" borderId="124" applyNumberFormat="0" applyProtection="0">
      <alignment horizontal="right" vertical="center"/>
    </xf>
    <xf numFmtId="4" fontId="32" fillId="0" borderId="124" applyNumberFormat="0" applyProtection="0">
      <alignment horizontal="right" vertical="center"/>
    </xf>
    <xf numFmtId="4" fontId="40" fillId="50" borderId="124" applyNumberFormat="0" applyProtection="0">
      <alignment horizontal="right" vertical="center"/>
    </xf>
    <xf numFmtId="4" fontId="32" fillId="31" borderId="124" applyNumberFormat="0" applyProtection="0">
      <alignment horizontal="left" vertical="center" indent="1"/>
    </xf>
    <xf numFmtId="0" fontId="43" fillId="43" borderId="125" applyNumberFormat="0" applyProtection="0">
      <alignment horizontal="left" vertical="top" indent="1"/>
    </xf>
    <xf numFmtId="4" fontId="44" fillId="51" borderId="126" applyNumberFormat="0" applyProtection="0">
      <alignment horizontal="left" vertical="center" indent="1"/>
    </xf>
    <xf numFmtId="4" fontId="45" fillId="48" borderId="124" applyNumberFormat="0" applyProtection="0">
      <alignment horizontal="right" vertical="center"/>
    </xf>
    <xf numFmtId="0" fontId="48" fillId="58" borderId="124" applyNumberFormat="0" applyAlignment="0" applyProtection="0"/>
    <xf numFmtId="0" fontId="32" fillId="23" borderId="124" applyNumberFormat="0" applyFont="0" applyAlignment="0" applyProtection="0"/>
    <xf numFmtId="0" fontId="39" fillId="0" borderId="128" applyNumberFormat="0" applyFill="0" applyAlignment="0" applyProtection="0"/>
    <xf numFmtId="0" fontId="52" fillId="24" borderId="124" applyNumberFormat="0" applyAlignment="0" applyProtection="0"/>
    <xf numFmtId="0" fontId="56" fillId="58" borderId="129" applyNumberFormat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27" fillId="0" borderId="130">
      <alignment horizontal="left"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10" fontId="32" fillId="10" borderId="132" applyNumberFormat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" fontId="40" fillId="10" borderId="132" applyNumberFormat="0" applyProtection="0">
      <alignment vertical="center"/>
    </xf>
    <xf numFmtId="0" fontId="32" fillId="52" borderId="132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27" fillId="0" borderId="130">
      <alignment horizontal="left"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32" fillId="44" borderId="125" applyNumberFormat="0" applyProtection="0">
      <alignment horizontal="left" vertical="top" indent="1"/>
    </xf>
    <xf numFmtId="4" fontId="32" fillId="34" borderId="126" applyNumberFormat="0" applyProtection="0">
      <alignment horizontal="right" vertical="center"/>
    </xf>
    <xf numFmtId="0" fontId="39" fillId="0" borderId="128" applyNumberFormat="0" applyFill="0" applyAlignment="0" applyProtection="0"/>
    <xf numFmtId="4" fontId="32" fillId="0" borderId="124" applyNumberFormat="0" applyProtection="0">
      <alignment horizontal="right" vertical="center"/>
    </xf>
    <xf numFmtId="0" fontId="32" fillId="23" borderId="124" applyNumberFormat="0" applyFont="0" applyAlignment="0" applyProtection="0"/>
    <xf numFmtId="0" fontId="52" fillId="24" borderId="124" applyNumberFormat="0" applyAlignment="0" applyProtection="0"/>
    <xf numFmtId="4" fontId="32" fillId="29" borderId="124" applyNumberFormat="0" applyProtection="0">
      <alignment vertical="center"/>
    </xf>
    <xf numFmtId="4" fontId="32" fillId="38" borderId="124" applyNumberFormat="0" applyProtection="0">
      <alignment horizontal="right" vertical="center"/>
    </xf>
    <xf numFmtId="0" fontId="43" fillId="49" borderId="125" applyNumberFormat="0" applyProtection="0">
      <alignment horizontal="left" vertical="top" indent="1"/>
    </xf>
    <xf numFmtId="0" fontId="32" fillId="44" borderId="124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2" fillId="36" borderId="124" applyNumberFormat="0" applyProtection="0">
      <alignment horizontal="right" vertical="center"/>
    </xf>
    <xf numFmtId="0" fontId="32" fillId="52" borderId="132"/>
    <xf numFmtId="4" fontId="32" fillId="33" borderId="124" applyNumberFormat="0" applyProtection="0">
      <alignment horizontal="right" vertical="center"/>
    </xf>
    <xf numFmtId="0" fontId="27" fillId="0" borderId="130">
      <alignment horizontal="left" vertical="center"/>
    </xf>
    <xf numFmtId="0" fontId="32" fillId="47" borderId="124" applyNumberFormat="0" applyProtection="0">
      <alignment horizontal="left" vertical="center" indent="1"/>
    </xf>
    <xf numFmtId="4" fontId="44" fillId="51" borderId="126" applyNumberFormat="0" applyProtection="0">
      <alignment horizontal="left" vertical="center" indent="1"/>
    </xf>
    <xf numFmtId="4" fontId="32" fillId="43" borderId="126" applyNumberFormat="0" applyProtection="0">
      <alignment horizontal="left" vertical="center" indent="1"/>
    </xf>
    <xf numFmtId="4" fontId="32" fillId="32" borderId="124" applyNumberFormat="0" applyProtection="0">
      <alignment horizontal="right" vertical="center"/>
    </xf>
    <xf numFmtId="10" fontId="32" fillId="10" borderId="132" applyNumberFormat="0" applyBorder="0" applyAlignment="0" applyProtection="0"/>
    <xf numFmtId="4" fontId="32" fillId="29" borderId="124" applyNumberFormat="0" applyProtection="0">
      <alignment vertical="center"/>
    </xf>
    <xf numFmtId="4" fontId="40" fillId="30" borderId="124" applyNumberFormat="0" applyProtection="0">
      <alignment vertical="center"/>
    </xf>
    <xf numFmtId="4" fontId="32" fillId="30" borderId="124" applyNumberFormat="0" applyProtection="0">
      <alignment horizontal="left" vertical="center" indent="1"/>
    </xf>
    <xf numFmtId="0" fontId="41" fillId="29" borderId="125" applyNumberFormat="0" applyProtection="0">
      <alignment horizontal="left" vertical="top" indent="1"/>
    </xf>
    <xf numFmtId="4" fontId="32" fillId="31" borderId="124" applyNumberFormat="0" applyProtection="0">
      <alignment horizontal="left" vertical="center" indent="1"/>
    </xf>
    <xf numFmtId="4" fontId="32" fillId="32" borderId="124" applyNumberFormat="0" applyProtection="0">
      <alignment horizontal="right" vertical="center"/>
    </xf>
    <xf numFmtId="4" fontId="32" fillId="33" borderId="124" applyNumberFormat="0" applyProtection="0">
      <alignment horizontal="right" vertical="center"/>
    </xf>
    <xf numFmtId="4" fontId="32" fillId="34" borderId="126" applyNumberFormat="0" applyProtection="0">
      <alignment horizontal="right" vertical="center"/>
    </xf>
    <xf numFmtId="4" fontId="32" fillId="35" borderId="124" applyNumberFormat="0" applyProtection="0">
      <alignment horizontal="right" vertical="center"/>
    </xf>
    <xf numFmtId="4" fontId="32" fillId="36" borderId="124" applyNumberFormat="0" applyProtection="0">
      <alignment horizontal="right" vertical="center"/>
    </xf>
    <xf numFmtId="4" fontId="32" fillId="37" borderId="124" applyNumberFormat="0" applyProtection="0">
      <alignment horizontal="right" vertical="center"/>
    </xf>
    <xf numFmtId="4" fontId="32" fillId="38" borderId="124" applyNumberFormat="0" applyProtection="0">
      <alignment horizontal="right" vertical="center"/>
    </xf>
    <xf numFmtId="4" fontId="32" fillId="39" borderId="124" applyNumberFormat="0" applyProtection="0">
      <alignment horizontal="right" vertical="center"/>
    </xf>
    <xf numFmtId="4" fontId="32" fillId="40" borderId="124" applyNumberFormat="0" applyProtection="0">
      <alignment horizontal="right" vertical="center"/>
    </xf>
    <xf numFmtId="4" fontId="32" fillId="41" borderId="126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2" fillId="43" borderId="124" applyNumberFormat="0" applyProtection="0">
      <alignment horizontal="right" vertical="center"/>
    </xf>
    <xf numFmtId="4" fontId="32" fillId="44" borderId="126" applyNumberFormat="0" applyProtection="0">
      <alignment horizontal="left" vertical="center" indent="1"/>
    </xf>
    <xf numFmtId="4" fontId="32" fillId="43" borderId="126" applyNumberFormat="0" applyProtection="0">
      <alignment horizontal="left" vertical="center" indent="1"/>
    </xf>
    <xf numFmtId="0" fontId="32" fillId="45" borderId="124" applyNumberFormat="0" applyProtection="0">
      <alignment horizontal="left" vertical="center" indent="1"/>
    </xf>
    <xf numFmtId="0" fontId="32" fillId="42" borderId="125" applyNumberFormat="0" applyProtection="0">
      <alignment horizontal="left" vertical="top" indent="1"/>
    </xf>
    <xf numFmtId="0" fontId="32" fillId="46" borderId="124" applyNumberFormat="0" applyProtection="0">
      <alignment horizontal="left" vertical="center" indent="1"/>
    </xf>
    <xf numFmtId="0" fontId="32" fillId="43" borderId="125" applyNumberFormat="0" applyProtection="0">
      <alignment horizontal="left" vertical="top" indent="1"/>
    </xf>
    <xf numFmtId="0" fontId="32" fillId="47" borderId="124" applyNumberFormat="0" applyProtection="0">
      <alignment horizontal="left" vertical="center" indent="1"/>
    </xf>
    <xf numFmtId="0" fontId="32" fillId="47" borderId="125" applyNumberFormat="0" applyProtection="0">
      <alignment horizontal="left" vertical="top" indent="1"/>
    </xf>
    <xf numFmtId="0" fontId="32" fillId="44" borderId="124" applyNumberFormat="0" applyProtection="0">
      <alignment horizontal="left" vertical="center" indent="1"/>
    </xf>
    <xf numFmtId="0" fontId="32" fillId="44" borderId="125" applyNumberFormat="0" applyProtection="0">
      <alignment horizontal="left" vertical="top" indent="1"/>
    </xf>
    <xf numFmtId="0" fontId="42" fillId="42" borderId="127" applyBorder="0"/>
    <xf numFmtId="4" fontId="43" fillId="49" borderId="125" applyNumberFormat="0" applyProtection="0">
      <alignment vertical="center"/>
    </xf>
    <xf numFmtId="4" fontId="43" fillId="45" borderId="125" applyNumberFormat="0" applyProtection="0">
      <alignment horizontal="left" vertical="center" indent="1"/>
    </xf>
    <xf numFmtId="0" fontId="43" fillId="49" borderId="125" applyNumberFormat="0" applyProtection="0">
      <alignment horizontal="left" vertical="top" indent="1"/>
    </xf>
    <xf numFmtId="4" fontId="32" fillId="0" borderId="124" applyNumberFormat="0" applyProtection="0">
      <alignment horizontal="right" vertical="center"/>
    </xf>
    <xf numFmtId="4" fontId="32" fillId="0" borderId="124" applyNumberFormat="0" applyProtection="0">
      <alignment horizontal="right" vertical="center"/>
    </xf>
    <xf numFmtId="4" fontId="40" fillId="50" borderId="124" applyNumberFormat="0" applyProtection="0">
      <alignment horizontal="right" vertical="center"/>
    </xf>
    <xf numFmtId="4" fontId="32" fillId="31" borderId="124" applyNumberFormat="0" applyProtection="0">
      <alignment horizontal="left" vertical="center" indent="1"/>
    </xf>
    <xf numFmtId="0" fontId="43" fillId="43" borderId="125" applyNumberFormat="0" applyProtection="0">
      <alignment horizontal="left" vertical="top" indent="1"/>
    </xf>
    <xf numFmtId="4" fontId="44" fillId="51" borderId="126" applyNumberFormat="0" applyProtection="0">
      <alignment horizontal="left" vertical="center" indent="1"/>
    </xf>
    <xf numFmtId="4" fontId="45" fillId="48" borderId="124" applyNumberFormat="0" applyProtection="0">
      <alignment horizontal="right" vertical="center"/>
    </xf>
    <xf numFmtId="0" fontId="48" fillId="58" borderId="124" applyNumberFormat="0" applyAlignment="0" applyProtection="0"/>
    <xf numFmtId="0" fontId="32" fillId="23" borderId="124" applyNumberFormat="0" applyFont="0" applyAlignment="0" applyProtection="0"/>
    <xf numFmtId="0" fontId="39" fillId="0" borderId="128" applyNumberFormat="0" applyFill="0" applyAlignment="0" applyProtection="0"/>
    <xf numFmtId="0" fontId="52" fillId="24" borderId="124" applyNumberFormat="0" applyAlignment="0" applyProtection="0"/>
    <xf numFmtId="0" fontId="56" fillId="58" borderId="129" applyNumberFormat="0" applyAlignment="0" applyProtection="0"/>
    <xf numFmtId="4" fontId="32" fillId="31" borderId="124" applyNumberFormat="0" applyProtection="0">
      <alignment horizontal="left" vertical="center" indent="1"/>
    </xf>
    <xf numFmtId="0" fontId="32" fillId="45" borderId="124" applyNumberFormat="0" applyProtection="0">
      <alignment horizontal="left" vertical="center" indent="1"/>
    </xf>
    <xf numFmtId="4" fontId="43" fillId="49" borderId="125" applyNumberFormat="0" applyProtection="0">
      <alignment vertical="center"/>
    </xf>
    <xf numFmtId="4" fontId="32" fillId="40" borderId="124" applyNumberFormat="0" applyProtection="0">
      <alignment horizontal="right" vertical="center"/>
    </xf>
    <xf numFmtId="4" fontId="40" fillId="50" borderId="124" applyNumberFormat="0" applyProtection="0">
      <alignment horizontal="right"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56" fillId="58" borderId="129" applyNumberFormat="0" applyAlignment="0" applyProtection="0"/>
    <xf numFmtId="0" fontId="27" fillId="0" borderId="130">
      <alignment horizontal="left" vertical="center"/>
    </xf>
    <xf numFmtId="0" fontId="48" fillId="58" borderId="124" applyNumberFormat="0" applyAlignment="0" applyProtection="0"/>
    <xf numFmtId="0" fontId="32" fillId="43" borderId="125" applyNumberFormat="0" applyProtection="0">
      <alignment horizontal="left" vertical="top" indent="1"/>
    </xf>
    <xf numFmtId="0" fontId="42" fillId="42" borderId="127" applyBorder="0"/>
    <xf numFmtId="4" fontId="32" fillId="31" borderId="124" applyNumberFormat="0" applyProtection="0">
      <alignment horizontal="left" vertical="center" indent="1"/>
    </xf>
    <xf numFmtId="4" fontId="32" fillId="30" borderId="124" applyNumberFormat="0" applyProtection="0">
      <alignment horizontal="left" vertical="center" indent="1"/>
    </xf>
    <xf numFmtId="0" fontId="32" fillId="42" borderId="125" applyNumberFormat="0" applyProtection="0">
      <alignment horizontal="left" vertical="top" indent="1"/>
    </xf>
    <xf numFmtId="4" fontId="32" fillId="0" borderId="124" applyNumberFormat="0" applyProtection="0">
      <alignment horizontal="right" vertical="center"/>
    </xf>
    <xf numFmtId="4" fontId="32" fillId="37" borderId="124" applyNumberFormat="0" applyProtection="0">
      <alignment horizontal="right" vertical="center"/>
    </xf>
    <xf numFmtId="4" fontId="45" fillId="48" borderId="124" applyNumberFormat="0" applyProtection="0">
      <alignment horizontal="right" vertical="center"/>
    </xf>
    <xf numFmtId="4" fontId="40" fillId="30" borderId="124" applyNumberFormat="0" applyProtection="0">
      <alignment vertical="center"/>
    </xf>
    <xf numFmtId="4" fontId="32" fillId="39" borderId="124" applyNumberFormat="0" applyProtection="0">
      <alignment horizontal="right" vertical="center"/>
    </xf>
    <xf numFmtId="4" fontId="30" fillId="42" borderId="126" applyNumberFormat="0" applyProtection="0">
      <alignment horizontal="left" vertical="center" indent="1"/>
    </xf>
    <xf numFmtId="0" fontId="32" fillId="47" borderId="125" applyNumberFormat="0" applyProtection="0">
      <alignment horizontal="left" vertical="top" indent="1"/>
    </xf>
    <xf numFmtId="4" fontId="43" fillId="45" borderId="125" applyNumberFormat="0" applyProtection="0">
      <alignment horizontal="left" vertical="center" indent="1"/>
    </xf>
    <xf numFmtId="4" fontId="40" fillId="10" borderId="132" applyNumberFormat="0" applyProtection="0">
      <alignment vertical="center"/>
    </xf>
    <xf numFmtId="0" fontId="43" fillId="43" borderId="125" applyNumberFormat="0" applyProtection="0">
      <alignment horizontal="left" vertical="top" indent="1"/>
    </xf>
    <xf numFmtId="4" fontId="32" fillId="44" borderId="126" applyNumberFormat="0" applyProtection="0">
      <alignment horizontal="left" vertical="center" indent="1"/>
    </xf>
    <xf numFmtId="4" fontId="32" fillId="43" borderId="124" applyNumberFormat="0" applyProtection="0">
      <alignment horizontal="right" vertical="center"/>
    </xf>
    <xf numFmtId="0" fontId="27" fillId="0" borderId="130">
      <alignment horizontal="left" vertical="center"/>
    </xf>
    <xf numFmtId="0" fontId="41" fillId="29" borderId="125" applyNumberFormat="0" applyProtection="0">
      <alignment horizontal="left" vertical="top" indent="1"/>
    </xf>
    <xf numFmtId="4" fontId="32" fillId="35" borderId="124" applyNumberFormat="0" applyProtection="0">
      <alignment horizontal="right" vertical="center"/>
    </xf>
    <xf numFmtId="0" fontId="32" fillId="46" borderId="124" applyNumberFormat="0" applyProtection="0">
      <alignment horizontal="left" vertical="center" indent="1"/>
    </xf>
    <xf numFmtId="4" fontId="32" fillId="41" borderId="126" applyNumberFormat="0" applyProtection="0">
      <alignment horizontal="left" vertical="center" indent="1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27" fillId="0" borderId="130">
      <alignment horizontal="left"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10" fontId="32" fillId="10" borderId="116" applyNumberFormat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" fontId="32" fillId="29" borderId="124" applyNumberFormat="0" applyProtection="0">
      <alignment vertical="center"/>
    </xf>
    <xf numFmtId="4" fontId="40" fillId="30" borderId="124" applyNumberFormat="0" applyProtection="0">
      <alignment vertical="center"/>
    </xf>
    <xf numFmtId="4" fontId="32" fillId="30" borderId="124" applyNumberFormat="0" applyProtection="0">
      <alignment horizontal="left" vertical="center" indent="1"/>
    </xf>
    <xf numFmtId="0" fontId="41" fillId="29" borderId="125" applyNumberFormat="0" applyProtection="0">
      <alignment horizontal="left" vertical="top" indent="1"/>
    </xf>
    <xf numFmtId="4" fontId="32" fillId="31" borderId="124" applyNumberFormat="0" applyProtection="0">
      <alignment horizontal="left" vertical="center" indent="1"/>
    </xf>
    <xf numFmtId="4" fontId="32" fillId="32" borderId="124" applyNumberFormat="0" applyProtection="0">
      <alignment horizontal="right" vertical="center"/>
    </xf>
    <xf numFmtId="4" fontId="32" fillId="33" borderId="124" applyNumberFormat="0" applyProtection="0">
      <alignment horizontal="right" vertical="center"/>
    </xf>
    <xf numFmtId="4" fontId="32" fillId="34" borderId="126" applyNumberFormat="0" applyProtection="0">
      <alignment horizontal="right" vertical="center"/>
    </xf>
    <xf numFmtId="4" fontId="32" fillId="35" borderId="124" applyNumberFormat="0" applyProtection="0">
      <alignment horizontal="right" vertical="center"/>
    </xf>
    <xf numFmtId="4" fontId="32" fillId="36" borderId="124" applyNumberFormat="0" applyProtection="0">
      <alignment horizontal="right" vertical="center"/>
    </xf>
    <xf numFmtId="4" fontId="32" fillId="37" borderId="124" applyNumberFormat="0" applyProtection="0">
      <alignment horizontal="right" vertical="center"/>
    </xf>
    <xf numFmtId="4" fontId="32" fillId="38" borderId="124" applyNumberFormat="0" applyProtection="0">
      <alignment horizontal="right" vertical="center"/>
    </xf>
    <xf numFmtId="4" fontId="32" fillId="39" borderId="124" applyNumberFormat="0" applyProtection="0">
      <alignment horizontal="right" vertical="center"/>
    </xf>
    <xf numFmtId="4" fontId="32" fillId="40" borderId="124" applyNumberFormat="0" applyProtection="0">
      <alignment horizontal="right" vertical="center"/>
    </xf>
    <xf numFmtId="4" fontId="32" fillId="41" borderId="126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2" fillId="43" borderId="124" applyNumberFormat="0" applyProtection="0">
      <alignment horizontal="right" vertical="center"/>
    </xf>
    <xf numFmtId="4" fontId="32" fillId="44" borderId="126" applyNumberFormat="0" applyProtection="0">
      <alignment horizontal="left" vertical="center" indent="1"/>
    </xf>
    <xf numFmtId="4" fontId="32" fillId="43" borderId="126" applyNumberFormat="0" applyProtection="0">
      <alignment horizontal="left" vertical="center" indent="1"/>
    </xf>
    <xf numFmtId="0" fontId="32" fillId="45" borderId="124" applyNumberFormat="0" applyProtection="0">
      <alignment horizontal="left" vertical="center" indent="1"/>
    </xf>
    <xf numFmtId="0" fontId="32" fillId="42" borderId="125" applyNumberFormat="0" applyProtection="0">
      <alignment horizontal="left" vertical="top" indent="1"/>
    </xf>
    <xf numFmtId="0" fontId="32" fillId="46" borderId="124" applyNumberFormat="0" applyProtection="0">
      <alignment horizontal="left" vertical="center" indent="1"/>
    </xf>
    <xf numFmtId="0" fontId="32" fillId="43" borderId="125" applyNumberFormat="0" applyProtection="0">
      <alignment horizontal="left" vertical="top" indent="1"/>
    </xf>
    <xf numFmtId="0" fontId="32" fillId="47" borderId="124" applyNumberFormat="0" applyProtection="0">
      <alignment horizontal="left" vertical="center" indent="1"/>
    </xf>
    <xf numFmtId="0" fontId="32" fillId="47" borderId="125" applyNumberFormat="0" applyProtection="0">
      <alignment horizontal="left" vertical="top" indent="1"/>
    </xf>
    <xf numFmtId="0" fontId="32" fillId="44" borderId="124" applyNumberFormat="0" applyProtection="0">
      <alignment horizontal="left" vertical="center" indent="1"/>
    </xf>
    <xf numFmtId="0" fontId="32" fillId="44" borderId="125" applyNumberFormat="0" applyProtection="0">
      <alignment horizontal="left" vertical="top" indent="1"/>
    </xf>
    <xf numFmtId="0" fontId="42" fillId="42" borderId="127" applyBorder="0"/>
    <xf numFmtId="4" fontId="43" fillId="49" borderId="125" applyNumberFormat="0" applyProtection="0">
      <alignment vertical="center"/>
    </xf>
    <xf numFmtId="4" fontId="40" fillId="10" borderId="116" applyNumberFormat="0" applyProtection="0">
      <alignment vertical="center"/>
    </xf>
    <xf numFmtId="4" fontId="43" fillId="45" borderId="125" applyNumberFormat="0" applyProtection="0">
      <alignment horizontal="left" vertical="center" indent="1"/>
    </xf>
    <xf numFmtId="0" fontId="43" fillId="49" borderId="125" applyNumberFormat="0" applyProtection="0">
      <alignment horizontal="left" vertical="top" indent="1"/>
    </xf>
    <xf numFmtId="4" fontId="32" fillId="0" borderId="124" applyNumberFormat="0" applyProtection="0">
      <alignment horizontal="right" vertical="center"/>
    </xf>
    <xf numFmtId="4" fontId="32" fillId="0" borderId="124" applyNumberFormat="0" applyProtection="0">
      <alignment horizontal="right" vertical="center"/>
    </xf>
    <xf numFmtId="4" fontId="40" fillId="50" borderId="124" applyNumberFormat="0" applyProtection="0">
      <alignment horizontal="right" vertical="center"/>
    </xf>
    <xf numFmtId="4" fontId="32" fillId="31" borderId="124" applyNumberFormat="0" applyProtection="0">
      <alignment horizontal="left" vertical="center" indent="1"/>
    </xf>
    <xf numFmtId="0" fontId="43" fillId="43" borderId="125" applyNumberFormat="0" applyProtection="0">
      <alignment horizontal="left" vertical="top" indent="1"/>
    </xf>
    <xf numFmtId="4" fontId="44" fillId="51" borderId="126" applyNumberFormat="0" applyProtection="0">
      <alignment horizontal="left" vertical="center" indent="1"/>
    </xf>
    <xf numFmtId="0" fontId="32" fillId="52" borderId="116"/>
    <xf numFmtId="4" fontId="45" fillId="48" borderId="124" applyNumberFormat="0" applyProtection="0">
      <alignment horizontal="right" vertical="center"/>
    </xf>
    <xf numFmtId="0" fontId="48" fillId="58" borderId="124" applyNumberFormat="0" applyAlignment="0" applyProtection="0"/>
    <xf numFmtId="0" fontId="32" fillId="23" borderId="124" applyNumberFormat="0" applyFont="0" applyAlignment="0" applyProtection="0"/>
    <xf numFmtId="0" fontId="39" fillId="0" borderId="128" applyNumberFormat="0" applyFill="0" applyAlignment="0" applyProtection="0"/>
    <xf numFmtId="0" fontId="52" fillId="24" borderId="124" applyNumberFormat="0" applyAlignment="0" applyProtection="0"/>
    <xf numFmtId="0" fontId="56" fillId="58" borderId="129" applyNumberFormat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" fontId="32" fillId="29" borderId="124" applyNumberFormat="0" applyProtection="0">
      <alignment vertical="center"/>
    </xf>
    <xf numFmtId="4" fontId="40" fillId="30" borderId="124" applyNumberFormat="0" applyProtection="0">
      <alignment vertical="center"/>
    </xf>
    <xf numFmtId="4" fontId="32" fillId="30" borderId="124" applyNumberFormat="0" applyProtection="0">
      <alignment horizontal="left" vertical="center" indent="1"/>
    </xf>
    <xf numFmtId="0" fontId="41" fillId="29" borderId="125" applyNumberFormat="0" applyProtection="0">
      <alignment horizontal="left" vertical="top" indent="1"/>
    </xf>
    <xf numFmtId="4" fontId="32" fillId="31" borderId="124" applyNumberFormat="0" applyProtection="0">
      <alignment horizontal="left" vertical="center" indent="1"/>
    </xf>
    <xf numFmtId="4" fontId="32" fillId="32" borderId="124" applyNumberFormat="0" applyProtection="0">
      <alignment horizontal="right" vertical="center"/>
    </xf>
    <xf numFmtId="4" fontId="32" fillId="33" borderId="124" applyNumberFormat="0" applyProtection="0">
      <alignment horizontal="right" vertical="center"/>
    </xf>
    <xf numFmtId="4" fontId="32" fillId="34" borderId="126" applyNumberFormat="0" applyProtection="0">
      <alignment horizontal="right" vertical="center"/>
    </xf>
    <xf numFmtId="4" fontId="32" fillId="35" borderId="124" applyNumberFormat="0" applyProtection="0">
      <alignment horizontal="right" vertical="center"/>
    </xf>
    <xf numFmtId="4" fontId="32" fillId="36" borderId="124" applyNumberFormat="0" applyProtection="0">
      <alignment horizontal="right" vertical="center"/>
    </xf>
    <xf numFmtId="4" fontId="32" fillId="37" borderId="124" applyNumberFormat="0" applyProtection="0">
      <alignment horizontal="right" vertical="center"/>
    </xf>
    <xf numFmtId="4" fontId="32" fillId="38" borderId="124" applyNumberFormat="0" applyProtection="0">
      <alignment horizontal="right" vertical="center"/>
    </xf>
    <xf numFmtId="4" fontId="32" fillId="39" borderId="124" applyNumberFormat="0" applyProtection="0">
      <alignment horizontal="right" vertical="center"/>
    </xf>
    <xf numFmtId="4" fontId="32" fillId="40" borderId="124" applyNumberFormat="0" applyProtection="0">
      <alignment horizontal="right" vertical="center"/>
    </xf>
    <xf numFmtId="4" fontId="32" fillId="41" borderId="126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2" fillId="43" borderId="124" applyNumberFormat="0" applyProtection="0">
      <alignment horizontal="right" vertical="center"/>
    </xf>
    <xf numFmtId="4" fontId="32" fillId="44" borderId="126" applyNumberFormat="0" applyProtection="0">
      <alignment horizontal="left" vertical="center" indent="1"/>
    </xf>
    <xf numFmtId="4" fontId="32" fillId="43" borderId="126" applyNumberFormat="0" applyProtection="0">
      <alignment horizontal="left" vertical="center" indent="1"/>
    </xf>
    <xf numFmtId="0" fontId="32" fillId="45" borderId="124" applyNumberFormat="0" applyProtection="0">
      <alignment horizontal="left" vertical="center" indent="1"/>
    </xf>
    <xf numFmtId="0" fontId="32" fillId="42" borderId="125" applyNumberFormat="0" applyProtection="0">
      <alignment horizontal="left" vertical="top" indent="1"/>
    </xf>
    <xf numFmtId="0" fontId="32" fillId="46" borderId="124" applyNumberFormat="0" applyProtection="0">
      <alignment horizontal="left" vertical="center" indent="1"/>
    </xf>
    <xf numFmtId="0" fontId="32" fillId="43" borderId="125" applyNumberFormat="0" applyProtection="0">
      <alignment horizontal="left" vertical="top" indent="1"/>
    </xf>
    <xf numFmtId="0" fontId="32" fillId="47" borderId="124" applyNumberFormat="0" applyProtection="0">
      <alignment horizontal="left" vertical="center" indent="1"/>
    </xf>
    <xf numFmtId="0" fontId="32" fillId="47" borderId="125" applyNumberFormat="0" applyProtection="0">
      <alignment horizontal="left" vertical="top" indent="1"/>
    </xf>
    <xf numFmtId="0" fontId="32" fillId="44" borderId="124" applyNumberFormat="0" applyProtection="0">
      <alignment horizontal="left" vertical="center" indent="1"/>
    </xf>
    <xf numFmtId="0" fontId="32" fillId="44" borderId="125" applyNumberFormat="0" applyProtection="0">
      <alignment horizontal="left" vertical="top" indent="1"/>
    </xf>
    <xf numFmtId="0" fontId="42" fillId="42" borderId="127" applyBorder="0"/>
    <xf numFmtId="4" fontId="43" fillId="49" borderId="125" applyNumberFormat="0" applyProtection="0">
      <alignment vertical="center"/>
    </xf>
    <xf numFmtId="4" fontId="43" fillId="45" borderId="125" applyNumberFormat="0" applyProtection="0">
      <alignment horizontal="left" vertical="center" indent="1"/>
    </xf>
    <xf numFmtId="0" fontId="43" fillId="49" borderId="125" applyNumberFormat="0" applyProtection="0">
      <alignment horizontal="left" vertical="top" indent="1"/>
    </xf>
    <xf numFmtId="4" fontId="32" fillId="0" borderId="124" applyNumberFormat="0" applyProtection="0">
      <alignment horizontal="right" vertical="center"/>
    </xf>
    <xf numFmtId="4" fontId="32" fillId="0" borderId="124" applyNumberFormat="0" applyProtection="0">
      <alignment horizontal="right" vertical="center"/>
    </xf>
    <xf numFmtId="4" fontId="40" fillId="50" borderId="124" applyNumberFormat="0" applyProtection="0">
      <alignment horizontal="right" vertical="center"/>
    </xf>
    <xf numFmtId="4" fontId="32" fillId="31" borderId="124" applyNumberFormat="0" applyProtection="0">
      <alignment horizontal="left" vertical="center" indent="1"/>
    </xf>
    <xf numFmtId="0" fontId="43" fillId="43" borderId="125" applyNumberFormat="0" applyProtection="0">
      <alignment horizontal="left" vertical="top" indent="1"/>
    </xf>
    <xf numFmtId="4" fontId="44" fillId="51" borderId="126" applyNumberFormat="0" applyProtection="0">
      <alignment horizontal="left" vertical="center" indent="1"/>
    </xf>
    <xf numFmtId="4" fontId="45" fillId="48" borderId="124" applyNumberFormat="0" applyProtection="0">
      <alignment horizontal="right" vertical="center"/>
    </xf>
    <xf numFmtId="0" fontId="48" fillId="58" borderId="124" applyNumberFormat="0" applyAlignment="0" applyProtection="0"/>
    <xf numFmtId="0" fontId="32" fillId="23" borderId="124" applyNumberFormat="0" applyFont="0" applyAlignment="0" applyProtection="0"/>
    <xf numFmtId="0" fontId="39" fillId="0" borderId="128" applyNumberFormat="0" applyFill="0" applyAlignment="0" applyProtection="0"/>
    <xf numFmtId="0" fontId="52" fillId="24" borderId="124" applyNumberFormat="0" applyAlignment="0" applyProtection="0"/>
    <xf numFmtId="0" fontId="56" fillId="58" borderId="129" applyNumberFormat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27" fillId="0" borderId="130">
      <alignment horizontal="left"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10" fontId="32" fillId="10" borderId="132" applyNumberFormat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" fontId="40" fillId="10" borderId="132" applyNumberFormat="0" applyProtection="0">
      <alignment vertical="center"/>
    </xf>
    <xf numFmtId="0" fontId="32" fillId="52" borderId="132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27" fillId="0" borderId="130">
      <alignment horizontal="left"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32" fillId="44" borderId="125" applyNumberFormat="0" applyProtection="0">
      <alignment horizontal="left" vertical="top" indent="1"/>
    </xf>
    <xf numFmtId="4" fontId="32" fillId="34" borderId="126" applyNumberFormat="0" applyProtection="0">
      <alignment horizontal="right" vertical="center"/>
    </xf>
    <xf numFmtId="0" fontId="39" fillId="0" borderId="128" applyNumberFormat="0" applyFill="0" applyAlignment="0" applyProtection="0"/>
    <xf numFmtId="4" fontId="32" fillId="0" borderId="124" applyNumberFormat="0" applyProtection="0">
      <alignment horizontal="right" vertical="center"/>
    </xf>
    <xf numFmtId="0" fontId="32" fillId="23" borderId="124" applyNumberFormat="0" applyFont="0" applyAlignment="0" applyProtection="0"/>
    <xf numFmtId="0" fontId="52" fillId="24" borderId="124" applyNumberFormat="0" applyAlignment="0" applyProtection="0"/>
    <xf numFmtId="4" fontId="32" fillId="29" borderId="124" applyNumberFormat="0" applyProtection="0">
      <alignment vertical="center"/>
    </xf>
    <xf numFmtId="4" fontId="32" fillId="38" borderId="124" applyNumberFormat="0" applyProtection="0">
      <alignment horizontal="right" vertical="center"/>
    </xf>
    <xf numFmtId="0" fontId="43" fillId="49" borderId="125" applyNumberFormat="0" applyProtection="0">
      <alignment horizontal="left" vertical="top" indent="1"/>
    </xf>
    <xf numFmtId="0" fontId="32" fillId="44" borderId="124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2" fillId="36" borderId="124" applyNumberFormat="0" applyProtection="0">
      <alignment horizontal="right" vertical="center"/>
    </xf>
    <xf numFmtId="0" fontId="32" fillId="52" borderId="132"/>
    <xf numFmtId="4" fontId="32" fillId="33" borderId="124" applyNumberFormat="0" applyProtection="0">
      <alignment horizontal="right" vertical="center"/>
    </xf>
    <xf numFmtId="0" fontId="27" fillId="0" borderId="130">
      <alignment horizontal="left" vertical="center"/>
    </xf>
    <xf numFmtId="0" fontId="32" fillId="47" borderId="124" applyNumberFormat="0" applyProtection="0">
      <alignment horizontal="left" vertical="center" indent="1"/>
    </xf>
    <xf numFmtId="4" fontId="44" fillId="51" borderId="126" applyNumberFormat="0" applyProtection="0">
      <alignment horizontal="left" vertical="center" indent="1"/>
    </xf>
    <xf numFmtId="4" fontId="32" fillId="43" borderId="126" applyNumberFormat="0" applyProtection="0">
      <alignment horizontal="left" vertical="center" indent="1"/>
    </xf>
    <xf numFmtId="4" fontId="32" fillId="32" borderId="124" applyNumberFormat="0" applyProtection="0">
      <alignment horizontal="right" vertical="center"/>
    </xf>
    <xf numFmtId="10" fontId="32" fillId="10" borderId="132" applyNumberFormat="0" applyBorder="0" applyAlignment="0" applyProtection="0"/>
    <xf numFmtId="4" fontId="32" fillId="29" borderId="124" applyNumberFormat="0" applyProtection="0">
      <alignment vertical="center"/>
    </xf>
    <xf numFmtId="4" fontId="40" fillId="30" borderId="124" applyNumberFormat="0" applyProtection="0">
      <alignment vertical="center"/>
    </xf>
    <xf numFmtId="4" fontId="32" fillId="30" borderId="124" applyNumberFormat="0" applyProtection="0">
      <alignment horizontal="left" vertical="center" indent="1"/>
    </xf>
    <xf numFmtId="0" fontId="41" fillId="29" borderId="125" applyNumberFormat="0" applyProtection="0">
      <alignment horizontal="left" vertical="top" indent="1"/>
    </xf>
    <xf numFmtId="4" fontId="32" fillId="31" borderId="124" applyNumberFormat="0" applyProtection="0">
      <alignment horizontal="left" vertical="center" indent="1"/>
    </xf>
    <xf numFmtId="4" fontId="32" fillId="32" borderId="124" applyNumberFormat="0" applyProtection="0">
      <alignment horizontal="right" vertical="center"/>
    </xf>
    <xf numFmtId="4" fontId="32" fillId="33" borderId="124" applyNumberFormat="0" applyProtection="0">
      <alignment horizontal="right" vertical="center"/>
    </xf>
    <xf numFmtId="4" fontId="32" fillId="34" borderId="126" applyNumberFormat="0" applyProtection="0">
      <alignment horizontal="right" vertical="center"/>
    </xf>
    <xf numFmtId="4" fontId="32" fillId="35" borderId="124" applyNumberFormat="0" applyProtection="0">
      <alignment horizontal="right" vertical="center"/>
    </xf>
    <xf numFmtId="4" fontId="32" fillId="36" borderId="124" applyNumberFormat="0" applyProtection="0">
      <alignment horizontal="right" vertical="center"/>
    </xf>
    <xf numFmtId="4" fontId="32" fillId="37" borderId="124" applyNumberFormat="0" applyProtection="0">
      <alignment horizontal="right" vertical="center"/>
    </xf>
    <xf numFmtId="4" fontId="32" fillId="38" borderId="124" applyNumberFormat="0" applyProtection="0">
      <alignment horizontal="right" vertical="center"/>
    </xf>
    <xf numFmtId="4" fontId="32" fillId="39" borderId="124" applyNumberFormat="0" applyProtection="0">
      <alignment horizontal="right" vertical="center"/>
    </xf>
    <xf numFmtId="4" fontId="32" fillId="40" borderId="124" applyNumberFormat="0" applyProtection="0">
      <alignment horizontal="right" vertical="center"/>
    </xf>
    <xf numFmtId="4" fontId="32" fillId="41" borderId="126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2" fillId="43" borderId="124" applyNumberFormat="0" applyProtection="0">
      <alignment horizontal="right" vertical="center"/>
    </xf>
    <xf numFmtId="4" fontId="32" fillId="44" borderId="126" applyNumberFormat="0" applyProtection="0">
      <alignment horizontal="left" vertical="center" indent="1"/>
    </xf>
    <xf numFmtId="4" fontId="32" fillId="43" borderId="126" applyNumberFormat="0" applyProtection="0">
      <alignment horizontal="left" vertical="center" indent="1"/>
    </xf>
    <xf numFmtId="0" fontId="32" fillId="45" borderId="124" applyNumberFormat="0" applyProtection="0">
      <alignment horizontal="left" vertical="center" indent="1"/>
    </xf>
    <xf numFmtId="0" fontId="32" fillId="42" borderId="125" applyNumberFormat="0" applyProtection="0">
      <alignment horizontal="left" vertical="top" indent="1"/>
    </xf>
    <xf numFmtId="0" fontId="32" fillId="46" borderId="124" applyNumberFormat="0" applyProtection="0">
      <alignment horizontal="left" vertical="center" indent="1"/>
    </xf>
    <xf numFmtId="0" fontId="32" fillId="43" borderId="125" applyNumberFormat="0" applyProtection="0">
      <alignment horizontal="left" vertical="top" indent="1"/>
    </xf>
    <xf numFmtId="0" fontId="32" fillId="47" borderId="124" applyNumberFormat="0" applyProtection="0">
      <alignment horizontal="left" vertical="center" indent="1"/>
    </xf>
    <xf numFmtId="0" fontId="32" fillId="47" borderId="125" applyNumberFormat="0" applyProtection="0">
      <alignment horizontal="left" vertical="top" indent="1"/>
    </xf>
    <xf numFmtId="0" fontId="32" fillId="44" borderId="124" applyNumberFormat="0" applyProtection="0">
      <alignment horizontal="left" vertical="center" indent="1"/>
    </xf>
    <xf numFmtId="0" fontId="32" fillId="44" borderId="125" applyNumberFormat="0" applyProtection="0">
      <alignment horizontal="left" vertical="top" indent="1"/>
    </xf>
    <xf numFmtId="0" fontId="42" fillId="42" borderId="127" applyBorder="0"/>
    <xf numFmtId="4" fontId="43" fillId="49" borderId="125" applyNumberFormat="0" applyProtection="0">
      <alignment vertical="center"/>
    </xf>
    <xf numFmtId="4" fontId="43" fillId="45" borderId="125" applyNumberFormat="0" applyProtection="0">
      <alignment horizontal="left" vertical="center" indent="1"/>
    </xf>
    <xf numFmtId="0" fontId="43" fillId="49" borderId="125" applyNumberFormat="0" applyProtection="0">
      <alignment horizontal="left" vertical="top" indent="1"/>
    </xf>
    <xf numFmtId="4" fontId="32" fillId="0" borderId="124" applyNumberFormat="0" applyProtection="0">
      <alignment horizontal="right" vertical="center"/>
    </xf>
    <xf numFmtId="4" fontId="32" fillId="0" borderId="124" applyNumberFormat="0" applyProtection="0">
      <alignment horizontal="right" vertical="center"/>
    </xf>
    <xf numFmtId="4" fontId="40" fillId="50" borderId="124" applyNumberFormat="0" applyProtection="0">
      <alignment horizontal="right" vertical="center"/>
    </xf>
    <xf numFmtId="4" fontId="32" fillId="31" borderId="124" applyNumberFormat="0" applyProtection="0">
      <alignment horizontal="left" vertical="center" indent="1"/>
    </xf>
    <xf numFmtId="0" fontId="43" fillId="43" borderId="125" applyNumberFormat="0" applyProtection="0">
      <alignment horizontal="left" vertical="top" indent="1"/>
    </xf>
    <xf numFmtId="4" fontId="44" fillId="51" borderId="126" applyNumberFormat="0" applyProtection="0">
      <alignment horizontal="left" vertical="center" indent="1"/>
    </xf>
    <xf numFmtId="4" fontId="45" fillId="48" borderId="124" applyNumberFormat="0" applyProtection="0">
      <alignment horizontal="right" vertical="center"/>
    </xf>
    <xf numFmtId="0" fontId="48" fillId="58" borderId="124" applyNumberFormat="0" applyAlignment="0" applyProtection="0"/>
    <xf numFmtId="0" fontId="32" fillId="23" borderId="124" applyNumberFormat="0" applyFont="0" applyAlignment="0" applyProtection="0"/>
    <xf numFmtId="0" fontId="39" fillId="0" borderId="128" applyNumberFormat="0" applyFill="0" applyAlignment="0" applyProtection="0"/>
    <xf numFmtId="0" fontId="52" fillId="24" borderId="124" applyNumberFormat="0" applyAlignment="0" applyProtection="0"/>
    <xf numFmtId="0" fontId="56" fillId="58" borderId="129" applyNumberFormat="0" applyAlignment="0" applyProtection="0"/>
    <xf numFmtId="4" fontId="32" fillId="31" borderId="124" applyNumberFormat="0" applyProtection="0">
      <alignment horizontal="left" vertical="center" indent="1"/>
    </xf>
    <xf numFmtId="0" fontId="32" fillId="45" borderId="124" applyNumberFormat="0" applyProtection="0">
      <alignment horizontal="left" vertical="center" indent="1"/>
    </xf>
    <xf numFmtId="4" fontId="43" fillId="49" borderId="125" applyNumberFormat="0" applyProtection="0">
      <alignment vertical="center"/>
    </xf>
    <xf numFmtId="4" fontId="32" fillId="40" borderId="124" applyNumberFormat="0" applyProtection="0">
      <alignment horizontal="right" vertical="center"/>
    </xf>
    <xf numFmtId="4" fontId="40" fillId="50" borderId="124" applyNumberFormat="0" applyProtection="0">
      <alignment horizontal="right"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56" fillId="58" borderId="129" applyNumberFormat="0" applyAlignment="0" applyProtection="0"/>
    <xf numFmtId="0" fontId="27" fillId="0" borderId="130">
      <alignment horizontal="left" vertical="center"/>
    </xf>
    <xf numFmtId="0" fontId="48" fillId="58" borderId="124" applyNumberFormat="0" applyAlignment="0" applyProtection="0"/>
    <xf numFmtId="0" fontId="32" fillId="43" borderId="125" applyNumberFormat="0" applyProtection="0">
      <alignment horizontal="left" vertical="top" indent="1"/>
    </xf>
    <xf numFmtId="0" fontId="42" fillId="42" borderId="127" applyBorder="0"/>
    <xf numFmtId="4" fontId="32" fillId="31" borderId="124" applyNumberFormat="0" applyProtection="0">
      <alignment horizontal="left" vertical="center" indent="1"/>
    </xf>
    <xf numFmtId="4" fontId="32" fillId="30" borderId="124" applyNumberFormat="0" applyProtection="0">
      <alignment horizontal="left" vertical="center" indent="1"/>
    </xf>
    <xf numFmtId="0" fontId="32" fillId="42" borderId="125" applyNumberFormat="0" applyProtection="0">
      <alignment horizontal="left" vertical="top" indent="1"/>
    </xf>
    <xf numFmtId="4" fontId="32" fillId="0" borderId="124" applyNumberFormat="0" applyProtection="0">
      <alignment horizontal="right" vertical="center"/>
    </xf>
    <xf numFmtId="4" fontId="32" fillId="37" borderId="124" applyNumberFormat="0" applyProtection="0">
      <alignment horizontal="right" vertical="center"/>
    </xf>
    <xf numFmtId="4" fontId="45" fillId="48" borderId="124" applyNumberFormat="0" applyProtection="0">
      <alignment horizontal="right" vertical="center"/>
    </xf>
    <xf numFmtId="4" fontId="40" fillId="30" borderId="124" applyNumberFormat="0" applyProtection="0">
      <alignment vertical="center"/>
    </xf>
    <xf numFmtId="4" fontId="32" fillId="39" borderId="124" applyNumberFormat="0" applyProtection="0">
      <alignment horizontal="right" vertical="center"/>
    </xf>
    <xf numFmtId="4" fontId="30" fillId="42" borderId="126" applyNumberFormat="0" applyProtection="0">
      <alignment horizontal="left" vertical="center" indent="1"/>
    </xf>
    <xf numFmtId="0" fontId="32" fillId="47" borderId="125" applyNumberFormat="0" applyProtection="0">
      <alignment horizontal="left" vertical="top" indent="1"/>
    </xf>
    <xf numFmtId="4" fontId="43" fillId="45" borderId="125" applyNumberFormat="0" applyProtection="0">
      <alignment horizontal="left" vertical="center" indent="1"/>
    </xf>
    <xf numFmtId="4" fontId="40" fillId="10" borderId="132" applyNumberFormat="0" applyProtection="0">
      <alignment vertical="center"/>
    </xf>
    <xf numFmtId="0" fontId="43" fillId="43" borderId="125" applyNumberFormat="0" applyProtection="0">
      <alignment horizontal="left" vertical="top" indent="1"/>
    </xf>
    <xf numFmtId="4" fontId="32" fillId="44" borderId="126" applyNumberFormat="0" applyProtection="0">
      <alignment horizontal="left" vertical="center" indent="1"/>
    </xf>
    <xf numFmtId="4" fontId="32" fillId="43" borderId="124" applyNumberFormat="0" applyProtection="0">
      <alignment horizontal="right" vertical="center"/>
    </xf>
    <xf numFmtId="0" fontId="27" fillId="0" borderId="130">
      <alignment horizontal="left" vertical="center"/>
    </xf>
    <xf numFmtId="0" fontId="41" fillId="29" borderId="125" applyNumberFormat="0" applyProtection="0">
      <alignment horizontal="left" vertical="top" indent="1"/>
    </xf>
    <xf numFmtId="4" fontId="32" fillId="35" borderId="124" applyNumberFormat="0" applyProtection="0">
      <alignment horizontal="right" vertical="center"/>
    </xf>
    <xf numFmtId="0" fontId="32" fillId="46" borderId="124" applyNumberFormat="0" applyProtection="0">
      <alignment horizontal="left" vertical="center" indent="1"/>
    </xf>
    <xf numFmtId="4" fontId="32" fillId="41" borderId="126" applyNumberFormat="0" applyProtection="0">
      <alignment horizontal="left" vertical="center" indent="1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27" fillId="0" borderId="130">
      <alignment horizontal="left"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10" fontId="32" fillId="10" borderId="132" applyNumberFormat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" fontId="32" fillId="29" borderId="124" applyNumberFormat="0" applyProtection="0">
      <alignment vertical="center"/>
    </xf>
    <xf numFmtId="4" fontId="40" fillId="30" borderId="124" applyNumberFormat="0" applyProtection="0">
      <alignment vertical="center"/>
    </xf>
    <xf numFmtId="4" fontId="32" fillId="30" borderId="124" applyNumberFormat="0" applyProtection="0">
      <alignment horizontal="left" vertical="center" indent="1"/>
    </xf>
    <xf numFmtId="0" fontId="41" fillId="29" borderId="125" applyNumberFormat="0" applyProtection="0">
      <alignment horizontal="left" vertical="top" indent="1"/>
    </xf>
    <xf numFmtId="4" fontId="32" fillId="31" borderId="124" applyNumberFormat="0" applyProtection="0">
      <alignment horizontal="left" vertical="center" indent="1"/>
    </xf>
    <xf numFmtId="4" fontId="32" fillId="32" borderId="124" applyNumberFormat="0" applyProtection="0">
      <alignment horizontal="right" vertical="center"/>
    </xf>
    <xf numFmtId="4" fontId="32" fillId="33" borderId="124" applyNumberFormat="0" applyProtection="0">
      <alignment horizontal="right" vertical="center"/>
    </xf>
    <xf numFmtId="4" fontId="32" fillId="34" borderId="126" applyNumberFormat="0" applyProtection="0">
      <alignment horizontal="right" vertical="center"/>
    </xf>
    <xf numFmtId="4" fontId="32" fillId="35" borderId="124" applyNumberFormat="0" applyProtection="0">
      <alignment horizontal="right" vertical="center"/>
    </xf>
    <xf numFmtId="4" fontId="32" fillId="36" borderId="124" applyNumberFormat="0" applyProtection="0">
      <alignment horizontal="right" vertical="center"/>
    </xf>
    <xf numFmtId="4" fontId="32" fillId="37" borderId="124" applyNumberFormat="0" applyProtection="0">
      <alignment horizontal="right" vertical="center"/>
    </xf>
    <xf numFmtId="4" fontId="32" fillId="38" borderId="124" applyNumberFormat="0" applyProtection="0">
      <alignment horizontal="right" vertical="center"/>
    </xf>
    <xf numFmtId="4" fontId="32" fillId="39" borderId="124" applyNumberFormat="0" applyProtection="0">
      <alignment horizontal="right" vertical="center"/>
    </xf>
    <xf numFmtId="4" fontId="32" fillId="40" borderId="124" applyNumberFormat="0" applyProtection="0">
      <alignment horizontal="right" vertical="center"/>
    </xf>
    <xf numFmtId="4" fontId="32" fillId="41" borderId="126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2" fillId="43" borderId="124" applyNumberFormat="0" applyProtection="0">
      <alignment horizontal="right" vertical="center"/>
    </xf>
    <xf numFmtId="4" fontId="32" fillId="44" borderId="126" applyNumberFormat="0" applyProtection="0">
      <alignment horizontal="left" vertical="center" indent="1"/>
    </xf>
    <xf numFmtId="4" fontId="32" fillId="43" borderId="126" applyNumberFormat="0" applyProtection="0">
      <alignment horizontal="left" vertical="center" indent="1"/>
    </xf>
    <xf numFmtId="0" fontId="32" fillId="45" borderId="124" applyNumberFormat="0" applyProtection="0">
      <alignment horizontal="left" vertical="center" indent="1"/>
    </xf>
    <xf numFmtId="0" fontId="32" fillId="42" borderId="125" applyNumberFormat="0" applyProtection="0">
      <alignment horizontal="left" vertical="top" indent="1"/>
    </xf>
    <xf numFmtId="0" fontId="32" fillId="46" borderId="124" applyNumberFormat="0" applyProtection="0">
      <alignment horizontal="left" vertical="center" indent="1"/>
    </xf>
    <xf numFmtId="0" fontId="32" fillId="43" borderId="125" applyNumberFormat="0" applyProtection="0">
      <alignment horizontal="left" vertical="top" indent="1"/>
    </xf>
    <xf numFmtId="0" fontId="32" fillId="47" borderId="124" applyNumberFormat="0" applyProtection="0">
      <alignment horizontal="left" vertical="center" indent="1"/>
    </xf>
    <xf numFmtId="0" fontId="32" fillId="47" borderId="125" applyNumberFormat="0" applyProtection="0">
      <alignment horizontal="left" vertical="top" indent="1"/>
    </xf>
    <xf numFmtId="0" fontId="32" fillId="44" borderId="124" applyNumberFormat="0" applyProtection="0">
      <alignment horizontal="left" vertical="center" indent="1"/>
    </xf>
    <xf numFmtId="0" fontId="32" fillId="44" borderId="125" applyNumberFormat="0" applyProtection="0">
      <alignment horizontal="left" vertical="top" indent="1"/>
    </xf>
    <xf numFmtId="0" fontId="42" fillId="42" borderId="127" applyBorder="0"/>
    <xf numFmtId="4" fontId="43" fillId="49" borderId="125" applyNumberFormat="0" applyProtection="0">
      <alignment vertical="center"/>
    </xf>
    <xf numFmtId="4" fontId="40" fillId="10" borderId="132" applyNumberFormat="0" applyProtection="0">
      <alignment vertical="center"/>
    </xf>
    <xf numFmtId="4" fontId="43" fillId="45" borderId="125" applyNumberFormat="0" applyProtection="0">
      <alignment horizontal="left" vertical="center" indent="1"/>
    </xf>
    <xf numFmtId="0" fontId="43" fillId="49" borderId="125" applyNumberFormat="0" applyProtection="0">
      <alignment horizontal="left" vertical="top" indent="1"/>
    </xf>
    <xf numFmtId="4" fontId="32" fillId="0" borderId="124" applyNumberFormat="0" applyProtection="0">
      <alignment horizontal="right" vertical="center"/>
    </xf>
    <xf numFmtId="4" fontId="32" fillId="0" borderId="124" applyNumberFormat="0" applyProtection="0">
      <alignment horizontal="right" vertical="center"/>
    </xf>
    <xf numFmtId="4" fontId="40" fillId="50" borderId="124" applyNumberFormat="0" applyProtection="0">
      <alignment horizontal="right" vertical="center"/>
    </xf>
    <xf numFmtId="4" fontId="32" fillId="31" borderId="124" applyNumberFormat="0" applyProtection="0">
      <alignment horizontal="left" vertical="center" indent="1"/>
    </xf>
    <xf numFmtId="0" fontId="43" fillId="43" borderId="125" applyNumberFormat="0" applyProtection="0">
      <alignment horizontal="left" vertical="top" indent="1"/>
    </xf>
    <xf numFmtId="4" fontId="44" fillId="51" borderId="126" applyNumberFormat="0" applyProtection="0">
      <alignment horizontal="left" vertical="center" indent="1"/>
    </xf>
    <xf numFmtId="0" fontId="32" fillId="52" borderId="132"/>
    <xf numFmtId="4" fontId="45" fillId="48" borderId="124" applyNumberFormat="0" applyProtection="0">
      <alignment horizontal="right" vertical="center"/>
    </xf>
    <xf numFmtId="0" fontId="48" fillId="58" borderId="124" applyNumberFormat="0" applyAlignment="0" applyProtection="0"/>
    <xf numFmtId="0" fontId="32" fillId="23" borderId="124" applyNumberFormat="0" applyFont="0" applyAlignment="0" applyProtection="0"/>
    <xf numFmtId="0" fontId="39" fillId="0" borderId="128" applyNumberFormat="0" applyFill="0" applyAlignment="0" applyProtection="0"/>
    <xf numFmtId="0" fontId="52" fillId="24" borderId="124" applyNumberFormat="0" applyAlignment="0" applyProtection="0"/>
    <xf numFmtId="0" fontId="56" fillId="58" borderId="129" applyNumberFormat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" fontId="32" fillId="29" borderId="124" applyNumberFormat="0" applyProtection="0">
      <alignment vertical="center"/>
    </xf>
    <xf numFmtId="4" fontId="40" fillId="30" borderId="124" applyNumberFormat="0" applyProtection="0">
      <alignment vertical="center"/>
    </xf>
    <xf numFmtId="4" fontId="32" fillId="30" borderId="124" applyNumberFormat="0" applyProtection="0">
      <alignment horizontal="left" vertical="center" indent="1"/>
    </xf>
    <xf numFmtId="0" fontId="41" fillId="29" borderId="125" applyNumberFormat="0" applyProtection="0">
      <alignment horizontal="left" vertical="top" indent="1"/>
    </xf>
    <xf numFmtId="4" fontId="32" fillId="31" borderId="124" applyNumberFormat="0" applyProtection="0">
      <alignment horizontal="left" vertical="center" indent="1"/>
    </xf>
    <xf numFmtId="4" fontId="32" fillId="32" borderId="124" applyNumberFormat="0" applyProtection="0">
      <alignment horizontal="right" vertical="center"/>
    </xf>
    <xf numFmtId="4" fontId="32" fillId="33" borderId="124" applyNumberFormat="0" applyProtection="0">
      <alignment horizontal="right" vertical="center"/>
    </xf>
    <xf numFmtId="4" fontId="32" fillId="34" borderId="126" applyNumberFormat="0" applyProtection="0">
      <alignment horizontal="right" vertical="center"/>
    </xf>
    <xf numFmtId="4" fontId="32" fillId="35" borderId="124" applyNumberFormat="0" applyProtection="0">
      <alignment horizontal="right" vertical="center"/>
    </xf>
    <xf numFmtId="4" fontId="32" fillId="36" borderId="124" applyNumberFormat="0" applyProtection="0">
      <alignment horizontal="right" vertical="center"/>
    </xf>
    <xf numFmtId="4" fontId="32" fillId="37" borderId="124" applyNumberFormat="0" applyProtection="0">
      <alignment horizontal="right" vertical="center"/>
    </xf>
    <xf numFmtId="4" fontId="32" fillId="38" borderId="124" applyNumberFormat="0" applyProtection="0">
      <alignment horizontal="right" vertical="center"/>
    </xf>
    <xf numFmtId="4" fontId="32" fillId="39" borderId="124" applyNumberFormat="0" applyProtection="0">
      <alignment horizontal="right" vertical="center"/>
    </xf>
    <xf numFmtId="4" fontId="32" fillId="40" borderId="124" applyNumberFormat="0" applyProtection="0">
      <alignment horizontal="right" vertical="center"/>
    </xf>
    <xf numFmtId="4" fontId="32" fillId="41" borderId="126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2" fillId="43" borderId="124" applyNumberFormat="0" applyProtection="0">
      <alignment horizontal="right" vertical="center"/>
    </xf>
    <xf numFmtId="4" fontId="32" fillId="44" borderId="126" applyNumberFormat="0" applyProtection="0">
      <alignment horizontal="left" vertical="center" indent="1"/>
    </xf>
    <xf numFmtId="4" fontId="32" fillId="43" borderId="126" applyNumberFormat="0" applyProtection="0">
      <alignment horizontal="left" vertical="center" indent="1"/>
    </xf>
    <xf numFmtId="0" fontId="32" fillId="45" borderId="124" applyNumberFormat="0" applyProtection="0">
      <alignment horizontal="left" vertical="center" indent="1"/>
    </xf>
    <xf numFmtId="0" fontId="32" fillId="42" borderId="125" applyNumberFormat="0" applyProtection="0">
      <alignment horizontal="left" vertical="top" indent="1"/>
    </xf>
    <xf numFmtId="0" fontId="32" fillId="46" borderId="124" applyNumberFormat="0" applyProtection="0">
      <alignment horizontal="left" vertical="center" indent="1"/>
    </xf>
    <xf numFmtId="0" fontId="32" fillId="43" borderId="125" applyNumberFormat="0" applyProtection="0">
      <alignment horizontal="left" vertical="top" indent="1"/>
    </xf>
    <xf numFmtId="0" fontId="32" fillId="47" borderId="124" applyNumberFormat="0" applyProtection="0">
      <alignment horizontal="left" vertical="center" indent="1"/>
    </xf>
    <xf numFmtId="0" fontId="32" fillId="47" borderId="125" applyNumberFormat="0" applyProtection="0">
      <alignment horizontal="left" vertical="top" indent="1"/>
    </xf>
    <xf numFmtId="0" fontId="32" fillId="44" borderId="124" applyNumberFormat="0" applyProtection="0">
      <alignment horizontal="left" vertical="center" indent="1"/>
    </xf>
    <xf numFmtId="0" fontId="32" fillId="44" borderId="125" applyNumberFormat="0" applyProtection="0">
      <alignment horizontal="left" vertical="top" indent="1"/>
    </xf>
    <xf numFmtId="0" fontId="42" fillId="42" borderId="127" applyBorder="0"/>
    <xf numFmtId="4" fontId="43" fillId="49" borderId="125" applyNumberFormat="0" applyProtection="0">
      <alignment vertical="center"/>
    </xf>
    <xf numFmtId="4" fontId="43" fillId="45" borderId="125" applyNumberFormat="0" applyProtection="0">
      <alignment horizontal="left" vertical="center" indent="1"/>
    </xf>
    <xf numFmtId="0" fontId="43" fillId="49" borderId="125" applyNumberFormat="0" applyProtection="0">
      <alignment horizontal="left" vertical="top" indent="1"/>
    </xf>
    <xf numFmtId="4" fontId="32" fillId="0" borderId="124" applyNumberFormat="0" applyProtection="0">
      <alignment horizontal="right" vertical="center"/>
    </xf>
    <xf numFmtId="4" fontId="32" fillId="0" borderId="124" applyNumberFormat="0" applyProtection="0">
      <alignment horizontal="right" vertical="center"/>
    </xf>
    <xf numFmtId="4" fontId="40" fillId="50" borderId="124" applyNumberFormat="0" applyProtection="0">
      <alignment horizontal="right" vertical="center"/>
    </xf>
    <xf numFmtId="4" fontId="32" fillId="31" borderId="124" applyNumberFormat="0" applyProtection="0">
      <alignment horizontal="left" vertical="center" indent="1"/>
    </xf>
    <xf numFmtId="0" fontId="43" fillId="43" borderId="125" applyNumberFormat="0" applyProtection="0">
      <alignment horizontal="left" vertical="top" indent="1"/>
    </xf>
    <xf numFmtId="4" fontId="44" fillId="51" borderId="126" applyNumberFormat="0" applyProtection="0">
      <alignment horizontal="left" vertical="center" indent="1"/>
    </xf>
    <xf numFmtId="4" fontId="45" fillId="48" borderId="124" applyNumberFormat="0" applyProtection="0">
      <alignment horizontal="right" vertical="center"/>
    </xf>
    <xf numFmtId="0" fontId="48" fillId="58" borderId="124" applyNumberFormat="0" applyAlignment="0" applyProtection="0"/>
    <xf numFmtId="0" fontId="32" fillId="23" borderId="124" applyNumberFormat="0" applyFont="0" applyAlignment="0" applyProtection="0"/>
    <xf numFmtId="0" fontId="39" fillId="0" borderId="128" applyNumberFormat="0" applyFill="0" applyAlignment="0" applyProtection="0"/>
    <xf numFmtId="0" fontId="52" fillId="24" borderId="124" applyNumberFormat="0" applyAlignment="0" applyProtection="0"/>
    <xf numFmtId="0" fontId="56" fillId="58" borderId="129" applyNumberFormat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27" fillId="0" borderId="130">
      <alignment horizontal="left"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10" fontId="32" fillId="10" borderId="132" applyNumberFormat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" fontId="40" fillId="10" borderId="132" applyNumberFormat="0" applyProtection="0">
      <alignment vertical="center"/>
    </xf>
    <xf numFmtId="0" fontId="32" fillId="52" borderId="132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27" fillId="0" borderId="130">
      <alignment horizontal="left"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5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32" fillId="44" borderId="125" applyNumberFormat="0" applyProtection="0">
      <alignment horizontal="left" vertical="top" indent="1"/>
    </xf>
    <xf numFmtId="4" fontId="32" fillId="34" borderId="126" applyNumberFormat="0" applyProtection="0">
      <alignment horizontal="right" vertical="center"/>
    </xf>
    <xf numFmtId="0" fontId="39" fillId="0" borderId="128" applyNumberFormat="0" applyFill="0" applyAlignment="0" applyProtection="0"/>
    <xf numFmtId="4" fontId="32" fillId="0" borderId="124" applyNumberFormat="0" applyProtection="0">
      <alignment horizontal="right" vertical="center"/>
    </xf>
    <xf numFmtId="0" fontId="32" fillId="23" borderId="124" applyNumberFormat="0" applyFont="0" applyAlignment="0" applyProtection="0"/>
    <xf numFmtId="0" fontId="52" fillId="24" borderId="124" applyNumberFormat="0" applyAlignment="0" applyProtection="0"/>
    <xf numFmtId="4" fontId="32" fillId="29" borderId="124" applyNumberFormat="0" applyProtection="0">
      <alignment vertical="center"/>
    </xf>
    <xf numFmtId="4" fontId="32" fillId="38" borderId="124" applyNumberFormat="0" applyProtection="0">
      <alignment horizontal="right" vertical="center"/>
    </xf>
    <xf numFmtId="0" fontId="43" fillId="49" borderId="125" applyNumberFormat="0" applyProtection="0">
      <alignment horizontal="left" vertical="top" indent="1"/>
    </xf>
    <xf numFmtId="0" fontId="32" fillId="44" borderId="124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2" fillId="36" borderId="124" applyNumberFormat="0" applyProtection="0">
      <alignment horizontal="right" vertical="center"/>
    </xf>
    <xf numFmtId="0" fontId="32" fillId="52" borderId="132"/>
    <xf numFmtId="4" fontId="32" fillId="33" borderId="124" applyNumberFormat="0" applyProtection="0">
      <alignment horizontal="right" vertical="center"/>
    </xf>
    <xf numFmtId="0" fontId="27" fillId="0" borderId="130">
      <alignment horizontal="left" vertical="center"/>
    </xf>
    <xf numFmtId="0" fontId="32" fillId="47" borderId="124" applyNumberFormat="0" applyProtection="0">
      <alignment horizontal="left" vertical="center" indent="1"/>
    </xf>
    <xf numFmtId="4" fontId="44" fillId="51" borderId="126" applyNumberFormat="0" applyProtection="0">
      <alignment horizontal="left" vertical="center" indent="1"/>
    </xf>
    <xf numFmtId="4" fontId="32" fillId="43" borderId="126" applyNumberFormat="0" applyProtection="0">
      <alignment horizontal="left" vertical="center" indent="1"/>
    </xf>
    <xf numFmtId="4" fontId="32" fillId="32" borderId="124" applyNumberFormat="0" applyProtection="0">
      <alignment horizontal="right" vertical="center"/>
    </xf>
    <xf numFmtId="10" fontId="32" fillId="10" borderId="132" applyNumberFormat="0" applyBorder="0" applyAlignment="0" applyProtection="0"/>
    <xf numFmtId="4" fontId="32" fillId="29" borderId="124" applyNumberFormat="0" applyProtection="0">
      <alignment vertical="center"/>
    </xf>
    <xf numFmtId="4" fontId="40" fillId="30" borderId="124" applyNumberFormat="0" applyProtection="0">
      <alignment vertical="center"/>
    </xf>
    <xf numFmtId="4" fontId="32" fillId="30" borderId="124" applyNumberFormat="0" applyProtection="0">
      <alignment horizontal="left" vertical="center" indent="1"/>
    </xf>
    <xf numFmtId="0" fontId="41" fillId="29" borderId="125" applyNumberFormat="0" applyProtection="0">
      <alignment horizontal="left" vertical="top" indent="1"/>
    </xf>
    <xf numFmtId="4" fontId="32" fillId="31" borderId="124" applyNumberFormat="0" applyProtection="0">
      <alignment horizontal="left" vertical="center" indent="1"/>
    </xf>
    <xf numFmtId="4" fontId="32" fillId="32" borderId="124" applyNumberFormat="0" applyProtection="0">
      <alignment horizontal="right" vertical="center"/>
    </xf>
    <xf numFmtId="4" fontId="32" fillId="33" borderId="124" applyNumberFormat="0" applyProtection="0">
      <alignment horizontal="right" vertical="center"/>
    </xf>
    <xf numFmtId="4" fontId="32" fillId="34" borderId="126" applyNumberFormat="0" applyProtection="0">
      <alignment horizontal="right" vertical="center"/>
    </xf>
    <xf numFmtId="4" fontId="32" fillId="35" borderId="124" applyNumberFormat="0" applyProtection="0">
      <alignment horizontal="right" vertical="center"/>
    </xf>
    <xf numFmtId="4" fontId="32" fillId="36" borderId="124" applyNumberFormat="0" applyProtection="0">
      <alignment horizontal="right" vertical="center"/>
    </xf>
    <xf numFmtId="4" fontId="32" fillId="37" borderId="124" applyNumberFormat="0" applyProtection="0">
      <alignment horizontal="right" vertical="center"/>
    </xf>
    <xf numFmtId="4" fontId="32" fillId="38" borderId="124" applyNumberFormat="0" applyProtection="0">
      <alignment horizontal="right" vertical="center"/>
    </xf>
    <xf numFmtId="4" fontId="32" fillId="39" borderId="124" applyNumberFormat="0" applyProtection="0">
      <alignment horizontal="right" vertical="center"/>
    </xf>
    <xf numFmtId="4" fontId="32" fillId="40" borderId="124" applyNumberFormat="0" applyProtection="0">
      <alignment horizontal="right" vertical="center"/>
    </xf>
    <xf numFmtId="4" fontId="32" fillId="41" borderId="126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2" fillId="43" borderId="124" applyNumberFormat="0" applyProtection="0">
      <alignment horizontal="right" vertical="center"/>
    </xf>
    <xf numFmtId="4" fontId="32" fillId="44" borderId="126" applyNumberFormat="0" applyProtection="0">
      <alignment horizontal="left" vertical="center" indent="1"/>
    </xf>
    <xf numFmtId="4" fontId="32" fillId="43" borderId="126" applyNumberFormat="0" applyProtection="0">
      <alignment horizontal="left" vertical="center" indent="1"/>
    </xf>
    <xf numFmtId="0" fontId="32" fillId="45" borderId="124" applyNumberFormat="0" applyProtection="0">
      <alignment horizontal="left" vertical="center" indent="1"/>
    </xf>
    <xf numFmtId="0" fontId="32" fillId="42" borderId="125" applyNumberFormat="0" applyProtection="0">
      <alignment horizontal="left" vertical="top" indent="1"/>
    </xf>
    <xf numFmtId="0" fontId="32" fillId="46" borderId="124" applyNumberFormat="0" applyProtection="0">
      <alignment horizontal="left" vertical="center" indent="1"/>
    </xf>
    <xf numFmtId="0" fontId="32" fillId="43" borderId="125" applyNumberFormat="0" applyProtection="0">
      <alignment horizontal="left" vertical="top" indent="1"/>
    </xf>
    <xf numFmtId="0" fontId="32" fillId="47" borderId="124" applyNumberFormat="0" applyProtection="0">
      <alignment horizontal="left" vertical="center" indent="1"/>
    </xf>
    <xf numFmtId="0" fontId="32" fillId="47" borderId="125" applyNumberFormat="0" applyProtection="0">
      <alignment horizontal="left" vertical="top" indent="1"/>
    </xf>
    <xf numFmtId="0" fontId="32" fillId="44" borderId="124" applyNumberFormat="0" applyProtection="0">
      <alignment horizontal="left" vertical="center" indent="1"/>
    </xf>
    <xf numFmtId="0" fontId="32" fillId="44" borderId="125" applyNumberFormat="0" applyProtection="0">
      <alignment horizontal="left" vertical="top" indent="1"/>
    </xf>
    <xf numFmtId="0" fontId="42" fillId="42" borderId="127" applyBorder="0"/>
    <xf numFmtId="4" fontId="43" fillId="49" borderId="125" applyNumberFormat="0" applyProtection="0">
      <alignment vertical="center"/>
    </xf>
    <xf numFmtId="4" fontId="43" fillId="45" borderId="125" applyNumberFormat="0" applyProtection="0">
      <alignment horizontal="left" vertical="center" indent="1"/>
    </xf>
    <xf numFmtId="0" fontId="43" fillId="49" borderId="125" applyNumberFormat="0" applyProtection="0">
      <alignment horizontal="left" vertical="top" indent="1"/>
    </xf>
    <xf numFmtId="4" fontId="32" fillId="0" borderId="124" applyNumberFormat="0" applyProtection="0">
      <alignment horizontal="right" vertical="center"/>
    </xf>
    <xf numFmtId="4" fontId="32" fillId="0" borderId="124" applyNumberFormat="0" applyProtection="0">
      <alignment horizontal="right" vertical="center"/>
    </xf>
    <xf numFmtId="4" fontId="40" fillId="50" borderId="124" applyNumberFormat="0" applyProtection="0">
      <alignment horizontal="right" vertical="center"/>
    </xf>
    <xf numFmtId="4" fontId="32" fillId="31" borderId="124" applyNumberFormat="0" applyProtection="0">
      <alignment horizontal="left" vertical="center" indent="1"/>
    </xf>
    <xf numFmtId="0" fontId="43" fillId="43" borderId="125" applyNumberFormat="0" applyProtection="0">
      <alignment horizontal="left" vertical="top" indent="1"/>
    </xf>
    <xf numFmtId="4" fontId="44" fillId="51" borderId="126" applyNumberFormat="0" applyProtection="0">
      <alignment horizontal="left" vertical="center" indent="1"/>
    </xf>
    <xf numFmtId="4" fontId="45" fillId="48" borderId="124" applyNumberFormat="0" applyProtection="0">
      <alignment horizontal="right" vertical="center"/>
    </xf>
    <xf numFmtId="0" fontId="48" fillId="58" borderId="124" applyNumberFormat="0" applyAlignment="0" applyProtection="0"/>
    <xf numFmtId="0" fontId="32" fillId="23" borderId="124" applyNumberFormat="0" applyFont="0" applyAlignment="0" applyProtection="0"/>
    <xf numFmtId="0" fontId="39" fillId="0" borderId="128" applyNumberFormat="0" applyFill="0" applyAlignment="0" applyProtection="0"/>
    <xf numFmtId="0" fontId="52" fillId="24" borderId="124" applyNumberFormat="0" applyAlignment="0" applyProtection="0"/>
    <xf numFmtId="0" fontId="56" fillId="58" borderId="129" applyNumberFormat="0" applyAlignment="0" applyProtection="0"/>
    <xf numFmtId="4" fontId="32" fillId="31" borderId="124" applyNumberFormat="0" applyProtection="0">
      <alignment horizontal="left" vertical="center" indent="1"/>
    </xf>
    <xf numFmtId="0" fontId="32" fillId="45" borderId="124" applyNumberFormat="0" applyProtection="0">
      <alignment horizontal="left" vertical="center" indent="1"/>
    </xf>
    <xf numFmtId="4" fontId="43" fillId="49" borderId="125" applyNumberFormat="0" applyProtection="0">
      <alignment vertical="center"/>
    </xf>
    <xf numFmtId="4" fontId="32" fillId="40" borderId="124" applyNumberFormat="0" applyProtection="0">
      <alignment horizontal="right" vertical="center"/>
    </xf>
    <xf numFmtId="4" fontId="40" fillId="50" borderId="124" applyNumberFormat="0" applyProtection="0">
      <alignment horizontal="right"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0" fontId="56" fillId="58" borderId="129" applyNumberFormat="0" applyAlignment="0" applyProtection="0"/>
    <xf numFmtId="0" fontId="27" fillId="0" borderId="130">
      <alignment horizontal="left" vertical="center"/>
    </xf>
    <xf numFmtId="0" fontId="48" fillId="58" borderId="124" applyNumberFormat="0" applyAlignment="0" applyProtection="0"/>
    <xf numFmtId="0" fontId="32" fillId="43" borderId="125" applyNumberFormat="0" applyProtection="0">
      <alignment horizontal="left" vertical="top" indent="1"/>
    </xf>
    <xf numFmtId="0" fontId="42" fillId="42" borderId="127" applyBorder="0"/>
    <xf numFmtId="4" fontId="32" fillId="31" borderId="124" applyNumberFormat="0" applyProtection="0">
      <alignment horizontal="left" vertical="center" indent="1"/>
    </xf>
    <xf numFmtId="4" fontId="32" fillId="30" borderId="124" applyNumberFormat="0" applyProtection="0">
      <alignment horizontal="left" vertical="center" indent="1"/>
    </xf>
    <xf numFmtId="0" fontId="32" fillId="42" borderId="125" applyNumberFormat="0" applyProtection="0">
      <alignment horizontal="left" vertical="top" indent="1"/>
    </xf>
    <xf numFmtId="4" fontId="32" fillId="0" borderId="124" applyNumberFormat="0" applyProtection="0">
      <alignment horizontal="right" vertical="center"/>
    </xf>
    <xf numFmtId="4" fontId="32" fillId="37" borderId="124" applyNumberFormat="0" applyProtection="0">
      <alignment horizontal="right" vertical="center"/>
    </xf>
    <xf numFmtId="4" fontId="45" fillId="48" borderId="124" applyNumberFormat="0" applyProtection="0">
      <alignment horizontal="right" vertical="center"/>
    </xf>
    <xf numFmtId="4" fontId="40" fillId="30" borderId="124" applyNumberFormat="0" applyProtection="0">
      <alignment vertical="center"/>
    </xf>
    <xf numFmtId="4" fontId="32" fillId="39" borderId="124" applyNumberFormat="0" applyProtection="0">
      <alignment horizontal="right" vertical="center"/>
    </xf>
    <xf numFmtId="4" fontId="30" fillId="42" borderId="126" applyNumberFormat="0" applyProtection="0">
      <alignment horizontal="left" vertical="center" indent="1"/>
    </xf>
    <xf numFmtId="0" fontId="32" fillId="47" borderId="125" applyNumberFormat="0" applyProtection="0">
      <alignment horizontal="left" vertical="top" indent="1"/>
    </xf>
    <xf numFmtId="4" fontId="43" fillId="45" borderId="125" applyNumberFormat="0" applyProtection="0">
      <alignment horizontal="left" vertical="center" indent="1"/>
    </xf>
    <xf numFmtId="4" fontId="40" fillId="10" borderId="132" applyNumberFormat="0" applyProtection="0">
      <alignment vertical="center"/>
    </xf>
    <xf numFmtId="0" fontId="43" fillId="43" borderId="125" applyNumberFormat="0" applyProtection="0">
      <alignment horizontal="left" vertical="top" indent="1"/>
    </xf>
    <xf numFmtId="4" fontId="32" fillId="44" borderId="126" applyNumberFormat="0" applyProtection="0">
      <alignment horizontal="left" vertical="center" indent="1"/>
    </xf>
    <xf numFmtId="4" fontId="32" fillId="43" borderId="124" applyNumberFormat="0" applyProtection="0">
      <alignment horizontal="right" vertical="center"/>
    </xf>
    <xf numFmtId="0" fontId="27" fillId="0" borderId="130">
      <alignment horizontal="left" vertical="center"/>
    </xf>
    <xf numFmtId="0" fontId="41" fillId="29" borderId="125" applyNumberFormat="0" applyProtection="0">
      <alignment horizontal="left" vertical="top" indent="1"/>
    </xf>
    <xf numFmtId="4" fontId="32" fillId="35" borderId="124" applyNumberFormat="0" applyProtection="0">
      <alignment horizontal="right" vertical="center"/>
    </xf>
    <xf numFmtId="0" fontId="32" fillId="46" borderId="124" applyNumberFormat="0" applyProtection="0">
      <alignment horizontal="left" vertical="center" indent="1"/>
    </xf>
    <xf numFmtId="4" fontId="32" fillId="41" borderId="126" applyNumberFormat="0" applyProtection="0">
      <alignment horizontal="left" vertical="center" indent="1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" fontId="32" fillId="29" borderId="149" applyNumberFormat="0" applyProtection="0">
      <alignment vertical="center"/>
    </xf>
    <xf numFmtId="4" fontId="32" fillId="44" borderId="135" applyNumberFormat="0" applyProtection="0">
      <alignment horizontal="left" vertical="center" indent="1"/>
    </xf>
    <xf numFmtId="0" fontId="52" fillId="24" borderId="141" applyNumberFormat="0" applyAlignment="0" applyProtection="0"/>
    <xf numFmtId="0" fontId="32" fillId="23" borderId="149" applyNumberFormat="0" applyFont="0" applyAlignment="0" applyProtection="0"/>
    <xf numFmtId="4" fontId="32" fillId="35" borderId="133" applyNumberFormat="0" applyProtection="0">
      <alignment horizontal="right" vertical="center"/>
    </xf>
    <xf numFmtId="4" fontId="30" fillId="42" borderId="151" applyNumberFormat="0" applyProtection="0">
      <alignment horizontal="left" vertical="center" indent="1"/>
    </xf>
    <xf numFmtId="0" fontId="32" fillId="44" borderId="150" applyNumberFormat="0" applyProtection="0">
      <alignment horizontal="left" vertical="top" indent="1"/>
    </xf>
    <xf numFmtId="4" fontId="32" fillId="29" borderId="133" applyNumberFormat="0" applyProtection="0">
      <alignment vertical="center"/>
    </xf>
    <xf numFmtId="0" fontId="32" fillId="43" borderId="134" applyNumberFormat="0" applyProtection="0">
      <alignment horizontal="left" vertical="top" indent="1"/>
    </xf>
    <xf numFmtId="0" fontId="32" fillId="44" borderId="134" applyNumberFormat="0" applyProtection="0">
      <alignment horizontal="left" vertical="top" indent="1"/>
    </xf>
    <xf numFmtId="4" fontId="32" fillId="32" borderId="141" applyNumberFormat="0" applyProtection="0">
      <alignment horizontal="right" vertical="center"/>
    </xf>
    <xf numFmtId="0" fontId="39" fillId="0" borderId="145" applyNumberFormat="0" applyFill="0" applyAlignment="0" applyProtection="0"/>
    <xf numFmtId="0" fontId="32" fillId="46" borderId="141" applyNumberFormat="0" applyProtection="0">
      <alignment horizontal="left" vertical="center" indent="1"/>
    </xf>
    <xf numFmtId="0" fontId="27" fillId="0" borderId="155">
      <alignment horizontal="left" vertical="center"/>
    </xf>
    <xf numFmtId="0" fontId="32" fillId="48" borderId="131" applyNumberFormat="0">
      <protection locked="0"/>
    </xf>
    <xf numFmtId="4" fontId="32" fillId="0" borderId="149" applyNumberFormat="0" applyProtection="0">
      <alignment horizontal="right" vertical="center"/>
    </xf>
    <xf numFmtId="0" fontId="43" fillId="49" borderId="150" applyNumberFormat="0" applyProtection="0">
      <alignment horizontal="left" vertical="top" indent="1"/>
    </xf>
    <xf numFmtId="0" fontId="41" fillId="29" borderId="150" applyNumberFormat="0" applyProtection="0">
      <alignment horizontal="left" vertical="top" indent="1"/>
    </xf>
    <xf numFmtId="4" fontId="32" fillId="33" borderId="133" applyNumberFormat="0" applyProtection="0">
      <alignment horizontal="right" vertical="center"/>
    </xf>
    <xf numFmtId="4" fontId="32" fillId="37" borderId="133" applyNumberFormat="0" applyProtection="0">
      <alignment horizontal="right" vertical="center"/>
    </xf>
    <xf numFmtId="0" fontId="32" fillId="47" borderId="141" applyNumberFormat="0" applyProtection="0">
      <alignment horizontal="left" vertical="center" indent="1"/>
    </xf>
    <xf numFmtId="4" fontId="32" fillId="30" borderId="141" applyNumberFormat="0" applyProtection="0">
      <alignment horizontal="left" vertical="center" indent="1"/>
    </xf>
    <xf numFmtId="0" fontId="32" fillId="42" borderId="150" applyNumberFormat="0" applyProtection="0">
      <alignment horizontal="left" vertical="top" indent="1"/>
    </xf>
    <xf numFmtId="4" fontId="32" fillId="36" borderId="149" applyNumberFormat="0" applyProtection="0">
      <alignment horizontal="right" vertical="center"/>
    </xf>
    <xf numFmtId="4" fontId="32" fillId="36" borderId="133" applyNumberFormat="0" applyProtection="0">
      <alignment horizontal="right" vertical="center"/>
    </xf>
    <xf numFmtId="0" fontId="39" fillId="0" borderId="137" applyNumberFormat="0" applyFill="0" applyAlignment="0" applyProtection="0"/>
    <xf numFmtId="4" fontId="30" fillId="42" borderId="143" applyNumberFormat="0" applyProtection="0">
      <alignment horizontal="left" vertical="center" indent="1"/>
    </xf>
    <xf numFmtId="4" fontId="32" fillId="40" borderId="149" applyNumberFormat="0" applyProtection="0">
      <alignment horizontal="right" vertical="center"/>
    </xf>
    <xf numFmtId="4" fontId="32" fillId="31" borderId="141" applyNumberFormat="0" applyProtection="0">
      <alignment horizontal="left" vertical="center" indent="1"/>
    </xf>
    <xf numFmtId="4" fontId="32" fillId="39" borderId="133" applyNumberFormat="0" applyProtection="0">
      <alignment horizontal="right" vertical="center"/>
    </xf>
    <xf numFmtId="0" fontId="43" fillId="43" borderId="134" applyNumberFormat="0" applyProtection="0">
      <alignment horizontal="left" vertical="top" indent="1"/>
    </xf>
    <xf numFmtId="4" fontId="32" fillId="0" borderId="141" applyNumberFormat="0" applyProtection="0">
      <alignment horizontal="right" vertical="center"/>
    </xf>
    <xf numFmtId="0" fontId="32" fillId="45" borderId="149" applyNumberFormat="0" applyProtection="0">
      <alignment horizontal="left" vertical="center" indent="1"/>
    </xf>
    <xf numFmtId="4" fontId="43" fillId="49" borderId="142" applyNumberFormat="0" applyProtection="0">
      <alignment vertical="center"/>
    </xf>
    <xf numFmtId="4" fontId="30" fillId="42" borderId="126" applyNumberFormat="0" applyProtection="0">
      <alignment horizontal="left" vertical="center" indent="1"/>
    </xf>
    <xf numFmtId="0" fontId="48" fillId="58" borderId="149" applyNumberFormat="0" applyAlignment="0" applyProtection="0"/>
    <xf numFmtId="4" fontId="32" fillId="31" borderId="141" applyNumberFormat="0" applyProtection="0">
      <alignment horizontal="left" vertical="center" indent="1"/>
    </xf>
    <xf numFmtId="4" fontId="32" fillId="30" borderId="149" applyNumberFormat="0" applyProtection="0">
      <alignment horizontal="left" vertical="center" indent="1"/>
    </xf>
    <xf numFmtId="4" fontId="30" fillId="42" borderId="135" applyNumberFormat="0" applyProtection="0">
      <alignment horizontal="left" vertical="center" indent="1"/>
    </xf>
    <xf numFmtId="0" fontId="56" fillId="58" borderId="154" applyNumberFormat="0" applyAlignment="0" applyProtection="0"/>
    <xf numFmtId="0" fontId="32" fillId="23" borderId="149" applyNumberFormat="0" applyFont="0" applyAlignment="0" applyProtection="0"/>
    <xf numFmtId="4" fontId="30" fillId="42" borderId="151" applyNumberFormat="0" applyProtection="0">
      <alignment horizontal="left" vertical="center" indent="1"/>
    </xf>
    <xf numFmtId="0" fontId="32" fillId="42" borderId="150" applyNumberFormat="0" applyProtection="0">
      <alignment horizontal="left" vertical="top" indent="1"/>
    </xf>
    <xf numFmtId="4" fontId="30" fillId="42" borderId="143" applyNumberFormat="0" applyProtection="0">
      <alignment horizontal="left" vertical="center" indent="1"/>
    </xf>
    <xf numFmtId="0" fontId="48" fillId="58" borderId="141" applyNumberFormat="0" applyAlignment="0" applyProtection="0"/>
    <xf numFmtId="4" fontId="32" fillId="43" borderId="141" applyNumberFormat="0" applyProtection="0">
      <alignment horizontal="right" vertical="center"/>
    </xf>
    <xf numFmtId="4" fontId="32" fillId="39" borderId="141" applyNumberFormat="0" applyProtection="0">
      <alignment horizontal="right" vertical="center"/>
    </xf>
    <xf numFmtId="4" fontId="30" fillId="42" borderId="143" applyNumberFormat="0" applyProtection="0">
      <alignment horizontal="left" vertical="center" indent="1"/>
    </xf>
    <xf numFmtId="4" fontId="32" fillId="39" borderId="133" applyNumberFormat="0" applyProtection="0">
      <alignment horizontal="right" vertical="center"/>
    </xf>
    <xf numFmtId="0" fontId="27" fillId="0" borderId="139">
      <alignment horizontal="left" vertical="center"/>
    </xf>
    <xf numFmtId="4" fontId="32" fillId="38" borderId="149" applyNumberFormat="0" applyProtection="0">
      <alignment horizontal="right" vertical="center"/>
    </xf>
    <xf numFmtId="4" fontId="45" fillId="48" borderId="124" applyNumberFormat="0" applyProtection="0">
      <alignment horizontal="right" vertical="center"/>
    </xf>
    <xf numFmtId="4" fontId="32" fillId="43" borderId="149" applyNumberFormat="0" applyProtection="0">
      <alignment horizontal="right" vertical="center"/>
    </xf>
    <xf numFmtId="4" fontId="32" fillId="30" borderId="133" applyNumberFormat="0" applyProtection="0">
      <alignment horizontal="left" vertical="center" indent="1"/>
    </xf>
    <xf numFmtId="4" fontId="43" fillId="45" borderId="150" applyNumberFormat="0" applyProtection="0">
      <alignment horizontal="left" vertical="center" indent="1"/>
    </xf>
    <xf numFmtId="4" fontId="30" fillId="42" borderId="135" applyNumberFormat="0" applyProtection="0">
      <alignment horizontal="left" vertical="center" indent="1"/>
    </xf>
    <xf numFmtId="4" fontId="32" fillId="39" borderId="141" applyNumberFormat="0" applyProtection="0">
      <alignment horizontal="right" vertical="center"/>
    </xf>
    <xf numFmtId="4" fontId="43" fillId="45" borderId="134" applyNumberFormat="0" applyProtection="0">
      <alignment horizontal="left" vertical="center" indent="1"/>
    </xf>
    <xf numFmtId="0" fontId="48" fillId="58" borderId="141" applyNumberFormat="0" applyAlignment="0" applyProtection="0"/>
    <xf numFmtId="0" fontId="32" fillId="23" borderId="149" applyNumberFormat="0" applyFont="0" applyAlignment="0" applyProtection="0"/>
    <xf numFmtId="4" fontId="30" fillId="42" borderId="151" applyNumberFormat="0" applyProtection="0">
      <alignment horizontal="left" vertical="center" indent="1"/>
    </xf>
    <xf numFmtId="4" fontId="32" fillId="41" borderId="143" applyNumberFormat="0" applyProtection="0">
      <alignment horizontal="left" vertical="center" indent="1"/>
    </xf>
    <xf numFmtId="4" fontId="32" fillId="37" borderId="133" applyNumberFormat="0" applyProtection="0">
      <alignment horizontal="right" vertical="center"/>
    </xf>
    <xf numFmtId="0" fontId="39" fillId="0" borderId="137" applyNumberFormat="0" applyFill="0" applyAlignment="0" applyProtection="0"/>
    <xf numFmtId="4" fontId="32" fillId="39" borderId="149" applyNumberFormat="0" applyProtection="0">
      <alignment horizontal="right" vertical="center"/>
    </xf>
    <xf numFmtId="0" fontId="41" fillId="29" borderId="134" applyNumberFormat="0" applyProtection="0">
      <alignment horizontal="left" vertical="top" indent="1"/>
    </xf>
    <xf numFmtId="4" fontId="32" fillId="44" borderId="135" applyNumberFormat="0" applyProtection="0">
      <alignment horizontal="left" vertical="center" indent="1"/>
    </xf>
    <xf numFmtId="4" fontId="30" fillId="42" borderId="143" applyNumberFormat="0" applyProtection="0">
      <alignment horizontal="left" vertical="center" indent="1"/>
    </xf>
    <xf numFmtId="4" fontId="40" fillId="50" borderId="141" applyNumberFormat="0" applyProtection="0">
      <alignment horizontal="right" vertical="center"/>
    </xf>
    <xf numFmtId="4" fontId="32" fillId="32" borderId="133" applyNumberFormat="0" applyProtection="0">
      <alignment horizontal="right" vertical="center"/>
    </xf>
    <xf numFmtId="4" fontId="32" fillId="43" borderId="151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45" fillId="48" borderId="149" applyNumberFormat="0" applyProtection="0">
      <alignment horizontal="right" vertical="center"/>
    </xf>
    <xf numFmtId="4" fontId="43" fillId="45" borderId="134" applyNumberFormat="0" applyProtection="0">
      <alignment horizontal="left" vertical="center" indent="1"/>
    </xf>
    <xf numFmtId="0" fontId="42" fillId="42" borderId="144" applyBorder="0"/>
    <xf numFmtId="4" fontId="32" fillId="31" borderId="149" applyNumberFormat="0" applyProtection="0">
      <alignment horizontal="left" vertical="center" indent="1"/>
    </xf>
    <xf numFmtId="4" fontId="32" fillId="30" borderId="133" applyNumberFormat="0" applyProtection="0">
      <alignment horizontal="left" vertical="center" indent="1"/>
    </xf>
    <xf numFmtId="0" fontId="41" fillId="29" borderId="134" applyNumberFormat="0" applyProtection="0">
      <alignment horizontal="left" vertical="top" indent="1"/>
    </xf>
    <xf numFmtId="0" fontId="32" fillId="52" borderId="140"/>
    <xf numFmtId="0" fontId="32" fillId="44" borderId="142" applyNumberFormat="0" applyProtection="0">
      <alignment horizontal="left" vertical="top" indent="1"/>
    </xf>
    <xf numFmtId="4" fontId="45" fillId="48" borderId="133" applyNumberFormat="0" applyProtection="0">
      <alignment horizontal="right" vertical="center"/>
    </xf>
    <xf numFmtId="4" fontId="32" fillId="32" borderId="149" applyNumberFormat="0" applyProtection="0">
      <alignment horizontal="right" vertical="center"/>
    </xf>
    <xf numFmtId="4" fontId="32" fillId="35" borderId="133" applyNumberFormat="0" applyProtection="0">
      <alignment horizontal="right" vertical="center"/>
    </xf>
    <xf numFmtId="4" fontId="32" fillId="40" borderId="133" applyNumberFormat="0" applyProtection="0">
      <alignment horizontal="right" vertical="center"/>
    </xf>
    <xf numFmtId="4" fontId="32" fillId="43" borderId="143" applyNumberFormat="0" applyProtection="0">
      <alignment horizontal="left" vertical="center" indent="1"/>
    </xf>
    <xf numFmtId="0" fontId="52" fillId="24" borderId="149" applyNumberFormat="0" applyAlignment="0" applyProtection="0"/>
    <xf numFmtId="4" fontId="32" fillId="38" borderId="133" applyNumberFormat="0" applyProtection="0">
      <alignment horizontal="right" vertical="center"/>
    </xf>
    <xf numFmtId="0" fontId="32" fillId="52" borderId="156"/>
    <xf numFmtId="4" fontId="32" fillId="32" borderId="149" applyNumberFormat="0" applyProtection="0">
      <alignment horizontal="right" vertical="center"/>
    </xf>
    <xf numFmtId="0" fontId="56" fillId="58" borderId="138" applyNumberFormat="0" applyAlignment="0" applyProtection="0"/>
    <xf numFmtId="4" fontId="32" fillId="32" borderId="149" applyNumberFormat="0" applyProtection="0">
      <alignment horizontal="right" vertical="center"/>
    </xf>
    <xf numFmtId="0" fontId="32" fillId="45" borderId="133" applyNumberFormat="0" applyProtection="0">
      <alignment horizontal="left" vertical="center" indent="1"/>
    </xf>
    <xf numFmtId="0" fontId="27" fillId="0" borderId="155">
      <alignment horizontal="left" vertical="center"/>
    </xf>
    <xf numFmtId="4" fontId="32" fillId="32" borderId="133" applyNumberFormat="0" applyProtection="0">
      <alignment horizontal="right" vertical="center"/>
    </xf>
    <xf numFmtId="0" fontId="32" fillId="43" borderId="142" applyNumberFormat="0" applyProtection="0">
      <alignment horizontal="left" vertical="top" indent="1"/>
    </xf>
    <xf numFmtId="0" fontId="56" fillId="58" borderId="146" applyNumberFormat="0" applyAlignment="0" applyProtection="0"/>
    <xf numFmtId="0" fontId="52" fillId="24" borderId="141" applyNumberFormat="0" applyAlignment="0" applyProtection="0"/>
    <xf numFmtId="0" fontId="48" fillId="58" borderId="133" applyNumberFormat="0" applyAlignment="0" applyProtection="0"/>
    <xf numFmtId="0" fontId="42" fillId="42" borderId="152" applyBorder="0"/>
    <xf numFmtId="10" fontId="32" fillId="10" borderId="140" applyNumberFormat="0" applyBorder="0" applyAlignment="0" applyProtection="0"/>
    <xf numFmtId="10" fontId="32" fillId="10" borderId="116" applyNumberFormat="0" applyBorder="0" applyAlignment="0" applyProtection="0"/>
    <xf numFmtId="4" fontId="32" fillId="29" borderId="133" applyNumberFormat="0" applyProtection="0">
      <alignment vertical="center"/>
    </xf>
    <xf numFmtId="0" fontId="32" fillId="46" borderId="149" applyNumberFormat="0" applyProtection="0">
      <alignment horizontal="left" vertical="center" indent="1"/>
    </xf>
    <xf numFmtId="4" fontId="32" fillId="43" borderId="149" applyNumberFormat="0" applyProtection="0">
      <alignment horizontal="right" vertical="center"/>
    </xf>
    <xf numFmtId="0" fontId="42" fillId="42" borderId="152" applyBorder="0"/>
    <xf numFmtId="0" fontId="32" fillId="47" borderId="124" applyNumberFormat="0" applyProtection="0">
      <alignment horizontal="left" vertical="center" indent="1"/>
    </xf>
    <xf numFmtId="4" fontId="30" fillId="42" borderId="143" applyNumberFormat="0" applyProtection="0">
      <alignment horizontal="left" vertical="center" indent="1"/>
    </xf>
    <xf numFmtId="4" fontId="40" fillId="30" borderId="149" applyNumberFormat="0" applyProtection="0">
      <alignment vertical="center"/>
    </xf>
    <xf numFmtId="4" fontId="40" fillId="10" borderId="116" applyNumberFormat="0" applyProtection="0">
      <alignment vertical="center"/>
    </xf>
    <xf numFmtId="0" fontId="32" fillId="52" borderId="116"/>
    <xf numFmtId="0" fontId="32" fillId="47" borderId="150" applyNumberFormat="0" applyProtection="0">
      <alignment horizontal="left" vertical="top" indent="1"/>
    </xf>
    <xf numFmtId="0" fontId="32" fillId="43" borderId="142" applyNumberFormat="0" applyProtection="0">
      <alignment horizontal="left" vertical="top" indent="1"/>
    </xf>
    <xf numFmtId="0" fontId="32" fillId="47" borderId="149" applyNumberFormat="0" applyProtection="0">
      <alignment horizontal="left" vertical="center" indent="1"/>
    </xf>
    <xf numFmtId="4" fontId="32" fillId="33" borderId="149" applyNumberFormat="0" applyProtection="0">
      <alignment horizontal="right" vertical="center"/>
    </xf>
    <xf numFmtId="0" fontId="32" fillId="42" borderId="150" applyNumberFormat="0" applyProtection="0">
      <alignment horizontal="left" vertical="top" indent="1"/>
    </xf>
    <xf numFmtId="0" fontId="42" fillId="42" borderId="152" applyBorder="0"/>
    <xf numFmtId="4" fontId="32" fillId="36" borderId="133" applyNumberFormat="0" applyProtection="0">
      <alignment horizontal="right" vertical="center"/>
    </xf>
    <xf numFmtId="4" fontId="32" fillId="43" borderId="143" applyNumberFormat="0" applyProtection="0">
      <alignment horizontal="left" vertical="center" indent="1"/>
    </xf>
    <xf numFmtId="0" fontId="43" fillId="49" borderId="142" applyNumberFormat="0" applyProtection="0">
      <alignment horizontal="left" vertical="top" indent="1"/>
    </xf>
    <xf numFmtId="0" fontId="41" fillId="29" borderId="150" applyNumberFormat="0" applyProtection="0">
      <alignment horizontal="left" vertical="top" indent="1"/>
    </xf>
    <xf numFmtId="0" fontId="32" fillId="47" borderId="149" applyNumberFormat="0" applyProtection="0">
      <alignment horizontal="left" vertical="center" indent="1"/>
    </xf>
    <xf numFmtId="4" fontId="43" fillId="49" borderId="142" applyNumberFormat="0" applyProtection="0">
      <alignment vertical="center"/>
    </xf>
    <xf numFmtId="4" fontId="32" fillId="40" borderId="149" applyNumberFormat="0" applyProtection="0">
      <alignment horizontal="right" vertical="center"/>
    </xf>
    <xf numFmtId="4" fontId="30" fillId="42" borderId="135" applyNumberFormat="0" applyProtection="0">
      <alignment horizontal="left" vertical="center" indent="1"/>
    </xf>
    <xf numFmtId="0" fontId="32" fillId="52" borderId="148"/>
    <xf numFmtId="4" fontId="32" fillId="43" borderId="133" applyNumberFormat="0" applyProtection="0">
      <alignment horizontal="right" vertical="center"/>
    </xf>
    <xf numFmtId="0" fontId="32" fillId="52" borderId="140"/>
    <xf numFmtId="0" fontId="56" fillId="58" borderId="138" applyNumberFormat="0" applyAlignment="0" applyProtection="0"/>
    <xf numFmtId="0" fontId="39" fillId="0" borderId="137" applyNumberFormat="0" applyFill="0" applyAlignment="0" applyProtection="0"/>
    <xf numFmtId="4" fontId="32" fillId="36" borderId="149" applyNumberFormat="0" applyProtection="0">
      <alignment horizontal="right" vertical="center"/>
    </xf>
    <xf numFmtId="0" fontId="32" fillId="45" borderId="149" applyNumberFormat="0" applyProtection="0">
      <alignment horizontal="left" vertical="center" indent="1"/>
    </xf>
    <xf numFmtId="4" fontId="30" fillId="42" borderId="151" applyNumberFormat="0" applyProtection="0">
      <alignment horizontal="left" vertical="center" indent="1"/>
    </xf>
    <xf numFmtId="0" fontId="52" fillId="24" borderId="141" applyNumberFormat="0" applyAlignment="0" applyProtection="0"/>
    <xf numFmtId="4" fontId="40" fillId="30" borderId="133" applyNumberFormat="0" applyProtection="0">
      <alignment vertical="center"/>
    </xf>
    <xf numFmtId="4" fontId="40" fillId="50" borderId="141" applyNumberFormat="0" applyProtection="0">
      <alignment horizontal="right" vertical="center"/>
    </xf>
    <xf numFmtId="0" fontId="32" fillId="47" borderId="150" applyNumberFormat="0" applyProtection="0">
      <alignment horizontal="left" vertical="top" indent="1"/>
    </xf>
    <xf numFmtId="4" fontId="32" fillId="34" borderId="143" applyNumberFormat="0" applyProtection="0">
      <alignment horizontal="right" vertical="center"/>
    </xf>
    <xf numFmtId="4" fontId="44" fillId="51" borderId="151" applyNumberFormat="0" applyProtection="0">
      <alignment horizontal="left" vertical="center" indent="1"/>
    </xf>
    <xf numFmtId="4" fontId="32" fillId="0" borderId="149" applyNumberFormat="0" applyProtection="0">
      <alignment horizontal="right" vertical="center"/>
    </xf>
    <xf numFmtId="4" fontId="32" fillId="37" borderId="141" applyNumberFormat="0" applyProtection="0">
      <alignment horizontal="right" vertical="center"/>
    </xf>
    <xf numFmtId="0" fontId="27" fillId="0" borderId="155">
      <alignment horizontal="left" vertical="center"/>
    </xf>
    <xf numFmtId="4" fontId="32" fillId="41" borderId="151" applyNumberFormat="0" applyProtection="0">
      <alignment horizontal="left" vertical="center" indent="1"/>
    </xf>
    <xf numFmtId="0" fontId="48" fillId="58" borderId="149" applyNumberFormat="0" applyAlignment="0" applyProtection="0"/>
    <xf numFmtId="4" fontId="40" fillId="50" borderId="133" applyNumberFormat="0" applyProtection="0">
      <alignment horizontal="right" vertical="center"/>
    </xf>
    <xf numFmtId="4" fontId="40" fillId="50" borderId="124" applyNumberFormat="0" applyProtection="0">
      <alignment horizontal="right" vertical="center"/>
    </xf>
    <xf numFmtId="4" fontId="32" fillId="41" borderId="143" applyNumberFormat="0" applyProtection="0">
      <alignment horizontal="left" vertical="center" indent="1"/>
    </xf>
    <xf numFmtId="4" fontId="32" fillId="39" borderId="149" applyNumberFormat="0" applyProtection="0">
      <alignment horizontal="right" vertical="center"/>
    </xf>
    <xf numFmtId="4" fontId="40" fillId="50" borderId="141" applyNumberFormat="0" applyProtection="0">
      <alignment horizontal="right" vertical="center"/>
    </xf>
    <xf numFmtId="4" fontId="32" fillId="31" borderId="149" applyNumberFormat="0" applyProtection="0">
      <alignment horizontal="left" vertical="center" indent="1"/>
    </xf>
    <xf numFmtId="0" fontId="52" fillId="24" borderId="149" applyNumberFormat="0" applyAlignment="0" applyProtection="0"/>
    <xf numFmtId="4" fontId="30" fillId="42" borderId="143" applyNumberFormat="0" applyProtection="0">
      <alignment horizontal="left" vertical="center" indent="1"/>
    </xf>
    <xf numFmtId="4" fontId="32" fillId="31" borderId="133" applyNumberFormat="0" applyProtection="0">
      <alignment horizontal="left" vertical="center" indent="1"/>
    </xf>
    <xf numFmtId="0" fontId="48" fillId="58" borderId="149" applyNumberFormat="0" applyAlignment="0" applyProtection="0"/>
    <xf numFmtId="4" fontId="30" fillId="42" borderId="151" applyNumberFormat="0" applyProtection="0">
      <alignment horizontal="left" vertical="center" indent="1"/>
    </xf>
    <xf numFmtId="4" fontId="40" fillId="50" borderId="133" applyNumberFormat="0" applyProtection="0">
      <alignment horizontal="right" vertical="center"/>
    </xf>
    <xf numFmtId="4" fontId="32" fillId="37" borderId="141" applyNumberFormat="0" applyProtection="0">
      <alignment horizontal="right" vertical="center"/>
    </xf>
    <xf numFmtId="0" fontId="32" fillId="42" borderId="134" applyNumberFormat="0" applyProtection="0">
      <alignment horizontal="left" vertical="top" indent="1"/>
    </xf>
    <xf numFmtId="4" fontId="40" fillId="10" borderId="140" applyNumberFormat="0" applyProtection="0">
      <alignment vertical="center"/>
    </xf>
    <xf numFmtId="4" fontId="32" fillId="35" borderId="133" applyNumberFormat="0" applyProtection="0">
      <alignment horizontal="right" vertical="center"/>
    </xf>
    <xf numFmtId="4" fontId="32" fillId="41" borderId="151" applyNumberFormat="0" applyProtection="0">
      <alignment horizontal="left" vertical="center" indent="1"/>
    </xf>
    <xf numFmtId="0" fontId="56" fillId="58" borderId="154" applyNumberFormat="0" applyAlignment="0" applyProtection="0"/>
    <xf numFmtId="0" fontId="32" fillId="44" borderId="149" applyNumberFormat="0" applyProtection="0">
      <alignment horizontal="left" vertical="center" indent="1"/>
    </xf>
    <xf numFmtId="4" fontId="32" fillId="37" borderId="124" applyNumberFormat="0" applyProtection="0">
      <alignment horizontal="right" vertical="center"/>
    </xf>
    <xf numFmtId="4" fontId="40" fillId="50" borderId="149" applyNumberFormat="0" applyProtection="0">
      <alignment horizontal="right" vertical="center"/>
    </xf>
    <xf numFmtId="0" fontId="56" fillId="58" borderId="154" applyNumberFormat="0" applyAlignment="0" applyProtection="0"/>
    <xf numFmtId="4" fontId="44" fillId="51" borderId="143" applyNumberFormat="0" applyProtection="0">
      <alignment horizontal="left" vertical="center" indent="1"/>
    </xf>
    <xf numFmtId="4" fontId="32" fillId="0" borderId="133" applyNumberFormat="0" applyProtection="0">
      <alignment horizontal="right" vertical="center"/>
    </xf>
    <xf numFmtId="4" fontId="32" fillId="0" borderId="133" applyNumberFormat="0" applyProtection="0">
      <alignment horizontal="right" vertical="center"/>
    </xf>
    <xf numFmtId="0" fontId="32" fillId="52" borderId="156"/>
    <xf numFmtId="0" fontId="32" fillId="44" borderId="142" applyNumberFormat="0" applyProtection="0">
      <alignment horizontal="left" vertical="top" indent="1"/>
    </xf>
    <xf numFmtId="4" fontId="32" fillId="30" borderId="149" applyNumberFormat="0" applyProtection="0">
      <alignment horizontal="left" vertical="center" indent="1"/>
    </xf>
    <xf numFmtId="0" fontId="48" fillId="58" borderId="149" applyNumberFormat="0" applyAlignment="0" applyProtection="0"/>
    <xf numFmtId="4" fontId="32" fillId="36" borderId="149" applyNumberFormat="0" applyProtection="0">
      <alignment horizontal="right" vertical="center"/>
    </xf>
    <xf numFmtId="4" fontId="32" fillId="38" borderId="149" applyNumberFormat="0" applyProtection="0">
      <alignment horizontal="right" vertical="center"/>
    </xf>
    <xf numFmtId="0" fontId="32" fillId="23" borderId="149" applyNumberFormat="0" applyFont="0" applyAlignment="0" applyProtection="0"/>
    <xf numFmtId="0" fontId="32" fillId="44" borderId="142" applyNumberFormat="0" applyProtection="0">
      <alignment horizontal="left" vertical="top" indent="1"/>
    </xf>
    <xf numFmtId="0" fontId="32" fillId="45" borderId="141" applyNumberFormat="0" applyProtection="0">
      <alignment horizontal="left" vertical="center" indent="1"/>
    </xf>
    <xf numFmtId="4" fontId="32" fillId="29" borderId="141" applyNumberFormat="0" applyProtection="0">
      <alignment vertical="center"/>
    </xf>
    <xf numFmtId="0" fontId="32" fillId="46" borderId="133" applyNumberFormat="0" applyProtection="0">
      <alignment horizontal="left" vertical="center" indent="1"/>
    </xf>
    <xf numFmtId="0" fontId="41" fillId="29" borderId="142" applyNumberFormat="0" applyProtection="0">
      <alignment horizontal="left" vertical="top" indent="1"/>
    </xf>
    <xf numFmtId="4" fontId="32" fillId="0" borderId="149" applyNumberFormat="0" applyProtection="0">
      <alignment horizontal="right" vertical="center"/>
    </xf>
    <xf numFmtId="10" fontId="32" fillId="10" borderId="116" applyNumberFormat="0" applyBorder="0" applyAlignment="0" applyProtection="0"/>
    <xf numFmtId="4" fontId="32" fillId="0" borderId="149" applyNumberFormat="0" applyProtection="0">
      <alignment horizontal="right" vertical="center"/>
    </xf>
    <xf numFmtId="4" fontId="32" fillId="32" borderId="141" applyNumberFormat="0" applyProtection="0">
      <alignment horizontal="right" vertical="center"/>
    </xf>
    <xf numFmtId="0" fontId="42" fillId="42" borderId="127" applyBorder="0"/>
    <xf numFmtId="0" fontId="43" fillId="43" borderId="142" applyNumberFormat="0" applyProtection="0">
      <alignment horizontal="left" vertical="top" indent="1"/>
    </xf>
    <xf numFmtId="4" fontId="32" fillId="32" borderId="149" applyNumberFormat="0" applyProtection="0">
      <alignment horizontal="right" vertical="center"/>
    </xf>
    <xf numFmtId="4" fontId="32" fillId="44" borderId="151" applyNumberFormat="0" applyProtection="0">
      <alignment horizontal="left" vertical="center" indent="1"/>
    </xf>
    <xf numFmtId="0" fontId="32" fillId="44" borderId="142" applyNumberFormat="0" applyProtection="0">
      <alignment horizontal="left" vertical="top" indent="1"/>
    </xf>
    <xf numFmtId="0" fontId="42" fillId="42" borderId="152" applyBorder="0"/>
    <xf numFmtId="4" fontId="32" fillId="43" borderId="149" applyNumberFormat="0" applyProtection="0">
      <alignment horizontal="right" vertical="center"/>
    </xf>
    <xf numFmtId="4" fontId="32" fillId="39" borderId="141" applyNumberFormat="0" applyProtection="0">
      <alignment horizontal="right" vertical="center"/>
    </xf>
    <xf numFmtId="4" fontId="32" fillId="33" borderId="141" applyNumberFormat="0" applyProtection="0">
      <alignment horizontal="right" vertical="center"/>
    </xf>
    <xf numFmtId="4" fontId="32" fillId="0" borderId="149" applyNumberFormat="0" applyProtection="0">
      <alignment horizontal="right" vertical="center"/>
    </xf>
    <xf numFmtId="4" fontId="32" fillId="41" borderId="135" applyNumberFormat="0" applyProtection="0">
      <alignment horizontal="left" vertical="center" indent="1"/>
    </xf>
    <xf numFmtId="0" fontId="41" fillId="29" borderId="142" applyNumberFormat="0" applyProtection="0">
      <alignment horizontal="left" vertical="top" indent="1"/>
    </xf>
    <xf numFmtId="0" fontId="32" fillId="43" borderId="142" applyNumberFormat="0" applyProtection="0">
      <alignment horizontal="left" vertical="top" indent="1"/>
    </xf>
    <xf numFmtId="4" fontId="32" fillId="34" borderId="151" applyNumberFormat="0" applyProtection="0">
      <alignment horizontal="right" vertical="center"/>
    </xf>
    <xf numFmtId="0" fontId="41" fillId="29" borderId="125" applyNumberFormat="0" applyProtection="0">
      <alignment horizontal="left" vertical="top" indent="1"/>
    </xf>
    <xf numFmtId="0" fontId="42" fillId="42" borderId="152" applyBorder="0"/>
    <xf numFmtId="0" fontId="32" fillId="43" borderId="150" applyNumberFormat="0" applyProtection="0">
      <alignment horizontal="left" vertical="top" indent="1"/>
    </xf>
    <xf numFmtId="0" fontId="41" fillId="29" borderId="142" applyNumberFormat="0" applyProtection="0">
      <alignment horizontal="left" vertical="top" indent="1"/>
    </xf>
    <xf numFmtId="0" fontId="42" fillId="42" borderId="136" applyBorder="0"/>
    <xf numFmtId="0" fontId="32" fillId="47" borderId="133" applyNumberFormat="0" applyProtection="0">
      <alignment horizontal="left" vertical="center" indent="1"/>
    </xf>
    <xf numFmtId="0" fontId="32" fillId="46" borderId="133" applyNumberFormat="0" applyProtection="0">
      <alignment horizontal="left" vertical="center" indent="1"/>
    </xf>
    <xf numFmtId="0" fontId="27" fillId="0" borderId="155">
      <alignment horizontal="left" vertical="center"/>
    </xf>
    <xf numFmtId="0" fontId="43" fillId="43" borderId="134" applyNumberFormat="0" applyProtection="0">
      <alignment horizontal="left" vertical="top" indent="1"/>
    </xf>
    <xf numFmtId="4" fontId="30" fillId="42" borderId="151" applyNumberFormat="0" applyProtection="0">
      <alignment horizontal="left" vertical="center" indent="1"/>
    </xf>
    <xf numFmtId="4" fontId="40" fillId="30" borderId="149" applyNumberFormat="0" applyProtection="0">
      <alignment vertical="center"/>
    </xf>
    <xf numFmtId="4" fontId="43" fillId="45" borderId="142" applyNumberFormat="0" applyProtection="0">
      <alignment horizontal="left" vertical="center" indent="1"/>
    </xf>
    <xf numFmtId="0" fontId="32" fillId="45" borderId="149" applyNumberFormat="0" applyProtection="0">
      <alignment horizontal="left" vertical="center" indent="1"/>
    </xf>
    <xf numFmtId="0" fontId="32" fillId="44" borderId="141" applyNumberFormat="0" applyProtection="0">
      <alignment horizontal="left" vertical="center" indent="1"/>
    </xf>
    <xf numFmtId="4" fontId="45" fillId="48" borderId="141" applyNumberFormat="0" applyProtection="0">
      <alignment horizontal="right" vertical="center"/>
    </xf>
    <xf numFmtId="4" fontId="32" fillId="38" borderId="141" applyNumberFormat="0" applyProtection="0">
      <alignment horizontal="right" vertical="center"/>
    </xf>
    <xf numFmtId="0" fontId="32" fillId="44" borderId="149" applyNumberFormat="0" applyProtection="0">
      <alignment horizontal="left" vertical="center" indent="1"/>
    </xf>
    <xf numFmtId="4" fontId="32" fillId="30" borderId="149" applyNumberFormat="0" applyProtection="0">
      <alignment horizontal="left" vertical="center" indent="1"/>
    </xf>
    <xf numFmtId="4" fontId="32" fillId="41" borderId="143" applyNumberFormat="0" applyProtection="0">
      <alignment horizontal="left" vertical="center" indent="1"/>
    </xf>
    <xf numFmtId="4" fontId="32" fillId="32" borderId="141" applyNumberFormat="0" applyProtection="0">
      <alignment horizontal="right" vertical="center"/>
    </xf>
    <xf numFmtId="0" fontId="32" fillId="52" borderId="148"/>
    <xf numFmtId="0" fontId="56" fillId="58" borderId="154" applyNumberFormat="0" applyAlignment="0" applyProtection="0"/>
    <xf numFmtId="4" fontId="40" fillId="10" borderId="140" applyNumberFormat="0" applyProtection="0">
      <alignment vertical="center"/>
    </xf>
    <xf numFmtId="0" fontId="32" fillId="52" borderId="140"/>
    <xf numFmtId="0" fontId="32" fillId="43" borderId="134" applyNumberFormat="0" applyProtection="0">
      <alignment horizontal="left" vertical="top" indent="1"/>
    </xf>
    <xf numFmtId="0" fontId="27" fillId="0" borderId="139">
      <alignment horizontal="left" vertical="center"/>
    </xf>
    <xf numFmtId="4" fontId="30" fillId="42" borderId="151" applyNumberFormat="0" applyProtection="0">
      <alignment horizontal="left" vertical="center" indent="1"/>
    </xf>
    <xf numFmtId="4" fontId="45" fillId="48" borderId="141" applyNumberFormat="0" applyProtection="0">
      <alignment horizontal="right" vertical="center"/>
    </xf>
    <xf numFmtId="0" fontId="48" fillId="58" borderId="149" applyNumberFormat="0" applyAlignment="0" applyProtection="0"/>
    <xf numFmtId="0" fontId="32" fillId="44" borderId="149" applyNumberFormat="0" applyProtection="0">
      <alignment horizontal="left" vertical="center" indent="1"/>
    </xf>
    <xf numFmtId="4" fontId="32" fillId="31" borderId="133" applyNumberFormat="0" applyProtection="0">
      <alignment horizontal="left" vertical="center" indent="1"/>
    </xf>
    <xf numFmtId="0" fontId="32" fillId="23" borderId="141" applyNumberFormat="0" applyFont="0" applyAlignment="0" applyProtection="0"/>
    <xf numFmtId="4" fontId="43" fillId="45" borderId="134" applyNumberFormat="0" applyProtection="0">
      <alignment horizontal="left" vertical="center" indent="1"/>
    </xf>
    <xf numFmtId="0" fontId="56" fillId="58" borderId="154" applyNumberFormat="0" applyAlignment="0" applyProtection="0"/>
    <xf numFmtId="0" fontId="56" fillId="58" borderId="138" applyNumberFormat="0" applyAlignment="0" applyProtection="0"/>
    <xf numFmtId="0" fontId="32" fillId="47" borderId="133" applyNumberFormat="0" applyProtection="0">
      <alignment horizontal="left" vertical="center" indent="1"/>
    </xf>
    <xf numFmtId="4" fontId="32" fillId="41" borderId="143" applyNumberFormat="0" applyProtection="0">
      <alignment horizontal="left" vertical="center" indent="1"/>
    </xf>
    <xf numFmtId="4" fontId="32" fillId="43" borderId="133" applyNumberFormat="0" applyProtection="0">
      <alignment horizontal="right" vertical="center"/>
    </xf>
    <xf numFmtId="4" fontId="32" fillId="0" borderId="141" applyNumberFormat="0" applyProtection="0">
      <alignment horizontal="right" vertical="center"/>
    </xf>
    <xf numFmtId="0" fontId="32" fillId="47" borderId="134" applyNumberFormat="0" applyProtection="0">
      <alignment horizontal="left" vertical="top" indent="1"/>
    </xf>
    <xf numFmtId="4" fontId="43" fillId="45" borderId="134" applyNumberFormat="0" applyProtection="0">
      <alignment horizontal="left" vertical="center" indent="1"/>
    </xf>
    <xf numFmtId="0" fontId="32" fillId="46" borderId="133" applyNumberFormat="0" applyProtection="0">
      <alignment horizontal="left" vertical="center" indent="1"/>
    </xf>
    <xf numFmtId="4" fontId="32" fillId="32" borderId="141" applyNumberFormat="0" applyProtection="0">
      <alignment horizontal="right" vertical="center"/>
    </xf>
    <xf numFmtId="4" fontId="32" fillId="44" borderId="151" applyNumberFormat="0" applyProtection="0">
      <alignment horizontal="left" vertical="center" indent="1"/>
    </xf>
    <xf numFmtId="0" fontId="32" fillId="47" borderId="149" applyNumberFormat="0" applyProtection="0">
      <alignment horizontal="left" vertical="center" indent="1"/>
    </xf>
    <xf numFmtId="4" fontId="32" fillId="41" borderId="126" applyNumberFormat="0" applyProtection="0">
      <alignment horizontal="left" vertical="center" indent="1"/>
    </xf>
    <xf numFmtId="0" fontId="32" fillId="52" borderId="148"/>
    <xf numFmtId="0" fontId="32" fillId="52" borderId="140"/>
    <xf numFmtId="0" fontId="32" fillId="43" borderId="142" applyNumberFormat="0" applyProtection="0">
      <alignment horizontal="left" vertical="top" indent="1"/>
    </xf>
    <xf numFmtId="0" fontId="42" fillId="42" borderId="152" applyBorder="0"/>
    <xf numFmtId="0" fontId="42" fillId="42" borderId="136" applyBorder="0"/>
    <xf numFmtId="4" fontId="32" fillId="36" borderId="149" applyNumberFormat="0" applyProtection="0">
      <alignment horizontal="right" vertical="center"/>
    </xf>
    <xf numFmtId="0" fontId="52" fillId="24" borderId="133" applyNumberFormat="0" applyAlignment="0" applyProtection="0"/>
    <xf numFmtId="4" fontId="32" fillId="0" borderId="133" applyNumberFormat="0" applyProtection="0">
      <alignment horizontal="right" vertical="center"/>
    </xf>
    <xf numFmtId="4" fontId="43" fillId="49" borderId="142" applyNumberFormat="0" applyProtection="0">
      <alignment vertical="center"/>
    </xf>
    <xf numFmtId="4" fontId="32" fillId="0" borderId="133" applyNumberFormat="0" applyProtection="0">
      <alignment horizontal="right" vertical="center"/>
    </xf>
    <xf numFmtId="4" fontId="32" fillId="43" borderId="135" applyNumberFormat="0" applyProtection="0">
      <alignment horizontal="left" vertical="center" indent="1"/>
    </xf>
    <xf numFmtId="0" fontId="32" fillId="52" borderId="116"/>
    <xf numFmtId="4" fontId="32" fillId="34" borderId="151" applyNumberFormat="0" applyProtection="0">
      <alignment horizontal="right" vertical="center"/>
    </xf>
    <xf numFmtId="10" fontId="32" fillId="10" borderId="116" applyNumberFormat="0" applyBorder="0" applyAlignment="0" applyProtection="0"/>
    <xf numFmtId="4" fontId="43" fillId="49" borderId="134" applyNumberFormat="0" applyProtection="0">
      <alignment vertical="center"/>
    </xf>
    <xf numFmtId="0" fontId="32" fillId="43" borderId="134" applyNumberFormat="0" applyProtection="0">
      <alignment horizontal="left" vertical="top" indent="1"/>
    </xf>
    <xf numFmtId="4" fontId="32" fillId="44" borderId="143" applyNumberFormat="0" applyProtection="0">
      <alignment horizontal="left" vertical="center" indent="1"/>
    </xf>
    <xf numFmtId="0" fontId="32" fillId="44" borderId="134" applyNumberFormat="0" applyProtection="0">
      <alignment horizontal="left" vertical="top" indent="1"/>
    </xf>
    <xf numFmtId="0" fontId="32" fillId="43" borderId="134" applyNumberFormat="0" applyProtection="0">
      <alignment horizontal="left" vertical="top" indent="1"/>
    </xf>
    <xf numFmtId="0" fontId="32" fillId="52" borderId="148"/>
    <xf numFmtId="4" fontId="32" fillId="34" borderId="151" applyNumberFormat="0" applyProtection="0">
      <alignment horizontal="right" vertical="center"/>
    </xf>
    <xf numFmtId="4" fontId="32" fillId="33" borderId="141" applyNumberFormat="0" applyProtection="0">
      <alignment horizontal="right" vertical="center"/>
    </xf>
    <xf numFmtId="0" fontId="32" fillId="46" borderId="141" applyNumberFormat="0" applyProtection="0">
      <alignment horizontal="left" vertical="center" indent="1"/>
    </xf>
    <xf numFmtId="4" fontId="32" fillId="31" borderId="133" applyNumberFormat="0" applyProtection="0">
      <alignment horizontal="left" vertical="center" indent="1"/>
    </xf>
    <xf numFmtId="0" fontId="32" fillId="45" borderId="141" applyNumberFormat="0" applyProtection="0">
      <alignment horizontal="left" vertical="center" indent="1"/>
    </xf>
    <xf numFmtId="4" fontId="40" fillId="10" borderId="116" applyNumberFormat="0" applyProtection="0">
      <alignment vertical="center"/>
    </xf>
    <xf numFmtId="10" fontId="32" fillId="10" borderId="148" applyNumberFormat="0" applyBorder="0" applyAlignment="0" applyProtection="0"/>
    <xf numFmtId="4" fontId="40" fillId="10" borderId="148" applyNumberFormat="0" applyProtection="0">
      <alignment vertical="center"/>
    </xf>
    <xf numFmtId="0" fontId="43" fillId="43" borderId="134" applyNumberFormat="0" applyProtection="0">
      <alignment horizontal="left" vertical="top" indent="1"/>
    </xf>
    <xf numFmtId="4" fontId="32" fillId="35" borderId="141" applyNumberFormat="0" applyProtection="0">
      <alignment horizontal="right" vertical="center"/>
    </xf>
    <xf numFmtId="0" fontId="32" fillId="47" borderId="149" applyNumberFormat="0" applyProtection="0">
      <alignment horizontal="left" vertical="center" indent="1"/>
    </xf>
    <xf numFmtId="4" fontId="32" fillId="0" borderId="133" applyNumberFormat="0" applyProtection="0">
      <alignment horizontal="right" vertical="center"/>
    </xf>
    <xf numFmtId="4" fontId="30" fillId="42" borderId="135" applyNumberFormat="0" applyProtection="0">
      <alignment horizontal="left" vertical="center" indent="1"/>
    </xf>
    <xf numFmtId="0" fontId="39" fillId="0" borderId="145" applyNumberFormat="0" applyFill="0" applyAlignment="0" applyProtection="0"/>
    <xf numFmtId="0" fontId="32" fillId="42" borderId="150" applyNumberFormat="0" applyProtection="0">
      <alignment horizontal="left" vertical="top" indent="1"/>
    </xf>
    <xf numFmtId="4" fontId="44" fillId="51" borderId="151" applyNumberFormat="0" applyProtection="0">
      <alignment horizontal="left" vertical="center" indent="1"/>
    </xf>
    <xf numFmtId="0" fontId="43" fillId="49" borderId="142" applyNumberFormat="0" applyProtection="0">
      <alignment horizontal="left" vertical="top" indent="1"/>
    </xf>
    <xf numFmtId="0" fontId="27" fillId="0" borderId="155">
      <alignment horizontal="left" vertical="center"/>
    </xf>
    <xf numFmtId="4" fontId="32" fillId="30" borderId="149" applyNumberFormat="0" applyProtection="0">
      <alignment horizontal="left" vertical="center" indent="1"/>
    </xf>
    <xf numFmtId="10" fontId="32" fillId="10" borderId="148" applyNumberFormat="0" applyBorder="0" applyAlignment="0" applyProtection="0"/>
    <xf numFmtId="0" fontId="32" fillId="45" borderId="133" applyNumberFormat="0" applyProtection="0">
      <alignment horizontal="left" vertical="center" indent="1"/>
    </xf>
    <xf numFmtId="4" fontId="40" fillId="30" borderId="149" applyNumberFormat="0" applyProtection="0">
      <alignment vertical="center"/>
    </xf>
    <xf numFmtId="0" fontId="56" fillId="58" borderId="154" applyNumberFormat="0" applyAlignment="0" applyProtection="0"/>
    <xf numFmtId="4" fontId="32" fillId="43" borderId="143" applyNumberFormat="0" applyProtection="0">
      <alignment horizontal="left" vertical="center" indent="1"/>
    </xf>
    <xf numFmtId="4" fontId="32" fillId="0" borderId="133" applyNumberFormat="0" applyProtection="0">
      <alignment horizontal="right" vertical="center"/>
    </xf>
    <xf numFmtId="4" fontId="32" fillId="30" borderId="141" applyNumberFormat="0" applyProtection="0">
      <alignment horizontal="left" vertical="center" indent="1"/>
    </xf>
    <xf numFmtId="4" fontId="45" fillId="48" borderId="141" applyNumberFormat="0" applyProtection="0">
      <alignment horizontal="right" vertical="center"/>
    </xf>
    <xf numFmtId="0" fontId="43" fillId="43" borderId="134" applyNumberFormat="0" applyProtection="0">
      <alignment horizontal="left" vertical="top" indent="1"/>
    </xf>
    <xf numFmtId="0" fontId="32" fillId="47" borderId="141" applyNumberFormat="0" applyProtection="0">
      <alignment horizontal="left" vertical="center" indent="1"/>
    </xf>
    <xf numFmtId="10" fontId="32" fillId="10" borderId="116" applyNumberFormat="0" applyBorder="0" applyAlignment="0" applyProtection="0"/>
    <xf numFmtId="0" fontId="32" fillId="47" borderId="149" applyNumberFormat="0" applyProtection="0">
      <alignment horizontal="left" vertical="center" indent="1"/>
    </xf>
    <xf numFmtId="0" fontId="32" fillId="45" borderId="124" applyNumberFormat="0" applyProtection="0">
      <alignment horizontal="left" vertical="center" indent="1"/>
    </xf>
    <xf numFmtId="4" fontId="32" fillId="37" borderId="141" applyNumberFormat="0" applyProtection="0">
      <alignment horizontal="right" vertical="center"/>
    </xf>
    <xf numFmtId="4" fontId="32" fillId="29" borderId="124" applyNumberFormat="0" applyProtection="0">
      <alignment vertical="center"/>
    </xf>
    <xf numFmtId="4" fontId="40" fillId="30" borderId="124" applyNumberFormat="0" applyProtection="0">
      <alignment vertical="center"/>
    </xf>
    <xf numFmtId="4" fontId="32" fillId="30" borderId="124" applyNumberFormat="0" applyProtection="0">
      <alignment horizontal="left" vertical="center" indent="1"/>
    </xf>
    <xf numFmtId="0" fontId="41" fillId="29" borderId="125" applyNumberFormat="0" applyProtection="0">
      <alignment horizontal="left" vertical="top" indent="1"/>
    </xf>
    <xf numFmtId="4" fontId="32" fillId="31" borderId="124" applyNumberFormat="0" applyProtection="0">
      <alignment horizontal="left" vertical="center" indent="1"/>
    </xf>
    <xf numFmtId="4" fontId="32" fillId="32" borderId="124" applyNumberFormat="0" applyProtection="0">
      <alignment horizontal="right" vertical="center"/>
    </xf>
    <xf numFmtId="4" fontId="32" fillId="33" borderId="124" applyNumberFormat="0" applyProtection="0">
      <alignment horizontal="right" vertical="center"/>
    </xf>
    <xf numFmtId="4" fontId="32" fillId="34" borderId="126" applyNumberFormat="0" applyProtection="0">
      <alignment horizontal="right" vertical="center"/>
    </xf>
    <xf numFmtId="4" fontId="32" fillId="35" borderId="124" applyNumberFormat="0" applyProtection="0">
      <alignment horizontal="right" vertical="center"/>
    </xf>
    <xf numFmtId="4" fontId="32" fillId="36" borderId="124" applyNumberFormat="0" applyProtection="0">
      <alignment horizontal="right" vertical="center"/>
    </xf>
    <xf numFmtId="4" fontId="32" fillId="37" borderId="124" applyNumberFormat="0" applyProtection="0">
      <alignment horizontal="right" vertical="center"/>
    </xf>
    <xf numFmtId="4" fontId="32" fillId="38" borderId="124" applyNumberFormat="0" applyProtection="0">
      <alignment horizontal="right" vertical="center"/>
    </xf>
    <xf numFmtId="4" fontId="32" fillId="39" borderId="124" applyNumberFormat="0" applyProtection="0">
      <alignment horizontal="right" vertical="center"/>
    </xf>
    <xf numFmtId="4" fontId="32" fillId="40" borderId="124" applyNumberFormat="0" applyProtection="0">
      <alignment horizontal="right" vertical="center"/>
    </xf>
    <xf numFmtId="4" fontId="32" fillId="41" borderId="126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2" fillId="43" borderId="124" applyNumberFormat="0" applyProtection="0">
      <alignment horizontal="right" vertical="center"/>
    </xf>
    <xf numFmtId="4" fontId="32" fillId="44" borderId="126" applyNumberFormat="0" applyProtection="0">
      <alignment horizontal="left" vertical="center" indent="1"/>
    </xf>
    <xf numFmtId="4" fontId="32" fillId="43" borderId="126" applyNumberFormat="0" applyProtection="0">
      <alignment horizontal="left" vertical="center" indent="1"/>
    </xf>
    <xf numFmtId="0" fontId="32" fillId="45" borderId="124" applyNumberFormat="0" applyProtection="0">
      <alignment horizontal="left" vertical="center" indent="1"/>
    </xf>
    <xf numFmtId="0" fontId="32" fillId="42" borderId="125" applyNumberFormat="0" applyProtection="0">
      <alignment horizontal="left" vertical="top" indent="1"/>
    </xf>
    <xf numFmtId="0" fontId="32" fillId="46" borderId="124" applyNumberFormat="0" applyProtection="0">
      <alignment horizontal="left" vertical="center" indent="1"/>
    </xf>
    <xf numFmtId="0" fontId="32" fillId="43" borderId="125" applyNumberFormat="0" applyProtection="0">
      <alignment horizontal="left" vertical="top" indent="1"/>
    </xf>
    <xf numFmtId="0" fontId="32" fillId="47" borderId="124" applyNumberFormat="0" applyProtection="0">
      <alignment horizontal="left" vertical="center" indent="1"/>
    </xf>
    <xf numFmtId="0" fontId="32" fillId="47" borderId="125" applyNumberFormat="0" applyProtection="0">
      <alignment horizontal="left" vertical="top" indent="1"/>
    </xf>
    <xf numFmtId="0" fontId="32" fillId="44" borderId="124" applyNumberFormat="0" applyProtection="0">
      <alignment horizontal="left" vertical="center" indent="1"/>
    </xf>
    <xf numFmtId="0" fontId="32" fillId="44" borderId="125" applyNumberFormat="0" applyProtection="0">
      <alignment horizontal="left" vertical="top" indent="1"/>
    </xf>
    <xf numFmtId="0" fontId="42" fillId="42" borderId="127" applyBorder="0"/>
    <xf numFmtId="4" fontId="43" fillId="49" borderId="125" applyNumberFormat="0" applyProtection="0">
      <alignment vertical="center"/>
    </xf>
    <xf numFmtId="4" fontId="40" fillId="10" borderId="116" applyNumberFormat="0" applyProtection="0">
      <alignment vertical="center"/>
    </xf>
    <xf numFmtId="4" fontId="43" fillId="45" borderId="125" applyNumberFormat="0" applyProtection="0">
      <alignment horizontal="left" vertical="center" indent="1"/>
    </xf>
    <xf numFmtId="0" fontId="43" fillId="49" borderId="125" applyNumberFormat="0" applyProtection="0">
      <alignment horizontal="left" vertical="top" indent="1"/>
    </xf>
    <xf numFmtId="4" fontId="32" fillId="0" borderId="124" applyNumberFormat="0" applyProtection="0">
      <alignment horizontal="right" vertical="center"/>
    </xf>
    <xf numFmtId="4" fontId="32" fillId="0" borderId="124" applyNumberFormat="0" applyProtection="0">
      <alignment horizontal="right" vertical="center"/>
    </xf>
    <xf numFmtId="4" fontId="40" fillId="50" borderId="124" applyNumberFormat="0" applyProtection="0">
      <alignment horizontal="right" vertical="center"/>
    </xf>
    <xf numFmtId="4" fontId="32" fillId="31" borderId="124" applyNumberFormat="0" applyProtection="0">
      <alignment horizontal="left" vertical="center" indent="1"/>
    </xf>
    <xf numFmtId="0" fontId="43" fillId="43" borderId="125" applyNumberFormat="0" applyProtection="0">
      <alignment horizontal="left" vertical="top" indent="1"/>
    </xf>
    <xf numFmtId="4" fontId="44" fillId="51" borderId="126" applyNumberFormat="0" applyProtection="0">
      <alignment horizontal="left" vertical="center" indent="1"/>
    </xf>
    <xf numFmtId="0" fontId="32" fillId="52" borderId="116"/>
    <xf numFmtId="4" fontId="45" fillId="48" borderId="124" applyNumberFormat="0" applyProtection="0">
      <alignment horizontal="right" vertical="center"/>
    </xf>
    <xf numFmtId="0" fontId="48" fillId="58" borderId="124" applyNumberFormat="0" applyAlignment="0" applyProtection="0"/>
    <xf numFmtId="0" fontId="32" fillId="23" borderId="124" applyNumberFormat="0" applyFont="0" applyAlignment="0" applyProtection="0"/>
    <xf numFmtId="0" fontId="39" fillId="0" borderId="128" applyNumberFormat="0" applyFill="0" applyAlignment="0" applyProtection="0"/>
    <xf numFmtId="0" fontId="52" fillId="24" borderId="124" applyNumberFormat="0" applyAlignment="0" applyProtection="0"/>
    <xf numFmtId="0" fontId="56" fillId="58" borderId="129" applyNumberFormat="0" applyAlignment="0" applyProtection="0"/>
    <xf numFmtId="4" fontId="45" fillId="48" borderId="149" applyNumberFormat="0" applyProtection="0">
      <alignment horizontal="right" vertical="center"/>
    </xf>
    <xf numFmtId="4" fontId="32" fillId="43" borderId="143" applyNumberFormat="0" applyProtection="0">
      <alignment horizontal="left" vertical="center" indent="1"/>
    </xf>
    <xf numFmtId="0" fontId="32" fillId="45" borderId="149" applyNumberFormat="0" applyProtection="0">
      <alignment horizontal="left" vertical="center" indent="1"/>
    </xf>
    <xf numFmtId="4" fontId="45" fillId="48" borderId="141" applyNumberFormat="0" applyProtection="0">
      <alignment horizontal="right" vertical="center"/>
    </xf>
    <xf numFmtId="0" fontId="32" fillId="47" borderId="149" applyNumberFormat="0" applyProtection="0">
      <alignment horizontal="left" vertical="center" indent="1"/>
    </xf>
    <xf numFmtId="0" fontId="32" fillId="52" borderId="156"/>
    <xf numFmtId="0" fontId="43" fillId="49" borderId="134" applyNumberFormat="0" applyProtection="0">
      <alignment horizontal="left" vertical="top" indent="1"/>
    </xf>
    <xf numFmtId="4" fontId="30" fillId="42" borderId="143" applyNumberFormat="0" applyProtection="0">
      <alignment horizontal="left" vertical="center" indent="1"/>
    </xf>
    <xf numFmtId="0" fontId="32" fillId="47" borderId="142" applyNumberFormat="0" applyProtection="0">
      <alignment horizontal="left" vertical="top" indent="1"/>
    </xf>
    <xf numFmtId="0" fontId="32" fillId="45" borderId="133" applyNumberFormat="0" applyProtection="0">
      <alignment horizontal="left" vertical="center" indent="1"/>
    </xf>
    <xf numFmtId="0" fontId="32" fillId="46" borderId="133" applyNumberFormat="0" applyProtection="0">
      <alignment horizontal="left" vertical="center" indent="1"/>
    </xf>
    <xf numFmtId="4" fontId="43" fillId="45" borderId="134" applyNumberFormat="0" applyProtection="0">
      <alignment horizontal="left" vertical="center" indent="1"/>
    </xf>
    <xf numFmtId="4" fontId="32" fillId="34" borderId="135" applyNumberFormat="0" applyProtection="0">
      <alignment horizontal="right" vertical="center"/>
    </xf>
    <xf numFmtId="0" fontId="39" fillId="0" borderId="128" applyNumberFormat="0" applyFill="0" applyAlignment="0" applyProtection="0"/>
    <xf numFmtId="4" fontId="32" fillId="43" borderId="135" applyNumberFormat="0" applyProtection="0">
      <alignment horizontal="left" vertical="center" indent="1"/>
    </xf>
    <xf numFmtId="0" fontId="32" fillId="45" borderId="149" applyNumberFormat="0" applyProtection="0">
      <alignment horizontal="left" vertical="center" indent="1"/>
    </xf>
    <xf numFmtId="0" fontId="52" fillId="24" borderId="141" applyNumberFormat="0" applyAlignment="0" applyProtection="0"/>
    <xf numFmtId="0" fontId="56" fillId="58" borderId="154" applyNumberFormat="0" applyAlignment="0" applyProtection="0"/>
    <xf numFmtId="4" fontId="30" fillId="42" borderId="135" applyNumberFormat="0" applyProtection="0">
      <alignment horizontal="left" vertical="center" indent="1"/>
    </xf>
    <xf numFmtId="4" fontId="32" fillId="44" borderId="135" applyNumberFormat="0" applyProtection="0">
      <alignment horizontal="left" vertical="center" indent="1"/>
    </xf>
    <xf numFmtId="4" fontId="32" fillId="31" borderId="133" applyNumberFormat="0" applyProtection="0">
      <alignment horizontal="left" vertical="center" indent="1"/>
    </xf>
    <xf numFmtId="4" fontId="40" fillId="50" borderId="141" applyNumberFormat="0" applyProtection="0">
      <alignment horizontal="right" vertical="center"/>
    </xf>
    <xf numFmtId="0" fontId="27" fillId="0" borderId="139">
      <alignment horizontal="left" vertical="center"/>
    </xf>
    <xf numFmtId="4" fontId="32" fillId="31" borderId="133" applyNumberFormat="0" applyProtection="0">
      <alignment horizontal="left" vertical="center" indent="1"/>
    </xf>
    <xf numFmtId="0" fontId="42" fillId="42" borderId="144" applyBorder="0"/>
    <xf numFmtId="4" fontId="30" fillId="42" borderId="135" applyNumberFormat="0" applyProtection="0">
      <alignment horizontal="left" vertical="center" indent="1"/>
    </xf>
    <xf numFmtId="4" fontId="32" fillId="32" borderId="149" applyNumberFormat="0" applyProtection="0">
      <alignment horizontal="right" vertical="center"/>
    </xf>
    <xf numFmtId="4" fontId="30" fillId="42" borderId="135" applyNumberFormat="0" applyProtection="0">
      <alignment horizontal="left" vertical="center" indent="1"/>
    </xf>
    <xf numFmtId="4" fontId="40" fillId="30" borderId="149" applyNumberFormat="0" applyProtection="0">
      <alignment vertical="center"/>
    </xf>
    <xf numFmtId="4" fontId="45" fillId="48" borderId="149" applyNumberFormat="0" applyProtection="0">
      <alignment horizontal="right" vertical="center"/>
    </xf>
    <xf numFmtId="4" fontId="32" fillId="39" borderId="149" applyNumberFormat="0" applyProtection="0">
      <alignment horizontal="right" vertical="center"/>
    </xf>
    <xf numFmtId="4" fontId="32" fillId="34" borderId="143" applyNumberFormat="0" applyProtection="0">
      <alignment horizontal="right" vertical="center"/>
    </xf>
    <xf numFmtId="4" fontId="32" fillId="36" borderId="141" applyNumberFormat="0" applyProtection="0">
      <alignment horizontal="right" vertical="center"/>
    </xf>
    <xf numFmtId="4" fontId="32" fillId="31" borderId="149" applyNumberFormat="0" applyProtection="0">
      <alignment horizontal="left" vertical="center" indent="1"/>
    </xf>
    <xf numFmtId="4" fontId="43" fillId="45" borderId="142" applyNumberFormat="0" applyProtection="0">
      <alignment horizontal="left" vertical="center" indent="1"/>
    </xf>
    <xf numFmtId="0" fontId="41" fillId="29" borderId="142" applyNumberFormat="0" applyProtection="0">
      <alignment horizontal="left" vertical="top" indent="1"/>
    </xf>
    <xf numFmtId="0" fontId="32" fillId="42" borderId="150" applyNumberFormat="0" applyProtection="0">
      <alignment horizontal="left" vertical="top" indent="1"/>
    </xf>
    <xf numFmtId="4" fontId="32" fillId="33" borderId="141" applyNumberFormat="0" applyProtection="0">
      <alignment horizontal="right" vertical="center"/>
    </xf>
    <xf numFmtId="4" fontId="32" fillId="31" borderId="149" applyNumberFormat="0" applyProtection="0">
      <alignment horizontal="left" vertical="center" indent="1"/>
    </xf>
    <xf numFmtId="4" fontId="43" fillId="45" borderId="125" applyNumberFormat="0" applyProtection="0">
      <alignment horizontal="left" vertical="center" indent="1"/>
    </xf>
    <xf numFmtId="0" fontId="27" fillId="0" borderId="147">
      <alignment horizontal="left" vertical="center"/>
    </xf>
    <xf numFmtId="4" fontId="32" fillId="35" borderId="149" applyNumberFormat="0" applyProtection="0">
      <alignment horizontal="right" vertical="center"/>
    </xf>
    <xf numFmtId="4" fontId="32" fillId="29" borderId="124" applyNumberFormat="0" applyProtection="0">
      <alignment vertical="center"/>
    </xf>
    <xf numFmtId="4" fontId="40" fillId="30" borderId="124" applyNumberFormat="0" applyProtection="0">
      <alignment vertical="center"/>
    </xf>
    <xf numFmtId="4" fontId="32" fillId="30" borderId="124" applyNumberFormat="0" applyProtection="0">
      <alignment horizontal="left" vertical="center" indent="1"/>
    </xf>
    <xf numFmtId="0" fontId="41" fillId="29" borderId="125" applyNumberFormat="0" applyProtection="0">
      <alignment horizontal="left" vertical="top" indent="1"/>
    </xf>
    <xf numFmtId="4" fontId="32" fillId="31" borderId="124" applyNumberFormat="0" applyProtection="0">
      <alignment horizontal="left" vertical="center" indent="1"/>
    </xf>
    <xf numFmtId="4" fontId="32" fillId="32" borderId="124" applyNumberFormat="0" applyProtection="0">
      <alignment horizontal="right" vertical="center"/>
    </xf>
    <xf numFmtId="4" fontId="32" fillId="33" borderId="124" applyNumberFormat="0" applyProtection="0">
      <alignment horizontal="right" vertical="center"/>
    </xf>
    <xf numFmtId="4" fontId="32" fillId="34" borderId="126" applyNumberFormat="0" applyProtection="0">
      <alignment horizontal="right" vertical="center"/>
    </xf>
    <xf numFmtId="4" fontId="32" fillId="35" borderId="124" applyNumberFormat="0" applyProtection="0">
      <alignment horizontal="right" vertical="center"/>
    </xf>
    <xf numFmtId="4" fontId="32" fillId="36" borderId="124" applyNumberFormat="0" applyProtection="0">
      <alignment horizontal="right" vertical="center"/>
    </xf>
    <xf numFmtId="4" fontId="32" fillId="37" borderId="124" applyNumberFormat="0" applyProtection="0">
      <alignment horizontal="right" vertical="center"/>
    </xf>
    <xf numFmtId="4" fontId="32" fillId="38" borderId="124" applyNumberFormat="0" applyProtection="0">
      <alignment horizontal="right" vertical="center"/>
    </xf>
    <xf numFmtId="4" fontId="32" fillId="39" borderId="124" applyNumberFormat="0" applyProtection="0">
      <alignment horizontal="right" vertical="center"/>
    </xf>
    <xf numFmtId="4" fontId="32" fillId="40" borderId="124" applyNumberFormat="0" applyProtection="0">
      <alignment horizontal="right" vertical="center"/>
    </xf>
    <xf numFmtId="4" fontId="32" fillId="41" borderId="126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2" fillId="43" borderId="124" applyNumberFormat="0" applyProtection="0">
      <alignment horizontal="right" vertical="center"/>
    </xf>
    <xf numFmtId="4" fontId="32" fillId="44" borderId="126" applyNumberFormat="0" applyProtection="0">
      <alignment horizontal="left" vertical="center" indent="1"/>
    </xf>
    <xf numFmtId="4" fontId="32" fillId="43" borderId="126" applyNumberFormat="0" applyProtection="0">
      <alignment horizontal="left" vertical="center" indent="1"/>
    </xf>
    <xf numFmtId="0" fontId="32" fillId="45" borderId="124" applyNumberFormat="0" applyProtection="0">
      <alignment horizontal="left" vertical="center" indent="1"/>
    </xf>
    <xf numFmtId="0" fontId="32" fillId="42" borderId="125" applyNumberFormat="0" applyProtection="0">
      <alignment horizontal="left" vertical="top" indent="1"/>
    </xf>
    <xf numFmtId="0" fontId="32" fillId="46" borderId="124" applyNumberFormat="0" applyProtection="0">
      <alignment horizontal="left" vertical="center" indent="1"/>
    </xf>
    <xf numFmtId="0" fontId="32" fillId="43" borderId="125" applyNumberFormat="0" applyProtection="0">
      <alignment horizontal="left" vertical="top" indent="1"/>
    </xf>
    <xf numFmtId="0" fontId="32" fillId="47" borderId="124" applyNumberFormat="0" applyProtection="0">
      <alignment horizontal="left" vertical="center" indent="1"/>
    </xf>
    <xf numFmtId="0" fontId="32" fillId="47" borderId="125" applyNumberFormat="0" applyProtection="0">
      <alignment horizontal="left" vertical="top" indent="1"/>
    </xf>
    <xf numFmtId="0" fontId="32" fillId="44" borderId="124" applyNumberFormat="0" applyProtection="0">
      <alignment horizontal="left" vertical="center" indent="1"/>
    </xf>
    <xf numFmtId="0" fontId="32" fillId="44" borderId="125" applyNumberFormat="0" applyProtection="0">
      <alignment horizontal="left" vertical="top" indent="1"/>
    </xf>
    <xf numFmtId="0" fontId="42" fillId="42" borderId="127" applyBorder="0"/>
    <xf numFmtId="4" fontId="43" fillId="49" borderId="125" applyNumberFormat="0" applyProtection="0">
      <alignment vertical="center"/>
    </xf>
    <xf numFmtId="4" fontId="43" fillId="45" borderId="125" applyNumberFormat="0" applyProtection="0">
      <alignment horizontal="left" vertical="center" indent="1"/>
    </xf>
    <xf numFmtId="0" fontId="43" fillId="49" borderId="125" applyNumberFormat="0" applyProtection="0">
      <alignment horizontal="left" vertical="top" indent="1"/>
    </xf>
    <xf numFmtId="4" fontId="32" fillId="0" borderId="124" applyNumberFormat="0" applyProtection="0">
      <alignment horizontal="right" vertical="center"/>
    </xf>
    <xf numFmtId="4" fontId="32" fillId="0" borderId="124" applyNumberFormat="0" applyProtection="0">
      <alignment horizontal="right" vertical="center"/>
    </xf>
    <xf numFmtId="4" fontId="40" fillId="50" borderId="124" applyNumberFormat="0" applyProtection="0">
      <alignment horizontal="right" vertical="center"/>
    </xf>
    <xf numFmtId="4" fontId="32" fillId="31" borderId="124" applyNumberFormat="0" applyProtection="0">
      <alignment horizontal="left" vertical="center" indent="1"/>
    </xf>
    <xf numFmtId="0" fontId="43" fillId="43" borderId="125" applyNumberFormat="0" applyProtection="0">
      <alignment horizontal="left" vertical="top" indent="1"/>
    </xf>
    <xf numFmtId="4" fontId="44" fillId="51" borderId="126" applyNumberFormat="0" applyProtection="0">
      <alignment horizontal="left" vertical="center" indent="1"/>
    </xf>
    <xf numFmtId="4" fontId="45" fillId="48" borderId="124" applyNumberFormat="0" applyProtection="0">
      <alignment horizontal="right" vertical="center"/>
    </xf>
    <xf numFmtId="0" fontId="48" fillId="58" borderId="124" applyNumberFormat="0" applyAlignment="0" applyProtection="0"/>
    <xf numFmtId="0" fontId="32" fillId="23" borderId="124" applyNumberFormat="0" applyFont="0" applyAlignment="0" applyProtection="0"/>
    <xf numFmtId="0" fontId="39" fillId="0" borderId="128" applyNumberFormat="0" applyFill="0" applyAlignment="0" applyProtection="0"/>
    <xf numFmtId="0" fontId="52" fillId="24" borderId="124" applyNumberFormat="0" applyAlignment="0" applyProtection="0"/>
    <xf numFmtId="0" fontId="56" fillId="58" borderId="129" applyNumberFormat="0" applyAlignment="0" applyProtection="0"/>
    <xf numFmtId="0" fontId="41" fillId="29" borderId="150" applyNumberFormat="0" applyProtection="0">
      <alignment horizontal="left" vertical="top" indent="1"/>
    </xf>
    <xf numFmtId="4" fontId="43" fillId="45" borderId="142" applyNumberFormat="0" applyProtection="0">
      <alignment horizontal="left" vertical="center" indent="1"/>
    </xf>
    <xf numFmtId="0" fontId="43" fillId="49" borderId="150" applyNumberFormat="0" applyProtection="0">
      <alignment horizontal="left" vertical="top" indent="1"/>
    </xf>
    <xf numFmtId="4" fontId="32" fillId="34" borderId="151" applyNumberFormat="0" applyProtection="0">
      <alignment horizontal="right" vertical="center"/>
    </xf>
    <xf numFmtId="4" fontId="32" fillId="31" borderId="149" applyNumberFormat="0" applyProtection="0">
      <alignment horizontal="left" vertical="center" indent="1"/>
    </xf>
    <xf numFmtId="4" fontId="32" fillId="31" borderId="149" applyNumberFormat="0" applyProtection="0">
      <alignment horizontal="left" vertical="center" indent="1"/>
    </xf>
    <xf numFmtId="0" fontId="32" fillId="47" borderId="141" applyNumberFormat="0" applyProtection="0">
      <alignment horizontal="left" vertical="center" indent="1"/>
    </xf>
    <xf numFmtId="4" fontId="32" fillId="33" borderId="141" applyNumberFormat="0" applyProtection="0">
      <alignment horizontal="right" vertical="center"/>
    </xf>
    <xf numFmtId="0" fontId="32" fillId="44" borderId="141" applyNumberFormat="0" applyProtection="0">
      <alignment horizontal="left" vertical="center" indent="1"/>
    </xf>
    <xf numFmtId="4" fontId="32" fillId="39" borderId="133" applyNumberFormat="0" applyProtection="0">
      <alignment horizontal="right" vertical="center"/>
    </xf>
    <xf numFmtId="0" fontId="32" fillId="46" borderId="149" applyNumberFormat="0" applyProtection="0">
      <alignment horizontal="left" vertical="center" indent="1"/>
    </xf>
    <xf numFmtId="4" fontId="32" fillId="37" borderId="149" applyNumberFormat="0" applyProtection="0">
      <alignment horizontal="right" vertical="center"/>
    </xf>
    <xf numFmtId="4" fontId="32" fillId="41" borderId="151" applyNumberFormat="0" applyProtection="0">
      <alignment horizontal="left" vertical="center" indent="1"/>
    </xf>
    <xf numFmtId="4" fontId="32" fillId="33" borderId="124" applyNumberFormat="0" applyProtection="0">
      <alignment horizontal="right" vertical="center"/>
    </xf>
    <xf numFmtId="4" fontId="43" fillId="45" borderId="150" applyNumberFormat="0" applyProtection="0">
      <alignment horizontal="left" vertical="center" indent="1"/>
    </xf>
    <xf numFmtId="0" fontId="32" fillId="45" borderId="133" applyNumberFormat="0" applyProtection="0">
      <alignment horizontal="left" vertical="center" indent="1"/>
    </xf>
    <xf numFmtId="0" fontId="32" fillId="23" borderId="149" applyNumberFormat="0" applyFont="0" applyAlignment="0" applyProtection="0"/>
    <xf numFmtId="4" fontId="40" fillId="50" borderId="141" applyNumberFormat="0" applyProtection="0">
      <alignment horizontal="right" vertical="center"/>
    </xf>
    <xf numFmtId="4" fontId="30" fillId="42" borderId="151" applyNumberFormat="0" applyProtection="0">
      <alignment horizontal="left" vertical="center" indent="1"/>
    </xf>
    <xf numFmtId="4" fontId="32" fillId="34" borderId="143" applyNumberFormat="0" applyProtection="0">
      <alignment horizontal="right" vertical="center"/>
    </xf>
    <xf numFmtId="4" fontId="44" fillId="51" borderId="135" applyNumberFormat="0" applyProtection="0">
      <alignment horizontal="left" vertical="center" indent="1"/>
    </xf>
    <xf numFmtId="4" fontId="32" fillId="36" borderId="133" applyNumberFormat="0" applyProtection="0">
      <alignment horizontal="right" vertical="center"/>
    </xf>
    <xf numFmtId="0" fontId="52" fillId="24" borderId="149" applyNumberFormat="0" applyAlignment="0" applyProtection="0"/>
    <xf numFmtId="4" fontId="32" fillId="43" borderId="151" applyNumberFormat="0" applyProtection="0">
      <alignment horizontal="left" vertical="center" indent="1"/>
    </xf>
    <xf numFmtId="0" fontId="52" fillId="24" borderId="141" applyNumberFormat="0" applyAlignment="0" applyProtection="0"/>
    <xf numFmtId="10" fontId="32" fillId="10" borderId="156" applyNumberFormat="0" applyBorder="0" applyAlignment="0" applyProtection="0"/>
    <xf numFmtId="4" fontId="32" fillId="31" borderId="149" applyNumberFormat="0" applyProtection="0">
      <alignment horizontal="left" vertical="center" indent="1"/>
    </xf>
    <xf numFmtId="4" fontId="32" fillId="43" borderId="143" applyNumberFormat="0" applyProtection="0">
      <alignment horizontal="left" vertical="center" indent="1"/>
    </xf>
    <xf numFmtId="0" fontId="27" fillId="0" borderId="139">
      <alignment horizontal="left" vertical="center"/>
    </xf>
    <xf numFmtId="0" fontId="32" fillId="46" borderId="141" applyNumberFormat="0" applyProtection="0">
      <alignment horizontal="left" vertical="center" indent="1"/>
    </xf>
    <xf numFmtId="0" fontId="39" fillId="0" borderId="145" applyNumberFormat="0" applyFill="0" applyAlignment="0" applyProtection="0"/>
    <xf numFmtId="0" fontId="32" fillId="42" borderId="134" applyNumberFormat="0" applyProtection="0">
      <alignment horizontal="left" vertical="top" indent="1"/>
    </xf>
    <xf numFmtId="0" fontId="27" fillId="0" borderId="147">
      <alignment horizontal="left" vertical="center"/>
    </xf>
    <xf numFmtId="4" fontId="32" fillId="38" borderId="133" applyNumberFormat="0" applyProtection="0">
      <alignment horizontal="right" vertical="center"/>
    </xf>
    <xf numFmtId="4" fontId="40" fillId="10" borderId="116" applyNumberFormat="0" applyProtection="0">
      <alignment vertical="center"/>
    </xf>
    <xf numFmtId="4" fontId="32" fillId="32" borderId="141" applyNumberFormat="0" applyProtection="0">
      <alignment horizontal="right" vertical="center"/>
    </xf>
    <xf numFmtId="10" fontId="32" fillId="10" borderId="116" applyNumberFormat="0" applyBorder="0" applyAlignment="0" applyProtection="0"/>
    <xf numFmtId="4" fontId="32" fillId="31" borderId="149" applyNumberFormat="0" applyProtection="0">
      <alignment horizontal="left" vertical="center" indent="1"/>
    </xf>
    <xf numFmtId="0" fontId="32" fillId="44" borderId="150" applyNumberFormat="0" applyProtection="0">
      <alignment horizontal="left" vertical="top" indent="1"/>
    </xf>
    <xf numFmtId="0" fontId="32" fillId="43" borderId="125" applyNumberFormat="0" applyProtection="0">
      <alignment horizontal="left" vertical="top" indent="1"/>
    </xf>
    <xf numFmtId="0" fontId="32" fillId="52" borderId="148"/>
    <xf numFmtId="4" fontId="32" fillId="39" borderId="141" applyNumberFormat="0" applyProtection="0">
      <alignment horizontal="right" vertical="center"/>
    </xf>
    <xf numFmtId="4" fontId="32" fillId="29" borderId="149" applyNumberFormat="0" applyProtection="0">
      <alignment vertical="center"/>
    </xf>
    <xf numFmtId="4" fontId="40" fillId="10" borderId="116" applyNumberFormat="0" applyProtection="0">
      <alignment vertical="center"/>
    </xf>
    <xf numFmtId="0" fontId="32" fillId="52" borderId="116"/>
    <xf numFmtId="4" fontId="30" fillId="42" borderId="151" applyNumberFormat="0" applyProtection="0">
      <alignment horizontal="left" vertical="center" indent="1"/>
    </xf>
    <xf numFmtId="0" fontId="32" fillId="46" borderId="141" applyNumberFormat="0" applyProtection="0">
      <alignment horizontal="left" vertical="center" indent="1"/>
    </xf>
    <xf numFmtId="0" fontId="32" fillId="43" borderId="150" applyNumberFormat="0" applyProtection="0">
      <alignment horizontal="left" vertical="top" indent="1"/>
    </xf>
    <xf numFmtId="0" fontId="48" fillId="58" borderId="141" applyNumberFormat="0" applyAlignment="0" applyProtection="0"/>
    <xf numFmtId="0" fontId="32" fillId="44" borderId="150" applyNumberFormat="0" applyProtection="0">
      <alignment horizontal="left" vertical="top" indent="1"/>
    </xf>
    <xf numFmtId="4" fontId="45" fillId="48" borderId="141" applyNumberFormat="0" applyProtection="0">
      <alignment horizontal="right" vertical="center"/>
    </xf>
    <xf numFmtId="0" fontId="41" fillId="29" borderId="142" applyNumberFormat="0" applyProtection="0">
      <alignment horizontal="left" vertical="top" indent="1"/>
    </xf>
    <xf numFmtId="4" fontId="32" fillId="44" borderId="143" applyNumberFormat="0" applyProtection="0">
      <alignment horizontal="left" vertical="center" indent="1"/>
    </xf>
    <xf numFmtId="4" fontId="32" fillId="36" borderId="141" applyNumberFormat="0" applyProtection="0">
      <alignment horizontal="right" vertical="center"/>
    </xf>
    <xf numFmtId="4" fontId="32" fillId="35" borderId="141" applyNumberFormat="0" applyProtection="0">
      <alignment horizontal="right" vertical="center"/>
    </xf>
    <xf numFmtId="4" fontId="32" fillId="30" borderId="149" applyNumberFormat="0" applyProtection="0">
      <alignment horizontal="left" vertical="center" indent="1"/>
    </xf>
    <xf numFmtId="4" fontId="32" fillId="31" borderId="133" applyNumberFormat="0" applyProtection="0">
      <alignment horizontal="left" vertical="center" indent="1"/>
    </xf>
    <xf numFmtId="4" fontId="32" fillId="37" borderId="133" applyNumberFormat="0" applyProtection="0">
      <alignment horizontal="right" vertical="center"/>
    </xf>
    <xf numFmtId="4" fontId="32" fillId="0" borderId="141" applyNumberFormat="0" applyProtection="0">
      <alignment horizontal="right" vertical="center"/>
    </xf>
    <xf numFmtId="0" fontId="32" fillId="43" borderId="150" applyNumberFormat="0" applyProtection="0">
      <alignment horizontal="left" vertical="top" indent="1"/>
    </xf>
    <xf numFmtId="0" fontId="32" fillId="45" borderId="141" applyNumberFormat="0" applyProtection="0">
      <alignment horizontal="left" vertical="center" indent="1"/>
    </xf>
    <xf numFmtId="4" fontId="43" fillId="49" borderId="150" applyNumberFormat="0" applyProtection="0">
      <alignment vertical="center"/>
    </xf>
    <xf numFmtId="0" fontId="32" fillId="45" borderId="141" applyNumberFormat="0" applyProtection="0">
      <alignment horizontal="left" vertical="center" indent="1"/>
    </xf>
    <xf numFmtId="0" fontId="32" fillId="43" borderId="142" applyNumberFormat="0" applyProtection="0">
      <alignment horizontal="left" vertical="top" indent="1"/>
    </xf>
    <xf numFmtId="0" fontId="27" fillId="0" borderId="139">
      <alignment horizontal="left" vertical="center"/>
    </xf>
    <xf numFmtId="0" fontId="42" fillId="42" borderId="136" applyBorder="0"/>
    <xf numFmtId="10" fontId="32" fillId="10" borderId="140" applyNumberFormat="0" applyBorder="0" applyAlignment="0" applyProtection="0"/>
    <xf numFmtId="4" fontId="43" fillId="49" borderId="134" applyNumberFormat="0" applyProtection="0">
      <alignment vertical="center"/>
    </xf>
    <xf numFmtId="0" fontId="27" fillId="0" borderId="155">
      <alignment horizontal="left" vertical="center"/>
    </xf>
    <xf numFmtId="0" fontId="32" fillId="47" borderId="150" applyNumberFormat="0" applyProtection="0">
      <alignment horizontal="left" vertical="top" indent="1"/>
    </xf>
    <xf numFmtId="4" fontId="32" fillId="33" borderId="133" applyNumberFormat="0" applyProtection="0">
      <alignment horizontal="right" vertical="center"/>
    </xf>
    <xf numFmtId="4" fontId="40" fillId="10" borderId="140" applyNumberFormat="0" applyProtection="0">
      <alignment vertical="center"/>
    </xf>
    <xf numFmtId="0" fontId="48" fillId="58" borderId="133" applyNumberFormat="0" applyAlignment="0" applyProtection="0"/>
    <xf numFmtId="4" fontId="32" fillId="44" borderId="135" applyNumberFormat="0" applyProtection="0">
      <alignment horizontal="left" vertical="center" indent="1"/>
    </xf>
    <xf numFmtId="4" fontId="32" fillId="35" borderId="149" applyNumberFormat="0" applyProtection="0">
      <alignment horizontal="right" vertical="center"/>
    </xf>
    <xf numFmtId="0" fontId="43" fillId="49" borderId="150" applyNumberFormat="0" applyProtection="0">
      <alignment horizontal="left" vertical="top" indent="1"/>
    </xf>
    <xf numFmtId="10" fontId="32" fillId="10" borderId="116" applyNumberFormat="0" applyBorder="0" applyAlignment="0" applyProtection="0"/>
    <xf numFmtId="4" fontId="32" fillId="34" borderId="143" applyNumberFormat="0" applyProtection="0">
      <alignment horizontal="right" vertical="center"/>
    </xf>
    <xf numFmtId="4" fontId="30" fillId="42" borderId="151" applyNumberFormat="0" applyProtection="0">
      <alignment horizontal="left" vertical="center" indent="1"/>
    </xf>
    <xf numFmtId="0" fontId="32" fillId="23" borderId="141" applyNumberFormat="0" applyFont="0" applyAlignment="0" applyProtection="0"/>
    <xf numFmtId="0" fontId="27" fillId="0" borderId="155">
      <alignment horizontal="left" vertical="center"/>
    </xf>
    <xf numFmtId="4" fontId="32" fillId="0" borderId="141" applyNumberFormat="0" applyProtection="0">
      <alignment horizontal="right" vertical="center"/>
    </xf>
    <xf numFmtId="0" fontId="32" fillId="45" borderId="149" applyNumberFormat="0" applyProtection="0">
      <alignment horizontal="left" vertical="center" indent="1"/>
    </xf>
    <xf numFmtId="4" fontId="32" fillId="44" borderId="151" applyNumberFormat="0" applyProtection="0">
      <alignment horizontal="left" vertical="center" indent="1"/>
    </xf>
    <xf numFmtId="4" fontId="32" fillId="33" borderId="141" applyNumberFormat="0" applyProtection="0">
      <alignment horizontal="right" vertical="center"/>
    </xf>
    <xf numFmtId="4" fontId="32" fillId="44" borderId="135" applyNumberFormat="0" applyProtection="0">
      <alignment horizontal="left" vertical="center" indent="1"/>
    </xf>
    <xf numFmtId="4" fontId="32" fillId="36" borderId="141" applyNumberFormat="0" applyProtection="0">
      <alignment horizontal="right" vertical="center"/>
    </xf>
    <xf numFmtId="4" fontId="32" fillId="0" borderId="141" applyNumberFormat="0" applyProtection="0">
      <alignment horizontal="right" vertical="center"/>
    </xf>
    <xf numFmtId="4" fontId="45" fillId="48" borderId="149" applyNumberFormat="0" applyProtection="0">
      <alignment horizontal="right" vertical="center"/>
    </xf>
    <xf numFmtId="4" fontId="32" fillId="0" borderId="124" applyNumberFormat="0" applyProtection="0">
      <alignment horizontal="right" vertical="center"/>
    </xf>
    <xf numFmtId="4" fontId="32" fillId="33" borderId="149" applyNumberFormat="0" applyProtection="0">
      <alignment horizontal="right" vertical="center"/>
    </xf>
    <xf numFmtId="0" fontId="32" fillId="46" borderId="141" applyNumberFormat="0" applyProtection="0">
      <alignment horizontal="left" vertical="center" indent="1"/>
    </xf>
    <xf numFmtId="4" fontId="32" fillId="38" borderId="149" applyNumberFormat="0" applyProtection="0">
      <alignment horizontal="right" vertical="center"/>
    </xf>
    <xf numFmtId="4" fontId="32" fillId="41" borderId="151" applyNumberFormat="0" applyProtection="0">
      <alignment horizontal="left" vertical="center" indent="1"/>
    </xf>
    <xf numFmtId="4" fontId="32" fillId="0" borderId="141" applyNumberFormat="0" applyProtection="0">
      <alignment horizontal="right" vertical="center"/>
    </xf>
    <xf numFmtId="4" fontId="40" fillId="50" borderId="149" applyNumberFormat="0" applyProtection="0">
      <alignment horizontal="right" vertical="center"/>
    </xf>
    <xf numFmtId="0" fontId="32" fillId="23" borderId="149" applyNumberFormat="0" applyFont="0" applyAlignment="0" applyProtection="0"/>
    <xf numFmtId="4" fontId="32" fillId="43" borderId="149" applyNumberFormat="0" applyProtection="0">
      <alignment horizontal="right" vertical="center"/>
    </xf>
    <xf numFmtId="4" fontId="45" fillId="48" borderId="149" applyNumberFormat="0" applyProtection="0">
      <alignment horizontal="right" vertical="center"/>
    </xf>
    <xf numFmtId="4" fontId="32" fillId="36" borderId="141" applyNumberFormat="0" applyProtection="0">
      <alignment horizontal="right" vertical="center"/>
    </xf>
    <xf numFmtId="4" fontId="43" fillId="49" borderId="142" applyNumberFormat="0" applyProtection="0">
      <alignment vertical="center"/>
    </xf>
    <xf numFmtId="4" fontId="32" fillId="0" borderId="133" applyNumberFormat="0" applyProtection="0">
      <alignment horizontal="right" vertical="center"/>
    </xf>
    <xf numFmtId="4" fontId="32" fillId="40" borderId="149" applyNumberFormat="0" applyProtection="0">
      <alignment horizontal="right" vertical="center"/>
    </xf>
    <xf numFmtId="4" fontId="32" fillId="38" borderId="133" applyNumberFormat="0" applyProtection="0">
      <alignment horizontal="right" vertical="center"/>
    </xf>
    <xf numFmtId="4" fontId="32" fillId="36" borderId="124" applyNumberFormat="0" applyProtection="0">
      <alignment horizontal="right" vertical="center"/>
    </xf>
    <xf numFmtId="4" fontId="32" fillId="0" borderId="149" applyNumberFormat="0" applyProtection="0">
      <alignment horizontal="right" vertical="center"/>
    </xf>
    <xf numFmtId="0" fontId="42" fillId="42" borderId="152" applyBorder="0"/>
    <xf numFmtId="4" fontId="32" fillId="39" borderId="133" applyNumberFormat="0" applyProtection="0">
      <alignment horizontal="right" vertical="center"/>
    </xf>
    <xf numFmtId="4" fontId="32" fillId="43" borderId="149" applyNumberFormat="0" applyProtection="0">
      <alignment horizontal="right" vertical="center"/>
    </xf>
    <xf numFmtId="0" fontId="56" fillId="58" borderId="154" applyNumberFormat="0" applyAlignment="0" applyProtection="0"/>
    <xf numFmtId="4" fontId="32" fillId="32" borderId="133" applyNumberFormat="0" applyProtection="0">
      <alignment horizontal="right" vertical="center"/>
    </xf>
    <xf numFmtId="0" fontId="32" fillId="45" borderId="133" applyNumberFormat="0" applyProtection="0">
      <alignment horizontal="left" vertical="center" indent="1"/>
    </xf>
    <xf numFmtId="4" fontId="40" fillId="30" borderId="149" applyNumberFormat="0" applyProtection="0">
      <alignment vertical="center"/>
    </xf>
    <xf numFmtId="4" fontId="32" fillId="35" borderId="149" applyNumberFormat="0" applyProtection="0">
      <alignment horizontal="right" vertical="center"/>
    </xf>
    <xf numFmtId="0" fontId="32" fillId="44" borderId="141" applyNumberFormat="0" applyProtection="0">
      <alignment horizontal="left" vertical="center" indent="1"/>
    </xf>
    <xf numFmtId="4" fontId="32" fillId="0" borderId="149" applyNumberFormat="0" applyProtection="0">
      <alignment horizontal="right" vertical="center"/>
    </xf>
    <xf numFmtId="4" fontId="32" fillId="30" borderId="141" applyNumberFormat="0" applyProtection="0">
      <alignment horizontal="left" vertical="center" indent="1"/>
    </xf>
    <xf numFmtId="4" fontId="32" fillId="41" borderId="135" applyNumberFormat="0" applyProtection="0">
      <alignment horizontal="left" vertical="center" indent="1"/>
    </xf>
    <xf numFmtId="0" fontId="43" fillId="49" borderId="150" applyNumberFormat="0" applyProtection="0">
      <alignment horizontal="left" vertical="top" indent="1"/>
    </xf>
    <xf numFmtId="0" fontId="32" fillId="44" borderId="125" applyNumberFormat="0" applyProtection="0">
      <alignment horizontal="left" vertical="top" indent="1"/>
    </xf>
    <xf numFmtId="4" fontId="40" fillId="10" borderId="140" applyNumberFormat="0" applyProtection="0">
      <alignment vertical="center"/>
    </xf>
    <xf numFmtId="4" fontId="32" fillId="31" borderId="149" applyNumberFormat="0" applyProtection="0">
      <alignment horizontal="left" vertical="center" indent="1"/>
    </xf>
    <xf numFmtId="0" fontId="43" fillId="43" borderId="150" applyNumberFormat="0" applyProtection="0">
      <alignment horizontal="left" vertical="top" indent="1"/>
    </xf>
    <xf numFmtId="0" fontId="32" fillId="44" borderId="141" applyNumberFormat="0" applyProtection="0">
      <alignment horizontal="left" vertical="center" indent="1"/>
    </xf>
    <xf numFmtId="0" fontId="32" fillId="44" borderId="150" applyNumberFormat="0" applyProtection="0">
      <alignment horizontal="left" vertical="top" indent="1"/>
    </xf>
    <xf numFmtId="4" fontId="40" fillId="10" borderId="140" applyNumberFormat="0" applyProtection="0">
      <alignment vertical="center"/>
    </xf>
    <xf numFmtId="0" fontId="43" fillId="49" borderId="150" applyNumberFormat="0" applyProtection="0">
      <alignment horizontal="left" vertical="top" indent="1"/>
    </xf>
    <xf numFmtId="4" fontId="32" fillId="30" borderId="141" applyNumberFormat="0" applyProtection="0">
      <alignment horizontal="left" vertical="center" indent="1"/>
    </xf>
    <xf numFmtId="0" fontId="32" fillId="46" borderId="141" applyNumberFormat="0" applyProtection="0">
      <alignment horizontal="left" vertical="center" indent="1"/>
    </xf>
    <xf numFmtId="0" fontId="32" fillId="42" borderId="142" applyNumberFormat="0" applyProtection="0">
      <alignment horizontal="left" vertical="top" indent="1"/>
    </xf>
    <xf numFmtId="4" fontId="32" fillId="39" borderId="149" applyNumberFormat="0" applyProtection="0">
      <alignment horizontal="right" vertical="center"/>
    </xf>
    <xf numFmtId="4" fontId="32" fillId="33" borderId="149" applyNumberFormat="0" applyProtection="0">
      <alignment horizontal="right" vertical="center"/>
    </xf>
    <xf numFmtId="4" fontId="32" fillId="30" borderId="124" applyNumberFormat="0" applyProtection="0">
      <alignment horizontal="left" vertical="center" indent="1"/>
    </xf>
    <xf numFmtId="0" fontId="32" fillId="44" borderId="150" applyNumberFormat="0" applyProtection="0">
      <alignment horizontal="left" vertical="top" indent="1"/>
    </xf>
    <xf numFmtId="0" fontId="48" fillId="58" borderId="141" applyNumberFormat="0" applyAlignment="0" applyProtection="0"/>
    <xf numFmtId="0" fontId="32" fillId="47" borderId="141" applyNumberFormat="0" applyProtection="0">
      <alignment horizontal="left" vertical="center" indent="1"/>
    </xf>
    <xf numFmtId="0" fontId="32" fillId="47" borderId="149" applyNumberFormat="0" applyProtection="0">
      <alignment horizontal="left" vertical="center" indent="1"/>
    </xf>
    <xf numFmtId="4" fontId="43" fillId="49" borderId="134" applyNumberFormat="0" applyProtection="0">
      <alignment vertical="center"/>
    </xf>
    <xf numFmtId="0" fontId="32" fillId="43" borderId="142" applyNumberFormat="0" applyProtection="0">
      <alignment horizontal="left" vertical="top" indent="1"/>
    </xf>
    <xf numFmtId="4" fontId="32" fillId="30" borderId="133" applyNumberFormat="0" applyProtection="0">
      <alignment horizontal="left" vertical="center" indent="1"/>
    </xf>
    <xf numFmtId="4" fontId="32" fillId="41" borderId="135" applyNumberFormat="0" applyProtection="0">
      <alignment horizontal="left" vertical="center" indent="1"/>
    </xf>
    <xf numFmtId="4" fontId="40" fillId="10" borderId="148" applyNumberFormat="0" applyProtection="0">
      <alignment vertical="center"/>
    </xf>
    <xf numFmtId="4" fontId="32" fillId="35" borderId="149" applyNumberFormat="0" applyProtection="0">
      <alignment horizontal="right" vertical="center"/>
    </xf>
    <xf numFmtId="4" fontId="32" fillId="41" borderId="151" applyNumberFormat="0" applyProtection="0">
      <alignment horizontal="left" vertical="center" indent="1"/>
    </xf>
    <xf numFmtId="0" fontId="32" fillId="42" borderId="142" applyNumberFormat="0" applyProtection="0">
      <alignment horizontal="left" vertical="top" indent="1"/>
    </xf>
    <xf numFmtId="4" fontId="32" fillId="43" borderId="151" applyNumberFormat="0" applyProtection="0">
      <alignment horizontal="left" vertical="center" indent="1"/>
    </xf>
    <xf numFmtId="0" fontId="43" fillId="49" borderId="142" applyNumberFormat="0" applyProtection="0">
      <alignment horizontal="left" vertical="top" indent="1"/>
    </xf>
    <xf numFmtId="4" fontId="44" fillId="51" borderId="143" applyNumberFormat="0" applyProtection="0">
      <alignment horizontal="left" vertical="center" indent="1"/>
    </xf>
    <xf numFmtId="4" fontId="32" fillId="43" borderId="151" applyNumberFormat="0" applyProtection="0">
      <alignment horizontal="left" vertical="center" indent="1"/>
    </xf>
    <xf numFmtId="0" fontId="42" fillId="42" borderId="152" applyBorder="0"/>
    <xf numFmtId="4" fontId="32" fillId="37" borderId="141" applyNumberFormat="0" applyProtection="0">
      <alignment horizontal="right" vertical="center"/>
    </xf>
    <xf numFmtId="4" fontId="43" fillId="45" borderId="134" applyNumberFormat="0" applyProtection="0">
      <alignment horizontal="left" vertical="center" indent="1"/>
    </xf>
    <xf numFmtId="4" fontId="32" fillId="40" borderId="141" applyNumberFormat="0" applyProtection="0">
      <alignment horizontal="right" vertical="center"/>
    </xf>
    <xf numFmtId="4" fontId="40" fillId="10" borderId="148" applyNumberFormat="0" applyProtection="0">
      <alignment vertical="center"/>
    </xf>
    <xf numFmtId="0" fontId="52" fillId="24" borderId="149" applyNumberFormat="0" applyAlignment="0" applyProtection="0"/>
    <xf numFmtId="4" fontId="44" fillId="51" borderId="126" applyNumberFormat="0" applyProtection="0">
      <alignment horizontal="left" vertical="center" indent="1"/>
    </xf>
    <xf numFmtId="4" fontId="30" fillId="42" borderId="151" applyNumberFormat="0" applyProtection="0">
      <alignment horizontal="left" vertical="center" indent="1"/>
    </xf>
    <xf numFmtId="4" fontId="44" fillId="51" borderId="143" applyNumberFormat="0" applyProtection="0">
      <alignment horizontal="left" vertical="center" indent="1"/>
    </xf>
    <xf numFmtId="4" fontId="45" fillId="48" borderId="149" applyNumberFormat="0" applyProtection="0">
      <alignment horizontal="right" vertical="center"/>
    </xf>
    <xf numFmtId="0" fontId="43" fillId="49" borderId="150" applyNumberFormat="0" applyProtection="0">
      <alignment horizontal="left" vertical="top" indent="1"/>
    </xf>
    <xf numFmtId="0" fontId="52" fillId="24" borderId="149" applyNumberFormat="0" applyAlignment="0" applyProtection="0"/>
    <xf numFmtId="4" fontId="32" fillId="40" borderId="141" applyNumberFormat="0" applyProtection="0">
      <alignment horizontal="right" vertical="center"/>
    </xf>
    <xf numFmtId="4" fontId="32" fillId="0" borderId="141" applyNumberFormat="0" applyProtection="0">
      <alignment horizontal="right" vertical="center"/>
    </xf>
    <xf numFmtId="4" fontId="32" fillId="0" borderId="133" applyNumberFormat="0" applyProtection="0">
      <alignment horizontal="right" vertical="center"/>
    </xf>
    <xf numFmtId="4" fontId="32" fillId="37" borderId="133" applyNumberFormat="0" applyProtection="0">
      <alignment horizontal="right" vertical="center"/>
    </xf>
    <xf numFmtId="4" fontId="32" fillId="43" borderId="149" applyNumberFormat="0" applyProtection="0">
      <alignment horizontal="right" vertical="center"/>
    </xf>
    <xf numFmtId="0" fontId="32" fillId="43" borderId="134" applyNumberFormat="0" applyProtection="0">
      <alignment horizontal="left" vertical="top" indent="1"/>
    </xf>
    <xf numFmtId="4" fontId="32" fillId="40" borderId="124" applyNumberFormat="0" applyProtection="0">
      <alignment horizontal="right" vertical="center"/>
    </xf>
    <xf numFmtId="0" fontId="52" fillId="24" borderId="133" applyNumberFormat="0" applyAlignment="0" applyProtection="0"/>
    <xf numFmtId="4" fontId="44" fillId="51" borderId="151" applyNumberFormat="0" applyProtection="0">
      <alignment horizontal="left" vertical="center" indent="1"/>
    </xf>
    <xf numFmtId="4" fontId="40" fillId="10" borderId="140" applyNumberFormat="0" applyProtection="0">
      <alignment vertical="center"/>
    </xf>
    <xf numFmtId="0" fontId="48" fillId="58" borderId="141" applyNumberFormat="0" applyAlignment="0" applyProtection="0"/>
    <xf numFmtId="0" fontId="32" fillId="43" borderId="150" applyNumberFormat="0" applyProtection="0">
      <alignment horizontal="left" vertical="top" indent="1"/>
    </xf>
    <xf numFmtId="4" fontId="45" fillId="48" borderId="141" applyNumberFormat="0" applyProtection="0">
      <alignment horizontal="right" vertical="center"/>
    </xf>
    <xf numFmtId="0" fontId="32" fillId="45" borderId="149" applyNumberFormat="0" applyProtection="0">
      <alignment horizontal="left" vertical="center" indent="1"/>
    </xf>
    <xf numFmtId="0" fontId="32" fillId="44" borderId="150" applyNumberFormat="0" applyProtection="0">
      <alignment horizontal="left" vertical="top" indent="1"/>
    </xf>
    <xf numFmtId="4" fontId="32" fillId="31" borderId="133" applyNumberFormat="0" applyProtection="0">
      <alignment horizontal="left" vertical="center" indent="1"/>
    </xf>
    <xf numFmtId="4" fontId="43" fillId="49" borderId="150" applyNumberFormat="0" applyProtection="0">
      <alignment vertical="center"/>
    </xf>
    <xf numFmtId="0" fontId="32" fillId="44" borderId="125" applyNumberFormat="0" applyProtection="0">
      <alignment horizontal="left" vertical="top" indent="1"/>
    </xf>
    <xf numFmtId="4" fontId="32" fillId="34" borderId="126" applyNumberFormat="0" applyProtection="0">
      <alignment horizontal="right" vertical="center"/>
    </xf>
    <xf numFmtId="0" fontId="39" fillId="0" borderId="128" applyNumberFormat="0" applyFill="0" applyAlignment="0" applyProtection="0"/>
    <xf numFmtId="4" fontId="32" fillId="0" borderId="124" applyNumberFormat="0" applyProtection="0">
      <alignment horizontal="right" vertical="center"/>
    </xf>
    <xf numFmtId="0" fontId="32" fillId="23" borderId="124" applyNumberFormat="0" applyFont="0" applyAlignment="0" applyProtection="0"/>
    <xf numFmtId="0" fontId="52" fillId="24" borderId="124" applyNumberFormat="0" applyAlignment="0" applyProtection="0"/>
    <xf numFmtId="4" fontId="32" fillId="29" borderId="124" applyNumberFormat="0" applyProtection="0">
      <alignment vertical="center"/>
    </xf>
    <xf numFmtId="4" fontId="32" fillId="38" borderId="124" applyNumberFormat="0" applyProtection="0">
      <alignment horizontal="right" vertical="center"/>
    </xf>
    <xf numFmtId="0" fontId="43" fillId="49" borderId="125" applyNumberFormat="0" applyProtection="0">
      <alignment horizontal="left" vertical="top" indent="1"/>
    </xf>
    <xf numFmtId="0" fontId="32" fillId="44" borderId="124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2" fillId="36" borderId="124" applyNumberFormat="0" applyProtection="0">
      <alignment horizontal="right" vertical="center"/>
    </xf>
    <xf numFmtId="0" fontId="32" fillId="52" borderId="116"/>
    <xf numFmtId="4" fontId="32" fillId="33" borderId="124" applyNumberFormat="0" applyProtection="0">
      <alignment horizontal="right" vertical="center"/>
    </xf>
    <xf numFmtId="0" fontId="32" fillId="47" borderId="124" applyNumberFormat="0" applyProtection="0">
      <alignment horizontal="left" vertical="center" indent="1"/>
    </xf>
    <xf numFmtId="4" fontId="44" fillId="51" borderId="126" applyNumberFormat="0" applyProtection="0">
      <alignment horizontal="left" vertical="center" indent="1"/>
    </xf>
    <xf numFmtId="4" fontId="32" fillId="43" borderId="126" applyNumberFormat="0" applyProtection="0">
      <alignment horizontal="left" vertical="center" indent="1"/>
    </xf>
    <xf numFmtId="4" fontId="32" fillId="32" borderId="124" applyNumberFormat="0" applyProtection="0">
      <alignment horizontal="right" vertical="center"/>
    </xf>
    <xf numFmtId="10" fontId="32" fillId="10" borderId="116" applyNumberFormat="0" applyBorder="0" applyAlignment="0" applyProtection="0"/>
    <xf numFmtId="4" fontId="32" fillId="29" borderId="124" applyNumberFormat="0" applyProtection="0">
      <alignment vertical="center"/>
    </xf>
    <xf numFmtId="4" fontId="40" fillId="30" borderId="124" applyNumberFormat="0" applyProtection="0">
      <alignment vertical="center"/>
    </xf>
    <xf numFmtId="4" fontId="32" fillId="30" borderId="124" applyNumberFormat="0" applyProtection="0">
      <alignment horizontal="left" vertical="center" indent="1"/>
    </xf>
    <xf numFmtId="0" fontId="41" fillId="29" borderId="125" applyNumberFormat="0" applyProtection="0">
      <alignment horizontal="left" vertical="top" indent="1"/>
    </xf>
    <xf numFmtId="4" fontId="32" fillId="31" borderId="124" applyNumberFormat="0" applyProtection="0">
      <alignment horizontal="left" vertical="center" indent="1"/>
    </xf>
    <xf numFmtId="4" fontId="32" fillId="32" borderId="124" applyNumberFormat="0" applyProtection="0">
      <alignment horizontal="right" vertical="center"/>
    </xf>
    <xf numFmtId="4" fontId="32" fillId="33" borderId="124" applyNumberFormat="0" applyProtection="0">
      <alignment horizontal="right" vertical="center"/>
    </xf>
    <xf numFmtId="4" fontId="32" fillId="34" borderId="126" applyNumberFormat="0" applyProtection="0">
      <alignment horizontal="right" vertical="center"/>
    </xf>
    <xf numFmtId="4" fontId="32" fillId="35" borderId="124" applyNumberFormat="0" applyProtection="0">
      <alignment horizontal="right" vertical="center"/>
    </xf>
    <xf numFmtId="4" fontId="32" fillId="36" borderId="124" applyNumberFormat="0" applyProtection="0">
      <alignment horizontal="right" vertical="center"/>
    </xf>
    <xf numFmtId="4" fontId="32" fillId="37" borderId="124" applyNumberFormat="0" applyProtection="0">
      <alignment horizontal="right" vertical="center"/>
    </xf>
    <xf numFmtId="4" fontId="32" fillId="38" borderId="124" applyNumberFormat="0" applyProtection="0">
      <alignment horizontal="right" vertical="center"/>
    </xf>
    <xf numFmtId="4" fontId="32" fillId="39" borderId="124" applyNumberFormat="0" applyProtection="0">
      <alignment horizontal="right" vertical="center"/>
    </xf>
    <xf numFmtId="4" fontId="32" fillId="40" borderId="124" applyNumberFormat="0" applyProtection="0">
      <alignment horizontal="right" vertical="center"/>
    </xf>
    <xf numFmtId="4" fontId="32" fillId="41" borderId="126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0" fillId="42" borderId="126" applyNumberFormat="0" applyProtection="0">
      <alignment horizontal="left" vertical="center" indent="1"/>
    </xf>
    <xf numFmtId="4" fontId="32" fillId="43" borderId="124" applyNumberFormat="0" applyProtection="0">
      <alignment horizontal="right" vertical="center"/>
    </xf>
    <xf numFmtId="4" fontId="32" fillId="44" borderId="126" applyNumberFormat="0" applyProtection="0">
      <alignment horizontal="left" vertical="center" indent="1"/>
    </xf>
    <xf numFmtId="4" fontId="32" fillId="43" borderId="126" applyNumberFormat="0" applyProtection="0">
      <alignment horizontal="left" vertical="center" indent="1"/>
    </xf>
    <xf numFmtId="0" fontId="32" fillId="45" borderId="124" applyNumberFormat="0" applyProtection="0">
      <alignment horizontal="left" vertical="center" indent="1"/>
    </xf>
    <xf numFmtId="0" fontId="32" fillId="42" borderId="125" applyNumberFormat="0" applyProtection="0">
      <alignment horizontal="left" vertical="top" indent="1"/>
    </xf>
    <xf numFmtId="0" fontId="32" fillId="46" borderId="124" applyNumberFormat="0" applyProtection="0">
      <alignment horizontal="left" vertical="center" indent="1"/>
    </xf>
    <xf numFmtId="0" fontId="32" fillId="43" borderId="125" applyNumberFormat="0" applyProtection="0">
      <alignment horizontal="left" vertical="top" indent="1"/>
    </xf>
    <xf numFmtId="0" fontId="32" fillId="47" borderId="124" applyNumberFormat="0" applyProtection="0">
      <alignment horizontal="left" vertical="center" indent="1"/>
    </xf>
    <xf numFmtId="0" fontId="32" fillId="47" borderId="125" applyNumberFormat="0" applyProtection="0">
      <alignment horizontal="left" vertical="top" indent="1"/>
    </xf>
    <xf numFmtId="0" fontId="32" fillId="44" borderId="124" applyNumberFormat="0" applyProtection="0">
      <alignment horizontal="left" vertical="center" indent="1"/>
    </xf>
    <xf numFmtId="0" fontId="32" fillId="44" borderId="125" applyNumberFormat="0" applyProtection="0">
      <alignment horizontal="left" vertical="top" indent="1"/>
    </xf>
    <xf numFmtId="0" fontId="42" fillId="42" borderId="127" applyBorder="0"/>
    <xf numFmtId="4" fontId="43" fillId="49" borderId="125" applyNumberFormat="0" applyProtection="0">
      <alignment vertical="center"/>
    </xf>
    <xf numFmtId="4" fontId="43" fillId="45" borderId="125" applyNumberFormat="0" applyProtection="0">
      <alignment horizontal="left" vertical="center" indent="1"/>
    </xf>
    <xf numFmtId="0" fontId="43" fillId="49" borderId="125" applyNumberFormat="0" applyProtection="0">
      <alignment horizontal="left" vertical="top" indent="1"/>
    </xf>
    <xf numFmtId="4" fontId="32" fillId="0" borderId="124" applyNumberFormat="0" applyProtection="0">
      <alignment horizontal="right" vertical="center"/>
    </xf>
    <xf numFmtId="4" fontId="32" fillId="0" borderId="124" applyNumberFormat="0" applyProtection="0">
      <alignment horizontal="right" vertical="center"/>
    </xf>
    <xf numFmtId="4" fontId="40" fillId="50" borderId="124" applyNumberFormat="0" applyProtection="0">
      <alignment horizontal="right" vertical="center"/>
    </xf>
    <xf numFmtId="4" fontId="32" fillId="31" borderId="124" applyNumberFormat="0" applyProtection="0">
      <alignment horizontal="left" vertical="center" indent="1"/>
    </xf>
    <xf numFmtId="0" fontId="43" fillId="43" borderId="125" applyNumberFormat="0" applyProtection="0">
      <alignment horizontal="left" vertical="top" indent="1"/>
    </xf>
    <xf numFmtId="4" fontId="44" fillId="51" borderId="126" applyNumberFormat="0" applyProtection="0">
      <alignment horizontal="left" vertical="center" indent="1"/>
    </xf>
    <xf numFmtId="4" fontId="45" fillId="48" borderId="124" applyNumberFormat="0" applyProtection="0">
      <alignment horizontal="right" vertical="center"/>
    </xf>
    <xf numFmtId="0" fontId="48" fillId="58" borderId="124" applyNumberFormat="0" applyAlignment="0" applyProtection="0"/>
    <xf numFmtId="0" fontId="32" fillId="23" borderId="124" applyNumberFormat="0" applyFont="0" applyAlignment="0" applyProtection="0"/>
    <xf numFmtId="0" fontId="39" fillId="0" borderId="128" applyNumberFormat="0" applyFill="0" applyAlignment="0" applyProtection="0"/>
    <xf numFmtId="0" fontId="52" fillId="24" borderId="124" applyNumberFormat="0" applyAlignment="0" applyProtection="0"/>
    <xf numFmtId="0" fontId="56" fillId="58" borderId="129" applyNumberFormat="0" applyAlignment="0" applyProtection="0"/>
    <xf numFmtId="4" fontId="32" fillId="31" borderId="124" applyNumberFormat="0" applyProtection="0">
      <alignment horizontal="left" vertical="center" indent="1"/>
    </xf>
    <xf numFmtId="0" fontId="32" fillId="45" borderId="124" applyNumberFormat="0" applyProtection="0">
      <alignment horizontal="left" vertical="center" indent="1"/>
    </xf>
    <xf numFmtId="4" fontId="43" fillId="49" borderId="125" applyNumberFormat="0" applyProtection="0">
      <alignment vertical="center"/>
    </xf>
    <xf numFmtId="4" fontId="32" fillId="40" borderId="124" applyNumberFormat="0" applyProtection="0">
      <alignment horizontal="right" vertical="center"/>
    </xf>
    <xf numFmtId="4" fontId="40" fillId="50" borderId="124" applyNumberFormat="0" applyProtection="0">
      <alignment horizontal="right" vertical="center"/>
    </xf>
    <xf numFmtId="10" fontId="32" fillId="10" borderId="140" applyNumberFormat="0" applyBorder="0" applyAlignment="0" applyProtection="0"/>
    <xf numFmtId="4" fontId="32" fillId="40" borderId="133" applyNumberFormat="0" applyProtection="0">
      <alignment horizontal="right" vertical="center"/>
    </xf>
    <xf numFmtId="0" fontId="56" fillId="58" borderId="129" applyNumberFormat="0" applyAlignment="0" applyProtection="0"/>
    <xf numFmtId="0" fontId="48" fillId="58" borderId="124" applyNumberFormat="0" applyAlignment="0" applyProtection="0"/>
    <xf numFmtId="0" fontId="32" fillId="43" borderId="125" applyNumberFormat="0" applyProtection="0">
      <alignment horizontal="left" vertical="top" indent="1"/>
    </xf>
    <xf numFmtId="0" fontId="42" fillId="42" borderId="127" applyBorder="0"/>
    <xf numFmtId="4" fontId="32" fillId="31" borderId="124" applyNumberFormat="0" applyProtection="0">
      <alignment horizontal="left" vertical="center" indent="1"/>
    </xf>
    <xf numFmtId="4" fontId="32" fillId="30" borderId="124" applyNumberFormat="0" applyProtection="0">
      <alignment horizontal="left" vertical="center" indent="1"/>
    </xf>
    <xf numFmtId="0" fontId="32" fillId="42" borderId="125" applyNumberFormat="0" applyProtection="0">
      <alignment horizontal="left" vertical="top" indent="1"/>
    </xf>
    <xf numFmtId="4" fontId="32" fillId="0" borderId="124" applyNumberFormat="0" applyProtection="0">
      <alignment horizontal="right" vertical="center"/>
    </xf>
    <xf numFmtId="4" fontId="32" fillId="37" borderId="124" applyNumberFormat="0" applyProtection="0">
      <alignment horizontal="right" vertical="center"/>
    </xf>
    <xf numFmtId="4" fontId="45" fillId="48" borderId="124" applyNumberFormat="0" applyProtection="0">
      <alignment horizontal="right" vertical="center"/>
    </xf>
    <xf numFmtId="4" fontId="40" fillId="30" borderId="124" applyNumberFormat="0" applyProtection="0">
      <alignment vertical="center"/>
    </xf>
    <xf numFmtId="4" fontId="32" fillId="39" borderId="124" applyNumberFormat="0" applyProtection="0">
      <alignment horizontal="right" vertical="center"/>
    </xf>
    <xf numFmtId="4" fontId="30" fillId="42" borderId="126" applyNumberFormat="0" applyProtection="0">
      <alignment horizontal="left" vertical="center" indent="1"/>
    </xf>
    <xf numFmtId="0" fontId="32" fillId="47" borderId="125" applyNumberFormat="0" applyProtection="0">
      <alignment horizontal="left" vertical="top" indent="1"/>
    </xf>
    <xf numFmtId="4" fontId="43" fillId="45" borderId="125" applyNumberFormat="0" applyProtection="0">
      <alignment horizontal="left" vertical="center" indent="1"/>
    </xf>
    <xf numFmtId="4" fontId="40" fillId="10" borderId="116" applyNumberFormat="0" applyProtection="0">
      <alignment vertical="center"/>
    </xf>
    <xf numFmtId="0" fontId="43" fillId="43" borderId="125" applyNumberFormat="0" applyProtection="0">
      <alignment horizontal="left" vertical="top" indent="1"/>
    </xf>
    <xf numFmtId="4" fontId="32" fillId="44" borderId="126" applyNumberFormat="0" applyProtection="0">
      <alignment horizontal="left" vertical="center" indent="1"/>
    </xf>
    <xf numFmtId="4" fontId="32" fillId="43" borderId="124" applyNumberFormat="0" applyProtection="0">
      <alignment horizontal="right" vertical="center"/>
    </xf>
    <xf numFmtId="0" fontId="41" fillId="29" borderId="125" applyNumberFormat="0" applyProtection="0">
      <alignment horizontal="left" vertical="top" indent="1"/>
    </xf>
    <xf numFmtId="4" fontId="32" fillId="35" borderId="124" applyNumberFormat="0" applyProtection="0">
      <alignment horizontal="right" vertical="center"/>
    </xf>
    <xf numFmtId="0" fontId="32" fillId="46" borderId="124" applyNumberFormat="0" applyProtection="0">
      <alignment horizontal="left" vertical="center" indent="1"/>
    </xf>
    <xf numFmtId="4" fontId="32" fillId="41" borderId="126" applyNumberFormat="0" applyProtection="0">
      <alignment horizontal="left" vertical="center" indent="1"/>
    </xf>
    <xf numFmtId="4" fontId="32" fillId="38" borderId="141" applyNumberFormat="0" applyProtection="0">
      <alignment horizontal="right" vertical="center"/>
    </xf>
    <xf numFmtId="0" fontId="32" fillId="42" borderId="134" applyNumberFormat="0" applyProtection="0">
      <alignment horizontal="left" vertical="top" indent="1"/>
    </xf>
    <xf numFmtId="4" fontId="32" fillId="31" borderId="141" applyNumberFormat="0" applyProtection="0">
      <alignment horizontal="left" vertical="center" indent="1"/>
    </xf>
    <xf numFmtId="0" fontId="43" fillId="49" borderId="142" applyNumberFormat="0" applyProtection="0">
      <alignment horizontal="left" vertical="top" indent="1"/>
    </xf>
    <xf numFmtId="4" fontId="32" fillId="43" borderId="133" applyNumberFormat="0" applyProtection="0">
      <alignment horizontal="right" vertical="center"/>
    </xf>
    <xf numFmtId="0" fontId="56" fillId="58" borderId="146" applyNumberFormat="0" applyAlignment="0" applyProtection="0"/>
    <xf numFmtId="4" fontId="32" fillId="40" borderId="133" applyNumberFormat="0" applyProtection="0">
      <alignment horizontal="right" vertical="center"/>
    </xf>
    <xf numFmtId="4" fontId="32" fillId="31" borderId="141" applyNumberFormat="0" applyProtection="0">
      <alignment horizontal="left" vertical="center" indent="1"/>
    </xf>
    <xf numFmtId="0" fontId="41" fillId="29" borderId="134" applyNumberFormat="0" applyProtection="0">
      <alignment horizontal="left" vertical="top" indent="1"/>
    </xf>
    <xf numFmtId="4" fontId="32" fillId="39" borderId="149" applyNumberFormat="0" applyProtection="0">
      <alignment horizontal="right" vertical="center"/>
    </xf>
    <xf numFmtId="0" fontId="43" fillId="43" borderId="134" applyNumberFormat="0" applyProtection="0">
      <alignment horizontal="left" vertical="top" indent="1"/>
    </xf>
    <xf numFmtId="4" fontId="32" fillId="34" borderId="135" applyNumberFormat="0" applyProtection="0">
      <alignment horizontal="right" vertical="center"/>
    </xf>
    <xf numFmtId="0" fontId="32" fillId="52" borderId="148"/>
    <xf numFmtId="0" fontId="56" fillId="58" borderId="146" applyNumberFormat="0" applyAlignment="0" applyProtection="0"/>
    <xf numFmtId="4" fontId="40" fillId="50" borderId="133" applyNumberFormat="0" applyProtection="0">
      <alignment horizontal="right" vertical="center"/>
    </xf>
    <xf numFmtId="0" fontId="27" fillId="0" borderId="130">
      <alignment horizontal="left" vertical="center"/>
    </xf>
    <xf numFmtId="4" fontId="32" fillId="35" borderId="133" applyNumberFormat="0" applyProtection="0">
      <alignment horizontal="right" vertical="center"/>
    </xf>
    <xf numFmtId="0" fontId="39" fillId="0" borderId="153" applyNumberFormat="0" applyFill="0" applyAlignment="0" applyProtection="0"/>
    <xf numFmtId="4" fontId="32" fillId="43" borderId="133" applyNumberFormat="0" applyProtection="0">
      <alignment horizontal="right" vertical="center"/>
    </xf>
    <xf numFmtId="4" fontId="32" fillId="43" borderId="141" applyNumberFormat="0" applyProtection="0">
      <alignment horizontal="right" vertical="center"/>
    </xf>
    <xf numFmtId="4" fontId="44" fillId="51" borderId="143" applyNumberFormat="0" applyProtection="0">
      <alignment horizontal="left" vertical="center" indent="1"/>
    </xf>
    <xf numFmtId="0" fontId="32" fillId="47" borderId="134" applyNumberFormat="0" applyProtection="0">
      <alignment horizontal="left" vertical="top" indent="1"/>
    </xf>
    <xf numFmtId="0" fontId="32" fillId="44" borderId="133" applyNumberFormat="0" applyProtection="0">
      <alignment horizontal="left" vertical="center" indent="1"/>
    </xf>
    <xf numFmtId="4" fontId="32" fillId="33" borderId="141" applyNumberFormat="0" applyProtection="0">
      <alignment horizontal="right" vertical="center"/>
    </xf>
    <xf numFmtId="4" fontId="32" fillId="34" borderId="151" applyNumberFormat="0" applyProtection="0">
      <alignment horizontal="right" vertical="center"/>
    </xf>
    <xf numFmtId="4" fontId="32" fillId="0" borderId="133" applyNumberFormat="0" applyProtection="0">
      <alignment horizontal="right" vertical="center"/>
    </xf>
    <xf numFmtId="0" fontId="32" fillId="46" borderId="149" applyNumberFormat="0" applyProtection="0">
      <alignment horizontal="left" vertical="center" indent="1"/>
    </xf>
    <xf numFmtId="4" fontId="32" fillId="44" borderId="126" applyNumberFormat="0" applyProtection="0">
      <alignment horizontal="left" vertical="center" indent="1"/>
    </xf>
    <xf numFmtId="0" fontId="32" fillId="42" borderId="142" applyNumberFormat="0" applyProtection="0">
      <alignment horizontal="left" vertical="top" indent="1"/>
    </xf>
    <xf numFmtId="0" fontId="32" fillId="45" borderId="133" applyNumberFormat="0" applyProtection="0">
      <alignment horizontal="left" vertical="center" indent="1"/>
    </xf>
    <xf numFmtId="4" fontId="32" fillId="29" borderId="133" applyNumberFormat="0" applyProtection="0">
      <alignment vertical="center"/>
    </xf>
    <xf numFmtId="4" fontId="40" fillId="30" borderId="133" applyNumberFormat="0" applyProtection="0">
      <alignment vertical="center"/>
    </xf>
    <xf numFmtId="4" fontId="32" fillId="30" borderId="133" applyNumberFormat="0" applyProtection="0">
      <alignment horizontal="left" vertical="center" indent="1"/>
    </xf>
    <xf numFmtId="0" fontId="41" fillId="29" borderId="134" applyNumberFormat="0" applyProtection="0">
      <alignment horizontal="left" vertical="top" indent="1"/>
    </xf>
    <xf numFmtId="4" fontId="32" fillId="31" borderId="133" applyNumberFormat="0" applyProtection="0">
      <alignment horizontal="left" vertical="center" indent="1"/>
    </xf>
    <xf numFmtId="4" fontId="32" fillId="32" borderId="133" applyNumberFormat="0" applyProtection="0">
      <alignment horizontal="right" vertical="center"/>
    </xf>
    <xf numFmtId="4" fontId="32" fillId="33" borderId="133" applyNumberFormat="0" applyProtection="0">
      <alignment horizontal="right" vertical="center"/>
    </xf>
    <xf numFmtId="4" fontId="32" fillId="34" borderId="135" applyNumberFormat="0" applyProtection="0">
      <alignment horizontal="right" vertical="center"/>
    </xf>
    <xf numFmtId="4" fontId="32" fillId="35" borderId="133" applyNumberFormat="0" applyProtection="0">
      <alignment horizontal="right" vertical="center"/>
    </xf>
    <xf numFmtId="4" fontId="32" fillId="36" borderId="133" applyNumberFormat="0" applyProtection="0">
      <alignment horizontal="right" vertical="center"/>
    </xf>
    <xf numFmtId="4" fontId="32" fillId="37" borderId="133" applyNumberFormat="0" applyProtection="0">
      <alignment horizontal="right" vertical="center"/>
    </xf>
    <xf numFmtId="4" fontId="32" fillId="38" borderId="133" applyNumberFormat="0" applyProtection="0">
      <alignment horizontal="right" vertical="center"/>
    </xf>
    <xf numFmtId="4" fontId="32" fillId="39" borderId="133" applyNumberFormat="0" applyProtection="0">
      <alignment horizontal="right" vertical="center"/>
    </xf>
    <xf numFmtId="4" fontId="32" fillId="40" borderId="133" applyNumberFormat="0" applyProtection="0">
      <alignment horizontal="right" vertical="center"/>
    </xf>
    <xf numFmtId="4" fontId="32" fillId="41" borderId="135" applyNumberFormat="0" applyProtection="0">
      <alignment horizontal="left" vertical="center" indent="1"/>
    </xf>
    <xf numFmtId="4" fontId="30" fillId="42" borderId="135" applyNumberFormat="0" applyProtection="0">
      <alignment horizontal="left" vertical="center" indent="1"/>
    </xf>
    <xf numFmtId="4" fontId="30" fillId="42" borderId="135" applyNumberFormat="0" applyProtection="0">
      <alignment horizontal="left" vertical="center" indent="1"/>
    </xf>
    <xf numFmtId="4" fontId="32" fillId="43" borderId="133" applyNumberFormat="0" applyProtection="0">
      <alignment horizontal="right" vertical="center"/>
    </xf>
    <xf numFmtId="4" fontId="32" fillId="44" borderId="135" applyNumberFormat="0" applyProtection="0">
      <alignment horizontal="left" vertical="center" indent="1"/>
    </xf>
    <xf numFmtId="4" fontId="32" fillId="43" borderId="135" applyNumberFormat="0" applyProtection="0">
      <alignment horizontal="left" vertical="center" indent="1"/>
    </xf>
    <xf numFmtId="0" fontId="32" fillId="45" borderId="133" applyNumberFormat="0" applyProtection="0">
      <alignment horizontal="left" vertical="center" indent="1"/>
    </xf>
    <xf numFmtId="0" fontId="32" fillId="42" borderId="134" applyNumberFormat="0" applyProtection="0">
      <alignment horizontal="left" vertical="top" indent="1"/>
    </xf>
    <xf numFmtId="0" fontId="32" fillId="46" borderId="133" applyNumberFormat="0" applyProtection="0">
      <alignment horizontal="left" vertical="center" indent="1"/>
    </xf>
    <xf numFmtId="0" fontId="32" fillId="43" borderId="134" applyNumberFormat="0" applyProtection="0">
      <alignment horizontal="left" vertical="top" indent="1"/>
    </xf>
    <xf numFmtId="0" fontId="32" fillId="47" borderId="133" applyNumberFormat="0" applyProtection="0">
      <alignment horizontal="left" vertical="center" indent="1"/>
    </xf>
    <xf numFmtId="0" fontId="32" fillId="47" borderId="134" applyNumberFormat="0" applyProtection="0">
      <alignment horizontal="left" vertical="top" indent="1"/>
    </xf>
    <xf numFmtId="0" fontId="32" fillId="44" borderId="133" applyNumberFormat="0" applyProtection="0">
      <alignment horizontal="left" vertical="center" indent="1"/>
    </xf>
    <xf numFmtId="0" fontId="32" fillId="44" borderId="134" applyNumberFormat="0" applyProtection="0">
      <alignment horizontal="left" vertical="top" indent="1"/>
    </xf>
    <xf numFmtId="0" fontId="42" fillId="42" borderId="136" applyBorder="0"/>
    <xf numFmtId="4" fontId="43" fillId="49" borderId="134" applyNumberFormat="0" applyProtection="0">
      <alignment vertical="center"/>
    </xf>
    <xf numFmtId="4" fontId="43" fillId="45" borderId="134" applyNumberFormat="0" applyProtection="0">
      <alignment horizontal="left" vertical="center" indent="1"/>
    </xf>
    <xf numFmtId="0" fontId="43" fillId="49" borderId="134" applyNumberFormat="0" applyProtection="0">
      <alignment horizontal="left" vertical="top" indent="1"/>
    </xf>
    <xf numFmtId="4" fontId="32" fillId="0" borderId="133" applyNumberFormat="0" applyProtection="0">
      <alignment horizontal="right" vertical="center"/>
    </xf>
    <xf numFmtId="4" fontId="32" fillId="0" borderId="133" applyNumberFormat="0" applyProtection="0">
      <alignment horizontal="right" vertical="center"/>
    </xf>
    <xf numFmtId="4" fontId="40" fillId="50" borderId="133" applyNumberFormat="0" applyProtection="0">
      <alignment horizontal="right" vertical="center"/>
    </xf>
    <xf numFmtId="4" fontId="32" fillId="31" borderId="133" applyNumberFormat="0" applyProtection="0">
      <alignment horizontal="left" vertical="center" indent="1"/>
    </xf>
    <xf numFmtId="0" fontId="43" fillId="43" borderId="134" applyNumberFormat="0" applyProtection="0">
      <alignment horizontal="left" vertical="top" indent="1"/>
    </xf>
    <xf numFmtId="4" fontId="44" fillId="51" borderId="135" applyNumberFormat="0" applyProtection="0">
      <alignment horizontal="left" vertical="center" indent="1"/>
    </xf>
    <xf numFmtId="4" fontId="45" fillId="48" borderId="133" applyNumberFormat="0" applyProtection="0">
      <alignment horizontal="right" vertical="center"/>
    </xf>
    <xf numFmtId="0" fontId="48" fillId="58" borderId="133" applyNumberFormat="0" applyAlignment="0" applyProtection="0"/>
    <xf numFmtId="0" fontId="32" fillId="23" borderId="133" applyNumberFormat="0" applyFont="0" applyAlignment="0" applyProtection="0"/>
    <xf numFmtId="0" fontId="39" fillId="0" borderId="137" applyNumberFormat="0" applyFill="0" applyAlignment="0" applyProtection="0"/>
    <xf numFmtId="0" fontId="52" fillId="24" borderId="133" applyNumberFormat="0" applyAlignment="0" applyProtection="0"/>
    <xf numFmtId="0" fontId="56" fillId="58" borderId="138" applyNumberFormat="0" applyAlignment="0" applyProtection="0"/>
    <xf numFmtId="4" fontId="32" fillId="0" borderId="149" applyNumberFormat="0" applyProtection="0">
      <alignment horizontal="right" vertical="center"/>
    </xf>
    <xf numFmtId="4" fontId="32" fillId="43" borderId="141" applyNumberFormat="0" applyProtection="0">
      <alignment horizontal="right" vertical="center"/>
    </xf>
    <xf numFmtId="4" fontId="32" fillId="44" borderId="151" applyNumberFormat="0" applyProtection="0">
      <alignment horizontal="left" vertical="center" indent="1"/>
    </xf>
    <xf numFmtId="0" fontId="27" fillId="0" borderId="155">
      <alignment horizontal="left" vertical="center"/>
    </xf>
    <xf numFmtId="4" fontId="30" fillId="42" borderId="143" applyNumberFormat="0" applyProtection="0">
      <alignment horizontal="left" vertical="center" indent="1"/>
    </xf>
    <xf numFmtId="0" fontId="32" fillId="46" borderId="149" applyNumberFormat="0" applyProtection="0">
      <alignment horizontal="left" vertical="center" indent="1"/>
    </xf>
    <xf numFmtId="0" fontId="32" fillId="52" borderId="116"/>
    <xf numFmtId="4" fontId="32" fillId="40" borderId="141" applyNumberFormat="0" applyProtection="0">
      <alignment horizontal="right" vertical="center"/>
    </xf>
    <xf numFmtId="0" fontId="27" fillId="0" borderId="147">
      <alignment horizontal="left" vertical="center"/>
    </xf>
    <xf numFmtId="0" fontId="32" fillId="47" borderId="134" applyNumberFormat="0" applyProtection="0">
      <alignment horizontal="left" vertical="top" indent="1"/>
    </xf>
    <xf numFmtId="4" fontId="32" fillId="40" borderId="141" applyNumberFormat="0" applyProtection="0">
      <alignment horizontal="right" vertical="center"/>
    </xf>
    <xf numFmtId="0" fontId="43" fillId="43" borderId="142" applyNumberFormat="0" applyProtection="0">
      <alignment horizontal="left" vertical="top" indent="1"/>
    </xf>
    <xf numFmtId="0" fontId="42" fillId="42" borderId="144" applyBorder="0"/>
    <xf numFmtId="10" fontId="32" fillId="10" borderId="156" applyNumberFormat="0" applyBorder="0" applyAlignment="0" applyProtection="0"/>
    <xf numFmtId="0" fontId="32" fillId="23" borderId="133" applyNumberFormat="0" applyFont="0" applyAlignment="0" applyProtection="0"/>
    <xf numFmtId="0" fontId="48" fillId="58" borderId="124" applyNumberFormat="0" applyAlignment="0" applyProtection="0"/>
    <xf numFmtId="4" fontId="32" fillId="44" borderId="151" applyNumberFormat="0" applyProtection="0">
      <alignment horizontal="left" vertical="center" indent="1"/>
    </xf>
    <xf numFmtId="0" fontId="32" fillId="23" borderId="141" applyNumberFormat="0" applyFont="0" applyAlignment="0" applyProtection="0"/>
    <xf numFmtId="0" fontId="39" fillId="0" borderId="153" applyNumberFormat="0" applyFill="0" applyAlignment="0" applyProtection="0"/>
    <xf numFmtId="0" fontId="41" fillId="29" borderId="142" applyNumberFormat="0" applyProtection="0">
      <alignment horizontal="left" vertical="top" indent="1"/>
    </xf>
    <xf numFmtId="0" fontId="43" fillId="43" borderId="142" applyNumberFormat="0" applyProtection="0">
      <alignment horizontal="left" vertical="top" indent="1"/>
    </xf>
    <xf numFmtId="4" fontId="32" fillId="34" borderId="151" applyNumberFormat="0" applyProtection="0">
      <alignment horizontal="right" vertical="center"/>
    </xf>
    <xf numFmtId="0" fontId="32" fillId="47" borderId="133" applyNumberFormat="0" applyProtection="0">
      <alignment horizontal="left" vertical="center" indent="1"/>
    </xf>
    <xf numFmtId="4" fontId="45" fillId="48" borderId="149" applyNumberFormat="0" applyProtection="0">
      <alignment horizontal="right" vertical="center"/>
    </xf>
    <xf numFmtId="0" fontId="41" fillId="29" borderId="150" applyNumberFormat="0" applyProtection="0">
      <alignment horizontal="left" vertical="top" indent="1"/>
    </xf>
    <xf numFmtId="0" fontId="48" fillId="58" borderId="141" applyNumberFormat="0" applyAlignment="0" applyProtection="0"/>
    <xf numFmtId="0" fontId="32" fillId="47" borderId="150" applyNumberFormat="0" applyProtection="0">
      <alignment horizontal="left" vertical="top" indent="1"/>
    </xf>
    <xf numFmtId="4" fontId="30" fillId="42" borderId="151" applyNumberFormat="0" applyProtection="0">
      <alignment horizontal="left" vertical="center" indent="1"/>
    </xf>
    <xf numFmtId="4" fontId="32" fillId="37" borderId="149" applyNumberFormat="0" applyProtection="0">
      <alignment horizontal="right" vertical="center"/>
    </xf>
    <xf numFmtId="0" fontId="32" fillId="46" borderId="133" applyNumberFormat="0" applyProtection="0">
      <alignment horizontal="left" vertical="center" indent="1"/>
    </xf>
    <xf numFmtId="0" fontId="42" fillId="42" borderId="144" applyBorder="0"/>
    <xf numFmtId="0" fontId="32" fillId="42" borderId="134" applyNumberFormat="0" applyProtection="0">
      <alignment horizontal="left" vertical="top" indent="1"/>
    </xf>
    <xf numFmtId="4" fontId="40" fillId="30" borderId="141" applyNumberFormat="0" applyProtection="0">
      <alignment vertical="center"/>
    </xf>
    <xf numFmtId="4" fontId="32" fillId="31" borderId="141" applyNumberFormat="0" applyProtection="0">
      <alignment horizontal="left" vertical="center" indent="1"/>
    </xf>
    <xf numFmtId="4" fontId="44" fillId="51" borderId="135" applyNumberFormat="0" applyProtection="0">
      <alignment horizontal="left" vertical="center" indent="1"/>
    </xf>
    <xf numFmtId="4" fontId="32" fillId="0" borderId="141" applyNumberFormat="0" applyProtection="0">
      <alignment horizontal="right" vertical="center"/>
    </xf>
    <xf numFmtId="0" fontId="32" fillId="44" borderId="133" applyNumberFormat="0" applyProtection="0">
      <alignment horizontal="left" vertical="center" indent="1"/>
    </xf>
    <xf numFmtId="4" fontId="32" fillId="0" borderId="149" applyNumberFormat="0" applyProtection="0">
      <alignment horizontal="right" vertical="center"/>
    </xf>
    <xf numFmtId="4" fontId="43" fillId="49" borderId="125" applyNumberFormat="0" applyProtection="0">
      <alignment vertical="center"/>
    </xf>
    <xf numFmtId="4" fontId="32" fillId="44" borderId="143" applyNumberFormat="0" applyProtection="0">
      <alignment horizontal="left" vertical="center" indent="1"/>
    </xf>
    <xf numFmtId="4" fontId="32" fillId="33" borderId="149" applyNumberFormat="0" applyProtection="0">
      <alignment horizontal="right" vertical="center"/>
    </xf>
    <xf numFmtId="4" fontId="32" fillId="29" borderId="133" applyNumberFormat="0" applyProtection="0">
      <alignment vertical="center"/>
    </xf>
    <xf numFmtId="4" fontId="40" fillId="30" borderId="133" applyNumberFormat="0" applyProtection="0">
      <alignment vertical="center"/>
    </xf>
    <xf numFmtId="4" fontId="32" fillId="30" borderId="133" applyNumberFormat="0" applyProtection="0">
      <alignment horizontal="left" vertical="center" indent="1"/>
    </xf>
    <xf numFmtId="0" fontId="41" fillId="29" borderId="134" applyNumberFormat="0" applyProtection="0">
      <alignment horizontal="left" vertical="top" indent="1"/>
    </xf>
    <xf numFmtId="4" fontId="32" fillId="31" borderId="133" applyNumberFormat="0" applyProtection="0">
      <alignment horizontal="left" vertical="center" indent="1"/>
    </xf>
    <xf numFmtId="4" fontId="32" fillId="32" borderId="133" applyNumberFormat="0" applyProtection="0">
      <alignment horizontal="right" vertical="center"/>
    </xf>
    <xf numFmtId="4" fontId="32" fillId="33" borderId="133" applyNumberFormat="0" applyProtection="0">
      <alignment horizontal="right" vertical="center"/>
    </xf>
    <xf numFmtId="4" fontId="32" fillId="34" borderId="135" applyNumberFormat="0" applyProtection="0">
      <alignment horizontal="right" vertical="center"/>
    </xf>
    <xf numFmtId="4" fontId="32" fillId="35" borderId="133" applyNumberFormat="0" applyProtection="0">
      <alignment horizontal="right" vertical="center"/>
    </xf>
    <xf numFmtId="4" fontId="32" fillId="36" borderId="133" applyNumberFormat="0" applyProtection="0">
      <alignment horizontal="right" vertical="center"/>
    </xf>
    <xf numFmtId="4" fontId="32" fillId="37" borderId="133" applyNumberFormat="0" applyProtection="0">
      <alignment horizontal="right" vertical="center"/>
    </xf>
    <xf numFmtId="4" fontId="32" fillId="38" borderId="133" applyNumberFormat="0" applyProtection="0">
      <alignment horizontal="right" vertical="center"/>
    </xf>
    <xf numFmtId="4" fontId="32" fillId="39" borderId="133" applyNumberFormat="0" applyProtection="0">
      <alignment horizontal="right" vertical="center"/>
    </xf>
    <xf numFmtId="4" fontId="32" fillId="40" borderId="133" applyNumberFormat="0" applyProtection="0">
      <alignment horizontal="right" vertical="center"/>
    </xf>
    <xf numFmtId="4" fontId="32" fillId="41" borderId="135" applyNumberFormat="0" applyProtection="0">
      <alignment horizontal="left" vertical="center" indent="1"/>
    </xf>
    <xf numFmtId="4" fontId="30" fillId="42" borderId="135" applyNumberFormat="0" applyProtection="0">
      <alignment horizontal="left" vertical="center" indent="1"/>
    </xf>
    <xf numFmtId="4" fontId="30" fillId="42" borderId="135" applyNumberFormat="0" applyProtection="0">
      <alignment horizontal="left" vertical="center" indent="1"/>
    </xf>
    <xf numFmtId="4" fontId="32" fillId="43" borderId="133" applyNumberFormat="0" applyProtection="0">
      <alignment horizontal="right" vertical="center"/>
    </xf>
    <xf numFmtId="4" fontId="32" fillId="44" borderId="135" applyNumberFormat="0" applyProtection="0">
      <alignment horizontal="left" vertical="center" indent="1"/>
    </xf>
    <xf numFmtId="4" fontId="32" fillId="43" borderId="135" applyNumberFormat="0" applyProtection="0">
      <alignment horizontal="left" vertical="center" indent="1"/>
    </xf>
    <xf numFmtId="0" fontId="32" fillId="45" borderId="133" applyNumberFormat="0" applyProtection="0">
      <alignment horizontal="left" vertical="center" indent="1"/>
    </xf>
    <xf numFmtId="0" fontId="32" fillId="42" borderId="134" applyNumberFormat="0" applyProtection="0">
      <alignment horizontal="left" vertical="top" indent="1"/>
    </xf>
    <xf numFmtId="0" fontId="32" fillId="46" borderId="133" applyNumberFormat="0" applyProtection="0">
      <alignment horizontal="left" vertical="center" indent="1"/>
    </xf>
    <xf numFmtId="0" fontId="32" fillId="43" borderId="134" applyNumberFormat="0" applyProtection="0">
      <alignment horizontal="left" vertical="top" indent="1"/>
    </xf>
    <xf numFmtId="0" fontId="32" fillId="47" borderId="133" applyNumberFormat="0" applyProtection="0">
      <alignment horizontal="left" vertical="center" indent="1"/>
    </xf>
    <xf numFmtId="0" fontId="32" fillId="47" borderId="134" applyNumberFormat="0" applyProtection="0">
      <alignment horizontal="left" vertical="top" indent="1"/>
    </xf>
    <xf numFmtId="0" fontId="32" fillId="44" borderId="133" applyNumberFormat="0" applyProtection="0">
      <alignment horizontal="left" vertical="center" indent="1"/>
    </xf>
    <xf numFmtId="0" fontId="32" fillId="44" borderId="134" applyNumberFormat="0" applyProtection="0">
      <alignment horizontal="left" vertical="top" indent="1"/>
    </xf>
    <xf numFmtId="0" fontId="42" fillId="42" borderId="136" applyBorder="0"/>
    <xf numFmtId="4" fontId="43" fillId="49" borderId="134" applyNumberFormat="0" applyProtection="0">
      <alignment vertical="center"/>
    </xf>
    <xf numFmtId="4" fontId="43" fillId="45" borderId="134" applyNumberFormat="0" applyProtection="0">
      <alignment horizontal="left" vertical="center" indent="1"/>
    </xf>
    <xf numFmtId="0" fontId="43" fillId="49" borderId="134" applyNumberFormat="0" applyProtection="0">
      <alignment horizontal="left" vertical="top" indent="1"/>
    </xf>
    <xf numFmtId="4" fontId="32" fillId="0" borderId="133" applyNumberFormat="0" applyProtection="0">
      <alignment horizontal="right" vertical="center"/>
    </xf>
    <xf numFmtId="4" fontId="32" fillId="0" borderId="133" applyNumberFormat="0" applyProtection="0">
      <alignment horizontal="right" vertical="center"/>
    </xf>
    <xf numFmtId="4" fontId="40" fillId="50" borderId="133" applyNumberFormat="0" applyProtection="0">
      <alignment horizontal="right" vertical="center"/>
    </xf>
    <xf numFmtId="4" fontId="32" fillId="31" borderId="133" applyNumberFormat="0" applyProtection="0">
      <alignment horizontal="left" vertical="center" indent="1"/>
    </xf>
    <xf numFmtId="0" fontId="43" fillId="43" borderId="134" applyNumberFormat="0" applyProtection="0">
      <alignment horizontal="left" vertical="top" indent="1"/>
    </xf>
    <xf numFmtId="4" fontId="44" fillId="51" borderId="135" applyNumberFormat="0" applyProtection="0">
      <alignment horizontal="left" vertical="center" indent="1"/>
    </xf>
    <xf numFmtId="4" fontId="45" fillId="48" borderId="133" applyNumberFormat="0" applyProtection="0">
      <alignment horizontal="right" vertical="center"/>
    </xf>
    <xf numFmtId="0" fontId="48" fillId="58" borderId="133" applyNumberFormat="0" applyAlignment="0" applyProtection="0"/>
    <xf numFmtId="0" fontId="32" fillId="23" borderId="133" applyNumberFormat="0" applyFont="0" applyAlignment="0" applyProtection="0"/>
    <xf numFmtId="0" fontId="39" fillId="0" borderId="137" applyNumberFormat="0" applyFill="0" applyAlignment="0" applyProtection="0"/>
    <xf numFmtId="0" fontId="52" fillId="24" borderId="133" applyNumberFormat="0" applyAlignment="0" applyProtection="0"/>
    <xf numFmtId="0" fontId="56" fillId="58" borderId="138" applyNumberFormat="0" applyAlignment="0" applyProtection="0"/>
    <xf numFmtId="4" fontId="32" fillId="43" borderId="149" applyNumberFormat="0" applyProtection="0">
      <alignment horizontal="right" vertical="center"/>
    </xf>
    <xf numFmtId="0" fontId="42" fillId="42" borderId="144" applyBorder="0"/>
    <xf numFmtId="4" fontId="43" fillId="49" borderId="150" applyNumberFormat="0" applyProtection="0">
      <alignment vertical="center"/>
    </xf>
    <xf numFmtId="4" fontId="32" fillId="0" borderId="149" applyNumberFormat="0" applyProtection="0">
      <alignment horizontal="right" vertical="center"/>
    </xf>
    <xf numFmtId="4" fontId="32" fillId="31" borderId="141" applyNumberFormat="0" applyProtection="0">
      <alignment horizontal="left" vertical="center" indent="1"/>
    </xf>
    <xf numFmtId="0" fontId="32" fillId="47" borderId="141" applyNumberFormat="0" applyProtection="0">
      <alignment horizontal="left" vertical="center" indent="1"/>
    </xf>
    <xf numFmtId="4" fontId="43" fillId="49" borderId="150" applyNumberFormat="0" applyProtection="0">
      <alignment vertical="center"/>
    </xf>
    <xf numFmtId="4" fontId="43" fillId="49" borderId="150" applyNumberFormat="0" applyProtection="0">
      <alignment vertical="center"/>
    </xf>
    <xf numFmtId="4" fontId="44" fillId="51" borderId="151" applyNumberFormat="0" applyProtection="0">
      <alignment horizontal="left" vertical="center" indent="1"/>
    </xf>
    <xf numFmtId="4" fontId="32" fillId="35" borderId="149" applyNumberFormat="0" applyProtection="0">
      <alignment horizontal="right" vertical="center"/>
    </xf>
    <xf numFmtId="4" fontId="32" fillId="31" borderId="124" applyNumberFormat="0" applyProtection="0">
      <alignment horizontal="left" vertical="center" indent="1"/>
    </xf>
    <xf numFmtId="4" fontId="43" fillId="49" borderId="150" applyNumberFormat="0" applyProtection="0">
      <alignment vertical="center"/>
    </xf>
    <xf numFmtId="4" fontId="43" fillId="49" borderId="134" applyNumberFormat="0" applyProtection="0">
      <alignment vertical="center"/>
    </xf>
    <xf numFmtId="4" fontId="43" fillId="45" borderId="150" applyNumberFormat="0" applyProtection="0">
      <alignment horizontal="left" vertical="center" indent="1"/>
    </xf>
    <xf numFmtId="4" fontId="32" fillId="39" borderId="149" applyNumberFormat="0" applyProtection="0">
      <alignment horizontal="right" vertical="center"/>
    </xf>
    <xf numFmtId="4" fontId="32" fillId="30" borderId="149" applyNumberFormat="0" applyProtection="0">
      <alignment horizontal="left" vertical="center" indent="1"/>
    </xf>
    <xf numFmtId="4" fontId="32" fillId="29" borderId="149" applyNumberFormat="0" applyProtection="0">
      <alignment vertical="center"/>
    </xf>
    <xf numFmtId="0" fontId="41" fillId="29" borderId="134" applyNumberFormat="0" applyProtection="0">
      <alignment horizontal="left" vertical="top" indent="1"/>
    </xf>
    <xf numFmtId="10" fontId="32" fillId="10" borderId="116" applyNumberFormat="0" applyBorder="0" applyAlignment="0" applyProtection="0"/>
    <xf numFmtId="4" fontId="32" fillId="0" borderId="141" applyNumberFormat="0" applyProtection="0">
      <alignment horizontal="right" vertical="center"/>
    </xf>
    <xf numFmtId="0" fontId="43" fillId="49" borderId="134" applyNumberFormat="0" applyProtection="0">
      <alignment horizontal="left" vertical="top" indent="1"/>
    </xf>
    <xf numFmtId="0" fontId="32" fillId="47" borderId="149" applyNumberFormat="0" applyProtection="0">
      <alignment horizontal="left" vertical="center" indent="1"/>
    </xf>
    <xf numFmtId="4" fontId="32" fillId="32" borderId="133" applyNumberFormat="0" applyProtection="0">
      <alignment horizontal="right" vertical="center"/>
    </xf>
    <xf numFmtId="0" fontId="27" fillId="0" borderId="139">
      <alignment horizontal="left" vertical="center"/>
    </xf>
    <xf numFmtId="4" fontId="32" fillId="30" borderId="149" applyNumberFormat="0" applyProtection="0">
      <alignment horizontal="left" vertical="center" indent="1"/>
    </xf>
    <xf numFmtId="4" fontId="45" fillId="48" borderId="133" applyNumberFormat="0" applyProtection="0">
      <alignment horizontal="right" vertical="center"/>
    </xf>
    <xf numFmtId="0" fontId="32" fillId="45" borderId="141" applyNumberFormat="0" applyProtection="0">
      <alignment horizontal="left" vertical="center" indent="1"/>
    </xf>
    <xf numFmtId="0" fontId="32" fillId="42" borderId="134" applyNumberFormat="0" applyProtection="0">
      <alignment horizontal="left" vertical="top" indent="1"/>
    </xf>
    <xf numFmtId="0" fontId="32" fillId="42" borderId="134" applyNumberFormat="0" applyProtection="0">
      <alignment horizontal="left" vertical="top" indent="1"/>
    </xf>
    <xf numFmtId="0" fontId="48" fillId="58" borderId="141" applyNumberFormat="0" applyAlignment="0" applyProtection="0"/>
    <xf numFmtId="4" fontId="43" fillId="45" borderId="142" applyNumberFormat="0" applyProtection="0">
      <alignment horizontal="left" vertical="center" indent="1"/>
    </xf>
    <xf numFmtId="4" fontId="44" fillId="51" borderId="143" applyNumberFormat="0" applyProtection="0">
      <alignment horizontal="left" vertical="center" indent="1"/>
    </xf>
    <xf numFmtId="10" fontId="32" fillId="10" borderId="116" applyNumberFormat="0" applyBorder="0" applyAlignment="0" applyProtection="0"/>
    <xf numFmtId="4" fontId="32" fillId="43" borderId="143" applyNumberFormat="0" applyProtection="0">
      <alignment horizontal="left" vertical="center" indent="1"/>
    </xf>
    <xf numFmtId="0" fontId="32" fillId="47" borderId="150" applyNumberFormat="0" applyProtection="0">
      <alignment horizontal="left" vertical="top" indent="1"/>
    </xf>
    <xf numFmtId="4" fontId="32" fillId="30" borderId="141" applyNumberFormat="0" applyProtection="0">
      <alignment horizontal="left" vertical="center" indent="1"/>
    </xf>
    <xf numFmtId="0" fontId="32" fillId="42" borderId="125" applyNumberFormat="0" applyProtection="0">
      <alignment horizontal="left" vertical="top" indent="1"/>
    </xf>
    <xf numFmtId="4" fontId="45" fillId="48" borderId="141" applyNumberFormat="0" applyProtection="0">
      <alignment horizontal="right" vertical="center"/>
    </xf>
    <xf numFmtId="4" fontId="32" fillId="37" borderId="141" applyNumberFormat="0" applyProtection="0">
      <alignment horizontal="right" vertical="center"/>
    </xf>
    <xf numFmtId="4" fontId="40" fillId="10" borderId="116" applyNumberFormat="0" applyProtection="0">
      <alignment vertical="center"/>
    </xf>
    <xf numFmtId="0" fontId="32" fillId="52" borderId="116"/>
    <xf numFmtId="4" fontId="40" fillId="30" borderId="149" applyNumberFormat="0" applyProtection="0">
      <alignment vertical="center"/>
    </xf>
    <xf numFmtId="4" fontId="32" fillId="36" borderId="149" applyNumberFormat="0" applyProtection="0">
      <alignment horizontal="right" vertical="center"/>
    </xf>
    <xf numFmtId="0" fontId="32" fillId="45" borderId="141" applyNumberFormat="0" applyProtection="0">
      <alignment horizontal="left" vertical="center" indent="1"/>
    </xf>
    <xf numFmtId="0" fontId="32" fillId="42" borderId="150" applyNumberFormat="0" applyProtection="0">
      <alignment horizontal="left" vertical="top" indent="1"/>
    </xf>
    <xf numFmtId="0" fontId="48" fillId="58" borderId="133" applyNumberFormat="0" applyAlignment="0" applyProtection="0"/>
    <xf numFmtId="0" fontId="41" fillId="29" borderId="142" applyNumberFormat="0" applyProtection="0">
      <alignment horizontal="left" vertical="top" indent="1"/>
    </xf>
    <xf numFmtId="0" fontId="32" fillId="47" borderId="150" applyNumberFormat="0" applyProtection="0">
      <alignment horizontal="left" vertical="top" indent="1"/>
    </xf>
    <xf numFmtId="0" fontId="32" fillId="43" borderId="142" applyNumberFormat="0" applyProtection="0">
      <alignment horizontal="left" vertical="top" indent="1"/>
    </xf>
    <xf numFmtId="10" fontId="32" fillId="10" borderId="140" applyNumberFormat="0" applyBorder="0" applyAlignment="0" applyProtection="0"/>
    <xf numFmtId="4" fontId="30" fillId="42" borderId="143" applyNumberFormat="0" applyProtection="0">
      <alignment horizontal="left" vertical="center" indent="1"/>
    </xf>
    <xf numFmtId="0" fontId="32" fillId="44" borderId="134" applyNumberFormat="0" applyProtection="0">
      <alignment horizontal="left" vertical="top" indent="1"/>
    </xf>
    <xf numFmtId="4" fontId="32" fillId="29" borderId="149" applyNumberFormat="0" applyProtection="0">
      <alignment vertical="center"/>
    </xf>
    <xf numFmtId="0" fontId="52" fillId="24" borderId="124" applyNumberFormat="0" applyAlignment="0" applyProtection="0"/>
    <xf numFmtId="0" fontId="32" fillId="42" borderId="150" applyNumberFormat="0" applyProtection="0">
      <alignment horizontal="left" vertical="top" indent="1"/>
    </xf>
    <xf numFmtId="4" fontId="32" fillId="29" borderId="141" applyNumberFormat="0" applyProtection="0">
      <alignment vertical="center"/>
    </xf>
    <xf numFmtId="0" fontId="56" fillId="58" borderId="146" applyNumberFormat="0" applyAlignment="0" applyProtection="0"/>
    <xf numFmtId="4" fontId="32" fillId="31" borderId="149" applyNumberFormat="0" applyProtection="0">
      <alignment horizontal="left" vertical="center" indent="1"/>
    </xf>
    <xf numFmtId="4" fontId="32" fillId="29" borderId="141" applyNumberFormat="0" applyProtection="0">
      <alignment vertical="center"/>
    </xf>
    <xf numFmtId="4" fontId="32" fillId="30" borderId="133" applyNumberFormat="0" applyProtection="0">
      <alignment horizontal="left" vertical="center" indent="1"/>
    </xf>
    <xf numFmtId="4" fontId="32" fillId="43" borderId="151" applyNumberFormat="0" applyProtection="0">
      <alignment horizontal="left" vertical="center" indent="1"/>
    </xf>
    <xf numFmtId="4" fontId="32" fillId="40" borderId="149" applyNumberFormat="0" applyProtection="0">
      <alignment horizontal="right" vertical="center"/>
    </xf>
    <xf numFmtId="4" fontId="30" fillId="42" borderId="143" applyNumberFormat="0" applyProtection="0">
      <alignment horizontal="left" vertical="center" indent="1"/>
    </xf>
    <xf numFmtId="4" fontId="40" fillId="30" borderId="133" applyNumberFormat="0" applyProtection="0">
      <alignment vertical="center"/>
    </xf>
    <xf numFmtId="4" fontId="32" fillId="35" borderId="149" applyNumberFormat="0" applyProtection="0">
      <alignment horizontal="right" vertical="center"/>
    </xf>
    <xf numFmtId="4" fontId="32" fillId="34" borderId="143" applyNumberFormat="0" applyProtection="0">
      <alignment horizontal="right" vertical="center"/>
    </xf>
    <xf numFmtId="4" fontId="32" fillId="33" borderId="149" applyNumberFormat="0" applyProtection="0">
      <alignment horizontal="right" vertical="center"/>
    </xf>
    <xf numFmtId="4" fontId="32" fillId="39" borderId="149" applyNumberFormat="0" applyProtection="0">
      <alignment horizontal="right" vertical="center"/>
    </xf>
    <xf numFmtId="4" fontId="32" fillId="39" borderId="133" applyNumberFormat="0" applyProtection="0">
      <alignment horizontal="right" vertical="center"/>
    </xf>
    <xf numFmtId="4" fontId="32" fillId="40" borderId="149" applyNumberFormat="0" applyProtection="0">
      <alignment horizontal="right" vertical="center"/>
    </xf>
    <xf numFmtId="0" fontId="39" fillId="0" borderId="145" applyNumberFormat="0" applyFill="0" applyAlignment="0" applyProtection="0"/>
    <xf numFmtId="4" fontId="32" fillId="35" borderId="149" applyNumberFormat="0" applyProtection="0">
      <alignment horizontal="right" vertical="center"/>
    </xf>
    <xf numFmtId="0" fontId="43" fillId="49" borderId="142" applyNumberFormat="0" applyProtection="0">
      <alignment horizontal="left" vertical="top" indent="1"/>
    </xf>
    <xf numFmtId="4" fontId="40" fillId="30" borderId="149" applyNumberFormat="0" applyProtection="0">
      <alignment vertical="center"/>
    </xf>
    <xf numFmtId="0" fontId="52" fillId="24" borderId="149" applyNumberFormat="0" applyAlignment="0" applyProtection="0"/>
    <xf numFmtId="4" fontId="32" fillId="31" borderId="141" applyNumberFormat="0" applyProtection="0">
      <alignment horizontal="left" vertical="center" indent="1"/>
    </xf>
    <xf numFmtId="4" fontId="32" fillId="44" borderId="135" applyNumberFormat="0" applyProtection="0">
      <alignment horizontal="left" vertical="center" indent="1"/>
    </xf>
    <xf numFmtId="4" fontId="43" fillId="49" borderId="150" applyNumberFormat="0" applyProtection="0">
      <alignment vertical="center"/>
    </xf>
    <xf numFmtId="4" fontId="32" fillId="34" borderId="143" applyNumberFormat="0" applyProtection="0">
      <alignment horizontal="right" vertical="center"/>
    </xf>
    <xf numFmtId="4" fontId="32" fillId="37" borderId="149" applyNumberFormat="0" applyProtection="0">
      <alignment horizontal="right" vertical="center"/>
    </xf>
    <xf numFmtId="0" fontId="52" fillId="24" borderId="149" applyNumberFormat="0" applyAlignment="0" applyProtection="0"/>
    <xf numFmtId="0" fontId="43" fillId="43" borderId="150" applyNumberFormat="0" applyProtection="0">
      <alignment horizontal="left" vertical="top" indent="1"/>
    </xf>
    <xf numFmtId="0" fontId="43" fillId="49" borderId="125" applyNumberFormat="0" applyProtection="0">
      <alignment horizontal="left" vertical="top" indent="1"/>
    </xf>
    <xf numFmtId="10" fontId="32" fillId="10" borderId="140" applyNumberFormat="0" applyBorder="0" applyAlignment="0" applyProtection="0"/>
    <xf numFmtId="0" fontId="41" fillId="29" borderId="142" applyNumberFormat="0" applyProtection="0">
      <alignment horizontal="left" vertical="top" indent="1"/>
    </xf>
    <xf numFmtId="4" fontId="32" fillId="36" borderId="149" applyNumberFormat="0" applyProtection="0">
      <alignment horizontal="right" vertical="center"/>
    </xf>
    <xf numFmtId="4" fontId="32" fillId="35" borderId="149" applyNumberFormat="0" applyProtection="0">
      <alignment horizontal="right" vertical="center"/>
    </xf>
    <xf numFmtId="0" fontId="32" fillId="47" borderId="141" applyNumberFormat="0" applyProtection="0">
      <alignment horizontal="left" vertical="center" indent="1"/>
    </xf>
    <xf numFmtId="0" fontId="43" fillId="49" borderId="142" applyNumberFormat="0" applyProtection="0">
      <alignment horizontal="left" vertical="top" indent="1"/>
    </xf>
    <xf numFmtId="4" fontId="32" fillId="0" borderId="149" applyNumberFormat="0" applyProtection="0">
      <alignment horizontal="right" vertical="center"/>
    </xf>
    <xf numFmtId="0" fontId="39" fillId="0" borderId="153" applyNumberFormat="0" applyFill="0" applyAlignment="0" applyProtection="0"/>
    <xf numFmtId="4" fontId="30" fillId="42" borderId="135" applyNumberFormat="0" applyProtection="0">
      <alignment horizontal="left" vertical="center" indent="1"/>
    </xf>
    <xf numFmtId="0" fontId="43" fillId="43" borderId="150" applyNumberFormat="0" applyProtection="0">
      <alignment horizontal="left" vertical="top" indent="1"/>
    </xf>
    <xf numFmtId="4" fontId="32" fillId="37" borderId="133" applyNumberFormat="0" applyProtection="0">
      <alignment horizontal="right" vertical="center"/>
    </xf>
    <xf numFmtId="10" fontId="32" fillId="10" borderId="148" applyNumberFormat="0" applyBorder="0" applyAlignment="0" applyProtection="0"/>
    <xf numFmtId="4" fontId="32" fillId="34" borderId="143" applyNumberFormat="0" applyProtection="0">
      <alignment horizontal="right" vertical="center"/>
    </xf>
    <xf numFmtId="0" fontId="32" fillId="44" borderId="142" applyNumberFormat="0" applyProtection="0">
      <alignment horizontal="left" vertical="top" indent="1"/>
    </xf>
    <xf numFmtId="4" fontId="32" fillId="31" borderId="133" applyNumberFormat="0" applyProtection="0">
      <alignment horizontal="left" vertical="center" indent="1"/>
    </xf>
    <xf numFmtId="4" fontId="40" fillId="30" borderId="141" applyNumberFormat="0" applyProtection="0">
      <alignment vertical="center"/>
    </xf>
    <xf numFmtId="0" fontId="32" fillId="44" borderId="133" applyNumberFormat="0" applyProtection="0">
      <alignment horizontal="left" vertical="center" indent="1"/>
    </xf>
    <xf numFmtId="4" fontId="40" fillId="50" borderId="133" applyNumberFormat="0" applyProtection="0">
      <alignment horizontal="right" vertical="center"/>
    </xf>
    <xf numFmtId="4" fontId="32" fillId="38" borderId="149" applyNumberFormat="0" applyProtection="0">
      <alignment horizontal="right" vertical="center"/>
    </xf>
    <xf numFmtId="0" fontId="32" fillId="43" borderId="150" applyNumberFormat="0" applyProtection="0">
      <alignment horizontal="left" vertical="top" indent="1"/>
    </xf>
    <xf numFmtId="4" fontId="32" fillId="34" borderId="126" applyNumberFormat="0" applyProtection="0">
      <alignment horizontal="right" vertical="center"/>
    </xf>
    <xf numFmtId="0" fontId="43" fillId="49" borderId="150" applyNumberFormat="0" applyProtection="0">
      <alignment horizontal="left" vertical="top" indent="1"/>
    </xf>
    <xf numFmtId="0" fontId="32" fillId="52" borderId="116"/>
    <xf numFmtId="4" fontId="32" fillId="31" borderId="149" applyNumberFormat="0" applyProtection="0">
      <alignment horizontal="left" vertical="center" indent="1"/>
    </xf>
    <xf numFmtId="4" fontId="32" fillId="31" borderId="141" applyNumberFormat="0" applyProtection="0">
      <alignment horizontal="left" vertical="center" indent="1"/>
    </xf>
    <xf numFmtId="0" fontId="32" fillId="43" borderId="142" applyNumberFormat="0" applyProtection="0">
      <alignment horizontal="left" vertical="top" indent="1"/>
    </xf>
    <xf numFmtId="4" fontId="32" fillId="31" borderId="141" applyNumberFormat="0" applyProtection="0">
      <alignment horizontal="left" vertical="center" indent="1"/>
    </xf>
    <xf numFmtId="10" fontId="32" fillId="10" borderId="148" applyNumberFormat="0" applyBorder="0" applyAlignment="0" applyProtection="0"/>
    <xf numFmtId="4" fontId="43" fillId="45" borderId="150" applyNumberFormat="0" applyProtection="0">
      <alignment horizontal="left" vertical="center" indent="1"/>
    </xf>
    <xf numFmtId="0" fontId="27" fillId="0" borderId="139">
      <alignment horizontal="left" vertical="center"/>
    </xf>
    <xf numFmtId="4" fontId="32" fillId="33" borderId="149" applyNumberFormat="0" applyProtection="0">
      <alignment horizontal="right" vertical="center"/>
    </xf>
    <xf numFmtId="0" fontId="32" fillId="47" borderId="141" applyNumberFormat="0" applyProtection="0">
      <alignment horizontal="left" vertical="center" indent="1"/>
    </xf>
    <xf numFmtId="4" fontId="32" fillId="31" borderId="133" applyNumberFormat="0" applyProtection="0">
      <alignment horizontal="left" vertical="center" indent="1"/>
    </xf>
    <xf numFmtId="0" fontId="56" fillId="58" borderId="146" applyNumberFormat="0" applyAlignment="0" applyProtection="0"/>
    <xf numFmtId="4" fontId="40" fillId="50" borderId="141" applyNumberFormat="0" applyProtection="0">
      <alignment horizontal="right" vertical="center"/>
    </xf>
    <xf numFmtId="0" fontId="32" fillId="47" borderId="142" applyNumberFormat="0" applyProtection="0">
      <alignment horizontal="left" vertical="top" indent="1"/>
    </xf>
    <xf numFmtId="4" fontId="32" fillId="29" borderId="141" applyNumberFormat="0" applyProtection="0">
      <alignment vertical="center"/>
    </xf>
    <xf numFmtId="4" fontId="43" fillId="49" borderId="150" applyNumberFormat="0" applyProtection="0">
      <alignment vertical="center"/>
    </xf>
    <xf numFmtId="4" fontId="32" fillId="41" borderId="143" applyNumberFormat="0" applyProtection="0">
      <alignment horizontal="left" vertical="center" indent="1"/>
    </xf>
    <xf numFmtId="0" fontId="32" fillId="47" borderId="125" applyNumberFormat="0" applyProtection="0">
      <alignment horizontal="left" vertical="top" indent="1"/>
    </xf>
    <xf numFmtId="0" fontId="32" fillId="47" borderId="142" applyNumberFormat="0" applyProtection="0">
      <alignment horizontal="left" vertical="top" indent="1"/>
    </xf>
    <xf numFmtId="4" fontId="32" fillId="30" borderId="149" applyNumberFormat="0" applyProtection="0">
      <alignment horizontal="left" vertical="center" indent="1"/>
    </xf>
    <xf numFmtId="4" fontId="43" fillId="45" borderId="150" applyNumberFormat="0" applyProtection="0">
      <alignment horizontal="left" vertical="center" indent="1"/>
    </xf>
    <xf numFmtId="4" fontId="32" fillId="33" borderId="133" applyNumberFormat="0" applyProtection="0">
      <alignment horizontal="right" vertical="center"/>
    </xf>
    <xf numFmtId="0" fontId="32" fillId="47" borderId="141" applyNumberFormat="0" applyProtection="0">
      <alignment horizontal="left" vertical="center" indent="1"/>
    </xf>
    <xf numFmtId="0" fontId="32" fillId="47" borderId="150" applyNumberFormat="0" applyProtection="0">
      <alignment horizontal="left" vertical="top" indent="1"/>
    </xf>
    <xf numFmtId="4" fontId="43" fillId="49" borderId="150" applyNumberFormat="0" applyProtection="0">
      <alignment vertical="center"/>
    </xf>
    <xf numFmtId="4" fontId="30" fillId="42" borderId="143" applyNumberFormat="0" applyProtection="0">
      <alignment horizontal="left" vertical="center" indent="1"/>
    </xf>
    <xf numFmtId="0" fontId="27" fillId="0" borderId="147">
      <alignment horizontal="left" vertical="center"/>
    </xf>
    <xf numFmtId="4" fontId="30" fillId="42" borderId="143" applyNumberFormat="0" applyProtection="0">
      <alignment horizontal="left" vertical="center" indent="1"/>
    </xf>
    <xf numFmtId="4" fontId="32" fillId="29" borderId="141" applyNumberFormat="0" applyProtection="0">
      <alignment vertical="center"/>
    </xf>
    <xf numFmtId="0" fontId="32" fillId="45" borderId="141" applyNumberFormat="0" applyProtection="0">
      <alignment horizontal="left" vertical="center" indent="1"/>
    </xf>
    <xf numFmtId="4" fontId="32" fillId="31" borderId="149" applyNumberFormat="0" applyProtection="0">
      <alignment horizontal="left" vertical="center" indent="1"/>
    </xf>
    <xf numFmtId="0" fontId="39" fillId="0" borderId="145" applyNumberFormat="0" applyFill="0" applyAlignment="0" applyProtection="0"/>
    <xf numFmtId="4" fontId="32" fillId="44" borderId="143" applyNumberFormat="0" applyProtection="0">
      <alignment horizontal="left" vertical="center" indent="1"/>
    </xf>
    <xf numFmtId="4" fontId="32" fillId="29" borderId="124" applyNumberFormat="0" applyProtection="0">
      <alignment vertical="center"/>
    </xf>
    <xf numFmtId="4" fontId="32" fillId="33" borderId="133" applyNumberFormat="0" applyProtection="0">
      <alignment horizontal="right" vertical="center"/>
    </xf>
    <xf numFmtId="0" fontId="32" fillId="47" borderId="150" applyNumberFormat="0" applyProtection="0">
      <alignment horizontal="left" vertical="top" indent="1"/>
    </xf>
    <xf numFmtId="4" fontId="32" fillId="40" borderId="141" applyNumberFormat="0" applyProtection="0">
      <alignment horizontal="right" vertical="center"/>
    </xf>
    <xf numFmtId="4" fontId="40" fillId="50" borderId="149" applyNumberFormat="0" applyProtection="0">
      <alignment horizontal="right" vertical="center"/>
    </xf>
    <xf numFmtId="0" fontId="39" fillId="0" borderId="153" applyNumberFormat="0" applyFill="0" applyAlignment="0" applyProtection="0"/>
    <xf numFmtId="4" fontId="40" fillId="50" borderId="149" applyNumberFormat="0" applyProtection="0">
      <alignment horizontal="right" vertical="center"/>
    </xf>
    <xf numFmtId="4" fontId="40" fillId="30" borderId="141" applyNumberFormat="0" applyProtection="0">
      <alignment vertical="center"/>
    </xf>
    <xf numFmtId="0" fontId="43" fillId="49" borderId="150" applyNumberFormat="0" applyProtection="0">
      <alignment horizontal="left" vertical="top" indent="1"/>
    </xf>
    <xf numFmtId="4" fontId="32" fillId="37" borderId="133" applyNumberFormat="0" applyProtection="0">
      <alignment horizontal="right" vertical="center"/>
    </xf>
    <xf numFmtId="0" fontId="32" fillId="47" borderId="134" applyNumberFormat="0" applyProtection="0">
      <alignment horizontal="left" vertical="top" indent="1"/>
    </xf>
    <xf numFmtId="4" fontId="32" fillId="0" borderId="149" applyNumberFormat="0" applyProtection="0">
      <alignment horizontal="right" vertical="center"/>
    </xf>
    <xf numFmtId="4" fontId="32" fillId="37" borderId="149" applyNumberFormat="0" applyProtection="0">
      <alignment horizontal="right" vertical="center"/>
    </xf>
    <xf numFmtId="4" fontId="32" fillId="43" borderId="149" applyNumberFormat="0" applyProtection="0">
      <alignment horizontal="right" vertical="center"/>
    </xf>
    <xf numFmtId="0" fontId="32" fillId="47" borderId="133" applyNumberFormat="0" applyProtection="0">
      <alignment horizontal="left" vertical="center" indent="1"/>
    </xf>
    <xf numFmtId="4" fontId="32" fillId="29" borderId="141" applyNumberFormat="0" applyProtection="0">
      <alignment vertical="center"/>
    </xf>
    <xf numFmtId="0" fontId="32" fillId="23" borderId="141" applyNumberFormat="0" applyFont="0" applyAlignment="0" applyProtection="0"/>
    <xf numFmtId="0" fontId="56" fillId="58" borderId="138" applyNumberFormat="0" applyAlignment="0" applyProtection="0"/>
    <xf numFmtId="4" fontId="32" fillId="32" borderId="133" applyNumberFormat="0" applyProtection="0">
      <alignment horizontal="right" vertical="center"/>
    </xf>
    <xf numFmtId="4" fontId="32" fillId="31" borderId="141" applyNumberFormat="0" applyProtection="0">
      <alignment horizontal="left" vertical="center" indent="1"/>
    </xf>
    <xf numFmtId="4" fontId="40" fillId="30" borderId="149" applyNumberFormat="0" applyProtection="0">
      <alignment vertical="center"/>
    </xf>
    <xf numFmtId="0" fontId="32" fillId="42" borderId="150" applyNumberFormat="0" applyProtection="0">
      <alignment horizontal="left" vertical="top" indent="1"/>
    </xf>
    <xf numFmtId="0" fontId="27" fillId="0" borderId="155">
      <alignment horizontal="left" vertical="center"/>
    </xf>
    <xf numFmtId="4" fontId="32" fillId="35" borderId="141" applyNumberFormat="0" applyProtection="0">
      <alignment horizontal="right" vertical="center"/>
    </xf>
    <xf numFmtId="4" fontId="32" fillId="38" borderId="141" applyNumberFormat="0" applyProtection="0">
      <alignment horizontal="right" vertical="center"/>
    </xf>
    <xf numFmtId="4" fontId="32" fillId="38" borderId="141" applyNumberFormat="0" applyProtection="0">
      <alignment horizontal="right" vertical="center"/>
    </xf>
    <xf numFmtId="4" fontId="32" fillId="34" borderId="135" applyNumberFormat="0" applyProtection="0">
      <alignment horizontal="right" vertical="center"/>
    </xf>
    <xf numFmtId="4" fontId="32" fillId="35" borderId="141" applyNumberFormat="0" applyProtection="0">
      <alignment horizontal="right" vertical="center"/>
    </xf>
    <xf numFmtId="4" fontId="40" fillId="30" borderId="141" applyNumberFormat="0" applyProtection="0">
      <alignment vertical="center"/>
    </xf>
    <xf numFmtId="0" fontId="32" fillId="23" borderId="149" applyNumberFormat="0" applyFont="0" applyAlignment="0" applyProtection="0"/>
    <xf numFmtId="4" fontId="32" fillId="31" borderId="124" applyNumberFormat="0" applyProtection="0">
      <alignment horizontal="left" vertical="center" indent="1"/>
    </xf>
    <xf numFmtId="4" fontId="32" fillId="40" borderId="149" applyNumberFormat="0" applyProtection="0">
      <alignment horizontal="right" vertical="center"/>
    </xf>
    <xf numFmtId="0" fontId="56" fillId="58" borderId="146" applyNumberFormat="0" applyAlignment="0" applyProtection="0"/>
    <xf numFmtId="4" fontId="32" fillId="31" borderId="141" applyNumberFormat="0" applyProtection="0">
      <alignment horizontal="left" vertical="center" indent="1"/>
    </xf>
    <xf numFmtId="0" fontId="43" fillId="43" borderId="150" applyNumberFormat="0" applyProtection="0">
      <alignment horizontal="left" vertical="top" indent="1"/>
    </xf>
    <xf numFmtId="4" fontId="32" fillId="29" borderId="149" applyNumberFormat="0" applyProtection="0">
      <alignment vertical="center"/>
    </xf>
    <xf numFmtId="4" fontId="32" fillId="38" borderId="133" applyNumberFormat="0" applyProtection="0">
      <alignment horizontal="right" vertical="center"/>
    </xf>
    <xf numFmtId="0" fontId="32" fillId="52" borderId="140"/>
    <xf numFmtId="0" fontId="32" fillId="23" borderId="149" applyNumberFormat="0" applyFont="0" applyAlignment="0" applyProtection="0"/>
    <xf numFmtId="0" fontId="48" fillId="58" borderId="133" applyNumberFormat="0" applyAlignment="0" applyProtection="0"/>
    <xf numFmtId="4" fontId="32" fillId="38" borderId="141" applyNumberFormat="0" applyProtection="0">
      <alignment horizontal="right" vertical="center"/>
    </xf>
    <xf numFmtId="4" fontId="43" fillId="45" borderId="142" applyNumberFormat="0" applyProtection="0">
      <alignment horizontal="left" vertical="center" indent="1"/>
    </xf>
    <xf numFmtId="4" fontId="32" fillId="29" borderId="133" applyNumberFormat="0" applyProtection="0">
      <alignment vertical="center"/>
    </xf>
    <xf numFmtId="4" fontId="30" fillId="42" borderId="151" applyNumberFormat="0" applyProtection="0">
      <alignment horizontal="left" vertical="center" indent="1"/>
    </xf>
    <xf numFmtId="0" fontId="32" fillId="44" borderId="142" applyNumberFormat="0" applyProtection="0">
      <alignment horizontal="left" vertical="top" indent="1"/>
    </xf>
    <xf numFmtId="4" fontId="32" fillId="38" borderId="124" applyNumberFormat="0" applyProtection="0">
      <alignment horizontal="right" vertical="center"/>
    </xf>
    <xf numFmtId="0" fontId="27" fillId="0" borderId="147">
      <alignment horizontal="left" vertical="center"/>
    </xf>
    <xf numFmtId="4" fontId="32" fillId="31" borderId="149" applyNumberFormat="0" applyProtection="0">
      <alignment horizontal="left" vertical="center" indent="1"/>
    </xf>
    <xf numFmtId="0" fontId="32" fillId="47" borderId="142" applyNumberFormat="0" applyProtection="0">
      <alignment horizontal="left" vertical="top" indent="1"/>
    </xf>
    <xf numFmtId="0" fontId="56" fillId="58" borderId="146" applyNumberFormat="0" applyAlignment="0" applyProtection="0"/>
    <xf numFmtId="0" fontId="27" fillId="0" borderId="155">
      <alignment horizontal="left" vertical="center"/>
    </xf>
    <xf numFmtId="10" fontId="32" fillId="10" borderId="140" applyNumberFormat="0" applyBorder="0" applyAlignment="0" applyProtection="0"/>
    <xf numFmtId="4" fontId="32" fillId="32" borderId="149" applyNumberFormat="0" applyProtection="0">
      <alignment horizontal="right" vertical="center"/>
    </xf>
    <xf numFmtId="4" fontId="32" fillId="31" borderId="149" applyNumberFormat="0" applyProtection="0">
      <alignment horizontal="left" vertical="center" indent="1"/>
    </xf>
    <xf numFmtId="4" fontId="32" fillId="34" borderId="135" applyNumberFormat="0" applyProtection="0">
      <alignment horizontal="right" vertical="center"/>
    </xf>
    <xf numFmtId="4" fontId="32" fillId="34" borderId="143" applyNumberFormat="0" applyProtection="0">
      <alignment horizontal="right" vertical="center"/>
    </xf>
    <xf numFmtId="0" fontId="43" fillId="43" borderId="150" applyNumberFormat="0" applyProtection="0">
      <alignment horizontal="left" vertical="top" indent="1"/>
    </xf>
    <xf numFmtId="0" fontId="32" fillId="47" borderId="133" applyNumberFormat="0" applyProtection="0">
      <alignment horizontal="left" vertical="center" indent="1"/>
    </xf>
    <xf numFmtId="0" fontId="41" fillId="29" borderId="134" applyNumberFormat="0" applyProtection="0">
      <alignment horizontal="left" vertical="top" indent="1"/>
    </xf>
    <xf numFmtId="0" fontId="32" fillId="44" borderId="134" applyNumberFormat="0" applyProtection="0">
      <alignment horizontal="left" vertical="top" indent="1"/>
    </xf>
    <xf numFmtId="4" fontId="32" fillId="34" borderId="135" applyNumberFormat="0" applyProtection="0">
      <alignment horizontal="right" vertical="center"/>
    </xf>
    <xf numFmtId="0" fontId="39" fillId="0" borderId="137" applyNumberFormat="0" applyFill="0" applyAlignment="0" applyProtection="0"/>
    <xf numFmtId="4" fontId="32" fillId="0" borderId="133" applyNumberFormat="0" applyProtection="0">
      <alignment horizontal="right" vertical="center"/>
    </xf>
    <xf numFmtId="0" fontId="32" fillId="23" borderId="133" applyNumberFormat="0" applyFont="0" applyAlignment="0" applyProtection="0"/>
    <xf numFmtId="0" fontId="52" fillId="24" borderId="133" applyNumberFormat="0" applyAlignment="0" applyProtection="0"/>
    <xf numFmtId="4" fontId="32" fillId="29" borderId="133" applyNumberFormat="0" applyProtection="0">
      <alignment vertical="center"/>
    </xf>
    <xf numFmtId="4" fontId="32" fillId="38" borderId="133" applyNumberFormat="0" applyProtection="0">
      <alignment horizontal="right" vertical="center"/>
    </xf>
    <xf numFmtId="0" fontId="43" fillId="49" borderId="134" applyNumberFormat="0" applyProtection="0">
      <alignment horizontal="left" vertical="top" indent="1"/>
    </xf>
    <xf numFmtId="0" fontId="32" fillId="44" borderId="133" applyNumberFormat="0" applyProtection="0">
      <alignment horizontal="left" vertical="center" indent="1"/>
    </xf>
    <xf numFmtId="4" fontId="30" fillId="42" borderId="135" applyNumberFormat="0" applyProtection="0">
      <alignment horizontal="left" vertical="center" indent="1"/>
    </xf>
    <xf numFmtId="4" fontId="32" fillId="36" borderId="133" applyNumberFormat="0" applyProtection="0">
      <alignment horizontal="right" vertical="center"/>
    </xf>
    <xf numFmtId="0" fontId="32" fillId="52" borderId="116"/>
    <xf numFmtId="4" fontId="32" fillId="33" borderId="133" applyNumberFormat="0" applyProtection="0">
      <alignment horizontal="right" vertical="center"/>
    </xf>
    <xf numFmtId="0" fontId="27" fillId="0" borderId="139">
      <alignment horizontal="left" vertical="center"/>
    </xf>
    <xf numFmtId="0" fontId="32" fillId="47" borderId="133" applyNumberFormat="0" applyProtection="0">
      <alignment horizontal="left" vertical="center" indent="1"/>
    </xf>
    <xf numFmtId="4" fontId="44" fillId="51" borderId="135" applyNumberFormat="0" applyProtection="0">
      <alignment horizontal="left" vertical="center" indent="1"/>
    </xf>
    <xf numFmtId="4" fontId="32" fillId="43" borderId="135" applyNumberFormat="0" applyProtection="0">
      <alignment horizontal="left" vertical="center" indent="1"/>
    </xf>
    <xf numFmtId="4" fontId="32" fillId="32" borderId="133" applyNumberFormat="0" applyProtection="0">
      <alignment horizontal="right" vertical="center"/>
    </xf>
    <xf numFmtId="10" fontId="32" fillId="10" borderId="116" applyNumberFormat="0" applyBorder="0" applyAlignment="0" applyProtection="0"/>
    <xf numFmtId="4" fontId="32" fillId="29" borderId="133" applyNumberFormat="0" applyProtection="0">
      <alignment vertical="center"/>
    </xf>
    <xf numFmtId="4" fontId="40" fillId="30" borderId="133" applyNumberFormat="0" applyProtection="0">
      <alignment vertical="center"/>
    </xf>
    <xf numFmtId="4" fontId="32" fillId="30" borderId="133" applyNumberFormat="0" applyProtection="0">
      <alignment horizontal="left" vertical="center" indent="1"/>
    </xf>
    <xf numFmtId="0" fontId="41" fillId="29" borderId="134" applyNumberFormat="0" applyProtection="0">
      <alignment horizontal="left" vertical="top" indent="1"/>
    </xf>
    <xf numFmtId="4" fontId="32" fillId="31" borderId="133" applyNumberFormat="0" applyProtection="0">
      <alignment horizontal="left" vertical="center" indent="1"/>
    </xf>
    <xf numFmtId="4" fontId="32" fillId="32" borderId="133" applyNumberFormat="0" applyProtection="0">
      <alignment horizontal="right" vertical="center"/>
    </xf>
    <xf numFmtId="4" fontId="32" fillId="33" borderId="133" applyNumberFormat="0" applyProtection="0">
      <alignment horizontal="right" vertical="center"/>
    </xf>
    <xf numFmtId="4" fontId="32" fillId="34" borderId="135" applyNumberFormat="0" applyProtection="0">
      <alignment horizontal="right" vertical="center"/>
    </xf>
    <xf numFmtId="4" fontId="32" fillId="35" borderId="133" applyNumberFormat="0" applyProtection="0">
      <alignment horizontal="right" vertical="center"/>
    </xf>
    <xf numFmtId="4" fontId="32" fillId="36" borderId="133" applyNumberFormat="0" applyProtection="0">
      <alignment horizontal="right" vertical="center"/>
    </xf>
    <xf numFmtId="4" fontId="32" fillId="37" borderId="133" applyNumberFormat="0" applyProtection="0">
      <alignment horizontal="right" vertical="center"/>
    </xf>
    <xf numFmtId="4" fontId="32" fillId="38" borderId="133" applyNumberFormat="0" applyProtection="0">
      <alignment horizontal="right" vertical="center"/>
    </xf>
    <xf numFmtId="4" fontId="32" fillId="39" borderId="133" applyNumberFormat="0" applyProtection="0">
      <alignment horizontal="right" vertical="center"/>
    </xf>
    <xf numFmtId="4" fontId="32" fillId="40" borderId="133" applyNumberFormat="0" applyProtection="0">
      <alignment horizontal="right" vertical="center"/>
    </xf>
    <xf numFmtId="4" fontId="32" fillId="41" borderId="135" applyNumberFormat="0" applyProtection="0">
      <alignment horizontal="left" vertical="center" indent="1"/>
    </xf>
    <xf numFmtId="4" fontId="30" fillId="42" borderId="135" applyNumberFormat="0" applyProtection="0">
      <alignment horizontal="left" vertical="center" indent="1"/>
    </xf>
    <xf numFmtId="4" fontId="30" fillId="42" borderId="135" applyNumberFormat="0" applyProtection="0">
      <alignment horizontal="left" vertical="center" indent="1"/>
    </xf>
    <xf numFmtId="4" fontId="32" fillId="43" borderId="133" applyNumberFormat="0" applyProtection="0">
      <alignment horizontal="right" vertical="center"/>
    </xf>
    <xf numFmtId="4" fontId="32" fillId="44" borderId="135" applyNumberFormat="0" applyProtection="0">
      <alignment horizontal="left" vertical="center" indent="1"/>
    </xf>
    <xf numFmtId="4" fontId="32" fillId="43" borderId="135" applyNumberFormat="0" applyProtection="0">
      <alignment horizontal="left" vertical="center" indent="1"/>
    </xf>
    <xf numFmtId="0" fontId="32" fillId="45" borderId="133" applyNumberFormat="0" applyProtection="0">
      <alignment horizontal="left" vertical="center" indent="1"/>
    </xf>
    <xf numFmtId="0" fontId="32" fillId="42" borderId="134" applyNumberFormat="0" applyProtection="0">
      <alignment horizontal="left" vertical="top" indent="1"/>
    </xf>
    <xf numFmtId="0" fontId="32" fillId="46" borderId="133" applyNumberFormat="0" applyProtection="0">
      <alignment horizontal="left" vertical="center" indent="1"/>
    </xf>
    <xf numFmtId="0" fontId="32" fillId="43" borderId="134" applyNumberFormat="0" applyProtection="0">
      <alignment horizontal="left" vertical="top" indent="1"/>
    </xf>
    <xf numFmtId="0" fontId="32" fillId="47" borderId="133" applyNumberFormat="0" applyProtection="0">
      <alignment horizontal="left" vertical="center" indent="1"/>
    </xf>
    <xf numFmtId="0" fontId="32" fillId="47" borderId="134" applyNumberFormat="0" applyProtection="0">
      <alignment horizontal="left" vertical="top" indent="1"/>
    </xf>
    <xf numFmtId="0" fontId="32" fillId="44" borderId="133" applyNumberFormat="0" applyProtection="0">
      <alignment horizontal="left" vertical="center" indent="1"/>
    </xf>
    <xf numFmtId="0" fontId="32" fillId="44" borderId="134" applyNumberFormat="0" applyProtection="0">
      <alignment horizontal="left" vertical="top" indent="1"/>
    </xf>
    <xf numFmtId="0" fontId="42" fillId="42" borderId="136" applyBorder="0"/>
    <xf numFmtId="4" fontId="43" fillId="49" borderId="134" applyNumberFormat="0" applyProtection="0">
      <alignment vertical="center"/>
    </xf>
    <xf numFmtId="4" fontId="43" fillId="45" borderId="134" applyNumberFormat="0" applyProtection="0">
      <alignment horizontal="left" vertical="center" indent="1"/>
    </xf>
    <xf numFmtId="0" fontId="43" fillId="49" borderId="134" applyNumberFormat="0" applyProtection="0">
      <alignment horizontal="left" vertical="top" indent="1"/>
    </xf>
    <xf numFmtId="4" fontId="32" fillId="0" borderId="133" applyNumberFormat="0" applyProtection="0">
      <alignment horizontal="right" vertical="center"/>
    </xf>
    <xf numFmtId="4" fontId="32" fillId="0" borderId="133" applyNumberFormat="0" applyProtection="0">
      <alignment horizontal="right" vertical="center"/>
    </xf>
    <xf numFmtId="4" fontId="40" fillId="50" borderId="133" applyNumberFormat="0" applyProtection="0">
      <alignment horizontal="right" vertical="center"/>
    </xf>
    <xf numFmtId="4" fontId="32" fillId="31" borderId="133" applyNumberFormat="0" applyProtection="0">
      <alignment horizontal="left" vertical="center" indent="1"/>
    </xf>
    <xf numFmtId="0" fontId="43" fillId="43" borderId="134" applyNumberFormat="0" applyProtection="0">
      <alignment horizontal="left" vertical="top" indent="1"/>
    </xf>
    <xf numFmtId="4" fontId="44" fillId="51" borderId="135" applyNumberFormat="0" applyProtection="0">
      <alignment horizontal="left" vertical="center" indent="1"/>
    </xf>
    <xf numFmtId="4" fontId="45" fillId="48" borderId="133" applyNumberFormat="0" applyProtection="0">
      <alignment horizontal="right" vertical="center"/>
    </xf>
    <xf numFmtId="0" fontId="48" fillId="58" borderId="133" applyNumberFormat="0" applyAlignment="0" applyProtection="0"/>
    <xf numFmtId="0" fontId="32" fillId="23" borderId="133" applyNumberFormat="0" applyFont="0" applyAlignment="0" applyProtection="0"/>
    <xf numFmtId="0" fontId="39" fillId="0" borderId="137" applyNumberFormat="0" applyFill="0" applyAlignment="0" applyProtection="0"/>
    <xf numFmtId="0" fontId="52" fillId="24" borderId="133" applyNumberFormat="0" applyAlignment="0" applyProtection="0"/>
    <xf numFmtId="0" fontId="56" fillId="58" borderId="138" applyNumberFormat="0" applyAlignment="0" applyProtection="0"/>
    <xf numFmtId="4" fontId="32" fillId="31" borderId="133" applyNumberFormat="0" applyProtection="0">
      <alignment horizontal="left" vertical="center" indent="1"/>
    </xf>
    <xf numFmtId="0" fontId="32" fillId="45" borderId="133" applyNumberFormat="0" applyProtection="0">
      <alignment horizontal="left" vertical="center" indent="1"/>
    </xf>
    <xf numFmtId="4" fontId="43" fillId="49" borderId="134" applyNumberFormat="0" applyProtection="0">
      <alignment vertical="center"/>
    </xf>
    <xf numFmtId="4" fontId="32" fillId="40" borderId="133" applyNumberFormat="0" applyProtection="0">
      <alignment horizontal="right" vertical="center"/>
    </xf>
    <xf numFmtId="4" fontId="40" fillId="50" borderId="133" applyNumberFormat="0" applyProtection="0">
      <alignment horizontal="right" vertical="center"/>
    </xf>
    <xf numFmtId="0" fontId="56" fillId="58" borderId="138" applyNumberFormat="0" applyAlignment="0" applyProtection="0"/>
    <xf numFmtId="0" fontId="27" fillId="0" borderId="139">
      <alignment horizontal="left" vertical="center"/>
    </xf>
    <xf numFmtId="0" fontId="48" fillId="58" borderId="133" applyNumberFormat="0" applyAlignment="0" applyProtection="0"/>
    <xf numFmtId="0" fontId="32" fillId="43" borderId="134" applyNumberFormat="0" applyProtection="0">
      <alignment horizontal="left" vertical="top" indent="1"/>
    </xf>
    <xf numFmtId="0" fontId="42" fillId="42" borderId="136" applyBorder="0"/>
    <xf numFmtId="4" fontId="32" fillId="31" borderId="133" applyNumberFormat="0" applyProtection="0">
      <alignment horizontal="left" vertical="center" indent="1"/>
    </xf>
    <xf numFmtId="4" fontId="32" fillId="30" borderId="133" applyNumberFormat="0" applyProtection="0">
      <alignment horizontal="left" vertical="center" indent="1"/>
    </xf>
    <xf numFmtId="0" fontId="32" fillId="42" borderId="134" applyNumberFormat="0" applyProtection="0">
      <alignment horizontal="left" vertical="top" indent="1"/>
    </xf>
    <xf numFmtId="4" fontId="32" fillId="0" borderId="133" applyNumberFormat="0" applyProtection="0">
      <alignment horizontal="right" vertical="center"/>
    </xf>
    <xf numFmtId="4" fontId="32" fillId="37" borderId="133" applyNumberFormat="0" applyProtection="0">
      <alignment horizontal="right" vertical="center"/>
    </xf>
    <xf numFmtId="4" fontId="45" fillId="48" borderId="133" applyNumberFormat="0" applyProtection="0">
      <alignment horizontal="right" vertical="center"/>
    </xf>
    <xf numFmtId="4" fontId="40" fillId="30" borderId="133" applyNumberFormat="0" applyProtection="0">
      <alignment vertical="center"/>
    </xf>
    <xf numFmtId="4" fontId="32" fillId="39" borderId="133" applyNumberFormat="0" applyProtection="0">
      <alignment horizontal="right" vertical="center"/>
    </xf>
    <xf numFmtId="4" fontId="30" fillId="42" borderId="135" applyNumberFormat="0" applyProtection="0">
      <alignment horizontal="left" vertical="center" indent="1"/>
    </xf>
    <xf numFmtId="0" fontId="32" fillId="47" borderId="134" applyNumberFormat="0" applyProtection="0">
      <alignment horizontal="left" vertical="top" indent="1"/>
    </xf>
    <xf numFmtId="4" fontId="43" fillId="45" borderId="134" applyNumberFormat="0" applyProtection="0">
      <alignment horizontal="left" vertical="center" indent="1"/>
    </xf>
    <xf numFmtId="4" fontId="40" fillId="10" borderId="116" applyNumberFormat="0" applyProtection="0">
      <alignment vertical="center"/>
    </xf>
    <xf numFmtId="0" fontId="43" fillId="43" borderId="134" applyNumberFormat="0" applyProtection="0">
      <alignment horizontal="left" vertical="top" indent="1"/>
    </xf>
    <xf numFmtId="4" fontId="32" fillId="44" borderId="135" applyNumberFormat="0" applyProtection="0">
      <alignment horizontal="left" vertical="center" indent="1"/>
    </xf>
    <xf numFmtId="4" fontId="32" fillId="43" borderId="133" applyNumberFormat="0" applyProtection="0">
      <alignment horizontal="right" vertical="center"/>
    </xf>
    <xf numFmtId="0" fontId="27" fillId="0" borderId="139">
      <alignment horizontal="left" vertical="center"/>
    </xf>
    <xf numFmtId="0" fontId="41" fillId="29" borderId="134" applyNumberFormat="0" applyProtection="0">
      <alignment horizontal="left" vertical="top" indent="1"/>
    </xf>
    <xf numFmtId="4" fontId="32" fillId="35" borderId="133" applyNumberFormat="0" applyProtection="0">
      <alignment horizontal="right" vertical="center"/>
    </xf>
    <xf numFmtId="0" fontId="32" fillId="46" borderId="133" applyNumberFormat="0" applyProtection="0">
      <alignment horizontal="left" vertical="center" indent="1"/>
    </xf>
    <xf numFmtId="4" fontId="32" fillId="41" borderId="135" applyNumberFormat="0" applyProtection="0">
      <alignment horizontal="left" vertical="center" indent="1"/>
    </xf>
    <xf numFmtId="0" fontId="48" fillId="58" borderId="149" applyNumberFormat="0" applyAlignment="0" applyProtection="0"/>
    <xf numFmtId="0" fontId="39" fillId="0" borderId="137" applyNumberFormat="0" applyFill="0" applyAlignment="0" applyProtection="0"/>
    <xf numFmtId="4" fontId="32" fillId="35" borderId="133" applyNumberFormat="0" applyProtection="0">
      <alignment horizontal="right" vertical="center"/>
    </xf>
    <xf numFmtId="0" fontId="32" fillId="23" borderId="141" applyNumberFormat="0" applyFont="0" applyAlignment="0" applyProtection="0"/>
    <xf numFmtId="4" fontId="30" fillId="42" borderId="143" applyNumberFormat="0" applyProtection="0">
      <alignment horizontal="left" vertical="center" indent="1"/>
    </xf>
    <xf numFmtId="0" fontId="32" fillId="45" borderId="149" applyNumberFormat="0" applyProtection="0">
      <alignment horizontal="left" vertical="center" indent="1"/>
    </xf>
    <xf numFmtId="4" fontId="32" fillId="43" borderId="141" applyNumberFormat="0" applyProtection="0">
      <alignment horizontal="right" vertical="center"/>
    </xf>
    <xf numFmtId="4" fontId="32" fillId="41" borderId="135" applyNumberFormat="0" applyProtection="0">
      <alignment horizontal="left" vertical="center" indent="1"/>
    </xf>
    <xf numFmtId="4" fontId="32" fillId="29" borderId="133" applyNumberFormat="0" applyProtection="0">
      <alignment vertical="center"/>
    </xf>
    <xf numFmtId="0" fontId="32" fillId="42" borderId="142" applyNumberFormat="0" applyProtection="0">
      <alignment horizontal="left" vertical="top" indent="1"/>
    </xf>
    <xf numFmtId="4" fontId="32" fillId="33" borderId="149" applyNumberFormat="0" applyProtection="0">
      <alignment horizontal="right" vertical="center"/>
    </xf>
    <xf numFmtId="0" fontId="27" fillId="0" borderId="139">
      <alignment horizontal="left" vertical="center"/>
    </xf>
    <xf numFmtId="0" fontId="39" fillId="0" borderId="137" applyNumberFormat="0" applyFill="0" applyAlignment="0" applyProtection="0"/>
    <xf numFmtId="0" fontId="27" fillId="0" borderId="139">
      <alignment horizontal="left" vertical="center"/>
    </xf>
    <xf numFmtId="4" fontId="32" fillId="29" borderId="149" applyNumberFormat="0" applyProtection="0">
      <alignment vertical="center"/>
    </xf>
    <xf numFmtId="0" fontId="52" fillId="24" borderId="149" applyNumberFormat="0" applyAlignment="0" applyProtection="0"/>
    <xf numFmtId="4" fontId="32" fillId="44" borderId="143" applyNumberFormat="0" applyProtection="0">
      <alignment horizontal="left" vertical="center" indent="1"/>
    </xf>
    <xf numFmtId="0" fontId="32" fillId="52" borderId="140"/>
    <xf numFmtId="0" fontId="32" fillId="47" borderId="134" applyNumberFormat="0" applyProtection="0">
      <alignment horizontal="left" vertical="top" indent="1"/>
    </xf>
    <xf numFmtId="4" fontId="40" fillId="30" borderId="133" applyNumberFormat="0" applyProtection="0">
      <alignment vertical="center"/>
    </xf>
    <xf numFmtId="10" fontId="32" fillId="10" borderId="116" applyNumberFormat="0" applyBorder="0" applyAlignment="0" applyProtection="0"/>
    <xf numFmtId="0" fontId="32" fillId="43" borderId="150" applyNumberFormat="0" applyProtection="0">
      <alignment horizontal="left" vertical="top" indent="1"/>
    </xf>
    <xf numFmtId="4" fontId="32" fillId="43" borderId="126" applyNumberFormat="0" applyProtection="0">
      <alignment horizontal="left" vertical="center" indent="1"/>
    </xf>
    <xf numFmtId="4" fontId="32" fillId="44" borderId="143" applyNumberFormat="0" applyProtection="0">
      <alignment horizontal="left" vertical="center" indent="1"/>
    </xf>
    <xf numFmtId="4" fontId="32" fillId="0" borderId="141" applyNumberFormat="0" applyProtection="0">
      <alignment horizontal="right" vertical="center"/>
    </xf>
    <xf numFmtId="4" fontId="32" fillId="29" borderId="133" applyNumberFormat="0" applyProtection="0">
      <alignment vertical="center"/>
    </xf>
    <xf numFmtId="4" fontId="40" fillId="30" borderId="133" applyNumberFormat="0" applyProtection="0">
      <alignment vertical="center"/>
    </xf>
    <xf numFmtId="4" fontId="32" fillId="30" borderId="133" applyNumberFormat="0" applyProtection="0">
      <alignment horizontal="left" vertical="center" indent="1"/>
    </xf>
    <xf numFmtId="0" fontId="41" fillId="29" borderId="134" applyNumberFormat="0" applyProtection="0">
      <alignment horizontal="left" vertical="top" indent="1"/>
    </xf>
    <xf numFmtId="4" fontId="32" fillId="31" borderId="133" applyNumberFormat="0" applyProtection="0">
      <alignment horizontal="left" vertical="center" indent="1"/>
    </xf>
    <xf numFmtId="4" fontId="32" fillId="32" borderId="133" applyNumberFormat="0" applyProtection="0">
      <alignment horizontal="right" vertical="center"/>
    </xf>
    <xf numFmtId="4" fontId="32" fillId="33" borderId="133" applyNumberFormat="0" applyProtection="0">
      <alignment horizontal="right" vertical="center"/>
    </xf>
    <xf numFmtId="4" fontId="32" fillId="34" borderId="135" applyNumberFormat="0" applyProtection="0">
      <alignment horizontal="right" vertical="center"/>
    </xf>
    <xf numFmtId="4" fontId="32" fillId="35" borderId="133" applyNumberFormat="0" applyProtection="0">
      <alignment horizontal="right" vertical="center"/>
    </xf>
    <xf numFmtId="4" fontId="32" fillId="36" borderId="133" applyNumberFormat="0" applyProtection="0">
      <alignment horizontal="right" vertical="center"/>
    </xf>
    <xf numFmtId="4" fontId="32" fillId="37" borderId="133" applyNumberFormat="0" applyProtection="0">
      <alignment horizontal="right" vertical="center"/>
    </xf>
    <xf numFmtId="4" fontId="32" fillId="38" borderId="133" applyNumberFormat="0" applyProtection="0">
      <alignment horizontal="right" vertical="center"/>
    </xf>
    <xf numFmtId="4" fontId="32" fillId="39" borderId="133" applyNumberFormat="0" applyProtection="0">
      <alignment horizontal="right" vertical="center"/>
    </xf>
    <xf numFmtId="4" fontId="32" fillId="40" borderId="133" applyNumberFormat="0" applyProtection="0">
      <alignment horizontal="right" vertical="center"/>
    </xf>
    <xf numFmtId="4" fontId="32" fillId="41" borderId="135" applyNumberFormat="0" applyProtection="0">
      <alignment horizontal="left" vertical="center" indent="1"/>
    </xf>
    <xf numFmtId="4" fontId="30" fillId="42" borderId="135" applyNumberFormat="0" applyProtection="0">
      <alignment horizontal="left" vertical="center" indent="1"/>
    </xf>
    <xf numFmtId="4" fontId="30" fillId="42" borderId="135" applyNumberFormat="0" applyProtection="0">
      <alignment horizontal="left" vertical="center" indent="1"/>
    </xf>
    <xf numFmtId="4" fontId="32" fillId="43" borderId="133" applyNumberFormat="0" applyProtection="0">
      <alignment horizontal="right" vertical="center"/>
    </xf>
    <xf numFmtId="4" fontId="32" fillId="44" borderId="135" applyNumberFormat="0" applyProtection="0">
      <alignment horizontal="left" vertical="center" indent="1"/>
    </xf>
    <xf numFmtId="4" fontId="32" fillId="43" borderId="135" applyNumberFormat="0" applyProtection="0">
      <alignment horizontal="left" vertical="center" indent="1"/>
    </xf>
    <xf numFmtId="0" fontId="32" fillId="45" borderId="133" applyNumberFormat="0" applyProtection="0">
      <alignment horizontal="left" vertical="center" indent="1"/>
    </xf>
    <xf numFmtId="0" fontId="32" fillId="42" borderId="134" applyNumberFormat="0" applyProtection="0">
      <alignment horizontal="left" vertical="top" indent="1"/>
    </xf>
    <xf numFmtId="0" fontId="32" fillId="46" borderId="133" applyNumberFormat="0" applyProtection="0">
      <alignment horizontal="left" vertical="center" indent="1"/>
    </xf>
    <xf numFmtId="0" fontId="32" fillId="43" borderId="134" applyNumberFormat="0" applyProtection="0">
      <alignment horizontal="left" vertical="top" indent="1"/>
    </xf>
    <xf numFmtId="0" fontId="32" fillId="47" borderId="133" applyNumberFormat="0" applyProtection="0">
      <alignment horizontal="left" vertical="center" indent="1"/>
    </xf>
    <xf numFmtId="0" fontId="32" fillId="47" borderId="134" applyNumberFormat="0" applyProtection="0">
      <alignment horizontal="left" vertical="top" indent="1"/>
    </xf>
    <xf numFmtId="0" fontId="32" fillId="44" borderId="133" applyNumberFormat="0" applyProtection="0">
      <alignment horizontal="left" vertical="center" indent="1"/>
    </xf>
    <xf numFmtId="0" fontId="32" fillId="44" borderId="134" applyNumberFormat="0" applyProtection="0">
      <alignment horizontal="left" vertical="top" indent="1"/>
    </xf>
    <xf numFmtId="0" fontId="42" fillId="42" borderId="136" applyBorder="0"/>
    <xf numFmtId="4" fontId="43" fillId="49" borderId="134" applyNumberFormat="0" applyProtection="0">
      <alignment vertical="center"/>
    </xf>
    <xf numFmtId="4" fontId="40" fillId="10" borderId="116" applyNumberFormat="0" applyProtection="0">
      <alignment vertical="center"/>
    </xf>
    <xf numFmtId="4" fontId="43" fillId="45" borderId="134" applyNumberFormat="0" applyProtection="0">
      <alignment horizontal="left" vertical="center" indent="1"/>
    </xf>
    <xf numFmtId="0" fontId="43" fillId="49" borderId="134" applyNumberFormat="0" applyProtection="0">
      <alignment horizontal="left" vertical="top" indent="1"/>
    </xf>
    <xf numFmtId="4" fontId="32" fillId="0" borderId="133" applyNumberFormat="0" applyProtection="0">
      <alignment horizontal="right" vertical="center"/>
    </xf>
    <xf numFmtId="4" fontId="32" fillId="0" borderId="133" applyNumberFormat="0" applyProtection="0">
      <alignment horizontal="right" vertical="center"/>
    </xf>
    <xf numFmtId="4" fontId="40" fillId="50" borderId="133" applyNumberFormat="0" applyProtection="0">
      <alignment horizontal="right" vertical="center"/>
    </xf>
    <xf numFmtId="4" fontId="32" fillId="31" borderId="133" applyNumberFormat="0" applyProtection="0">
      <alignment horizontal="left" vertical="center" indent="1"/>
    </xf>
    <xf numFmtId="0" fontId="43" fillId="43" borderId="134" applyNumberFormat="0" applyProtection="0">
      <alignment horizontal="left" vertical="top" indent="1"/>
    </xf>
    <xf numFmtId="4" fontId="44" fillId="51" borderId="135" applyNumberFormat="0" applyProtection="0">
      <alignment horizontal="left" vertical="center" indent="1"/>
    </xf>
    <xf numFmtId="0" fontId="32" fillId="52" borderId="116"/>
    <xf numFmtId="4" fontId="45" fillId="48" borderId="133" applyNumberFormat="0" applyProtection="0">
      <alignment horizontal="right" vertical="center"/>
    </xf>
    <xf numFmtId="0" fontId="48" fillId="58" borderId="133" applyNumberFormat="0" applyAlignment="0" applyProtection="0"/>
    <xf numFmtId="0" fontId="32" fillId="23" borderId="133" applyNumberFormat="0" applyFont="0" applyAlignment="0" applyProtection="0"/>
    <xf numFmtId="0" fontId="39" fillId="0" borderId="137" applyNumberFormat="0" applyFill="0" applyAlignment="0" applyProtection="0"/>
    <xf numFmtId="0" fontId="52" fillId="24" borderId="133" applyNumberFormat="0" applyAlignment="0" applyProtection="0"/>
    <xf numFmtId="0" fontId="56" fillId="58" borderId="138" applyNumberFormat="0" applyAlignment="0" applyProtection="0"/>
    <xf numFmtId="4" fontId="32" fillId="37" borderId="149" applyNumberFormat="0" applyProtection="0">
      <alignment horizontal="right" vertical="center"/>
    </xf>
    <xf numFmtId="4" fontId="32" fillId="44" borderId="143" applyNumberFormat="0" applyProtection="0">
      <alignment horizontal="left" vertical="center" indent="1"/>
    </xf>
    <xf numFmtId="4" fontId="32" fillId="43" borderId="151" applyNumberFormat="0" applyProtection="0">
      <alignment horizontal="left" vertical="center" indent="1"/>
    </xf>
    <xf numFmtId="4" fontId="43" fillId="45" borderId="142" applyNumberFormat="0" applyProtection="0">
      <alignment horizontal="left" vertical="center" indent="1"/>
    </xf>
    <xf numFmtId="0" fontId="32" fillId="43" borderId="150" applyNumberFormat="0" applyProtection="0">
      <alignment horizontal="left" vertical="top" indent="1"/>
    </xf>
    <xf numFmtId="4" fontId="32" fillId="43" borderId="143" applyNumberFormat="0" applyProtection="0">
      <alignment horizontal="left" vertical="center" indent="1"/>
    </xf>
    <xf numFmtId="4" fontId="32" fillId="41" borderId="143" applyNumberFormat="0" applyProtection="0">
      <alignment horizontal="left" vertical="center" indent="1"/>
    </xf>
    <xf numFmtId="4" fontId="32" fillId="39" borderId="141" applyNumberFormat="0" applyProtection="0">
      <alignment horizontal="right" vertical="center"/>
    </xf>
    <xf numFmtId="0" fontId="32" fillId="45" borderId="141" applyNumberFormat="0" applyProtection="0">
      <alignment horizontal="left" vertical="center" indent="1"/>
    </xf>
    <xf numFmtId="4" fontId="32" fillId="31" borderId="141" applyNumberFormat="0" applyProtection="0">
      <alignment horizontal="left" vertical="center" indent="1"/>
    </xf>
    <xf numFmtId="0" fontId="32" fillId="42" borderId="142" applyNumberFormat="0" applyProtection="0">
      <alignment horizontal="left" vertical="top" indent="1"/>
    </xf>
    <xf numFmtId="4" fontId="43" fillId="49" borderId="142" applyNumberFormat="0" applyProtection="0">
      <alignment vertical="center"/>
    </xf>
    <xf numFmtId="4" fontId="32" fillId="43" borderId="141" applyNumberFormat="0" applyProtection="0">
      <alignment horizontal="right" vertical="center"/>
    </xf>
    <xf numFmtId="0" fontId="32" fillId="23" borderId="124" applyNumberFormat="0" applyFont="0" applyAlignment="0" applyProtection="0"/>
    <xf numFmtId="4" fontId="32" fillId="43" borderId="151" applyNumberFormat="0" applyProtection="0">
      <alignment horizontal="left" vertical="center" indent="1"/>
    </xf>
    <xf numFmtId="0" fontId="39" fillId="0" borderId="145" applyNumberFormat="0" applyFill="0" applyAlignment="0" applyProtection="0"/>
    <xf numFmtId="0" fontId="52" fillId="24" borderId="149" applyNumberFormat="0" applyAlignment="0" applyProtection="0"/>
    <xf numFmtId="4" fontId="32" fillId="38" borderId="141" applyNumberFormat="0" applyProtection="0">
      <alignment horizontal="right" vertical="center"/>
    </xf>
    <xf numFmtId="0" fontId="42" fillId="42" borderId="136" applyBorder="0"/>
    <xf numFmtId="4" fontId="32" fillId="32" borderId="133" applyNumberFormat="0" applyProtection="0">
      <alignment horizontal="right" vertical="center"/>
    </xf>
    <xf numFmtId="0" fontId="42" fillId="42" borderId="144" applyBorder="0"/>
    <xf numFmtId="4" fontId="32" fillId="37" borderId="141" applyNumberFormat="0" applyProtection="0">
      <alignment horizontal="right" vertical="center"/>
    </xf>
    <xf numFmtId="4" fontId="43" fillId="49" borderId="134" applyNumberFormat="0" applyProtection="0">
      <alignment vertical="center"/>
    </xf>
    <xf numFmtId="0" fontId="32" fillId="23" borderId="133" applyNumberFormat="0" applyFont="0" applyAlignment="0" applyProtection="0"/>
    <xf numFmtId="4" fontId="40" fillId="10" borderId="116" applyNumberFormat="0" applyProtection="0">
      <alignment vertical="center"/>
    </xf>
    <xf numFmtId="4" fontId="32" fillId="31" borderId="149" applyNumberFormat="0" applyProtection="0">
      <alignment horizontal="left" vertical="center" indent="1"/>
    </xf>
    <xf numFmtId="0" fontId="43" fillId="43" borderId="150" applyNumberFormat="0" applyProtection="0">
      <alignment horizontal="left" vertical="top" indent="1"/>
    </xf>
    <xf numFmtId="10" fontId="32" fillId="10" borderId="156" applyNumberFormat="0" applyBorder="0" applyAlignment="0" applyProtection="0"/>
    <xf numFmtId="0" fontId="32" fillId="23" borderId="133" applyNumberFormat="0" applyFont="0" applyAlignment="0" applyProtection="0"/>
    <xf numFmtId="4" fontId="40" fillId="10" borderId="116" applyNumberFormat="0" applyProtection="0">
      <alignment vertical="center"/>
    </xf>
    <xf numFmtId="4" fontId="32" fillId="38" borderId="149" applyNumberFormat="0" applyProtection="0">
      <alignment horizontal="right" vertical="center"/>
    </xf>
    <xf numFmtId="0" fontId="32" fillId="47" borderId="149" applyNumberFormat="0" applyProtection="0">
      <alignment horizontal="left" vertical="center" indent="1"/>
    </xf>
    <xf numFmtId="0" fontId="32" fillId="44" borderId="142" applyNumberFormat="0" applyProtection="0">
      <alignment horizontal="left" vertical="top" indent="1"/>
    </xf>
    <xf numFmtId="4" fontId="32" fillId="38" borderId="149" applyNumberFormat="0" applyProtection="0">
      <alignment horizontal="right" vertical="center"/>
    </xf>
    <xf numFmtId="4" fontId="43" fillId="49" borderId="142" applyNumberFormat="0" applyProtection="0">
      <alignment vertical="center"/>
    </xf>
    <xf numFmtId="4" fontId="32" fillId="0" borderId="149" applyNumberFormat="0" applyProtection="0">
      <alignment horizontal="right" vertical="center"/>
    </xf>
    <xf numFmtId="4" fontId="32" fillId="30" borderId="141" applyNumberFormat="0" applyProtection="0">
      <alignment horizontal="left" vertical="center" indent="1"/>
    </xf>
    <xf numFmtId="4" fontId="43" fillId="49" borderId="134" applyNumberFormat="0" applyProtection="0">
      <alignment vertical="center"/>
    </xf>
    <xf numFmtId="4" fontId="32" fillId="32" borderId="141" applyNumberFormat="0" applyProtection="0">
      <alignment horizontal="right" vertical="center"/>
    </xf>
    <xf numFmtId="4" fontId="32" fillId="36" borderId="149" applyNumberFormat="0" applyProtection="0">
      <alignment horizontal="right" vertical="center"/>
    </xf>
    <xf numFmtId="4" fontId="40" fillId="50" borderId="149" applyNumberFormat="0" applyProtection="0">
      <alignment horizontal="right" vertical="center"/>
    </xf>
    <xf numFmtId="4" fontId="40" fillId="10" borderId="140" applyNumberFormat="0" applyProtection="0">
      <alignment vertical="center"/>
    </xf>
    <xf numFmtId="4" fontId="32" fillId="43" borderId="141" applyNumberFormat="0" applyProtection="0">
      <alignment horizontal="right" vertical="center"/>
    </xf>
    <xf numFmtId="4" fontId="32" fillId="34" borderId="151" applyNumberFormat="0" applyProtection="0">
      <alignment horizontal="right" vertical="center"/>
    </xf>
    <xf numFmtId="4" fontId="32" fillId="29" borderId="133" applyNumberFormat="0" applyProtection="0">
      <alignment vertical="center"/>
    </xf>
    <xf numFmtId="4" fontId="40" fillId="30" borderId="133" applyNumberFormat="0" applyProtection="0">
      <alignment vertical="center"/>
    </xf>
    <xf numFmtId="4" fontId="32" fillId="30" borderId="133" applyNumberFormat="0" applyProtection="0">
      <alignment horizontal="left" vertical="center" indent="1"/>
    </xf>
    <xf numFmtId="0" fontId="41" fillId="29" borderId="134" applyNumberFormat="0" applyProtection="0">
      <alignment horizontal="left" vertical="top" indent="1"/>
    </xf>
    <xf numFmtId="4" fontId="32" fillId="31" borderId="133" applyNumberFormat="0" applyProtection="0">
      <alignment horizontal="left" vertical="center" indent="1"/>
    </xf>
    <xf numFmtId="4" fontId="32" fillId="32" borderId="133" applyNumberFormat="0" applyProtection="0">
      <alignment horizontal="right" vertical="center"/>
    </xf>
    <xf numFmtId="4" fontId="32" fillId="33" borderId="133" applyNumberFormat="0" applyProtection="0">
      <alignment horizontal="right" vertical="center"/>
    </xf>
    <xf numFmtId="4" fontId="32" fillId="34" borderId="135" applyNumberFormat="0" applyProtection="0">
      <alignment horizontal="right" vertical="center"/>
    </xf>
    <xf numFmtId="4" fontId="32" fillId="35" borderId="133" applyNumberFormat="0" applyProtection="0">
      <alignment horizontal="right" vertical="center"/>
    </xf>
    <xf numFmtId="4" fontId="32" fillId="36" borderId="133" applyNumberFormat="0" applyProtection="0">
      <alignment horizontal="right" vertical="center"/>
    </xf>
    <xf numFmtId="4" fontId="32" fillId="37" borderId="133" applyNumberFormat="0" applyProtection="0">
      <alignment horizontal="right" vertical="center"/>
    </xf>
    <xf numFmtId="4" fontId="32" fillId="38" borderId="133" applyNumberFormat="0" applyProtection="0">
      <alignment horizontal="right" vertical="center"/>
    </xf>
    <xf numFmtId="4" fontId="32" fillId="39" borderId="133" applyNumberFormat="0" applyProtection="0">
      <alignment horizontal="right" vertical="center"/>
    </xf>
    <xf numFmtId="4" fontId="32" fillId="40" borderId="133" applyNumberFormat="0" applyProtection="0">
      <alignment horizontal="right" vertical="center"/>
    </xf>
    <xf numFmtId="4" fontId="32" fillId="41" borderId="135" applyNumberFormat="0" applyProtection="0">
      <alignment horizontal="left" vertical="center" indent="1"/>
    </xf>
    <xf numFmtId="4" fontId="30" fillId="42" borderId="135" applyNumberFormat="0" applyProtection="0">
      <alignment horizontal="left" vertical="center" indent="1"/>
    </xf>
    <xf numFmtId="4" fontId="30" fillId="42" borderId="135" applyNumberFormat="0" applyProtection="0">
      <alignment horizontal="left" vertical="center" indent="1"/>
    </xf>
    <xf numFmtId="4" fontId="32" fillId="43" borderId="133" applyNumberFormat="0" applyProtection="0">
      <alignment horizontal="right" vertical="center"/>
    </xf>
    <xf numFmtId="4" fontId="32" fillId="44" borderId="135" applyNumberFormat="0" applyProtection="0">
      <alignment horizontal="left" vertical="center" indent="1"/>
    </xf>
    <xf numFmtId="4" fontId="32" fillId="43" borderId="135" applyNumberFormat="0" applyProtection="0">
      <alignment horizontal="left" vertical="center" indent="1"/>
    </xf>
    <xf numFmtId="0" fontId="32" fillId="45" borderId="133" applyNumberFormat="0" applyProtection="0">
      <alignment horizontal="left" vertical="center" indent="1"/>
    </xf>
    <xf numFmtId="0" fontId="32" fillId="42" borderId="134" applyNumberFormat="0" applyProtection="0">
      <alignment horizontal="left" vertical="top" indent="1"/>
    </xf>
    <xf numFmtId="0" fontId="32" fillId="46" borderId="133" applyNumberFormat="0" applyProtection="0">
      <alignment horizontal="left" vertical="center" indent="1"/>
    </xf>
    <xf numFmtId="0" fontId="32" fillId="43" borderId="134" applyNumberFormat="0" applyProtection="0">
      <alignment horizontal="left" vertical="top" indent="1"/>
    </xf>
    <xf numFmtId="0" fontId="32" fillId="47" borderId="133" applyNumberFormat="0" applyProtection="0">
      <alignment horizontal="left" vertical="center" indent="1"/>
    </xf>
    <xf numFmtId="0" fontId="32" fillId="47" borderId="134" applyNumberFormat="0" applyProtection="0">
      <alignment horizontal="left" vertical="top" indent="1"/>
    </xf>
    <xf numFmtId="0" fontId="32" fillId="44" borderId="133" applyNumberFormat="0" applyProtection="0">
      <alignment horizontal="left" vertical="center" indent="1"/>
    </xf>
    <xf numFmtId="0" fontId="32" fillId="44" borderId="134" applyNumberFormat="0" applyProtection="0">
      <alignment horizontal="left" vertical="top" indent="1"/>
    </xf>
    <xf numFmtId="0" fontId="42" fillId="42" borderId="136" applyBorder="0"/>
    <xf numFmtId="4" fontId="43" fillId="49" borderId="134" applyNumberFormat="0" applyProtection="0">
      <alignment vertical="center"/>
    </xf>
    <xf numFmtId="4" fontId="43" fillId="45" borderId="134" applyNumberFormat="0" applyProtection="0">
      <alignment horizontal="left" vertical="center" indent="1"/>
    </xf>
    <xf numFmtId="0" fontId="43" fillId="49" borderId="134" applyNumberFormat="0" applyProtection="0">
      <alignment horizontal="left" vertical="top" indent="1"/>
    </xf>
    <xf numFmtId="4" fontId="32" fillId="0" borderId="133" applyNumberFormat="0" applyProtection="0">
      <alignment horizontal="right" vertical="center"/>
    </xf>
    <xf numFmtId="4" fontId="32" fillId="0" borderId="133" applyNumberFormat="0" applyProtection="0">
      <alignment horizontal="right" vertical="center"/>
    </xf>
    <xf numFmtId="4" fontId="40" fillId="50" borderId="133" applyNumberFormat="0" applyProtection="0">
      <alignment horizontal="right" vertical="center"/>
    </xf>
    <xf numFmtId="4" fontId="32" fillId="31" borderId="133" applyNumberFormat="0" applyProtection="0">
      <alignment horizontal="left" vertical="center" indent="1"/>
    </xf>
    <xf numFmtId="0" fontId="43" fillId="43" borderId="134" applyNumberFormat="0" applyProtection="0">
      <alignment horizontal="left" vertical="top" indent="1"/>
    </xf>
    <xf numFmtId="4" fontId="44" fillId="51" borderId="135" applyNumberFormat="0" applyProtection="0">
      <alignment horizontal="left" vertical="center" indent="1"/>
    </xf>
    <xf numFmtId="4" fontId="45" fillId="48" borderId="133" applyNumberFormat="0" applyProtection="0">
      <alignment horizontal="right" vertical="center"/>
    </xf>
    <xf numFmtId="0" fontId="48" fillId="58" borderId="133" applyNumberFormat="0" applyAlignment="0" applyProtection="0"/>
    <xf numFmtId="0" fontId="32" fillId="23" borderId="133" applyNumberFormat="0" applyFont="0" applyAlignment="0" applyProtection="0"/>
    <xf numFmtId="0" fontId="39" fillId="0" borderId="137" applyNumberFormat="0" applyFill="0" applyAlignment="0" applyProtection="0"/>
    <xf numFmtId="0" fontId="52" fillId="24" borderId="133" applyNumberFormat="0" applyAlignment="0" applyProtection="0"/>
    <xf numFmtId="0" fontId="56" fillId="58" borderId="138" applyNumberFormat="0" applyAlignment="0" applyProtection="0"/>
    <xf numFmtId="0" fontId="27" fillId="0" borderId="155">
      <alignment horizontal="left" vertical="center"/>
    </xf>
    <xf numFmtId="4" fontId="43" fillId="49" borderId="142" applyNumberFormat="0" applyProtection="0">
      <alignment vertical="center"/>
    </xf>
    <xf numFmtId="4" fontId="43" fillId="45" borderId="150" applyNumberFormat="0" applyProtection="0">
      <alignment horizontal="left" vertical="center" indent="1"/>
    </xf>
    <xf numFmtId="0" fontId="32" fillId="44" borderId="150" applyNumberFormat="0" applyProtection="0">
      <alignment horizontal="left" vertical="top" indent="1"/>
    </xf>
    <xf numFmtId="4" fontId="32" fillId="33" borderId="149" applyNumberFormat="0" applyProtection="0">
      <alignment horizontal="right" vertical="center"/>
    </xf>
    <xf numFmtId="4" fontId="40" fillId="50" borderId="149" applyNumberFormat="0" applyProtection="0">
      <alignment horizontal="right" vertical="center"/>
    </xf>
    <xf numFmtId="4" fontId="32" fillId="32" borderId="141" applyNumberFormat="0" applyProtection="0">
      <alignment horizontal="right" vertical="center"/>
    </xf>
    <xf numFmtId="4" fontId="30" fillId="42" borderId="143" applyNumberFormat="0" applyProtection="0">
      <alignment horizontal="left" vertical="center" indent="1"/>
    </xf>
    <xf numFmtId="0" fontId="32" fillId="47" borderId="142" applyNumberFormat="0" applyProtection="0">
      <alignment horizontal="left" vertical="top" indent="1"/>
    </xf>
    <xf numFmtId="4" fontId="32" fillId="39" borderId="141" applyNumberFormat="0" applyProtection="0">
      <alignment horizontal="right" vertical="center"/>
    </xf>
    <xf numFmtId="4" fontId="44" fillId="51" borderId="135" applyNumberFormat="0" applyProtection="0">
      <alignment horizontal="left" vertical="center" indent="1"/>
    </xf>
    <xf numFmtId="4" fontId="32" fillId="36" borderId="149" applyNumberFormat="0" applyProtection="0">
      <alignment horizontal="right" vertical="center"/>
    </xf>
    <xf numFmtId="4" fontId="32" fillId="32" borderId="124" applyNumberFormat="0" applyProtection="0">
      <alignment horizontal="right" vertical="center"/>
    </xf>
    <xf numFmtId="4" fontId="40" fillId="10" borderId="148" applyNumberFormat="0" applyProtection="0">
      <alignment vertical="center"/>
    </xf>
    <xf numFmtId="4" fontId="32" fillId="44" borderId="151" applyNumberFormat="0" applyProtection="0">
      <alignment horizontal="left" vertical="center" indent="1"/>
    </xf>
    <xf numFmtId="4" fontId="40" fillId="50" borderId="133" applyNumberFormat="0" applyProtection="0">
      <alignment horizontal="right" vertical="center"/>
    </xf>
    <xf numFmtId="0" fontId="27" fillId="0" borderId="147">
      <alignment horizontal="left" vertical="center"/>
    </xf>
    <xf numFmtId="4" fontId="32" fillId="37" borderId="149" applyNumberFormat="0" applyProtection="0">
      <alignment horizontal="right" vertical="center"/>
    </xf>
    <xf numFmtId="0" fontId="43" fillId="43" borderId="142" applyNumberFormat="0" applyProtection="0">
      <alignment horizontal="left" vertical="top" indent="1"/>
    </xf>
    <xf numFmtId="4" fontId="44" fillId="51" borderId="151" applyNumberFormat="0" applyProtection="0">
      <alignment horizontal="left" vertical="center" indent="1"/>
    </xf>
    <xf numFmtId="4" fontId="45" fillId="48" borderId="133" applyNumberFormat="0" applyProtection="0">
      <alignment horizontal="right" vertical="center"/>
    </xf>
    <xf numFmtId="0" fontId="27" fillId="0" borderId="139">
      <alignment horizontal="left" vertical="center"/>
    </xf>
    <xf numFmtId="0" fontId="41" fillId="29" borderId="150" applyNumberFormat="0" applyProtection="0">
      <alignment horizontal="left" vertical="top" indent="1"/>
    </xf>
    <xf numFmtId="0" fontId="32" fillId="42" borderId="142" applyNumberFormat="0" applyProtection="0">
      <alignment horizontal="left" vertical="top" indent="1"/>
    </xf>
    <xf numFmtId="0" fontId="32" fillId="52" borderId="116"/>
    <xf numFmtId="0" fontId="32" fillId="23" borderId="141" applyNumberFormat="0" applyFont="0" applyAlignment="0" applyProtection="0"/>
    <xf numFmtId="0" fontId="32" fillId="44" borderId="133" applyNumberFormat="0" applyProtection="0">
      <alignment horizontal="left" vertical="center" indent="1"/>
    </xf>
    <xf numFmtId="0" fontId="41" fillId="29" borderId="134" applyNumberFormat="0" applyProtection="0">
      <alignment horizontal="left" vertical="top" indent="1"/>
    </xf>
    <xf numFmtId="4" fontId="32" fillId="43" borderId="143" applyNumberFormat="0" applyProtection="0">
      <alignment horizontal="left" vertical="center" indent="1"/>
    </xf>
    <xf numFmtId="10" fontId="32" fillId="10" borderId="116" applyNumberFormat="0" applyBorder="0" applyAlignment="0" applyProtection="0"/>
    <xf numFmtId="10" fontId="32" fillId="10" borderId="148" applyNumberFormat="0" applyBorder="0" applyAlignment="0" applyProtection="0"/>
    <xf numFmtId="0" fontId="32" fillId="44" borderId="149" applyNumberFormat="0" applyProtection="0">
      <alignment horizontal="left" vertical="center" indent="1"/>
    </xf>
    <xf numFmtId="0" fontId="32" fillId="46" borderId="124" applyNumberFormat="0" applyProtection="0">
      <alignment horizontal="left" vertical="center" indent="1"/>
    </xf>
    <xf numFmtId="4" fontId="40" fillId="30" borderId="141" applyNumberFormat="0" applyProtection="0">
      <alignment vertical="center"/>
    </xf>
    <xf numFmtId="4" fontId="40" fillId="10" borderId="116" applyNumberFormat="0" applyProtection="0">
      <alignment vertical="center"/>
    </xf>
    <xf numFmtId="0" fontId="32" fillId="52" borderId="116"/>
    <xf numFmtId="4" fontId="32" fillId="39" borderId="149" applyNumberFormat="0" applyProtection="0">
      <alignment horizontal="right" vertical="center"/>
    </xf>
    <xf numFmtId="0" fontId="32" fillId="42" borderId="142" applyNumberFormat="0" applyProtection="0">
      <alignment horizontal="left" vertical="top" indent="1"/>
    </xf>
    <xf numFmtId="0" fontId="32" fillId="46" borderId="149" applyNumberFormat="0" applyProtection="0">
      <alignment horizontal="left" vertical="center" indent="1"/>
    </xf>
    <xf numFmtId="0" fontId="32" fillId="44" borderId="133" applyNumberFormat="0" applyProtection="0">
      <alignment horizontal="left" vertical="center" indent="1"/>
    </xf>
    <xf numFmtId="4" fontId="43" fillId="45" borderId="150" applyNumberFormat="0" applyProtection="0">
      <alignment horizontal="left" vertical="center" indent="1"/>
    </xf>
    <xf numFmtId="0" fontId="32" fillId="44" borderId="149" applyNumberFormat="0" applyProtection="0">
      <alignment horizontal="left" vertical="center" indent="1"/>
    </xf>
    <xf numFmtId="0" fontId="42" fillId="42" borderId="136" applyBorder="0"/>
    <xf numFmtId="0" fontId="43" fillId="43" borderId="142" applyNumberFormat="0" applyProtection="0">
      <alignment horizontal="left" vertical="top" indent="1"/>
    </xf>
    <xf numFmtId="4" fontId="32" fillId="43" borderId="141" applyNumberFormat="0" applyProtection="0">
      <alignment horizontal="right" vertical="center"/>
    </xf>
    <xf numFmtId="4" fontId="40" fillId="30" borderId="141" applyNumberFormat="0" applyProtection="0">
      <alignment vertical="center"/>
    </xf>
    <xf numFmtId="4" fontId="40" fillId="30" borderId="149" applyNumberFormat="0" applyProtection="0">
      <alignment vertical="center"/>
    </xf>
    <xf numFmtId="4" fontId="32" fillId="43" borderId="135" applyNumberFormat="0" applyProtection="0">
      <alignment horizontal="left" vertical="center" indent="1"/>
    </xf>
    <xf numFmtId="0" fontId="32" fillId="46" borderId="149" applyNumberFormat="0" applyProtection="0">
      <alignment horizontal="left" vertical="center" indent="1"/>
    </xf>
    <xf numFmtId="10" fontId="32" fillId="10" borderId="140" applyNumberFormat="0" applyBorder="0" applyAlignment="0" applyProtection="0"/>
    <xf numFmtId="4" fontId="32" fillId="31" borderId="141" applyNumberFormat="0" applyProtection="0">
      <alignment horizontal="left" vertical="center" indent="1"/>
    </xf>
    <xf numFmtId="0" fontId="32" fillId="45" borderId="149" applyNumberFormat="0" applyProtection="0">
      <alignment horizontal="left" vertical="center" indent="1"/>
    </xf>
    <xf numFmtId="0" fontId="32" fillId="44" borderId="142" applyNumberFormat="0" applyProtection="0">
      <alignment horizontal="left" vertical="top" indent="1"/>
    </xf>
    <xf numFmtId="4" fontId="32" fillId="31" borderId="141" applyNumberFormat="0" applyProtection="0">
      <alignment horizontal="left" vertical="center" indent="1"/>
    </xf>
    <xf numFmtId="4" fontId="32" fillId="44" borderId="143" applyNumberFormat="0" applyProtection="0">
      <alignment horizontal="left" vertical="center" indent="1"/>
    </xf>
    <xf numFmtId="4" fontId="40" fillId="30" borderId="133" applyNumberFormat="0" applyProtection="0">
      <alignment vertical="center"/>
    </xf>
    <xf numFmtId="0" fontId="32" fillId="52" borderId="116"/>
    <xf numFmtId="4" fontId="32" fillId="37" borderId="141" applyNumberFormat="0" applyProtection="0">
      <alignment horizontal="right" vertical="center"/>
    </xf>
    <xf numFmtId="4" fontId="32" fillId="34" borderId="151" applyNumberFormat="0" applyProtection="0">
      <alignment horizontal="right" vertical="center"/>
    </xf>
    <xf numFmtId="4" fontId="44" fillId="51" borderId="135" applyNumberFormat="0" applyProtection="0">
      <alignment horizontal="left" vertical="center" indent="1"/>
    </xf>
    <xf numFmtId="4" fontId="32" fillId="31" borderId="149" applyNumberFormat="0" applyProtection="0">
      <alignment horizontal="left" vertical="center" indent="1"/>
    </xf>
    <xf numFmtId="4" fontId="32" fillId="41" borderId="151" applyNumberFormat="0" applyProtection="0">
      <alignment horizontal="left" vertical="center" indent="1"/>
    </xf>
    <xf numFmtId="0" fontId="32" fillId="44" borderId="150" applyNumberFormat="0" applyProtection="0">
      <alignment horizontal="left" vertical="top" indent="1"/>
    </xf>
    <xf numFmtId="4" fontId="32" fillId="0" borderId="141" applyNumberFormat="0" applyProtection="0">
      <alignment horizontal="right" vertical="center"/>
    </xf>
    <xf numFmtId="4" fontId="32" fillId="0" borderId="141" applyNumberFormat="0" applyProtection="0">
      <alignment horizontal="right" vertical="center"/>
    </xf>
    <xf numFmtId="4" fontId="32" fillId="32" borderId="141" applyNumberFormat="0" applyProtection="0">
      <alignment horizontal="right" vertical="center"/>
    </xf>
    <xf numFmtId="0" fontId="32" fillId="43" borderId="150" applyNumberFormat="0" applyProtection="0">
      <alignment horizontal="left" vertical="top" indent="1"/>
    </xf>
    <xf numFmtId="4" fontId="40" fillId="10" borderId="156" applyNumberFormat="0" applyProtection="0">
      <alignment vertical="center"/>
    </xf>
    <xf numFmtId="4" fontId="32" fillId="35" borderId="141" applyNumberFormat="0" applyProtection="0">
      <alignment horizontal="right" vertical="center"/>
    </xf>
    <xf numFmtId="0" fontId="32" fillId="46" borderId="133" applyNumberFormat="0" applyProtection="0">
      <alignment horizontal="left" vertical="center" indent="1"/>
    </xf>
    <xf numFmtId="4" fontId="44" fillId="51" borderId="151" applyNumberFormat="0" applyProtection="0">
      <alignment horizontal="left" vertical="center" indent="1"/>
    </xf>
    <xf numFmtId="4" fontId="32" fillId="0" borderId="124" applyNumberFormat="0" applyProtection="0">
      <alignment horizontal="right" vertical="center"/>
    </xf>
    <xf numFmtId="4" fontId="32" fillId="40" borderId="133" applyNumberFormat="0" applyProtection="0">
      <alignment horizontal="right" vertical="center"/>
    </xf>
    <xf numFmtId="4" fontId="32" fillId="35" borderId="141" applyNumberFormat="0" applyProtection="0">
      <alignment horizontal="right" vertical="center"/>
    </xf>
    <xf numFmtId="4" fontId="32" fillId="37" borderId="149" applyNumberFormat="0" applyProtection="0">
      <alignment horizontal="right" vertical="center"/>
    </xf>
    <xf numFmtId="0" fontId="32" fillId="46" borderId="149" applyNumberFormat="0" applyProtection="0">
      <alignment horizontal="left" vertical="center" indent="1"/>
    </xf>
    <xf numFmtId="4" fontId="32" fillId="0" borderId="141" applyNumberFormat="0" applyProtection="0">
      <alignment horizontal="right" vertical="center"/>
    </xf>
    <xf numFmtId="4" fontId="32" fillId="0" borderId="149" applyNumberFormat="0" applyProtection="0">
      <alignment horizontal="right" vertical="center"/>
    </xf>
    <xf numFmtId="4" fontId="32" fillId="0" borderId="149" applyNumberFormat="0" applyProtection="0">
      <alignment horizontal="right" vertical="center"/>
    </xf>
    <xf numFmtId="0" fontId="56" fillId="58" borderId="138" applyNumberFormat="0" applyAlignment="0" applyProtection="0"/>
    <xf numFmtId="4" fontId="44" fillId="51" borderId="151" applyNumberFormat="0" applyProtection="0">
      <alignment horizontal="left" vertical="center" indent="1"/>
    </xf>
    <xf numFmtId="0" fontId="48" fillId="58" borderId="149" applyNumberFormat="0" applyAlignment="0" applyProtection="0"/>
    <xf numFmtId="4" fontId="32" fillId="35" borderId="141" applyNumberFormat="0" applyProtection="0">
      <alignment horizontal="right" vertical="center"/>
    </xf>
    <xf numFmtId="0" fontId="42" fillId="42" borderId="144" applyBorder="0"/>
    <xf numFmtId="4" fontId="32" fillId="32" borderId="149" applyNumberFormat="0" applyProtection="0">
      <alignment horizontal="right" vertical="center"/>
    </xf>
    <xf numFmtId="4" fontId="32" fillId="39" borderId="149" applyNumberFormat="0" applyProtection="0">
      <alignment horizontal="right" vertical="center"/>
    </xf>
    <xf numFmtId="4" fontId="32" fillId="37" borderId="149" applyNumberFormat="0" applyProtection="0">
      <alignment horizontal="right" vertical="center"/>
    </xf>
    <xf numFmtId="4" fontId="32" fillId="35" borderId="124" applyNumberFormat="0" applyProtection="0">
      <alignment horizontal="right" vertical="center"/>
    </xf>
    <xf numFmtId="0" fontId="41" fillId="29" borderId="150" applyNumberFormat="0" applyProtection="0">
      <alignment horizontal="left" vertical="top" indent="1"/>
    </xf>
    <xf numFmtId="4" fontId="32" fillId="0" borderId="149" applyNumberFormat="0" applyProtection="0">
      <alignment horizontal="right" vertical="center"/>
    </xf>
    <xf numFmtId="0" fontId="32" fillId="47" borderId="134" applyNumberFormat="0" applyProtection="0">
      <alignment horizontal="left" vertical="top" indent="1"/>
    </xf>
    <xf numFmtId="0" fontId="56" fillId="58" borderId="138" applyNumberFormat="0" applyAlignment="0" applyProtection="0"/>
    <xf numFmtId="0" fontId="32" fillId="44" borderId="141" applyNumberFormat="0" applyProtection="0">
      <alignment horizontal="left" vertical="center" indent="1"/>
    </xf>
    <xf numFmtId="4" fontId="32" fillId="36" borderId="133" applyNumberFormat="0" applyProtection="0">
      <alignment horizontal="right" vertical="center"/>
    </xf>
    <xf numFmtId="4" fontId="30" fillId="42" borderId="151" applyNumberFormat="0" applyProtection="0">
      <alignment horizontal="left" vertical="center" indent="1"/>
    </xf>
    <xf numFmtId="4" fontId="32" fillId="43" borderId="135" applyNumberFormat="0" applyProtection="0">
      <alignment horizontal="left" vertical="center" indent="1"/>
    </xf>
    <xf numFmtId="4" fontId="32" fillId="41" borderId="143" applyNumberFormat="0" applyProtection="0">
      <alignment horizontal="left" vertical="center" indent="1"/>
    </xf>
    <xf numFmtId="0" fontId="43" fillId="49" borderId="150" applyNumberFormat="0" applyProtection="0">
      <alignment horizontal="left" vertical="top" indent="1"/>
    </xf>
    <xf numFmtId="4" fontId="32" fillId="31" borderId="133" applyNumberFormat="0" applyProtection="0">
      <alignment horizontal="left" vertical="center" indent="1"/>
    </xf>
    <xf numFmtId="0" fontId="32" fillId="23" borderId="133" applyNumberFormat="0" applyFont="0" applyAlignment="0" applyProtection="0"/>
    <xf numFmtId="0" fontId="48" fillId="58" borderId="133" applyNumberFormat="0" applyAlignment="0" applyProtection="0"/>
    <xf numFmtId="4" fontId="32" fillId="29" borderId="149" applyNumberFormat="0" applyProtection="0">
      <alignment vertical="center"/>
    </xf>
    <xf numFmtId="4" fontId="32" fillId="43" borderId="133" applyNumberFormat="0" applyProtection="0">
      <alignment horizontal="right" vertical="center"/>
    </xf>
    <xf numFmtId="0" fontId="27" fillId="0" borderId="139">
      <alignment horizontal="left" vertical="center"/>
    </xf>
    <xf numFmtId="4" fontId="32" fillId="34" borderId="151" applyNumberFormat="0" applyProtection="0">
      <alignment horizontal="right" vertical="center"/>
    </xf>
    <xf numFmtId="0" fontId="32" fillId="47" borderId="150" applyNumberFormat="0" applyProtection="0">
      <alignment horizontal="left" vertical="top" indent="1"/>
    </xf>
    <xf numFmtId="4" fontId="32" fillId="31" borderId="149" applyNumberFormat="0" applyProtection="0">
      <alignment horizontal="left" vertical="center" indent="1"/>
    </xf>
    <xf numFmtId="0" fontId="32" fillId="47" borderId="142" applyNumberFormat="0" applyProtection="0">
      <alignment horizontal="left" vertical="top" indent="1"/>
    </xf>
    <xf numFmtId="4" fontId="40" fillId="30" borderId="133" applyNumberFormat="0" applyProtection="0">
      <alignment vertical="center"/>
    </xf>
    <xf numFmtId="4" fontId="45" fillId="48" borderId="141" applyNumberFormat="0" applyProtection="0">
      <alignment horizontal="right" vertical="center"/>
    </xf>
    <xf numFmtId="0" fontId="32" fillId="44" borderId="133" applyNumberFormat="0" applyProtection="0">
      <alignment horizontal="left" vertical="center" indent="1"/>
    </xf>
    <xf numFmtId="4" fontId="40" fillId="30" borderId="141" applyNumberFormat="0" applyProtection="0">
      <alignment vertical="center"/>
    </xf>
    <xf numFmtId="0" fontId="32" fillId="23" borderId="149" applyNumberFormat="0" applyFont="0" applyAlignment="0" applyProtection="0"/>
    <xf numFmtId="4" fontId="43" fillId="45" borderId="150" applyNumberFormat="0" applyProtection="0">
      <alignment horizontal="left" vertical="center" indent="1"/>
    </xf>
    <xf numFmtId="0" fontId="32" fillId="44" borderId="124" applyNumberFormat="0" applyProtection="0">
      <alignment horizontal="left" vertical="center" indent="1"/>
    </xf>
    <xf numFmtId="4" fontId="43" fillId="45" borderId="142" applyNumberFormat="0" applyProtection="0">
      <alignment horizontal="left" vertical="center" indent="1"/>
    </xf>
    <xf numFmtId="0" fontId="41" fillId="29" borderId="150" applyNumberFormat="0" applyProtection="0">
      <alignment horizontal="left" vertical="top" indent="1"/>
    </xf>
    <xf numFmtId="4" fontId="40" fillId="10" borderId="148" applyNumberFormat="0" applyProtection="0">
      <alignment vertical="center"/>
    </xf>
    <xf numFmtId="0" fontId="32" fillId="47" borderId="142" applyNumberFormat="0" applyProtection="0">
      <alignment horizontal="left" vertical="top" indent="1"/>
    </xf>
    <xf numFmtId="0" fontId="32" fillId="44" borderId="149" applyNumberFormat="0" applyProtection="0">
      <alignment horizontal="left" vertical="center" indent="1"/>
    </xf>
    <xf numFmtId="0" fontId="39" fillId="0" borderId="153" applyNumberFormat="0" applyFill="0" applyAlignment="0" applyProtection="0"/>
    <xf numFmtId="0" fontId="39" fillId="0" borderId="153" applyNumberFormat="0" applyFill="0" applyAlignment="0" applyProtection="0"/>
    <xf numFmtId="4" fontId="43" fillId="45" borderId="150" applyNumberFormat="0" applyProtection="0">
      <alignment horizontal="left" vertical="center" indent="1"/>
    </xf>
    <xf numFmtId="4" fontId="40" fillId="30" borderId="141" applyNumberFormat="0" applyProtection="0">
      <alignment vertical="center"/>
    </xf>
    <xf numFmtId="0" fontId="32" fillId="42" borderId="142" applyNumberFormat="0" applyProtection="0">
      <alignment horizontal="left" vertical="top" indent="1"/>
    </xf>
    <xf numFmtId="0" fontId="32" fillId="44" borderId="149" applyNumberFormat="0" applyProtection="0">
      <alignment horizontal="left" vertical="center" indent="1"/>
    </xf>
    <xf numFmtId="4" fontId="32" fillId="0" borderId="149" applyNumberFormat="0" applyProtection="0">
      <alignment horizontal="right" vertical="center"/>
    </xf>
    <xf numFmtId="4" fontId="32" fillId="32" borderId="149" applyNumberFormat="0" applyProtection="0">
      <alignment horizontal="right" vertical="center"/>
    </xf>
    <xf numFmtId="0" fontId="52" fillId="24" borderId="133" applyNumberFormat="0" applyAlignment="0" applyProtection="0"/>
    <xf numFmtId="4" fontId="32" fillId="43" borderId="135" applyNumberFormat="0" applyProtection="0">
      <alignment horizontal="left" vertical="center" indent="1"/>
    </xf>
    <xf numFmtId="4" fontId="40" fillId="30" borderId="124" applyNumberFormat="0" applyProtection="0">
      <alignment vertical="center"/>
    </xf>
    <xf numFmtId="0" fontId="32" fillId="44" borderId="149" applyNumberFormat="0" applyProtection="0">
      <alignment horizontal="left" vertical="center" indent="1"/>
    </xf>
    <xf numFmtId="4" fontId="40" fillId="50" borderId="141" applyNumberFormat="0" applyProtection="0">
      <alignment horizontal="right" vertical="center"/>
    </xf>
    <xf numFmtId="4" fontId="32" fillId="41" borderId="143" applyNumberFormat="0" applyProtection="0">
      <alignment horizontal="left" vertical="center" indent="1"/>
    </xf>
    <xf numFmtId="0" fontId="32" fillId="47" borderId="133" applyNumberFormat="0" applyProtection="0">
      <alignment horizontal="left" vertical="center" indent="1"/>
    </xf>
    <xf numFmtId="4" fontId="40" fillId="10" borderId="140" applyNumberFormat="0" applyProtection="0">
      <alignment vertical="center"/>
    </xf>
    <xf numFmtId="0" fontId="48" fillId="58" borderId="133" applyNumberFormat="0" applyAlignment="0" applyProtection="0"/>
    <xf numFmtId="0" fontId="52" fillId="24" borderId="141" applyNumberFormat="0" applyAlignment="0" applyProtection="0"/>
    <xf numFmtId="0" fontId="42" fillId="42" borderId="144" applyBorder="0"/>
    <xf numFmtId="0" fontId="27" fillId="0" borderId="155">
      <alignment horizontal="left" vertical="center"/>
    </xf>
    <xf numFmtId="4" fontId="32" fillId="38" borderId="141" applyNumberFormat="0" applyProtection="0">
      <alignment horizontal="right" vertical="center"/>
    </xf>
    <xf numFmtId="4" fontId="32" fillId="31" borderId="141" applyNumberFormat="0" applyProtection="0">
      <alignment horizontal="left" vertical="center" indent="1"/>
    </xf>
    <xf numFmtId="4" fontId="32" fillId="40" borderId="149" applyNumberFormat="0" applyProtection="0">
      <alignment horizontal="right" vertical="center"/>
    </xf>
    <xf numFmtId="0" fontId="48" fillId="58" borderId="149" applyNumberFormat="0" applyAlignment="0" applyProtection="0"/>
    <xf numFmtId="10" fontId="32" fillId="10" borderId="116" applyNumberFormat="0" applyBorder="0" applyAlignment="0" applyProtection="0"/>
    <xf numFmtId="4" fontId="44" fillId="51" borderId="151" applyNumberFormat="0" applyProtection="0">
      <alignment horizontal="left" vertical="center" indent="1"/>
    </xf>
    <xf numFmtId="4" fontId="32" fillId="44" borderId="151" applyNumberFormat="0" applyProtection="0">
      <alignment horizontal="left" vertical="center" indent="1"/>
    </xf>
    <xf numFmtId="4" fontId="32" fillId="38" borderId="141" applyNumberFormat="0" applyProtection="0">
      <alignment horizontal="right" vertical="center"/>
    </xf>
    <xf numFmtId="0" fontId="43" fillId="43" borderId="142" applyNumberFormat="0" applyProtection="0">
      <alignment horizontal="left" vertical="top" indent="1"/>
    </xf>
    <xf numFmtId="4" fontId="32" fillId="36" borderId="141" applyNumberFormat="0" applyProtection="0">
      <alignment horizontal="right" vertical="center"/>
    </xf>
    <xf numFmtId="4" fontId="32" fillId="40" borderId="149" applyNumberFormat="0" applyProtection="0">
      <alignment horizontal="right" vertical="center"/>
    </xf>
    <xf numFmtId="4" fontId="32" fillId="29" borderId="141" applyNumberFormat="0" applyProtection="0">
      <alignment vertical="center"/>
    </xf>
    <xf numFmtId="0" fontId="32" fillId="44" borderId="149" applyNumberFormat="0" applyProtection="0">
      <alignment horizontal="left" vertical="center" indent="1"/>
    </xf>
    <xf numFmtId="4" fontId="32" fillId="39" borderId="141" applyNumberFormat="0" applyProtection="0">
      <alignment horizontal="right" vertical="center"/>
    </xf>
    <xf numFmtId="0" fontId="39" fillId="0" borderId="153" applyNumberFormat="0" applyFill="0" applyAlignment="0" applyProtection="0"/>
    <xf numFmtId="0" fontId="43" fillId="43" borderId="125" applyNumberFormat="0" applyProtection="0">
      <alignment horizontal="left" vertical="top" indent="1"/>
    </xf>
    <xf numFmtId="4" fontId="32" fillId="41" borderId="151" applyNumberFormat="0" applyProtection="0">
      <alignment horizontal="left" vertical="center" indent="1"/>
    </xf>
    <xf numFmtId="0" fontId="43" fillId="43" borderId="142" applyNumberFormat="0" applyProtection="0">
      <alignment horizontal="left" vertical="top" indent="1"/>
    </xf>
    <xf numFmtId="4" fontId="44" fillId="51" borderId="151" applyNumberFormat="0" applyProtection="0">
      <alignment horizontal="left" vertical="center" indent="1"/>
    </xf>
    <xf numFmtId="4" fontId="32" fillId="38" borderId="149" applyNumberFormat="0" applyProtection="0">
      <alignment horizontal="right" vertical="center"/>
    </xf>
    <xf numFmtId="0" fontId="27" fillId="0" borderId="139">
      <alignment horizontal="left" vertical="center"/>
    </xf>
    <xf numFmtId="0" fontId="39" fillId="0" borderId="153" applyNumberFormat="0" applyFill="0" applyAlignment="0" applyProtection="0"/>
    <xf numFmtId="4" fontId="32" fillId="36" borderId="149" applyNumberFormat="0" applyProtection="0">
      <alignment horizontal="right" vertical="center"/>
    </xf>
    <xf numFmtId="4" fontId="32" fillId="39" borderId="141" applyNumberFormat="0" applyProtection="0">
      <alignment horizontal="right" vertical="center"/>
    </xf>
    <xf numFmtId="0" fontId="32" fillId="46" borderId="149" applyNumberFormat="0" applyProtection="0">
      <alignment horizontal="left" vertical="center" indent="1"/>
    </xf>
    <xf numFmtId="0" fontId="43" fillId="49" borderId="142" applyNumberFormat="0" applyProtection="0">
      <alignment horizontal="left" vertical="top" indent="1"/>
    </xf>
    <xf numFmtId="4" fontId="30" fillId="42" borderId="135" applyNumberFormat="0" applyProtection="0">
      <alignment horizontal="left" vertical="center" indent="1"/>
    </xf>
    <xf numFmtId="0" fontId="39" fillId="0" borderId="137" applyNumberFormat="0" applyFill="0" applyAlignment="0" applyProtection="0"/>
    <xf numFmtId="4" fontId="32" fillId="35" borderId="141" applyNumberFormat="0" applyProtection="0">
      <alignment horizontal="right" vertical="center"/>
    </xf>
    <xf numFmtId="4" fontId="30" fillId="42" borderId="151" applyNumberFormat="0" applyProtection="0">
      <alignment horizontal="left" vertical="center" indent="1"/>
    </xf>
    <xf numFmtId="4" fontId="32" fillId="43" borderId="151" applyNumberFormat="0" applyProtection="0">
      <alignment horizontal="left" vertical="center" indent="1"/>
    </xf>
    <xf numFmtId="4" fontId="32" fillId="39" borderId="124" applyNumberFormat="0" applyProtection="0">
      <alignment horizontal="right" vertical="center"/>
    </xf>
    <xf numFmtId="4" fontId="32" fillId="29" borderId="133" applyNumberFormat="0" applyProtection="0">
      <alignment vertical="center"/>
    </xf>
    <xf numFmtId="0" fontId="43" fillId="43" borderId="150" applyNumberFormat="0" applyProtection="0">
      <alignment horizontal="left" vertical="top" indent="1"/>
    </xf>
    <xf numFmtId="4" fontId="32" fillId="30" borderId="133" applyNumberFormat="0" applyProtection="0">
      <alignment horizontal="left" vertical="center" indent="1"/>
    </xf>
    <xf numFmtId="0" fontId="48" fillId="58" borderId="149" applyNumberFormat="0" applyAlignment="0" applyProtection="0"/>
    <xf numFmtId="0" fontId="32" fillId="52" borderId="140"/>
    <xf numFmtId="4" fontId="30" fillId="42" borderId="135" applyNumberFormat="0" applyProtection="0">
      <alignment horizontal="left" vertical="center" indent="1"/>
    </xf>
    <xf numFmtId="4" fontId="40" fillId="50" borderId="141" applyNumberFormat="0" applyProtection="0">
      <alignment horizontal="right" vertical="center"/>
    </xf>
    <xf numFmtId="4" fontId="32" fillId="36" borderId="133" applyNumberFormat="0" applyProtection="0">
      <alignment horizontal="right" vertical="center"/>
    </xf>
    <xf numFmtId="0" fontId="32" fillId="44" borderId="134" applyNumberFormat="0" applyProtection="0">
      <alignment horizontal="left" vertical="top" indent="1"/>
    </xf>
    <xf numFmtId="4" fontId="32" fillId="34" borderId="135" applyNumberFormat="0" applyProtection="0">
      <alignment horizontal="right" vertical="center"/>
    </xf>
    <xf numFmtId="0" fontId="39" fillId="0" borderId="137" applyNumberFormat="0" applyFill="0" applyAlignment="0" applyProtection="0"/>
    <xf numFmtId="4" fontId="32" fillId="0" borderId="133" applyNumberFormat="0" applyProtection="0">
      <alignment horizontal="right" vertical="center"/>
    </xf>
    <xf numFmtId="0" fontId="32" fillId="23" borderId="133" applyNumberFormat="0" applyFont="0" applyAlignment="0" applyProtection="0"/>
    <xf numFmtId="0" fontId="52" fillId="24" borderId="133" applyNumberFormat="0" applyAlignment="0" applyProtection="0"/>
    <xf numFmtId="4" fontId="32" fillId="29" borderId="133" applyNumberFormat="0" applyProtection="0">
      <alignment vertical="center"/>
    </xf>
    <xf numFmtId="4" fontId="32" fillId="38" borderId="133" applyNumberFormat="0" applyProtection="0">
      <alignment horizontal="right" vertical="center"/>
    </xf>
    <xf numFmtId="0" fontId="43" fillId="49" borderId="134" applyNumberFormat="0" applyProtection="0">
      <alignment horizontal="left" vertical="top" indent="1"/>
    </xf>
    <xf numFmtId="0" fontId="32" fillId="44" borderId="133" applyNumberFormat="0" applyProtection="0">
      <alignment horizontal="left" vertical="center" indent="1"/>
    </xf>
    <xf numFmtId="4" fontId="30" fillId="42" borderId="135" applyNumberFormat="0" applyProtection="0">
      <alignment horizontal="left" vertical="center" indent="1"/>
    </xf>
    <xf numFmtId="4" fontId="32" fillId="36" borderId="133" applyNumberFormat="0" applyProtection="0">
      <alignment horizontal="right" vertical="center"/>
    </xf>
    <xf numFmtId="0" fontId="32" fillId="52" borderId="116"/>
    <xf numFmtId="4" fontId="32" fillId="33" borderId="133" applyNumberFormat="0" applyProtection="0">
      <alignment horizontal="right" vertical="center"/>
    </xf>
    <xf numFmtId="0" fontId="27" fillId="0" borderId="139">
      <alignment horizontal="left" vertical="center"/>
    </xf>
    <xf numFmtId="0" fontId="32" fillId="47" borderId="133" applyNumberFormat="0" applyProtection="0">
      <alignment horizontal="left" vertical="center" indent="1"/>
    </xf>
    <xf numFmtId="4" fontId="44" fillId="51" borderId="135" applyNumberFormat="0" applyProtection="0">
      <alignment horizontal="left" vertical="center" indent="1"/>
    </xf>
    <xf numFmtId="4" fontId="32" fillId="43" borderId="135" applyNumberFormat="0" applyProtection="0">
      <alignment horizontal="left" vertical="center" indent="1"/>
    </xf>
    <xf numFmtId="4" fontId="32" fillId="32" borderId="133" applyNumberFormat="0" applyProtection="0">
      <alignment horizontal="right" vertical="center"/>
    </xf>
    <xf numFmtId="10" fontId="32" fillId="10" borderId="116" applyNumberFormat="0" applyBorder="0" applyAlignment="0" applyProtection="0"/>
    <xf numFmtId="4" fontId="32" fillId="29" borderId="133" applyNumberFormat="0" applyProtection="0">
      <alignment vertical="center"/>
    </xf>
    <xf numFmtId="4" fontId="40" fillId="30" borderId="133" applyNumberFormat="0" applyProtection="0">
      <alignment vertical="center"/>
    </xf>
    <xf numFmtId="4" fontId="32" fillId="30" borderId="133" applyNumberFormat="0" applyProtection="0">
      <alignment horizontal="left" vertical="center" indent="1"/>
    </xf>
    <xf numFmtId="0" fontId="41" fillId="29" borderId="134" applyNumberFormat="0" applyProtection="0">
      <alignment horizontal="left" vertical="top" indent="1"/>
    </xf>
    <xf numFmtId="4" fontId="32" fillId="31" borderId="133" applyNumberFormat="0" applyProtection="0">
      <alignment horizontal="left" vertical="center" indent="1"/>
    </xf>
    <xf numFmtId="4" fontId="32" fillId="32" borderId="133" applyNumberFormat="0" applyProtection="0">
      <alignment horizontal="right" vertical="center"/>
    </xf>
    <xf numFmtId="4" fontId="32" fillId="33" borderId="133" applyNumberFormat="0" applyProtection="0">
      <alignment horizontal="right" vertical="center"/>
    </xf>
    <xf numFmtId="4" fontId="32" fillId="34" borderId="135" applyNumberFormat="0" applyProtection="0">
      <alignment horizontal="right" vertical="center"/>
    </xf>
    <xf numFmtId="4" fontId="32" fillId="35" borderId="133" applyNumberFormat="0" applyProtection="0">
      <alignment horizontal="right" vertical="center"/>
    </xf>
    <xf numFmtId="4" fontId="32" fillId="36" borderId="133" applyNumberFormat="0" applyProtection="0">
      <alignment horizontal="right" vertical="center"/>
    </xf>
    <xf numFmtId="4" fontId="32" fillId="37" borderId="133" applyNumberFormat="0" applyProtection="0">
      <alignment horizontal="right" vertical="center"/>
    </xf>
    <xf numFmtId="4" fontId="32" fillId="38" borderId="133" applyNumberFormat="0" applyProtection="0">
      <alignment horizontal="right" vertical="center"/>
    </xf>
    <xf numFmtId="4" fontId="32" fillId="39" borderId="133" applyNumberFormat="0" applyProtection="0">
      <alignment horizontal="right" vertical="center"/>
    </xf>
    <xf numFmtId="4" fontId="32" fillId="40" borderId="133" applyNumberFormat="0" applyProtection="0">
      <alignment horizontal="right" vertical="center"/>
    </xf>
    <xf numFmtId="4" fontId="32" fillId="41" borderId="135" applyNumberFormat="0" applyProtection="0">
      <alignment horizontal="left" vertical="center" indent="1"/>
    </xf>
    <xf numFmtId="4" fontId="30" fillId="42" borderId="135" applyNumberFormat="0" applyProtection="0">
      <alignment horizontal="left" vertical="center" indent="1"/>
    </xf>
    <xf numFmtId="4" fontId="30" fillId="42" borderId="135" applyNumberFormat="0" applyProtection="0">
      <alignment horizontal="left" vertical="center" indent="1"/>
    </xf>
    <xf numFmtId="4" fontId="32" fillId="43" borderId="133" applyNumberFormat="0" applyProtection="0">
      <alignment horizontal="right" vertical="center"/>
    </xf>
    <xf numFmtId="4" fontId="32" fillId="44" borderId="135" applyNumberFormat="0" applyProtection="0">
      <alignment horizontal="left" vertical="center" indent="1"/>
    </xf>
    <xf numFmtId="4" fontId="32" fillId="43" borderId="135" applyNumberFormat="0" applyProtection="0">
      <alignment horizontal="left" vertical="center" indent="1"/>
    </xf>
    <xf numFmtId="0" fontId="32" fillId="45" borderId="133" applyNumberFormat="0" applyProtection="0">
      <alignment horizontal="left" vertical="center" indent="1"/>
    </xf>
    <xf numFmtId="0" fontId="32" fillId="42" borderId="134" applyNumberFormat="0" applyProtection="0">
      <alignment horizontal="left" vertical="top" indent="1"/>
    </xf>
    <xf numFmtId="0" fontId="32" fillId="46" borderId="133" applyNumberFormat="0" applyProtection="0">
      <alignment horizontal="left" vertical="center" indent="1"/>
    </xf>
    <xf numFmtId="0" fontId="32" fillId="43" borderId="134" applyNumberFormat="0" applyProtection="0">
      <alignment horizontal="left" vertical="top" indent="1"/>
    </xf>
    <xf numFmtId="0" fontId="32" fillId="47" borderId="133" applyNumberFormat="0" applyProtection="0">
      <alignment horizontal="left" vertical="center" indent="1"/>
    </xf>
    <xf numFmtId="0" fontId="32" fillId="47" borderId="134" applyNumberFormat="0" applyProtection="0">
      <alignment horizontal="left" vertical="top" indent="1"/>
    </xf>
    <xf numFmtId="0" fontId="32" fillId="44" borderId="133" applyNumberFormat="0" applyProtection="0">
      <alignment horizontal="left" vertical="center" indent="1"/>
    </xf>
    <xf numFmtId="0" fontId="32" fillId="44" borderId="134" applyNumberFormat="0" applyProtection="0">
      <alignment horizontal="left" vertical="top" indent="1"/>
    </xf>
    <xf numFmtId="0" fontId="42" fillId="42" borderId="136" applyBorder="0"/>
    <xf numFmtId="4" fontId="43" fillId="49" borderId="134" applyNumberFormat="0" applyProtection="0">
      <alignment vertical="center"/>
    </xf>
    <xf numFmtId="4" fontId="43" fillId="45" borderId="134" applyNumberFormat="0" applyProtection="0">
      <alignment horizontal="left" vertical="center" indent="1"/>
    </xf>
    <xf numFmtId="0" fontId="43" fillId="49" borderId="134" applyNumberFormat="0" applyProtection="0">
      <alignment horizontal="left" vertical="top" indent="1"/>
    </xf>
    <xf numFmtId="4" fontId="32" fillId="0" borderId="133" applyNumberFormat="0" applyProtection="0">
      <alignment horizontal="right" vertical="center"/>
    </xf>
    <xf numFmtId="4" fontId="32" fillId="0" borderId="133" applyNumberFormat="0" applyProtection="0">
      <alignment horizontal="right" vertical="center"/>
    </xf>
    <xf numFmtId="4" fontId="40" fillId="50" borderId="133" applyNumberFormat="0" applyProtection="0">
      <alignment horizontal="right" vertical="center"/>
    </xf>
    <xf numFmtId="4" fontId="32" fillId="31" borderId="133" applyNumberFormat="0" applyProtection="0">
      <alignment horizontal="left" vertical="center" indent="1"/>
    </xf>
    <xf numFmtId="0" fontId="43" fillId="43" borderId="134" applyNumberFormat="0" applyProtection="0">
      <alignment horizontal="left" vertical="top" indent="1"/>
    </xf>
    <xf numFmtId="4" fontId="44" fillId="51" borderId="135" applyNumberFormat="0" applyProtection="0">
      <alignment horizontal="left" vertical="center" indent="1"/>
    </xf>
    <xf numFmtId="4" fontId="45" fillId="48" borderId="133" applyNumberFormat="0" applyProtection="0">
      <alignment horizontal="right" vertical="center"/>
    </xf>
    <xf numFmtId="0" fontId="48" fillId="58" borderId="133" applyNumberFormat="0" applyAlignment="0" applyProtection="0"/>
    <xf numFmtId="0" fontId="32" fillId="23" borderId="133" applyNumberFormat="0" applyFont="0" applyAlignment="0" applyProtection="0"/>
    <xf numFmtId="0" fontId="39" fillId="0" borderId="137" applyNumberFormat="0" applyFill="0" applyAlignment="0" applyProtection="0"/>
    <xf numFmtId="0" fontId="52" fillId="24" borderId="133" applyNumberFormat="0" applyAlignment="0" applyProtection="0"/>
    <xf numFmtId="0" fontId="56" fillId="58" borderId="138" applyNumberFormat="0" applyAlignment="0" applyProtection="0"/>
    <xf numFmtId="4" fontId="32" fillId="31" borderId="133" applyNumberFormat="0" applyProtection="0">
      <alignment horizontal="left" vertical="center" indent="1"/>
    </xf>
    <xf numFmtId="0" fontId="32" fillId="45" borderId="133" applyNumberFormat="0" applyProtection="0">
      <alignment horizontal="left" vertical="center" indent="1"/>
    </xf>
    <xf numFmtId="4" fontId="43" fillId="49" borderId="134" applyNumberFormat="0" applyProtection="0">
      <alignment vertical="center"/>
    </xf>
    <xf numFmtId="4" fontId="32" fillId="40" borderId="133" applyNumberFormat="0" applyProtection="0">
      <alignment horizontal="right" vertical="center"/>
    </xf>
    <xf numFmtId="4" fontId="40" fillId="50" borderId="133" applyNumberFormat="0" applyProtection="0">
      <alignment horizontal="right" vertical="center"/>
    </xf>
    <xf numFmtId="0" fontId="42" fillId="42" borderId="136" applyBorder="0"/>
    <xf numFmtId="10" fontId="32" fillId="10" borderId="148" applyNumberFormat="0" applyBorder="0" applyAlignment="0" applyProtection="0"/>
    <xf numFmtId="0" fontId="52" fillId="24" borderId="141" applyNumberFormat="0" applyAlignment="0" applyProtection="0"/>
    <xf numFmtId="4" fontId="32" fillId="38" borderId="133" applyNumberFormat="0" applyProtection="0">
      <alignment horizontal="right" vertical="center"/>
    </xf>
    <xf numFmtId="0" fontId="56" fillId="58" borderId="138" applyNumberFormat="0" applyAlignment="0" applyProtection="0"/>
    <xf numFmtId="0" fontId="27" fillId="0" borderId="139">
      <alignment horizontal="left" vertical="center"/>
    </xf>
    <xf numFmtId="0" fontId="48" fillId="58" borderId="133" applyNumberFormat="0" applyAlignment="0" applyProtection="0"/>
    <xf numFmtId="0" fontId="32" fillId="43" borderId="134" applyNumberFormat="0" applyProtection="0">
      <alignment horizontal="left" vertical="top" indent="1"/>
    </xf>
    <xf numFmtId="0" fontId="42" fillId="42" borderId="136" applyBorder="0"/>
    <xf numFmtId="4" fontId="32" fillId="31" borderId="133" applyNumberFormat="0" applyProtection="0">
      <alignment horizontal="left" vertical="center" indent="1"/>
    </xf>
    <xf numFmtId="4" fontId="32" fillId="30" borderId="133" applyNumberFormat="0" applyProtection="0">
      <alignment horizontal="left" vertical="center" indent="1"/>
    </xf>
    <xf numFmtId="0" fontId="32" fillId="42" borderId="134" applyNumberFormat="0" applyProtection="0">
      <alignment horizontal="left" vertical="top" indent="1"/>
    </xf>
    <xf numFmtId="4" fontId="32" fillId="0" borderId="133" applyNumberFormat="0" applyProtection="0">
      <alignment horizontal="right" vertical="center"/>
    </xf>
    <xf numFmtId="4" fontId="32" fillId="37" borderId="133" applyNumberFormat="0" applyProtection="0">
      <alignment horizontal="right" vertical="center"/>
    </xf>
    <xf numFmtId="4" fontId="45" fillId="48" borderId="133" applyNumberFormat="0" applyProtection="0">
      <alignment horizontal="right" vertical="center"/>
    </xf>
    <xf numFmtId="4" fontId="40" fillId="30" borderId="133" applyNumberFormat="0" applyProtection="0">
      <alignment vertical="center"/>
    </xf>
    <xf numFmtId="4" fontId="32" fillId="39" borderId="133" applyNumberFormat="0" applyProtection="0">
      <alignment horizontal="right" vertical="center"/>
    </xf>
    <xf numFmtId="4" fontId="30" fillId="42" borderId="135" applyNumberFormat="0" applyProtection="0">
      <alignment horizontal="left" vertical="center" indent="1"/>
    </xf>
    <xf numFmtId="0" fontId="32" fillId="47" borderId="134" applyNumberFormat="0" applyProtection="0">
      <alignment horizontal="left" vertical="top" indent="1"/>
    </xf>
    <xf numFmtId="4" fontId="43" fillId="45" borderId="134" applyNumberFormat="0" applyProtection="0">
      <alignment horizontal="left" vertical="center" indent="1"/>
    </xf>
    <xf numFmtId="4" fontId="40" fillId="10" borderId="116" applyNumberFormat="0" applyProtection="0">
      <alignment vertical="center"/>
    </xf>
    <xf numFmtId="0" fontId="43" fillId="43" borderId="134" applyNumberFormat="0" applyProtection="0">
      <alignment horizontal="left" vertical="top" indent="1"/>
    </xf>
    <xf numFmtId="4" fontId="32" fillId="44" borderId="135" applyNumberFormat="0" applyProtection="0">
      <alignment horizontal="left" vertical="center" indent="1"/>
    </xf>
    <xf numFmtId="4" fontId="32" fillId="43" borderId="133" applyNumberFormat="0" applyProtection="0">
      <alignment horizontal="right" vertical="center"/>
    </xf>
    <xf numFmtId="0" fontId="27" fillId="0" borderId="139">
      <alignment horizontal="left" vertical="center"/>
    </xf>
    <xf numFmtId="0" fontId="41" fillId="29" borderId="134" applyNumberFormat="0" applyProtection="0">
      <alignment horizontal="left" vertical="top" indent="1"/>
    </xf>
    <xf numFmtId="4" fontId="32" fillId="35" borderId="133" applyNumberFormat="0" applyProtection="0">
      <alignment horizontal="right" vertical="center"/>
    </xf>
    <xf numFmtId="0" fontId="32" fillId="46" borderId="133" applyNumberFormat="0" applyProtection="0">
      <alignment horizontal="left" vertical="center" indent="1"/>
    </xf>
    <xf numFmtId="4" fontId="32" fillId="41" borderId="135" applyNumberFormat="0" applyProtection="0">
      <alignment horizontal="left" vertical="center" indent="1"/>
    </xf>
    <xf numFmtId="4" fontId="40" fillId="50" borderId="149" applyNumberFormat="0" applyProtection="0">
      <alignment horizontal="right" vertical="center"/>
    </xf>
    <xf numFmtId="0" fontId="32" fillId="47" borderId="142" applyNumberFormat="0" applyProtection="0">
      <alignment horizontal="left" vertical="top" indent="1"/>
    </xf>
    <xf numFmtId="4" fontId="32" fillId="29" borderId="141" applyNumberFormat="0" applyProtection="0">
      <alignment vertical="center"/>
    </xf>
    <xf numFmtId="0" fontId="52" fillId="24" borderId="141" applyNumberFormat="0" applyAlignment="0" applyProtection="0"/>
    <xf numFmtId="4" fontId="30" fillId="42" borderId="151" applyNumberFormat="0" applyProtection="0">
      <alignment horizontal="left" vertical="center" indent="1"/>
    </xf>
    <xf numFmtId="0" fontId="27" fillId="0" borderId="155">
      <alignment horizontal="left" vertical="center"/>
    </xf>
    <xf numFmtId="4" fontId="30" fillId="42" borderId="143" applyNumberFormat="0" applyProtection="0">
      <alignment horizontal="left" vertical="center" indent="1"/>
    </xf>
    <xf numFmtId="4" fontId="32" fillId="33" borderId="133" applyNumberFormat="0" applyProtection="0">
      <alignment horizontal="right" vertical="center"/>
    </xf>
    <xf numFmtId="4" fontId="32" fillId="29" borderId="149" applyNumberFormat="0" applyProtection="0">
      <alignment vertical="center"/>
    </xf>
    <xf numFmtId="4" fontId="32" fillId="38" borderId="149" applyNumberFormat="0" applyProtection="0">
      <alignment horizontal="right" vertical="center"/>
    </xf>
    <xf numFmtId="0" fontId="52" fillId="24" borderId="133" applyNumberFormat="0" applyAlignment="0" applyProtection="0"/>
    <xf numFmtId="4" fontId="32" fillId="31" borderId="141" applyNumberFormat="0" applyProtection="0">
      <alignment horizontal="left" vertical="center" indent="1"/>
    </xf>
    <xf numFmtId="4" fontId="32" fillId="29" borderId="133" applyNumberFormat="0" applyProtection="0">
      <alignment vertical="center"/>
    </xf>
    <xf numFmtId="0" fontId="27" fillId="0" borderId="139">
      <alignment horizontal="left" vertical="center"/>
    </xf>
    <xf numFmtId="4" fontId="32" fillId="0" borderId="141" applyNumberFormat="0" applyProtection="0">
      <alignment horizontal="right" vertical="center"/>
    </xf>
    <xf numFmtId="4" fontId="32" fillId="33" borderId="141" applyNumberFormat="0" applyProtection="0">
      <alignment horizontal="right" vertical="center"/>
    </xf>
    <xf numFmtId="4" fontId="32" fillId="36" borderId="141" applyNumberFormat="0" applyProtection="0">
      <alignment horizontal="right" vertical="center"/>
    </xf>
    <xf numFmtId="4" fontId="45" fillId="48" borderId="133" applyNumberFormat="0" applyProtection="0">
      <alignment horizontal="right" vertical="center"/>
    </xf>
    <xf numFmtId="4" fontId="32" fillId="0" borderId="133" applyNumberFormat="0" applyProtection="0">
      <alignment horizontal="right" vertical="center"/>
    </xf>
    <xf numFmtId="0" fontId="32" fillId="46" borderId="141" applyNumberFormat="0" applyProtection="0">
      <alignment horizontal="left" vertical="center" indent="1"/>
    </xf>
    <xf numFmtId="4" fontId="32" fillId="38" borderId="133" applyNumberFormat="0" applyProtection="0">
      <alignment horizontal="right" vertical="center"/>
    </xf>
    <xf numFmtId="4" fontId="32" fillId="41" borderId="135" applyNumberFormat="0" applyProtection="0">
      <alignment horizontal="left" vertical="center" indent="1"/>
    </xf>
    <xf numFmtId="4" fontId="32" fillId="0" borderId="141" applyNumberFormat="0" applyProtection="0">
      <alignment horizontal="right" vertical="center"/>
    </xf>
    <xf numFmtId="4" fontId="40" fillId="50" borderId="133" applyNumberFormat="0" applyProtection="0">
      <alignment horizontal="right" vertical="center"/>
    </xf>
    <xf numFmtId="0" fontId="32" fillId="23" borderId="133" applyNumberFormat="0" applyFont="0" applyAlignment="0" applyProtection="0"/>
    <xf numFmtId="0" fontId="43" fillId="43" borderId="150" applyNumberFormat="0" applyProtection="0">
      <alignment horizontal="left" vertical="top" indent="1"/>
    </xf>
    <xf numFmtId="0" fontId="39" fillId="0" borderId="153" applyNumberFormat="0" applyFill="0" applyAlignment="0" applyProtection="0"/>
    <xf numFmtId="4" fontId="45" fillId="48" borderId="133" applyNumberFormat="0" applyProtection="0">
      <alignment horizontal="right" vertical="center"/>
    </xf>
    <xf numFmtId="4" fontId="32" fillId="36" borderId="141" applyNumberFormat="0" applyProtection="0">
      <alignment horizontal="right" vertical="center"/>
    </xf>
    <xf numFmtId="4" fontId="43" fillId="49" borderId="142" applyNumberFormat="0" applyProtection="0">
      <alignment vertical="center"/>
    </xf>
    <xf numFmtId="4" fontId="32" fillId="40" borderId="133" applyNumberFormat="0" applyProtection="0">
      <alignment horizontal="right" vertical="center"/>
    </xf>
    <xf numFmtId="4" fontId="32" fillId="36" borderId="133" applyNumberFormat="0" applyProtection="0">
      <alignment horizontal="right" vertical="center"/>
    </xf>
    <xf numFmtId="4" fontId="32" fillId="0" borderId="133" applyNumberFormat="0" applyProtection="0">
      <alignment horizontal="right" vertical="center"/>
    </xf>
    <xf numFmtId="4" fontId="32" fillId="41" borderId="151" applyNumberFormat="0" applyProtection="0">
      <alignment horizontal="left" vertical="center" indent="1"/>
    </xf>
    <xf numFmtId="0" fontId="56" fillId="58" borderId="154" applyNumberFormat="0" applyAlignment="0" applyProtection="0"/>
    <xf numFmtId="4" fontId="40" fillId="50" borderId="149" applyNumberFormat="0" applyProtection="0">
      <alignment horizontal="right" vertical="center"/>
    </xf>
    <xf numFmtId="4" fontId="32" fillId="37" borderId="149" applyNumberFormat="0" applyProtection="0">
      <alignment horizontal="right" vertical="center"/>
    </xf>
    <xf numFmtId="4" fontId="32" fillId="29" borderId="149" applyNumberFormat="0" applyProtection="0">
      <alignment vertical="center"/>
    </xf>
    <xf numFmtId="4" fontId="32" fillId="35" borderId="149" applyNumberFormat="0" applyProtection="0">
      <alignment horizontal="right" vertical="center"/>
    </xf>
    <xf numFmtId="4" fontId="40" fillId="30" borderId="133" applyNumberFormat="0" applyProtection="0">
      <alignment vertical="center"/>
    </xf>
    <xf numFmtId="4" fontId="32" fillId="38" borderId="149" applyNumberFormat="0" applyProtection="0">
      <alignment horizontal="right" vertical="center"/>
    </xf>
    <xf numFmtId="0" fontId="27" fillId="0" borderId="155">
      <alignment horizontal="left" vertical="center"/>
    </xf>
    <xf numFmtId="4" fontId="32" fillId="35" borderId="133" applyNumberFormat="0" applyProtection="0">
      <alignment horizontal="right" vertical="center"/>
    </xf>
    <xf numFmtId="0" fontId="32" fillId="44" borderId="141" applyNumberFormat="0" applyProtection="0">
      <alignment horizontal="left" vertical="center" indent="1"/>
    </xf>
    <xf numFmtId="4" fontId="32" fillId="30" borderId="141" applyNumberFormat="0" applyProtection="0">
      <alignment horizontal="left" vertical="center" indent="1"/>
    </xf>
    <xf numFmtId="0" fontId="43" fillId="49" borderId="134" applyNumberFormat="0" applyProtection="0">
      <alignment horizontal="left" vertical="top" indent="1"/>
    </xf>
    <xf numFmtId="0" fontId="32" fillId="44" borderId="134" applyNumberFormat="0" applyProtection="0">
      <alignment horizontal="left" vertical="top" indent="1"/>
    </xf>
    <xf numFmtId="4" fontId="40" fillId="10" borderId="148" applyNumberFormat="0" applyProtection="0">
      <alignment vertical="center"/>
    </xf>
    <xf numFmtId="4" fontId="32" fillId="31" borderId="133" applyNumberFormat="0" applyProtection="0">
      <alignment horizontal="left" vertical="center" indent="1"/>
    </xf>
    <xf numFmtId="0" fontId="43" fillId="43" borderId="134" applyNumberFormat="0" applyProtection="0">
      <alignment horizontal="left" vertical="top" indent="1"/>
    </xf>
    <xf numFmtId="0" fontId="32" fillId="44" borderId="141" applyNumberFormat="0" applyProtection="0">
      <alignment horizontal="left" vertical="center" indent="1"/>
    </xf>
    <xf numFmtId="0" fontId="32" fillId="44" borderId="134" applyNumberFormat="0" applyProtection="0">
      <alignment horizontal="left" vertical="top" indent="1"/>
    </xf>
    <xf numFmtId="4" fontId="40" fillId="10" borderId="156" applyNumberFormat="0" applyProtection="0">
      <alignment vertical="center"/>
    </xf>
    <xf numFmtId="4" fontId="40" fillId="50" borderId="149" applyNumberFormat="0" applyProtection="0">
      <alignment horizontal="right" vertical="center"/>
    </xf>
    <xf numFmtId="0" fontId="43" fillId="49" borderId="134" applyNumberFormat="0" applyProtection="0">
      <alignment horizontal="left" vertical="top" indent="1"/>
    </xf>
    <xf numFmtId="4" fontId="32" fillId="30" borderId="141" applyNumberFormat="0" applyProtection="0">
      <alignment horizontal="left" vertical="center" indent="1"/>
    </xf>
    <xf numFmtId="0" fontId="32" fillId="46" borderId="141" applyNumberFormat="0" applyProtection="0">
      <alignment horizontal="left" vertical="center" indent="1"/>
    </xf>
    <xf numFmtId="4" fontId="32" fillId="33" borderId="133" applyNumberFormat="0" applyProtection="0">
      <alignment horizontal="right" vertical="center"/>
    </xf>
    <xf numFmtId="4" fontId="32" fillId="30" borderId="133" applyNumberFormat="0" applyProtection="0">
      <alignment horizontal="left" vertical="center" indent="1"/>
    </xf>
    <xf numFmtId="0" fontId="32" fillId="44" borderId="134" applyNumberFormat="0" applyProtection="0">
      <alignment horizontal="left" vertical="top" indent="1"/>
    </xf>
    <xf numFmtId="0" fontId="43" fillId="43" borderId="150" applyNumberFormat="0" applyProtection="0">
      <alignment horizontal="left" vertical="top" indent="1"/>
    </xf>
    <xf numFmtId="0" fontId="32" fillId="44" borderId="150" applyNumberFormat="0" applyProtection="0">
      <alignment horizontal="left" vertical="top" indent="1"/>
    </xf>
    <xf numFmtId="0" fontId="41" fillId="29" borderId="150" applyNumberFormat="0" applyProtection="0">
      <alignment horizontal="left" vertical="top" indent="1"/>
    </xf>
    <xf numFmtId="4" fontId="32" fillId="43" borderId="151" applyNumberFormat="0" applyProtection="0">
      <alignment horizontal="left" vertical="center" indent="1"/>
    </xf>
    <xf numFmtId="4" fontId="32" fillId="41" borderId="135" applyNumberFormat="0" applyProtection="0">
      <alignment horizontal="left" vertical="center" indent="1"/>
    </xf>
    <xf numFmtId="0" fontId="32" fillId="46" borderId="149" applyNumberFormat="0" applyProtection="0">
      <alignment horizontal="left" vertical="center" indent="1"/>
    </xf>
    <xf numFmtId="4" fontId="32" fillId="43" borderId="135" applyNumberFormat="0" applyProtection="0">
      <alignment horizontal="left" vertical="center" indent="1"/>
    </xf>
    <xf numFmtId="0" fontId="43" fillId="49" borderId="142" applyNumberFormat="0" applyProtection="0">
      <alignment horizontal="left" vertical="top" indent="1"/>
    </xf>
    <xf numFmtId="4" fontId="44" fillId="51" borderId="143" applyNumberFormat="0" applyProtection="0">
      <alignment horizontal="left" vertical="center" indent="1"/>
    </xf>
    <xf numFmtId="4" fontId="32" fillId="37" borderId="141" applyNumberFormat="0" applyProtection="0">
      <alignment horizontal="right" vertical="center"/>
    </xf>
    <xf numFmtId="4" fontId="32" fillId="40" borderId="141" applyNumberFormat="0" applyProtection="0">
      <alignment horizontal="right" vertical="center"/>
    </xf>
    <xf numFmtId="4" fontId="40" fillId="10" borderId="116" applyNumberFormat="0" applyProtection="0">
      <alignment vertical="center"/>
    </xf>
    <xf numFmtId="0" fontId="52" fillId="24" borderId="133" applyNumberFormat="0" applyAlignment="0" applyProtection="0"/>
    <xf numFmtId="4" fontId="44" fillId="51" borderId="135" applyNumberFormat="0" applyProtection="0">
      <alignment horizontal="left" vertical="center" indent="1"/>
    </xf>
    <xf numFmtId="4" fontId="30" fillId="42" borderId="135" applyNumberFormat="0" applyProtection="0">
      <alignment horizontal="left" vertical="center" indent="1"/>
    </xf>
    <xf numFmtId="4" fontId="44" fillId="51" borderId="143" applyNumberFormat="0" applyProtection="0">
      <alignment horizontal="left" vertical="center" indent="1"/>
    </xf>
    <xf numFmtId="4" fontId="45" fillId="48" borderId="133" applyNumberFormat="0" applyProtection="0">
      <alignment horizontal="right" vertical="center"/>
    </xf>
    <xf numFmtId="0" fontId="43" fillId="49" borderId="134" applyNumberFormat="0" applyProtection="0">
      <alignment horizontal="left" vertical="top" indent="1"/>
    </xf>
    <xf numFmtId="0" fontId="52" fillId="24" borderId="133" applyNumberFormat="0" applyAlignment="0" applyProtection="0"/>
    <xf numFmtId="4" fontId="32" fillId="40" borderId="141" applyNumberFormat="0" applyProtection="0">
      <alignment horizontal="right" vertical="center"/>
    </xf>
    <xf numFmtId="4" fontId="32" fillId="0" borderId="141" applyNumberFormat="0" applyProtection="0">
      <alignment horizontal="right" vertical="center"/>
    </xf>
    <xf numFmtId="4" fontId="32" fillId="43" borderId="133" applyNumberFormat="0" applyProtection="0">
      <alignment horizontal="right" vertical="center"/>
    </xf>
    <xf numFmtId="4" fontId="32" fillId="40" borderId="133" applyNumberFormat="0" applyProtection="0">
      <alignment horizontal="right" vertical="center"/>
    </xf>
    <xf numFmtId="4" fontId="44" fillId="51" borderId="135" applyNumberFormat="0" applyProtection="0">
      <alignment horizontal="left" vertical="center" indent="1"/>
    </xf>
    <xf numFmtId="4" fontId="40" fillId="10" borderId="156" applyNumberFormat="0" applyProtection="0">
      <alignment vertical="center"/>
    </xf>
    <xf numFmtId="0" fontId="48" fillId="58" borderId="141" applyNumberFormat="0" applyAlignment="0" applyProtection="0"/>
    <xf numFmtId="0" fontId="32" fillId="43" borderId="134" applyNumberFormat="0" applyProtection="0">
      <alignment horizontal="left" vertical="top" indent="1"/>
    </xf>
    <xf numFmtId="0" fontId="42" fillId="42" borderId="152" applyBorder="0"/>
    <xf numFmtId="4" fontId="45" fillId="48" borderId="149" applyNumberFormat="0" applyProtection="0">
      <alignment horizontal="right" vertical="center"/>
    </xf>
    <xf numFmtId="4" fontId="32" fillId="41" borderId="151" applyNumberFormat="0" applyProtection="0">
      <alignment horizontal="left" vertical="center" indent="1"/>
    </xf>
    <xf numFmtId="4" fontId="30" fillId="42" borderId="151" applyNumberFormat="0" applyProtection="0">
      <alignment horizontal="left" vertical="center" indent="1"/>
    </xf>
    <xf numFmtId="0" fontId="32" fillId="44" borderId="150" applyNumberFormat="0" applyProtection="0">
      <alignment horizontal="left" vertical="top" indent="1"/>
    </xf>
    <xf numFmtId="4" fontId="32" fillId="34" borderId="151" applyNumberFormat="0" applyProtection="0">
      <alignment horizontal="right" vertical="center"/>
    </xf>
    <xf numFmtId="0" fontId="39" fillId="0" borderId="153" applyNumberFormat="0" applyFill="0" applyAlignment="0" applyProtection="0"/>
    <xf numFmtId="4" fontId="32" fillId="0" borderId="149" applyNumberFormat="0" applyProtection="0">
      <alignment horizontal="right" vertical="center"/>
    </xf>
    <xf numFmtId="0" fontId="32" fillId="23" borderId="149" applyNumberFormat="0" applyFont="0" applyAlignment="0" applyProtection="0"/>
    <xf numFmtId="0" fontId="52" fillId="24" borderId="149" applyNumberFormat="0" applyAlignment="0" applyProtection="0"/>
    <xf numFmtId="4" fontId="32" fillId="29" borderId="149" applyNumberFormat="0" applyProtection="0">
      <alignment vertical="center"/>
    </xf>
    <xf numFmtId="4" fontId="32" fillId="38" borderId="149" applyNumberFormat="0" applyProtection="0">
      <alignment horizontal="right" vertical="center"/>
    </xf>
    <xf numFmtId="0" fontId="43" fillId="49" borderId="150" applyNumberFormat="0" applyProtection="0">
      <alignment horizontal="left" vertical="top" indent="1"/>
    </xf>
    <xf numFmtId="0" fontId="32" fillId="44" borderId="149" applyNumberFormat="0" applyProtection="0">
      <alignment horizontal="left" vertical="center" indent="1"/>
    </xf>
    <xf numFmtId="4" fontId="30" fillId="42" borderId="151" applyNumberFormat="0" applyProtection="0">
      <alignment horizontal="left" vertical="center" indent="1"/>
    </xf>
    <xf numFmtId="4" fontId="32" fillId="36" borderId="149" applyNumberFormat="0" applyProtection="0">
      <alignment horizontal="right" vertical="center"/>
    </xf>
    <xf numFmtId="0" fontId="32" fillId="52" borderId="148"/>
    <xf numFmtId="4" fontId="32" fillId="33" borderId="149" applyNumberFormat="0" applyProtection="0">
      <alignment horizontal="right" vertical="center"/>
    </xf>
    <xf numFmtId="0" fontId="27" fillId="0" borderId="155">
      <alignment horizontal="left" vertical="center"/>
    </xf>
    <xf numFmtId="0" fontId="32" fillId="47" borderId="149" applyNumberFormat="0" applyProtection="0">
      <alignment horizontal="left" vertical="center" indent="1"/>
    </xf>
    <xf numFmtId="4" fontId="44" fillId="51" borderId="151" applyNumberFormat="0" applyProtection="0">
      <alignment horizontal="left" vertical="center" indent="1"/>
    </xf>
    <xf numFmtId="4" fontId="32" fillId="43" borderId="151" applyNumberFormat="0" applyProtection="0">
      <alignment horizontal="left" vertical="center" indent="1"/>
    </xf>
    <xf numFmtId="4" fontId="32" fillId="32" borderId="149" applyNumberFormat="0" applyProtection="0">
      <alignment horizontal="right" vertical="center"/>
    </xf>
    <xf numFmtId="10" fontId="32" fillId="10" borderId="148" applyNumberFormat="0" applyBorder="0" applyAlignment="0" applyProtection="0"/>
    <xf numFmtId="4" fontId="32" fillId="29" borderId="149" applyNumberFormat="0" applyProtection="0">
      <alignment vertical="center"/>
    </xf>
    <xf numFmtId="4" fontId="40" fillId="30" borderId="149" applyNumberFormat="0" applyProtection="0">
      <alignment vertical="center"/>
    </xf>
    <xf numFmtId="4" fontId="32" fillId="30" borderId="149" applyNumberFormat="0" applyProtection="0">
      <alignment horizontal="left" vertical="center" indent="1"/>
    </xf>
    <xf numFmtId="0" fontId="41" fillId="29" borderId="150" applyNumberFormat="0" applyProtection="0">
      <alignment horizontal="left" vertical="top" indent="1"/>
    </xf>
    <xf numFmtId="4" fontId="32" fillId="31" borderId="149" applyNumberFormat="0" applyProtection="0">
      <alignment horizontal="left" vertical="center" indent="1"/>
    </xf>
    <xf numFmtId="4" fontId="32" fillId="32" borderId="149" applyNumberFormat="0" applyProtection="0">
      <alignment horizontal="right" vertical="center"/>
    </xf>
    <xf numFmtId="4" fontId="32" fillId="33" borderId="149" applyNumberFormat="0" applyProtection="0">
      <alignment horizontal="right" vertical="center"/>
    </xf>
    <xf numFmtId="4" fontId="32" fillId="34" borderId="151" applyNumberFormat="0" applyProtection="0">
      <alignment horizontal="right" vertical="center"/>
    </xf>
    <xf numFmtId="4" fontId="32" fillId="35" borderId="149" applyNumberFormat="0" applyProtection="0">
      <alignment horizontal="right" vertical="center"/>
    </xf>
    <xf numFmtId="4" fontId="32" fillId="36" borderId="149" applyNumberFormat="0" applyProtection="0">
      <alignment horizontal="right" vertical="center"/>
    </xf>
    <xf numFmtId="4" fontId="32" fillId="37" borderId="149" applyNumberFormat="0" applyProtection="0">
      <alignment horizontal="right" vertical="center"/>
    </xf>
    <xf numFmtId="4" fontId="32" fillId="38" borderId="149" applyNumberFormat="0" applyProtection="0">
      <alignment horizontal="right" vertical="center"/>
    </xf>
    <xf numFmtId="4" fontId="32" fillId="39" borderId="149" applyNumberFormat="0" applyProtection="0">
      <alignment horizontal="right" vertical="center"/>
    </xf>
    <xf numFmtId="4" fontId="32" fillId="40" borderId="149" applyNumberFormat="0" applyProtection="0">
      <alignment horizontal="right" vertical="center"/>
    </xf>
    <xf numFmtId="4" fontId="32" fillId="41" borderId="151" applyNumberFormat="0" applyProtection="0">
      <alignment horizontal="left" vertical="center" indent="1"/>
    </xf>
    <xf numFmtId="4" fontId="30" fillId="42" borderId="151" applyNumberFormat="0" applyProtection="0">
      <alignment horizontal="left" vertical="center" indent="1"/>
    </xf>
    <xf numFmtId="4" fontId="30" fillId="42" borderId="151" applyNumberFormat="0" applyProtection="0">
      <alignment horizontal="left" vertical="center" indent="1"/>
    </xf>
    <xf numFmtId="4" fontId="32" fillId="43" borderId="149" applyNumberFormat="0" applyProtection="0">
      <alignment horizontal="right" vertical="center"/>
    </xf>
    <xf numFmtId="4" fontId="32" fillId="44" borderId="151" applyNumberFormat="0" applyProtection="0">
      <alignment horizontal="left" vertical="center" indent="1"/>
    </xf>
    <xf numFmtId="4" fontId="32" fillId="43" borderId="151" applyNumberFormat="0" applyProtection="0">
      <alignment horizontal="left" vertical="center" indent="1"/>
    </xf>
    <xf numFmtId="0" fontId="32" fillId="45" borderId="149" applyNumberFormat="0" applyProtection="0">
      <alignment horizontal="left" vertical="center" indent="1"/>
    </xf>
    <xf numFmtId="0" fontId="32" fillId="42" borderId="150" applyNumberFormat="0" applyProtection="0">
      <alignment horizontal="left" vertical="top" indent="1"/>
    </xf>
    <xf numFmtId="0" fontId="32" fillId="46" borderId="149" applyNumberFormat="0" applyProtection="0">
      <alignment horizontal="left" vertical="center" indent="1"/>
    </xf>
    <xf numFmtId="0" fontId="32" fillId="43" borderId="150" applyNumberFormat="0" applyProtection="0">
      <alignment horizontal="left" vertical="top" indent="1"/>
    </xf>
    <xf numFmtId="0" fontId="32" fillId="47" borderId="149" applyNumberFormat="0" applyProtection="0">
      <alignment horizontal="left" vertical="center" indent="1"/>
    </xf>
    <xf numFmtId="0" fontId="32" fillId="47" borderId="150" applyNumberFormat="0" applyProtection="0">
      <alignment horizontal="left" vertical="top" indent="1"/>
    </xf>
    <xf numFmtId="0" fontId="32" fillId="44" borderId="149" applyNumberFormat="0" applyProtection="0">
      <alignment horizontal="left" vertical="center" indent="1"/>
    </xf>
    <xf numFmtId="0" fontId="32" fillId="44" borderId="150" applyNumberFormat="0" applyProtection="0">
      <alignment horizontal="left" vertical="top" indent="1"/>
    </xf>
    <xf numFmtId="0" fontId="42" fillId="42" borderId="152" applyBorder="0"/>
    <xf numFmtId="4" fontId="43" fillId="49" borderId="150" applyNumberFormat="0" applyProtection="0">
      <alignment vertical="center"/>
    </xf>
    <xf numFmtId="4" fontId="43" fillId="45" borderId="150" applyNumberFormat="0" applyProtection="0">
      <alignment horizontal="left" vertical="center" indent="1"/>
    </xf>
    <xf numFmtId="0" fontId="43" fillId="49" borderId="150" applyNumberFormat="0" applyProtection="0">
      <alignment horizontal="left" vertical="top" indent="1"/>
    </xf>
    <xf numFmtId="4" fontId="32" fillId="0" borderId="149" applyNumberFormat="0" applyProtection="0">
      <alignment horizontal="right" vertical="center"/>
    </xf>
    <xf numFmtId="4" fontId="32" fillId="0" borderId="149" applyNumberFormat="0" applyProtection="0">
      <alignment horizontal="right" vertical="center"/>
    </xf>
    <xf numFmtId="4" fontId="40" fillId="50" borderId="149" applyNumberFormat="0" applyProtection="0">
      <alignment horizontal="right" vertical="center"/>
    </xf>
    <xf numFmtId="4" fontId="32" fillId="31" borderId="149" applyNumberFormat="0" applyProtection="0">
      <alignment horizontal="left" vertical="center" indent="1"/>
    </xf>
    <xf numFmtId="0" fontId="43" fillId="43" borderId="150" applyNumberFormat="0" applyProtection="0">
      <alignment horizontal="left" vertical="top" indent="1"/>
    </xf>
    <xf numFmtId="4" fontId="44" fillId="51" borderId="151" applyNumberFormat="0" applyProtection="0">
      <alignment horizontal="left" vertical="center" indent="1"/>
    </xf>
    <xf numFmtId="4" fontId="45" fillId="48" borderId="149" applyNumberFormat="0" applyProtection="0">
      <alignment horizontal="right" vertical="center"/>
    </xf>
    <xf numFmtId="0" fontId="48" fillId="58" borderId="149" applyNumberFormat="0" applyAlignment="0" applyProtection="0"/>
    <xf numFmtId="0" fontId="32" fillId="23" borderId="149" applyNumberFormat="0" applyFont="0" applyAlignment="0" applyProtection="0"/>
    <xf numFmtId="0" fontId="39" fillId="0" borderId="153" applyNumberFormat="0" applyFill="0" applyAlignment="0" applyProtection="0"/>
    <xf numFmtId="0" fontId="52" fillId="24" borderId="149" applyNumberFormat="0" applyAlignment="0" applyProtection="0"/>
    <xf numFmtId="0" fontId="56" fillId="58" borderId="154" applyNumberFormat="0" applyAlignment="0" applyProtection="0"/>
    <xf numFmtId="4" fontId="32" fillId="31" borderId="149" applyNumberFormat="0" applyProtection="0">
      <alignment horizontal="left" vertical="center" indent="1"/>
    </xf>
    <xf numFmtId="0" fontId="32" fillId="45" borderId="149" applyNumberFormat="0" applyProtection="0">
      <alignment horizontal="left" vertical="center" indent="1"/>
    </xf>
    <xf numFmtId="4" fontId="43" fillId="49" borderId="150" applyNumberFormat="0" applyProtection="0">
      <alignment vertical="center"/>
    </xf>
    <xf numFmtId="4" fontId="32" fillId="40" borderId="149" applyNumberFormat="0" applyProtection="0">
      <alignment horizontal="right" vertical="center"/>
    </xf>
    <xf numFmtId="4" fontId="40" fillId="50" borderId="149" applyNumberFormat="0" applyProtection="0">
      <alignment horizontal="right" vertical="center"/>
    </xf>
    <xf numFmtId="10" fontId="32" fillId="10" borderId="148" applyNumberFormat="0" applyBorder="0" applyAlignment="0" applyProtection="0"/>
    <xf numFmtId="0" fontId="56" fillId="58" borderId="154" applyNumberFormat="0" applyAlignment="0" applyProtection="0"/>
    <xf numFmtId="0" fontId="27" fillId="0" borderId="155">
      <alignment horizontal="left" vertical="center"/>
    </xf>
    <xf numFmtId="0" fontId="48" fillId="58" borderId="149" applyNumberFormat="0" applyAlignment="0" applyProtection="0"/>
    <xf numFmtId="0" fontId="32" fillId="43" borderId="150" applyNumberFormat="0" applyProtection="0">
      <alignment horizontal="left" vertical="top" indent="1"/>
    </xf>
    <xf numFmtId="0" fontId="42" fillId="42" borderId="152" applyBorder="0"/>
    <xf numFmtId="4" fontId="32" fillId="31" borderId="149" applyNumberFormat="0" applyProtection="0">
      <alignment horizontal="left" vertical="center" indent="1"/>
    </xf>
    <xf numFmtId="4" fontId="32" fillId="30" borderId="149" applyNumberFormat="0" applyProtection="0">
      <alignment horizontal="left" vertical="center" indent="1"/>
    </xf>
    <xf numFmtId="0" fontId="32" fillId="42" borderId="150" applyNumberFormat="0" applyProtection="0">
      <alignment horizontal="left" vertical="top" indent="1"/>
    </xf>
    <xf numFmtId="4" fontId="32" fillId="0" borderId="149" applyNumberFormat="0" applyProtection="0">
      <alignment horizontal="right" vertical="center"/>
    </xf>
    <xf numFmtId="4" fontId="32" fillId="37" borderId="149" applyNumberFormat="0" applyProtection="0">
      <alignment horizontal="right" vertical="center"/>
    </xf>
    <xf numFmtId="4" fontId="45" fillId="48" borderId="149" applyNumberFormat="0" applyProtection="0">
      <alignment horizontal="right" vertical="center"/>
    </xf>
    <xf numFmtId="4" fontId="40" fillId="30" borderId="149" applyNumberFormat="0" applyProtection="0">
      <alignment vertical="center"/>
    </xf>
    <xf numFmtId="4" fontId="32" fillId="39" borderId="149" applyNumberFormat="0" applyProtection="0">
      <alignment horizontal="right" vertical="center"/>
    </xf>
    <xf numFmtId="4" fontId="30" fillId="42" borderId="151" applyNumberFormat="0" applyProtection="0">
      <alignment horizontal="left" vertical="center" indent="1"/>
    </xf>
    <xf numFmtId="0" fontId="32" fillId="47" borderId="150" applyNumberFormat="0" applyProtection="0">
      <alignment horizontal="left" vertical="top" indent="1"/>
    </xf>
    <xf numFmtId="4" fontId="43" fillId="45" borderId="150" applyNumberFormat="0" applyProtection="0">
      <alignment horizontal="left" vertical="center" indent="1"/>
    </xf>
    <xf numFmtId="4" fontId="40" fillId="10" borderId="148" applyNumberFormat="0" applyProtection="0">
      <alignment vertical="center"/>
    </xf>
    <xf numFmtId="0" fontId="43" fillId="43" borderId="150" applyNumberFormat="0" applyProtection="0">
      <alignment horizontal="left" vertical="top" indent="1"/>
    </xf>
    <xf numFmtId="4" fontId="32" fillId="44" borderId="151" applyNumberFormat="0" applyProtection="0">
      <alignment horizontal="left" vertical="center" indent="1"/>
    </xf>
    <xf numFmtId="4" fontId="32" fillId="43" borderId="149" applyNumberFormat="0" applyProtection="0">
      <alignment horizontal="right" vertical="center"/>
    </xf>
    <xf numFmtId="0" fontId="27" fillId="0" borderId="155">
      <alignment horizontal="left" vertical="center"/>
    </xf>
    <xf numFmtId="0" fontId="41" fillId="29" borderId="150" applyNumberFormat="0" applyProtection="0">
      <alignment horizontal="left" vertical="top" indent="1"/>
    </xf>
    <xf numFmtId="4" fontId="32" fillId="35" borderId="149" applyNumberFormat="0" applyProtection="0">
      <alignment horizontal="right" vertical="center"/>
    </xf>
    <xf numFmtId="0" fontId="32" fillId="46" borderId="149" applyNumberFormat="0" applyProtection="0">
      <alignment horizontal="left" vertical="center" indent="1"/>
    </xf>
    <xf numFmtId="4" fontId="32" fillId="41" borderId="151" applyNumberFormat="0" applyProtection="0">
      <alignment horizontal="left" vertical="center" indent="1"/>
    </xf>
    <xf numFmtId="0" fontId="56" fillId="58" borderId="146" applyNumberFormat="0" applyAlignment="0" applyProtection="0"/>
    <xf numFmtId="4" fontId="32" fillId="39" borderId="133" applyNumberFormat="0" applyProtection="0">
      <alignment horizontal="right" vertical="center"/>
    </xf>
    <xf numFmtId="4" fontId="32" fillId="32" borderId="149" applyNumberFormat="0" applyProtection="0">
      <alignment horizontal="right" vertical="center"/>
    </xf>
    <xf numFmtId="4" fontId="32" fillId="31" borderId="149" applyNumberFormat="0" applyProtection="0">
      <alignment horizontal="left" vertical="center" indent="1"/>
    </xf>
    <xf numFmtId="0" fontId="41" fillId="29" borderId="150" applyNumberFormat="0" applyProtection="0">
      <alignment horizontal="left" vertical="top" indent="1"/>
    </xf>
    <xf numFmtId="0" fontId="27" fillId="0" borderId="139">
      <alignment horizontal="left" vertical="center"/>
    </xf>
    <xf numFmtId="0" fontId="32" fillId="44" borderId="134" applyNumberFormat="0" applyProtection="0">
      <alignment horizontal="left" vertical="top" indent="1"/>
    </xf>
    <xf numFmtId="4" fontId="32" fillId="34" borderId="135" applyNumberFormat="0" applyProtection="0">
      <alignment horizontal="right" vertical="center"/>
    </xf>
    <xf numFmtId="0" fontId="39" fillId="0" borderId="137" applyNumberFormat="0" applyFill="0" applyAlignment="0" applyProtection="0"/>
    <xf numFmtId="4" fontId="32" fillId="0" borderId="133" applyNumberFormat="0" applyProtection="0">
      <alignment horizontal="right" vertical="center"/>
    </xf>
    <xf numFmtId="0" fontId="32" fillId="23" borderId="133" applyNumberFormat="0" applyFont="0" applyAlignment="0" applyProtection="0"/>
    <xf numFmtId="0" fontId="52" fillId="24" borderId="133" applyNumberFormat="0" applyAlignment="0" applyProtection="0"/>
    <xf numFmtId="4" fontId="32" fillId="29" borderId="133" applyNumberFormat="0" applyProtection="0">
      <alignment vertical="center"/>
    </xf>
    <xf numFmtId="4" fontId="32" fillId="38" borderId="133" applyNumberFormat="0" applyProtection="0">
      <alignment horizontal="right" vertical="center"/>
    </xf>
    <xf numFmtId="0" fontId="43" fillId="49" borderId="134" applyNumberFormat="0" applyProtection="0">
      <alignment horizontal="left" vertical="top" indent="1"/>
    </xf>
    <xf numFmtId="0" fontId="32" fillId="44" borderId="133" applyNumberFormat="0" applyProtection="0">
      <alignment horizontal="left" vertical="center" indent="1"/>
    </xf>
    <xf numFmtId="4" fontId="30" fillId="42" borderId="135" applyNumberFormat="0" applyProtection="0">
      <alignment horizontal="left" vertical="center" indent="1"/>
    </xf>
    <xf numFmtId="4" fontId="32" fillId="36" borderId="133" applyNumberFormat="0" applyProtection="0">
      <alignment horizontal="right" vertical="center"/>
    </xf>
    <xf numFmtId="0" fontId="32" fillId="52" borderId="116"/>
    <xf numFmtId="4" fontId="32" fillId="33" borderId="133" applyNumberFormat="0" applyProtection="0">
      <alignment horizontal="right" vertical="center"/>
    </xf>
    <xf numFmtId="0" fontId="27" fillId="0" borderId="139">
      <alignment horizontal="left" vertical="center"/>
    </xf>
    <xf numFmtId="0" fontId="32" fillId="47" borderId="133" applyNumberFormat="0" applyProtection="0">
      <alignment horizontal="left" vertical="center" indent="1"/>
    </xf>
    <xf numFmtId="4" fontId="44" fillId="51" borderId="135" applyNumberFormat="0" applyProtection="0">
      <alignment horizontal="left" vertical="center" indent="1"/>
    </xf>
    <xf numFmtId="4" fontId="32" fillId="43" borderId="135" applyNumberFormat="0" applyProtection="0">
      <alignment horizontal="left" vertical="center" indent="1"/>
    </xf>
    <xf numFmtId="4" fontId="32" fillId="32" borderId="133" applyNumberFormat="0" applyProtection="0">
      <alignment horizontal="right" vertical="center"/>
    </xf>
    <xf numFmtId="10" fontId="32" fillId="10" borderId="116" applyNumberFormat="0" applyBorder="0" applyAlignment="0" applyProtection="0"/>
    <xf numFmtId="4" fontId="32" fillId="29" borderId="133" applyNumberFormat="0" applyProtection="0">
      <alignment vertical="center"/>
    </xf>
    <xf numFmtId="4" fontId="40" fillId="30" borderId="133" applyNumberFormat="0" applyProtection="0">
      <alignment vertical="center"/>
    </xf>
    <xf numFmtId="4" fontId="32" fillId="30" borderId="133" applyNumberFormat="0" applyProtection="0">
      <alignment horizontal="left" vertical="center" indent="1"/>
    </xf>
    <xf numFmtId="0" fontId="41" fillId="29" borderId="134" applyNumberFormat="0" applyProtection="0">
      <alignment horizontal="left" vertical="top" indent="1"/>
    </xf>
    <xf numFmtId="4" fontId="32" fillId="31" borderId="133" applyNumberFormat="0" applyProtection="0">
      <alignment horizontal="left" vertical="center" indent="1"/>
    </xf>
    <xf numFmtId="4" fontId="32" fillId="32" borderId="133" applyNumberFormat="0" applyProtection="0">
      <alignment horizontal="right" vertical="center"/>
    </xf>
    <xf numFmtId="4" fontId="32" fillId="33" borderId="133" applyNumberFormat="0" applyProtection="0">
      <alignment horizontal="right" vertical="center"/>
    </xf>
    <xf numFmtId="4" fontId="32" fillId="34" borderId="135" applyNumberFormat="0" applyProtection="0">
      <alignment horizontal="right" vertical="center"/>
    </xf>
    <xf numFmtId="4" fontId="32" fillId="35" borderId="133" applyNumberFormat="0" applyProtection="0">
      <alignment horizontal="right" vertical="center"/>
    </xf>
    <xf numFmtId="4" fontId="32" fillId="36" borderId="133" applyNumberFormat="0" applyProtection="0">
      <alignment horizontal="right" vertical="center"/>
    </xf>
    <xf numFmtId="4" fontId="32" fillId="37" borderId="133" applyNumberFormat="0" applyProtection="0">
      <alignment horizontal="right" vertical="center"/>
    </xf>
    <xf numFmtId="4" fontId="32" fillId="38" borderId="133" applyNumberFormat="0" applyProtection="0">
      <alignment horizontal="right" vertical="center"/>
    </xf>
    <xf numFmtId="4" fontId="32" fillId="39" borderId="133" applyNumberFormat="0" applyProtection="0">
      <alignment horizontal="right" vertical="center"/>
    </xf>
    <xf numFmtId="4" fontId="32" fillId="40" borderId="133" applyNumberFormat="0" applyProtection="0">
      <alignment horizontal="right" vertical="center"/>
    </xf>
    <xf numFmtId="4" fontId="32" fillId="41" borderId="135" applyNumberFormat="0" applyProtection="0">
      <alignment horizontal="left" vertical="center" indent="1"/>
    </xf>
    <xf numFmtId="4" fontId="30" fillId="42" borderId="135" applyNumberFormat="0" applyProtection="0">
      <alignment horizontal="left" vertical="center" indent="1"/>
    </xf>
    <xf numFmtId="4" fontId="30" fillId="42" borderId="135" applyNumberFormat="0" applyProtection="0">
      <alignment horizontal="left" vertical="center" indent="1"/>
    </xf>
    <xf numFmtId="4" fontId="32" fillId="43" borderId="133" applyNumberFormat="0" applyProtection="0">
      <alignment horizontal="right" vertical="center"/>
    </xf>
    <xf numFmtId="4" fontId="32" fillId="44" borderId="135" applyNumberFormat="0" applyProtection="0">
      <alignment horizontal="left" vertical="center" indent="1"/>
    </xf>
    <xf numFmtId="4" fontId="32" fillId="43" borderId="135" applyNumberFormat="0" applyProtection="0">
      <alignment horizontal="left" vertical="center" indent="1"/>
    </xf>
    <xf numFmtId="0" fontId="32" fillId="45" borderId="133" applyNumberFormat="0" applyProtection="0">
      <alignment horizontal="left" vertical="center" indent="1"/>
    </xf>
    <xf numFmtId="0" fontId="32" fillId="42" borderId="134" applyNumberFormat="0" applyProtection="0">
      <alignment horizontal="left" vertical="top" indent="1"/>
    </xf>
    <xf numFmtId="0" fontId="32" fillId="46" borderId="133" applyNumberFormat="0" applyProtection="0">
      <alignment horizontal="left" vertical="center" indent="1"/>
    </xf>
    <xf numFmtId="0" fontId="32" fillId="43" borderId="134" applyNumberFormat="0" applyProtection="0">
      <alignment horizontal="left" vertical="top" indent="1"/>
    </xf>
    <xf numFmtId="0" fontId="32" fillId="47" borderId="133" applyNumberFormat="0" applyProtection="0">
      <alignment horizontal="left" vertical="center" indent="1"/>
    </xf>
    <xf numFmtId="0" fontId="32" fillId="47" borderId="134" applyNumberFormat="0" applyProtection="0">
      <alignment horizontal="left" vertical="top" indent="1"/>
    </xf>
    <xf numFmtId="0" fontId="32" fillId="44" borderId="133" applyNumberFormat="0" applyProtection="0">
      <alignment horizontal="left" vertical="center" indent="1"/>
    </xf>
    <xf numFmtId="0" fontId="32" fillId="44" borderId="134" applyNumberFormat="0" applyProtection="0">
      <alignment horizontal="left" vertical="top" indent="1"/>
    </xf>
    <xf numFmtId="0" fontId="42" fillId="42" borderId="136" applyBorder="0"/>
    <xf numFmtId="4" fontId="43" fillId="49" borderId="134" applyNumberFormat="0" applyProtection="0">
      <alignment vertical="center"/>
    </xf>
    <xf numFmtId="4" fontId="43" fillId="45" borderId="134" applyNumberFormat="0" applyProtection="0">
      <alignment horizontal="left" vertical="center" indent="1"/>
    </xf>
    <xf numFmtId="0" fontId="43" fillId="49" borderId="134" applyNumberFormat="0" applyProtection="0">
      <alignment horizontal="left" vertical="top" indent="1"/>
    </xf>
    <xf numFmtId="4" fontId="32" fillId="0" borderId="133" applyNumberFormat="0" applyProtection="0">
      <alignment horizontal="right" vertical="center"/>
    </xf>
    <xf numFmtId="4" fontId="32" fillId="0" borderId="133" applyNumberFormat="0" applyProtection="0">
      <alignment horizontal="right" vertical="center"/>
    </xf>
    <xf numFmtId="4" fontId="40" fillId="50" borderId="133" applyNumberFormat="0" applyProtection="0">
      <alignment horizontal="right" vertical="center"/>
    </xf>
    <xf numFmtId="4" fontId="32" fillId="31" borderId="133" applyNumberFormat="0" applyProtection="0">
      <alignment horizontal="left" vertical="center" indent="1"/>
    </xf>
    <xf numFmtId="0" fontId="43" fillId="43" borderId="134" applyNumberFormat="0" applyProtection="0">
      <alignment horizontal="left" vertical="top" indent="1"/>
    </xf>
    <xf numFmtId="4" fontId="44" fillId="51" borderId="135" applyNumberFormat="0" applyProtection="0">
      <alignment horizontal="left" vertical="center" indent="1"/>
    </xf>
    <xf numFmtId="4" fontId="45" fillId="48" borderId="133" applyNumberFormat="0" applyProtection="0">
      <alignment horizontal="right" vertical="center"/>
    </xf>
    <xf numFmtId="0" fontId="48" fillId="58" borderId="133" applyNumberFormat="0" applyAlignment="0" applyProtection="0"/>
    <xf numFmtId="0" fontId="32" fillId="23" borderId="133" applyNumberFormat="0" applyFont="0" applyAlignment="0" applyProtection="0"/>
    <xf numFmtId="0" fontId="39" fillId="0" borderId="137" applyNumberFormat="0" applyFill="0" applyAlignment="0" applyProtection="0"/>
    <xf numFmtId="0" fontId="52" fillId="24" borderId="133" applyNumberFormat="0" applyAlignment="0" applyProtection="0"/>
    <xf numFmtId="0" fontId="56" fillId="58" borderId="138" applyNumberFormat="0" applyAlignment="0" applyProtection="0"/>
    <xf numFmtId="4" fontId="32" fillId="31" borderId="133" applyNumberFormat="0" applyProtection="0">
      <alignment horizontal="left" vertical="center" indent="1"/>
    </xf>
    <xf numFmtId="0" fontId="32" fillId="45" borderId="133" applyNumberFormat="0" applyProtection="0">
      <alignment horizontal="left" vertical="center" indent="1"/>
    </xf>
    <xf numFmtId="4" fontId="43" fillId="49" borderId="134" applyNumberFormat="0" applyProtection="0">
      <alignment vertical="center"/>
    </xf>
    <xf numFmtId="4" fontId="32" fillId="40" borderId="133" applyNumberFormat="0" applyProtection="0">
      <alignment horizontal="right" vertical="center"/>
    </xf>
    <xf numFmtId="4" fontId="40" fillId="50" borderId="133" applyNumberFormat="0" applyProtection="0">
      <alignment horizontal="right" vertical="center"/>
    </xf>
    <xf numFmtId="0" fontId="56" fillId="58" borderId="138" applyNumberFormat="0" applyAlignment="0" applyProtection="0"/>
    <xf numFmtId="0" fontId="27" fillId="0" borderId="139">
      <alignment horizontal="left" vertical="center"/>
    </xf>
    <xf numFmtId="0" fontId="48" fillId="58" borderId="133" applyNumberFormat="0" applyAlignment="0" applyProtection="0"/>
    <xf numFmtId="0" fontId="32" fillId="43" borderId="134" applyNumberFormat="0" applyProtection="0">
      <alignment horizontal="left" vertical="top" indent="1"/>
    </xf>
    <xf numFmtId="0" fontId="42" fillId="42" borderId="136" applyBorder="0"/>
    <xf numFmtId="4" fontId="32" fillId="31" borderId="133" applyNumberFormat="0" applyProtection="0">
      <alignment horizontal="left" vertical="center" indent="1"/>
    </xf>
    <xf numFmtId="4" fontId="32" fillId="30" borderId="133" applyNumberFormat="0" applyProtection="0">
      <alignment horizontal="left" vertical="center" indent="1"/>
    </xf>
    <xf numFmtId="0" fontId="32" fillId="42" borderId="134" applyNumberFormat="0" applyProtection="0">
      <alignment horizontal="left" vertical="top" indent="1"/>
    </xf>
    <xf numFmtId="4" fontId="32" fillId="0" borderId="133" applyNumberFormat="0" applyProtection="0">
      <alignment horizontal="right" vertical="center"/>
    </xf>
    <xf numFmtId="4" fontId="32" fillId="37" borderId="133" applyNumberFormat="0" applyProtection="0">
      <alignment horizontal="right" vertical="center"/>
    </xf>
    <xf numFmtId="4" fontId="45" fillId="48" borderId="133" applyNumberFormat="0" applyProtection="0">
      <alignment horizontal="right" vertical="center"/>
    </xf>
    <xf numFmtId="4" fontId="40" fillId="30" borderId="133" applyNumberFormat="0" applyProtection="0">
      <alignment vertical="center"/>
    </xf>
    <xf numFmtId="4" fontId="32" fillId="39" borderId="133" applyNumberFormat="0" applyProtection="0">
      <alignment horizontal="right" vertical="center"/>
    </xf>
    <xf numFmtId="4" fontId="30" fillId="42" borderId="135" applyNumberFormat="0" applyProtection="0">
      <alignment horizontal="left" vertical="center" indent="1"/>
    </xf>
    <xf numFmtId="0" fontId="32" fillId="47" borderId="134" applyNumberFormat="0" applyProtection="0">
      <alignment horizontal="left" vertical="top" indent="1"/>
    </xf>
    <xf numFmtId="4" fontId="43" fillId="45" borderId="134" applyNumberFormat="0" applyProtection="0">
      <alignment horizontal="left" vertical="center" indent="1"/>
    </xf>
    <xf numFmtId="4" fontId="40" fillId="10" borderId="116" applyNumberFormat="0" applyProtection="0">
      <alignment vertical="center"/>
    </xf>
    <xf numFmtId="0" fontId="43" fillId="43" borderId="134" applyNumberFormat="0" applyProtection="0">
      <alignment horizontal="left" vertical="top" indent="1"/>
    </xf>
    <xf numFmtId="4" fontId="32" fillId="44" borderId="135" applyNumberFormat="0" applyProtection="0">
      <alignment horizontal="left" vertical="center" indent="1"/>
    </xf>
    <xf numFmtId="4" fontId="32" fillId="43" borderId="133" applyNumberFormat="0" applyProtection="0">
      <alignment horizontal="right" vertical="center"/>
    </xf>
    <xf numFmtId="0" fontId="27" fillId="0" borderId="139">
      <alignment horizontal="left" vertical="center"/>
    </xf>
    <xf numFmtId="0" fontId="41" fillId="29" borderId="134" applyNumberFormat="0" applyProtection="0">
      <alignment horizontal="left" vertical="top" indent="1"/>
    </xf>
    <xf numFmtId="4" fontId="32" fillId="35" borderId="133" applyNumberFormat="0" applyProtection="0">
      <alignment horizontal="right" vertical="center"/>
    </xf>
    <xf numFmtId="0" fontId="32" fillId="46" borderId="133" applyNumberFormat="0" applyProtection="0">
      <alignment horizontal="left" vertical="center" indent="1"/>
    </xf>
    <xf numFmtId="4" fontId="32" fillId="41" borderId="135" applyNumberFormat="0" applyProtection="0">
      <alignment horizontal="left" vertical="center" indent="1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938">
    <xf numFmtId="0" fontId="0" fillId="0" borderId="0" xfId="0">
      <alignment vertical="center"/>
    </xf>
    <xf numFmtId="0" fontId="4" fillId="3" borderId="3" xfId="0" applyFont="1" applyFill="1" applyBorder="1" applyAlignment="1">
      <alignment horizontal="center" vertical="center"/>
    </xf>
    <xf numFmtId="41" fontId="4" fillId="3" borderId="24" xfId="1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41" fontId="4" fillId="3" borderId="2" xfId="1" applyFont="1" applyFill="1" applyBorder="1" applyAlignment="1">
      <alignment horizontal="center" vertical="center"/>
    </xf>
    <xf numFmtId="41" fontId="5" fillId="3" borderId="24" xfId="1" applyFont="1" applyFill="1" applyBorder="1" applyAlignment="1">
      <alignment vertical="center" shrinkToFit="1"/>
    </xf>
    <xf numFmtId="0" fontId="5" fillId="0" borderId="0" xfId="0" applyFont="1">
      <alignment vertical="center"/>
    </xf>
    <xf numFmtId="177" fontId="4" fillId="3" borderId="2" xfId="1" applyNumberFormat="1" applyFont="1" applyFill="1" applyBorder="1" applyAlignment="1">
      <alignment horizontal="center" vertical="center" shrinkToFit="1"/>
    </xf>
    <xf numFmtId="0" fontId="7" fillId="6" borderId="28" xfId="0" applyFont="1" applyFill="1" applyBorder="1" applyAlignment="1">
      <alignment horizontal="center" vertical="center"/>
    </xf>
    <xf numFmtId="0" fontId="7" fillId="6" borderId="29" xfId="0" applyFont="1" applyFill="1" applyBorder="1" applyAlignment="1">
      <alignment horizontal="center" vertical="center"/>
    </xf>
    <xf numFmtId="0" fontId="7" fillId="6" borderId="30" xfId="0" applyFont="1" applyFill="1" applyBorder="1" applyAlignment="1">
      <alignment horizontal="center" vertical="center"/>
    </xf>
    <xf numFmtId="179" fontId="7" fillId="0" borderId="2" xfId="0" applyNumberFormat="1" applyFont="1" applyBorder="1" applyAlignment="1">
      <alignment horizontal="center" vertical="center"/>
    </xf>
    <xf numFmtId="41" fontId="7" fillId="0" borderId="2" xfId="1" applyFont="1" applyBorder="1">
      <alignment vertical="center"/>
    </xf>
    <xf numFmtId="41" fontId="7" fillId="0" borderId="9" xfId="0" applyNumberFormat="1" applyFont="1" applyBorder="1">
      <alignment vertical="center"/>
    </xf>
    <xf numFmtId="41" fontId="7" fillId="0" borderId="6" xfId="0" applyNumberFormat="1" applyFont="1" applyBorder="1">
      <alignment vertical="center"/>
    </xf>
    <xf numFmtId="0" fontId="7" fillId="2" borderId="1" xfId="0" applyFont="1" applyFill="1" applyBorder="1" applyAlignment="1">
      <alignment horizontal="center" vertical="center"/>
    </xf>
    <xf numFmtId="41" fontId="7" fillId="2" borderId="1" xfId="1" applyFont="1" applyFill="1" applyBorder="1">
      <alignment vertical="center"/>
    </xf>
    <xf numFmtId="0" fontId="7" fillId="2" borderId="6" xfId="0" applyFont="1" applyFill="1" applyBorder="1">
      <alignment vertical="center"/>
    </xf>
    <xf numFmtId="0" fontId="7" fillId="2" borderId="7" xfId="0" applyFont="1" applyFill="1" applyBorder="1" applyAlignment="1">
      <alignment horizontal="center" vertical="center"/>
    </xf>
    <xf numFmtId="41" fontId="7" fillId="2" borderId="7" xfId="0" applyNumberFormat="1" applyFont="1" applyFill="1" applyBorder="1">
      <alignment vertical="center"/>
    </xf>
    <xf numFmtId="0" fontId="7" fillId="2" borderId="32" xfId="0" applyFont="1" applyFill="1" applyBorder="1">
      <alignment vertical="center"/>
    </xf>
    <xf numFmtId="41" fontId="4" fillId="3" borderId="21" xfId="1" applyNumberFormat="1" applyFont="1" applyFill="1" applyBorder="1" applyAlignment="1">
      <alignment horizontal="center" vertical="center" shrinkToFit="1"/>
    </xf>
    <xf numFmtId="43" fontId="0" fillId="0" borderId="0" xfId="0" applyNumberFormat="1">
      <alignment vertical="center"/>
    </xf>
    <xf numFmtId="41" fontId="5" fillId="0" borderId="6" xfId="1" applyFont="1" applyBorder="1" applyAlignment="1">
      <alignment horizontal="right" vertical="center"/>
    </xf>
    <xf numFmtId="41" fontId="4" fillId="3" borderId="18" xfId="1" applyFont="1" applyFill="1" applyBorder="1" applyAlignment="1">
      <alignment horizontal="right" vertical="center"/>
    </xf>
    <xf numFmtId="41" fontId="4" fillId="0" borderId="6" xfId="1" applyFont="1" applyBorder="1" applyAlignment="1">
      <alignment horizontal="right" vertical="center"/>
    </xf>
    <xf numFmtId="41" fontId="4" fillId="0" borderId="26" xfId="1" applyFont="1" applyBorder="1" applyAlignment="1">
      <alignment horizontal="right" vertical="center"/>
    </xf>
    <xf numFmtId="41" fontId="5" fillId="0" borderId="4" xfId="1" applyFont="1" applyBorder="1" applyAlignment="1">
      <alignment horizontal="right" vertical="center"/>
    </xf>
    <xf numFmtId="41" fontId="4" fillId="0" borderId="35" xfId="1" applyFont="1" applyBorder="1" applyAlignment="1">
      <alignment horizontal="right" vertical="center"/>
    </xf>
    <xf numFmtId="41" fontId="5" fillId="0" borderId="37" xfId="1" applyFont="1" applyBorder="1" applyAlignment="1">
      <alignment horizontal="right" vertical="center"/>
    </xf>
    <xf numFmtId="41" fontId="5" fillId="0" borderId="9" xfId="1" applyFont="1" applyBorder="1" applyAlignment="1">
      <alignment horizontal="right" vertical="center"/>
    </xf>
    <xf numFmtId="41" fontId="5" fillId="3" borderId="18" xfId="1" applyFont="1" applyFill="1" applyBorder="1" applyAlignment="1">
      <alignment horizontal="right" vertical="center" shrinkToFit="1"/>
    </xf>
    <xf numFmtId="0" fontId="9" fillId="0" borderId="0" xfId="0" applyFont="1" applyAlignment="1">
      <alignment horizontal="center" vertical="center"/>
    </xf>
    <xf numFmtId="41" fontId="5" fillId="3" borderId="24" xfId="1" applyNumberFormat="1" applyFont="1" applyFill="1" applyBorder="1" applyAlignment="1">
      <alignment vertical="center" shrinkToFit="1"/>
    </xf>
    <xf numFmtId="182" fontId="7" fillId="0" borderId="2" xfId="0" applyNumberFormat="1" applyFont="1" applyBorder="1" applyAlignment="1">
      <alignment vertical="center"/>
    </xf>
    <xf numFmtId="41" fontId="7" fillId="0" borderId="2" xfId="1" applyFont="1" applyBorder="1" applyAlignment="1">
      <alignment vertical="center"/>
    </xf>
    <xf numFmtId="41" fontId="7" fillId="0" borderId="1" xfId="1" applyFont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41" fontId="13" fillId="0" borderId="6" xfId="1" applyFont="1" applyBorder="1" applyAlignment="1">
      <alignment horizontal="right" vertical="center"/>
    </xf>
    <xf numFmtId="41" fontId="7" fillId="0" borderId="1" xfId="1" applyFont="1" applyBorder="1" applyAlignment="1">
      <alignment horizontal="right" vertical="center"/>
    </xf>
    <xf numFmtId="0" fontId="7" fillId="0" borderId="0" xfId="0" applyFont="1">
      <alignment vertical="center"/>
    </xf>
    <xf numFmtId="41" fontId="11" fillId="0" borderId="0" xfId="4" applyFont="1" applyFill="1" applyAlignment="1">
      <alignment horizontal="center" vertical="center" wrapText="1"/>
    </xf>
    <xf numFmtId="41" fontId="14" fillId="0" borderId="46" xfId="4" applyFont="1" applyFill="1" applyBorder="1" applyAlignment="1">
      <alignment horizontal="center" vertical="center"/>
    </xf>
    <xf numFmtId="41" fontId="14" fillId="0" borderId="14" xfId="4" applyFont="1" applyFill="1" applyBorder="1" applyAlignment="1">
      <alignment horizontal="center" vertical="center"/>
    </xf>
    <xf numFmtId="41" fontId="14" fillId="0" borderId="12" xfId="4" applyFont="1" applyFill="1" applyBorder="1" applyAlignment="1">
      <alignment horizontal="center" vertical="center"/>
    </xf>
    <xf numFmtId="41" fontId="14" fillId="0" borderId="47" xfId="4" applyFont="1" applyFill="1" applyBorder="1" applyAlignment="1">
      <alignment horizontal="center" vertical="center"/>
    </xf>
    <xf numFmtId="41" fontId="14" fillId="0" borderId="0" xfId="4" applyFont="1" applyFill="1" applyAlignment="1">
      <alignment horizontal="center" vertical="center"/>
    </xf>
    <xf numFmtId="41" fontId="15" fillId="0" borderId="0" xfId="4" applyFont="1" applyFill="1" applyAlignment="1">
      <alignment horizontal="center" vertical="center"/>
    </xf>
    <xf numFmtId="41" fontId="16" fillId="0" borderId="46" xfId="4" applyFont="1" applyFill="1" applyBorder="1" applyAlignment="1">
      <alignment horizontal="center" vertical="center"/>
    </xf>
    <xf numFmtId="41" fontId="16" fillId="0" borderId="47" xfId="4" applyFont="1" applyFill="1" applyBorder="1" applyAlignment="1">
      <alignment horizontal="center" vertical="center"/>
    </xf>
    <xf numFmtId="41" fontId="16" fillId="0" borderId="0" xfId="4" applyFont="1" applyFill="1" applyAlignment="1">
      <alignment horizontal="center" vertical="center"/>
    </xf>
    <xf numFmtId="41" fontId="16" fillId="6" borderId="7" xfId="4" applyFont="1" applyFill="1" applyBorder="1" applyAlignment="1">
      <alignment horizontal="center" vertical="center" wrapText="1"/>
    </xf>
    <xf numFmtId="41" fontId="16" fillId="6" borderId="42" xfId="4" applyFont="1" applyFill="1" applyBorder="1" applyAlignment="1">
      <alignment horizontal="center" vertical="center" wrapText="1"/>
    </xf>
    <xf numFmtId="41" fontId="16" fillId="6" borderId="32" xfId="4" applyFont="1" applyFill="1" applyBorder="1" applyAlignment="1">
      <alignment horizontal="center" vertical="center" wrapText="1"/>
    </xf>
    <xf numFmtId="41" fontId="16" fillId="6" borderId="50" xfId="4" applyFont="1" applyFill="1" applyBorder="1" applyAlignment="1">
      <alignment horizontal="center" vertical="center" wrapText="1"/>
    </xf>
    <xf numFmtId="41" fontId="14" fillId="0" borderId="51" xfId="4" applyFont="1" applyFill="1" applyBorder="1" applyAlignment="1">
      <alignment horizontal="center" vertical="center"/>
    </xf>
    <xf numFmtId="180" fontId="14" fillId="0" borderId="1" xfId="4" applyNumberFormat="1" applyFont="1" applyFill="1" applyBorder="1" applyAlignment="1">
      <alignment horizontal="center" vertical="center"/>
    </xf>
    <xf numFmtId="180" fontId="14" fillId="6" borderId="1" xfId="4" applyNumberFormat="1" applyFont="1" applyFill="1" applyBorder="1" applyAlignment="1">
      <alignment horizontal="center" vertical="center"/>
    </xf>
    <xf numFmtId="183" fontId="14" fillId="6" borderId="1" xfId="3" applyNumberFormat="1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4" fillId="0" borderId="42" xfId="0" applyFont="1" applyFill="1" applyBorder="1" applyAlignment="1">
      <alignment horizontal="center" vertical="center"/>
    </xf>
    <xf numFmtId="180" fontId="14" fillId="0" borderId="1" xfId="1" applyNumberFormat="1" applyFont="1" applyFill="1" applyBorder="1" applyAlignment="1">
      <alignment horizontal="center" vertical="center"/>
    </xf>
    <xf numFmtId="180" fontId="14" fillId="0" borderId="1" xfId="0" applyNumberFormat="1" applyFont="1" applyBorder="1">
      <alignment vertical="center"/>
    </xf>
    <xf numFmtId="180" fontId="14" fillId="0" borderId="7" xfId="0" applyNumberFormat="1" applyFont="1" applyBorder="1">
      <alignment vertical="center"/>
    </xf>
    <xf numFmtId="41" fontId="14" fillId="0" borderId="1" xfId="0" applyNumberFormat="1" applyFont="1" applyBorder="1">
      <alignment vertical="center"/>
    </xf>
    <xf numFmtId="41" fontId="14" fillId="0" borderId="7" xfId="0" applyNumberFormat="1" applyFont="1" applyBorder="1">
      <alignment vertical="center"/>
    </xf>
    <xf numFmtId="41" fontId="0" fillId="0" borderId="0" xfId="0" applyNumberFormat="1">
      <alignment vertical="center"/>
    </xf>
    <xf numFmtId="0" fontId="0" fillId="0" borderId="0" xfId="0" applyFill="1">
      <alignment vertical="center"/>
    </xf>
    <xf numFmtId="180" fontId="14" fillId="0" borderId="1" xfId="1" applyNumberFormat="1" applyFont="1" applyFill="1" applyBorder="1" applyAlignment="1">
      <alignment vertical="center"/>
    </xf>
    <xf numFmtId="41" fontId="14" fillId="0" borderId="6" xfId="0" applyNumberFormat="1" applyFont="1" applyBorder="1">
      <alignment vertical="center"/>
    </xf>
    <xf numFmtId="41" fontId="14" fillId="0" borderId="32" xfId="0" applyNumberFormat="1" applyFont="1" applyBorder="1">
      <alignment vertical="center"/>
    </xf>
    <xf numFmtId="41" fontId="14" fillId="0" borderId="12" xfId="0" applyNumberFormat="1" applyFont="1" applyBorder="1">
      <alignment vertical="center"/>
    </xf>
    <xf numFmtId="41" fontId="14" fillId="0" borderId="14" xfId="0" applyNumberFormat="1" applyFont="1" applyBorder="1">
      <alignment vertical="center"/>
    </xf>
    <xf numFmtId="0" fontId="18" fillId="0" borderId="0" xfId="0" applyFont="1" applyAlignment="1">
      <alignment horizontal="center" vertical="center"/>
    </xf>
    <xf numFmtId="41" fontId="16" fillId="0" borderId="47" xfId="4" applyFont="1" applyFill="1" applyBorder="1" applyAlignment="1">
      <alignment horizontal="right" vertical="center" shrinkToFit="1"/>
    </xf>
    <xf numFmtId="41" fontId="16" fillId="6" borderId="63" xfId="1" applyFont="1" applyFill="1" applyBorder="1" applyAlignment="1">
      <alignment horizontal="center" vertical="center" shrinkToFit="1"/>
    </xf>
    <xf numFmtId="41" fontId="16" fillId="6" borderId="30" xfId="1" applyFont="1" applyFill="1" applyBorder="1" applyAlignment="1">
      <alignment horizontal="center" vertical="center" shrinkToFit="1"/>
    </xf>
    <xf numFmtId="41" fontId="16" fillId="6" borderId="9" xfId="1" applyFont="1" applyFill="1" applyBorder="1" applyAlignment="1">
      <alignment horizontal="center" vertical="center" shrinkToFit="1"/>
    </xf>
    <xf numFmtId="41" fontId="16" fillId="6" borderId="21" xfId="1" applyFont="1" applyFill="1" applyBorder="1" applyAlignment="1">
      <alignment horizontal="center" vertical="center" shrinkToFit="1"/>
    </xf>
    <xf numFmtId="41" fontId="16" fillId="6" borderId="43" xfId="0" applyNumberFormat="1" applyFont="1" applyFill="1" applyBorder="1" applyAlignment="1">
      <alignment vertical="center" shrinkToFit="1"/>
    </xf>
    <xf numFmtId="41" fontId="16" fillId="6" borderId="66" xfId="0" applyNumberFormat="1" applyFont="1" applyFill="1" applyBorder="1" applyAlignment="1">
      <alignment vertical="center" shrinkToFit="1"/>
    </xf>
    <xf numFmtId="41" fontId="16" fillId="6" borderId="67" xfId="0" applyNumberFormat="1" applyFont="1" applyFill="1" applyBorder="1" applyAlignment="1">
      <alignment horizontal="center" vertical="center"/>
    </xf>
    <xf numFmtId="41" fontId="16" fillId="6" borderId="32" xfId="0" applyNumberFormat="1" applyFont="1" applyFill="1" applyBorder="1" applyAlignment="1">
      <alignment horizontal="center" vertical="center"/>
    </xf>
    <xf numFmtId="41" fontId="16" fillId="0" borderId="64" xfId="1" applyFont="1" applyFill="1" applyBorder="1" applyAlignment="1">
      <alignment horizontal="center" vertical="center" shrinkToFit="1"/>
    </xf>
    <xf numFmtId="41" fontId="16" fillId="0" borderId="61" xfId="1" applyFont="1" applyFill="1" applyBorder="1" applyAlignment="1">
      <alignment horizontal="center" vertical="center" shrinkToFit="1"/>
    </xf>
    <xf numFmtId="0" fontId="16" fillId="0" borderId="55" xfId="0" applyFont="1" applyBorder="1" applyAlignment="1">
      <alignment horizontal="center" vertical="center"/>
    </xf>
    <xf numFmtId="41" fontId="16" fillId="6" borderId="28" xfId="1" applyFont="1" applyFill="1" applyBorder="1" applyAlignment="1">
      <alignment horizontal="center" vertical="center" shrinkToFit="1"/>
    </xf>
    <xf numFmtId="41" fontId="16" fillId="0" borderId="8" xfId="1" applyFont="1" applyFill="1" applyBorder="1" applyAlignment="1">
      <alignment horizontal="center" vertical="center" shrinkToFit="1"/>
    </xf>
    <xf numFmtId="41" fontId="16" fillId="0" borderId="5" xfId="1" applyFont="1" applyFill="1" applyBorder="1" applyAlignment="1">
      <alignment horizontal="center" vertical="center" shrinkToFit="1"/>
    </xf>
    <xf numFmtId="177" fontId="16" fillId="0" borderId="1" xfId="1" applyNumberFormat="1" applyFont="1" applyFill="1" applyBorder="1" applyAlignment="1">
      <alignment horizontal="center" vertical="center" shrinkToFit="1"/>
    </xf>
    <xf numFmtId="177" fontId="16" fillId="0" borderId="2" xfId="1" applyNumberFormat="1" applyFont="1" applyFill="1" applyBorder="1" applyAlignment="1">
      <alignment horizontal="center" vertical="center" shrinkToFit="1"/>
    </xf>
    <xf numFmtId="41" fontId="16" fillId="8" borderId="65" xfId="1" applyFont="1" applyFill="1" applyBorder="1" applyAlignment="1">
      <alignment horizontal="center" vertical="center" shrinkToFit="1"/>
    </xf>
    <xf numFmtId="41" fontId="16" fillId="0" borderId="27" xfId="1" applyFont="1" applyFill="1" applyBorder="1" applyAlignment="1">
      <alignment vertical="center" shrinkToFit="1"/>
    </xf>
    <xf numFmtId="41" fontId="16" fillId="0" borderId="11" xfId="0" applyNumberFormat="1" applyFont="1" applyBorder="1" applyAlignment="1">
      <alignment vertical="center" shrinkToFit="1"/>
    </xf>
    <xf numFmtId="177" fontId="16" fillId="0" borderId="38" xfId="1" applyNumberFormat="1" applyFont="1" applyFill="1" applyBorder="1" applyAlignment="1">
      <alignment vertical="center" shrinkToFit="1"/>
    </xf>
    <xf numFmtId="41" fontId="16" fillId="0" borderId="38" xfId="1" applyFont="1" applyFill="1" applyBorder="1" applyAlignment="1">
      <alignment vertical="center" shrinkToFit="1"/>
    </xf>
    <xf numFmtId="41" fontId="16" fillId="8" borderId="61" xfId="0" applyNumberFormat="1" applyFont="1" applyFill="1" applyBorder="1" applyAlignment="1">
      <alignment vertical="center" shrinkToFit="1"/>
    </xf>
    <xf numFmtId="41" fontId="16" fillId="0" borderId="42" xfId="0" applyNumberFormat="1" applyFont="1" applyBorder="1" applyAlignment="1">
      <alignment horizontal="center" vertical="center"/>
    </xf>
    <xf numFmtId="177" fontId="16" fillId="0" borderId="7" xfId="0" applyNumberFormat="1" applyFont="1" applyBorder="1" applyAlignment="1">
      <alignment horizontal="center" vertical="center"/>
    </xf>
    <xf numFmtId="41" fontId="16" fillId="0" borderId="7" xfId="0" applyNumberFormat="1" applyFont="1" applyBorder="1" applyAlignment="1">
      <alignment horizontal="center" vertical="center"/>
    </xf>
    <xf numFmtId="41" fontId="16" fillId="8" borderId="55" xfId="0" applyNumberFormat="1" applyFont="1" applyFill="1" applyBorder="1" applyAlignment="1">
      <alignment horizontal="center" vertical="center"/>
    </xf>
    <xf numFmtId="41" fontId="14" fillId="0" borderId="5" xfId="0" applyNumberFormat="1" applyFont="1" applyBorder="1">
      <alignment vertical="center"/>
    </xf>
    <xf numFmtId="41" fontId="14" fillId="0" borderId="42" xfId="0" applyNumberFormat="1" applyFont="1" applyBorder="1">
      <alignment vertical="center"/>
    </xf>
    <xf numFmtId="41" fontId="14" fillId="0" borderId="47" xfId="0" applyNumberFormat="1" applyFont="1" applyBorder="1">
      <alignment vertical="center"/>
    </xf>
    <xf numFmtId="41" fontId="16" fillId="6" borderId="76" xfId="1" applyFont="1" applyFill="1" applyBorder="1" applyAlignment="1">
      <alignment horizontal="center" vertical="center" shrinkToFit="1"/>
    </xf>
    <xf numFmtId="41" fontId="16" fillId="0" borderId="77" xfId="1" applyFont="1" applyFill="1" applyBorder="1" applyAlignment="1">
      <alignment horizontal="center" vertical="center" shrinkToFit="1"/>
    </xf>
    <xf numFmtId="41" fontId="16" fillId="0" borderId="9" xfId="1" applyFont="1" applyFill="1" applyBorder="1" applyAlignment="1">
      <alignment horizontal="center" vertical="center" shrinkToFit="1"/>
    </xf>
    <xf numFmtId="41" fontId="16" fillId="0" borderId="10" xfId="1" applyFont="1" applyFill="1" applyBorder="1" applyAlignment="1">
      <alignment horizontal="center" vertical="center" shrinkToFit="1"/>
    </xf>
    <xf numFmtId="41" fontId="16" fillId="0" borderId="78" xfId="1" applyFont="1" applyFill="1" applyBorder="1" applyAlignment="1">
      <alignment horizontal="center" vertical="center" shrinkToFit="1"/>
    </xf>
    <xf numFmtId="41" fontId="16" fillId="0" borderId="49" xfId="0" applyNumberFormat="1" applyFont="1" applyBorder="1" applyAlignment="1">
      <alignment horizontal="center" vertical="center"/>
    </xf>
    <xf numFmtId="41" fontId="16" fillId="0" borderId="32" xfId="0" applyNumberFormat="1" applyFont="1" applyBorder="1" applyAlignment="1">
      <alignment horizontal="center" vertical="center"/>
    </xf>
    <xf numFmtId="41" fontId="16" fillId="6" borderId="29" xfId="1" applyFont="1" applyFill="1" applyBorder="1" applyAlignment="1">
      <alignment horizontal="center" vertical="center" shrinkToFit="1"/>
    </xf>
    <xf numFmtId="41" fontId="16" fillId="0" borderId="80" xfId="1" applyFont="1" applyFill="1" applyBorder="1" applyAlignment="1">
      <alignment horizontal="center" vertical="center" shrinkToFit="1"/>
    </xf>
    <xf numFmtId="41" fontId="16" fillId="0" borderId="79" xfId="0" applyNumberFormat="1" applyFont="1" applyFill="1" applyBorder="1" applyAlignment="1">
      <alignment vertical="center" shrinkToFit="1"/>
    </xf>
    <xf numFmtId="41" fontId="16" fillId="0" borderId="81" xfId="0" applyNumberFormat="1" applyFont="1" applyFill="1" applyBorder="1" applyAlignment="1">
      <alignment horizontal="center" vertical="center"/>
    </xf>
    <xf numFmtId="41" fontId="16" fillId="6" borderId="83" xfId="1" applyFont="1" applyFill="1" applyBorder="1" applyAlignment="1">
      <alignment horizontal="center" vertical="center" shrinkToFit="1"/>
    </xf>
    <xf numFmtId="41" fontId="16" fillId="6" borderId="82" xfId="1" applyFont="1" applyFill="1" applyBorder="1" applyAlignment="1">
      <alignment horizontal="center" vertical="center" shrinkToFit="1"/>
    </xf>
    <xf numFmtId="180" fontId="16" fillId="8" borderId="65" xfId="1" applyNumberFormat="1" applyFont="1" applyFill="1" applyBorder="1" applyAlignment="1">
      <alignment horizontal="center" vertical="center" shrinkToFit="1"/>
    </xf>
    <xf numFmtId="182" fontId="14" fillId="0" borderId="0" xfId="0" applyNumberFormat="1" applyFont="1" applyBorder="1">
      <alignment vertical="center"/>
    </xf>
    <xf numFmtId="41" fontId="14" fillId="0" borderId="0" xfId="1" applyFont="1" applyBorder="1">
      <alignment vertical="center"/>
    </xf>
    <xf numFmtId="41" fontId="14" fillId="0" borderId="0" xfId="0" applyNumberFormat="1" applyFont="1" applyBorder="1">
      <alignment vertical="center"/>
    </xf>
    <xf numFmtId="180" fontId="16" fillId="8" borderId="55" xfId="0" applyNumberFormat="1" applyFont="1" applyFill="1" applyBorder="1" applyAlignment="1">
      <alignment horizontal="center" vertical="center"/>
    </xf>
    <xf numFmtId="41" fontId="21" fillId="0" borderId="5" xfId="1" applyFont="1" applyFill="1" applyBorder="1" applyAlignment="1">
      <alignment horizontal="center" vertical="center" shrinkToFit="1"/>
    </xf>
    <xf numFmtId="182" fontId="16" fillId="0" borderId="9" xfId="1" applyNumberFormat="1" applyFont="1" applyFill="1" applyBorder="1" applyAlignment="1">
      <alignment horizontal="center" vertical="center" shrinkToFit="1"/>
    </xf>
    <xf numFmtId="41" fontId="16" fillId="0" borderId="66" xfId="0" applyNumberFormat="1" applyFont="1" applyFill="1" applyBorder="1" applyAlignment="1">
      <alignment vertical="center" shrinkToFit="1"/>
    </xf>
    <xf numFmtId="41" fontId="16" fillId="0" borderId="67" xfId="0" applyNumberFormat="1" applyFont="1" applyFill="1" applyBorder="1" applyAlignment="1">
      <alignment horizontal="center" vertical="center"/>
    </xf>
    <xf numFmtId="41" fontId="16" fillId="6" borderId="21" xfId="1" applyNumberFormat="1" applyFont="1" applyFill="1" applyBorder="1" applyAlignment="1">
      <alignment horizontal="center" vertical="center" shrinkToFit="1"/>
    </xf>
    <xf numFmtId="41" fontId="16" fillId="6" borderId="58" xfId="1" applyFont="1" applyFill="1" applyBorder="1" applyAlignment="1">
      <alignment horizontal="center" vertical="center" shrinkToFit="1"/>
    </xf>
    <xf numFmtId="41" fontId="16" fillId="6" borderId="86" xfId="1" applyFont="1" applyFill="1" applyBorder="1" applyAlignment="1">
      <alignment horizontal="center" vertical="center" shrinkToFit="1"/>
    </xf>
    <xf numFmtId="41" fontId="16" fillId="0" borderId="11" xfId="0" applyNumberFormat="1" applyFont="1" applyFill="1" applyBorder="1" applyAlignment="1">
      <alignment vertical="center" shrinkToFit="1"/>
    </xf>
    <xf numFmtId="41" fontId="16" fillId="0" borderId="85" xfId="0" applyNumberFormat="1" applyFont="1" applyFill="1" applyBorder="1" applyAlignment="1">
      <alignment vertical="center" shrinkToFit="1"/>
    </xf>
    <xf numFmtId="41" fontId="16" fillId="0" borderId="43" xfId="0" applyNumberFormat="1" applyFont="1" applyFill="1" applyBorder="1" applyAlignment="1">
      <alignment vertical="center" shrinkToFit="1"/>
    </xf>
    <xf numFmtId="41" fontId="16" fillId="0" borderId="42" xfId="0" applyNumberFormat="1" applyFont="1" applyFill="1" applyBorder="1" applyAlignment="1">
      <alignment horizontal="center" vertical="center"/>
    </xf>
    <xf numFmtId="41" fontId="16" fillId="0" borderId="49" xfId="0" applyNumberFormat="1" applyFont="1" applyFill="1" applyBorder="1" applyAlignment="1">
      <alignment horizontal="center" vertical="center"/>
    </xf>
    <xf numFmtId="41" fontId="16" fillId="0" borderId="32" xfId="0" applyNumberFormat="1" applyFont="1" applyFill="1" applyBorder="1" applyAlignment="1">
      <alignment horizontal="center" vertical="center"/>
    </xf>
    <xf numFmtId="41" fontId="16" fillId="6" borderId="60" xfId="1" applyFont="1" applyFill="1" applyBorder="1" applyAlignment="1">
      <alignment horizontal="center" vertical="center" shrinkToFit="1"/>
    </xf>
    <xf numFmtId="41" fontId="16" fillId="0" borderId="87" xfId="1" applyFont="1" applyFill="1" applyBorder="1" applyAlignment="1">
      <alignment horizontal="center" vertical="center" shrinkToFit="1"/>
    </xf>
    <xf numFmtId="41" fontId="16" fillId="0" borderId="78" xfId="0" applyNumberFormat="1" applyFont="1" applyFill="1" applyBorder="1" applyAlignment="1">
      <alignment vertical="center" shrinkToFit="1"/>
    </xf>
    <xf numFmtId="41" fontId="16" fillId="0" borderId="88" xfId="0" applyNumberFormat="1" applyFont="1" applyFill="1" applyBorder="1" applyAlignment="1">
      <alignment horizontal="center" vertical="center"/>
    </xf>
    <xf numFmtId="180" fontId="14" fillId="0" borderId="67" xfId="0" applyNumberFormat="1" applyFont="1" applyBorder="1">
      <alignment vertical="center"/>
    </xf>
    <xf numFmtId="183" fontId="14" fillId="6" borderId="6" xfId="3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182" fontId="16" fillId="0" borderId="21" xfId="1" applyNumberFormat="1" applyFont="1" applyFill="1" applyBorder="1" applyAlignment="1">
      <alignment horizontal="center" vertical="center" shrinkToFit="1"/>
    </xf>
    <xf numFmtId="177" fontId="5" fillId="3" borderId="24" xfId="1" applyNumberFormat="1" applyFont="1" applyFill="1" applyBorder="1" applyAlignment="1">
      <alignment vertical="center" shrinkToFit="1"/>
    </xf>
    <xf numFmtId="177" fontId="4" fillId="2" borderId="1" xfId="1" applyNumberFormat="1" applyFont="1" applyFill="1" applyBorder="1" applyAlignment="1">
      <alignment horizontal="center" vertical="center"/>
    </xf>
    <xf numFmtId="41" fontId="4" fillId="2" borderId="1" xfId="1" applyNumberFormat="1" applyFont="1" applyFill="1" applyBorder="1" applyAlignment="1">
      <alignment horizontal="center" vertical="center"/>
    </xf>
    <xf numFmtId="41" fontId="4" fillId="2" borderId="24" xfId="1" applyFont="1" applyFill="1" applyBorder="1" applyAlignment="1">
      <alignment vertical="center" shrinkToFit="1"/>
    </xf>
    <xf numFmtId="177" fontId="4" fillId="2" borderId="24" xfId="1" applyNumberFormat="1" applyFont="1" applyFill="1" applyBorder="1" applyAlignment="1">
      <alignment vertical="center" shrinkToFit="1"/>
    </xf>
    <xf numFmtId="41" fontId="5" fillId="2" borderId="18" xfId="1" applyFont="1" applyFill="1" applyBorder="1" applyAlignment="1">
      <alignment horizontal="right" vertical="center" shrinkToFit="1"/>
    </xf>
    <xf numFmtId="177" fontId="14" fillId="0" borderId="21" xfId="1" applyNumberFormat="1" applyFont="1" applyFill="1" applyBorder="1" applyAlignment="1">
      <alignment horizontal="center" vertical="center" shrinkToFit="1"/>
    </xf>
    <xf numFmtId="41" fontId="14" fillId="0" borderId="0" xfId="4" applyFont="1" applyFill="1" applyBorder="1" applyAlignment="1">
      <alignment horizontal="center" vertical="center"/>
    </xf>
    <xf numFmtId="41" fontId="16" fillId="0" borderId="0" xfId="4" applyFont="1" applyFill="1" applyBorder="1" applyAlignment="1">
      <alignment horizontal="center" vertical="center"/>
    </xf>
    <xf numFmtId="41" fontId="15" fillId="0" borderId="0" xfId="4" applyFont="1" applyFill="1" applyBorder="1" applyAlignment="1">
      <alignment horizontal="center" vertical="center"/>
    </xf>
    <xf numFmtId="182" fontId="16" fillId="0" borderId="8" xfId="1" applyNumberFormat="1" applyFont="1" applyFill="1" applyBorder="1" applyAlignment="1">
      <alignment horizontal="center" vertical="center" shrinkToFit="1"/>
    </xf>
    <xf numFmtId="177" fontId="16" fillId="0" borderId="21" xfId="1" applyNumberFormat="1" applyFont="1" applyFill="1" applyBorder="1" applyAlignment="1">
      <alignment horizontal="center" vertical="center" shrinkToFit="1"/>
    </xf>
    <xf numFmtId="182" fontId="14" fillId="0" borderId="14" xfId="4" applyNumberFormat="1" applyFont="1" applyFill="1" applyBorder="1" applyAlignment="1">
      <alignment horizontal="center" vertical="center"/>
    </xf>
    <xf numFmtId="182" fontId="14" fillId="0" borderId="47" xfId="4" applyNumberFormat="1" applyFont="1" applyFill="1" applyBorder="1" applyAlignment="1">
      <alignment horizontal="center" vertical="center"/>
    </xf>
    <xf numFmtId="41" fontId="14" fillId="0" borderId="48" xfId="4" applyFont="1" applyFill="1" applyBorder="1" applyAlignment="1">
      <alignment horizontal="center" vertical="center"/>
    </xf>
    <xf numFmtId="41" fontId="14" fillId="0" borderId="1" xfId="4" applyFont="1" applyFill="1" applyBorder="1" applyAlignment="1">
      <alignment horizontal="center" vertical="center"/>
    </xf>
    <xf numFmtId="41" fontId="14" fillId="0" borderId="6" xfId="4" applyFont="1" applyFill="1" applyBorder="1" applyAlignment="1">
      <alignment horizontal="center" vertical="center"/>
    </xf>
    <xf numFmtId="41" fontId="14" fillId="0" borderId="5" xfId="4" applyFont="1" applyFill="1" applyBorder="1" applyAlignment="1">
      <alignment horizontal="center" vertical="center"/>
    </xf>
    <xf numFmtId="41" fontId="14" fillId="0" borderId="52" xfId="4" applyFont="1" applyFill="1" applyBorder="1" applyAlignment="1">
      <alignment horizontal="center" vertical="center"/>
    </xf>
    <xf numFmtId="41" fontId="14" fillId="0" borderId="49" xfId="4" applyFont="1" applyFill="1" applyBorder="1" applyAlignment="1">
      <alignment horizontal="center" vertical="center"/>
    </xf>
    <xf numFmtId="41" fontId="14" fillId="0" borderId="7" xfId="4" applyFont="1" applyFill="1" applyBorder="1" applyAlignment="1">
      <alignment horizontal="center" vertical="center"/>
    </xf>
    <xf numFmtId="41" fontId="14" fillId="0" borderId="32" xfId="4" applyFont="1" applyFill="1" applyBorder="1" applyAlignment="1">
      <alignment horizontal="center" vertical="center"/>
    </xf>
    <xf numFmtId="41" fontId="14" fillId="0" borderId="42" xfId="4" applyFont="1" applyFill="1" applyBorder="1" applyAlignment="1">
      <alignment horizontal="center" vertical="center"/>
    </xf>
    <xf numFmtId="41" fontId="14" fillId="0" borderId="50" xfId="4" applyFont="1" applyFill="1" applyBorder="1" applyAlignment="1">
      <alignment horizontal="center" vertical="center"/>
    </xf>
    <xf numFmtId="41" fontId="16" fillId="0" borderId="0" xfId="4" applyFont="1" applyFill="1" applyBorder="1" applyAlignment="1">
      <alignment horizontal="center" vertical="center" wrapText="1"/>
    </xf>
    <xf numFmtId="41" fontId="14" fillId="0" borderId="94" xfId="6" applyNumberFormat="1" applyFont="1" applyFill="1" applyAlignment="1">
      <alignment horizontal="center" vertical="center" wrapText="1"/>
    </xf>
    <xf numFmtId="41" fontId="14" fillId="0" borderId="94" xfId="6" applyNumberFormat="1" applyFont="1" applyFill="1" applyAlignment="1">
      <alignment horizontal="center" vertical="center"/>
    </xf>
    <xf numFmtId="41" fontId="16" fillId="6" borderId="57" xfId="1" applyFont="1" applyFill="1" applyBorder="1" applyAlignment="1">
      <alignment horizontal="center" vertical="center" shrinkToFit="1"/>
    </xf>
    <xf numFmtId="41" fontId="4" fillId="0" borderId="16" xfId="1" applyNumberFormat="1" applyFont="1" applyFill="1" applyBorder="1" applyAlignment="1">
      <alignment horizontal="center" vertical="center" shrinkToFit="1"/>
    </xf>
    <xf numFmtId="41" fontId="4" fillId="0" borderId="15" xfId="1" applyNumberFormat="1" applyFont="1" applyFill="1" applyBorder="1" applyAlignment="1">
      <alignment horizontal="center" vertical="center" shrinkToFit="1"/>
    </xf>
    <xf numFmtId="0" fontId="14" fillId="0" borderId="5" xfId="0" applyFont="1" applyBorder="1" applyAlignment="1">
      <alignment horizontal="center" vertical="center"/>
    </xf>
    <xf numFmtId="41" fontId="7" fillId="0" borderId="156" xfId="1" applyFont="1" applyBorder="1">
      <alignment vertical="center"/>
    </xf>
    <xf numFmtId="182" fontId="7" fillId="0" borderId="156" xfId="0" applyNumberFormat="1" applyFont="1" applyBorder="1" applyAlignment="1">
      <alignment vertical="center"/>
    </xf>
    <xf numFmtId="41" fontId="7" fillId="2" borderId="156" xfId="1" applyFont="1" applyFill="1" applyBorder="1">
      <alignment vertical="center"/>
    </xf>
    <xf numFmtId="41" fontId="7" fillId="2" borderId="7" xfId="1" applyFont="1" applyFill="1" applyBorder="1">
      <alignment vertical="center"/>
    </xf>
    <xf numFmtId="178" fontId="5" fillId="3" borderId="18" xfId="1" applyNumberFormat="1" applyFont="1" applyFill="1" applyBorder="1" applyAlignment="1">
      <alignment horizontal="right" vertical="center" shrinkToFit="1"/>
    </xf>
    <xf numFmtId="183" fontId="14" fillId="6" borderId="158" xfId="3" applyNumberFormat="1" applyFont="1" applyFill="1" applyBorder="1" applyAlignment="1">
      <alignment horizontal="center" vertical="center" wrapText="1"/>
    </xf>
    <xf numFmtId="185" fontId="14" fillId="0" borderId="161" xfId="4" applyNumberFormat="1" applyFont="1" applyFill="1" applyBorder="1" applyAlignment="1">
      <alignment horizontal="right" vertical="center"/>
    </xf>
    <xf numFmtId="185" fontId="14" fillId="0" borderId="156" xfId="4" applyNumberFormat="1" applyFont="1" applyFill="1" applyBorder="1" applyAlignment="1">
      <alignment horizontal="right" vertical="center"/>
    </xf>
    <xf numFmtId="41" fontId="7" fillId="0" borderId="1" xfId="1" applyFont="1" applyFill="1" applyBorder="1" applyAlignment="1">
      <alignment vertical="center"/>
    </xf>
    <xf numFmtId="182" fontId="7" fillId="0" borderId="2" xfId="0" applyNumberFormat="1" applyFont="1" applyFill="1" applyBorder="1" applyAlignment="1">
      <alignment vertical="center"/>
    </xf>
    <xf numFmtId="0" fontId="7" fillId="0" borderId="0" xfId="0" applyFont="1" applyBorder="1" applyAlignment="1">
      <alignment vertical="center"/>
    </xf>
    <xf numFmtId="41" fontId="14" fillId="0" borderId="64" xfId="1" applyFont="1" applyFill="1" applyBorder="1" applyAlignment="1">
      <alignment horizontal="center" vertical="center" shrinkToFit="1"/>
    </xf>
    <xf numFmtId="41" fontId="14" fillId="0" borderId="77" xfId="1" applyFont="1" applyFill="1" applyBorder="1" applyAlignment="1">
      <alignment horizontal="center" vertical="center" shrinkToFit="1"/>
    </xf>
    <xf numFmtId="182" fontId="14" fillId="0" borderId="9" xfId="1" applyNumberFormat="1" applyFont="1" applyFill="1" applyBorder="1" applyAlignment="1">
      <alignment horizontal="center" vertical="center" shrinkToFit="1"/>
    </xf>
    <xf numFmtId="182" fontId="14" fillId="0" borderId="8" xfId="1" applyNumberFormat="1" applyFont="1" applyFill="1" applyBorder="1" applyAlignment="1">
      <alignment horizontal="center" vertical="center" shrinkToFit="1"/>
    </xf>
    <xf numFmtId="41" fontId="14" fillId="6" borderId="21" xfId="1" applyNumberFormat="1" applyFont="1" applyFill="1" applyBorder="1" applyAlignment="1">
      <alignment horizontal="center" vertical="center" shrinkToFit="1"/>
    </xf>
    <xf numFmtId="41" fontId="14" fillId="0" borderId="27" xfId="1" applyFont="1" applyFill="1" applyBorder="1" applyAlignment="1">
      <alignment vertical="center" shrinkToFit="1"/>
    </xf>
    <xf numFmtId="177" fontId="14" fillId="0" borderId="1" xfId="1" applyNumberFormat="1" applyFont="1" applyFill="1" applyBorder="1" applyAlignment="1">
      <alignment horizontal="center" vertical="center" shrinkToFit="1"/>
    </xf>
    <xf numFmtId="41" fontId="14" fillId="6" borderId="9" xfId="1" applyFont="1" applyFill="1" applyBorder="1" applyAlignment="1">
      <alignment horizontal="center" vertical="center" shrinkToFit="1"/>
    </xf>
    <xf numFmtId="41" fontId="14" fillId="6" borderId="21" xfId="1" applyFont="1" applyFill="1" applyBorder="1" applyAlignment="1">
      <alignment horizontal="center" vertical="center" shrinkToFit="1"/>
    </xf>
    <xf numFmtId="41" fontId="14" fillId="0" borderId="8" xfId="1" applyFont="1" applyFill="1" applyBorder="1" applyAlignment="1">
      <alignment horizontal="center" vertical="center" shrinkToFit="1"/>
    </xf>
    <xf numFmtId="182" fontId="14" fillId="0" borderId="21" xfId="1" applyNumberFormat="1" applyFont="1" applyFill="1" applyBorder="1" applyAlignment="1">
      <alignment horizontal="center" vertical="center" shrinkToFit="1"/>
    </xf>
    <xf numFmtId="41" fontId="14" fillId="0" borderId="87" xfId="1" applyFont="1" applyFill="1" applyBorder="1" applyAlignment="1">
      <alignment horizontal="center" vertical="center" shrinkToFit="1"/>
    </xf>
    <xf numFmtId="41" fontId="14" fillId="0" borderId="9" xfId="1" applyFont="1" applyFill="1" applyBorder="1" applyAlignment="1">
      <alignment horizontal="center" vertical="center" shrinkToFit="1"/>
    </xf>
    <xf numFmtId="41" fontId="14" fillId="0" borderId="164" xfId="6" applyNumberFormat="1" applyFont="1" applyFill="1" applyBorder="1" applyAlignment="1">
      <alignment horizontal="center" vertical="center" wrapText="1"/>
    </xf>
    <xf numFmtId="41" fontId="14" fillId="0" borderId="165" xfId="6" applyNumberFormat="1" applyFont="1" applyFill="1" applyBorder="1" applyAlignment="1">
      <alignment horizontal="center" vertical="center"/>
    </xf>
    <xf numFmtId="41" fontId="14" fillId="0" borderId="163" xfId="6" applyNumberFormat="1" applyFont="1" applyFill="1" applyBorder="1" applyAlignment="1">
      <alignment horizontal="center" vertical="center"/>
    </xf>
    <xf numFmtId="180" fontId="14" fillId="0" borderId="47" xfId="0" applyNumberFormat="1" applyFont="1" applyBorder="1">
      <alignment vertical="center"/>
    </xf>
    <xf numFmtId="41" fontId="16" fillId="0" borderId="0" xfId="1" applyFont="1" applyFill="1" applyBorder="1" applyAlignment="1">
      <alignment horizontal="center" vertical="center" shrinkToFit="1"/>
    </xf>
    <xf numFmtId="41" fontId="16" fillId="0" borderId="0" xfId="0" applyNumberFormat="1" applyFont="1" applyFill="1" applyBorder="1" applyAlignment="1">
      <alignment vertical="center" shrinkToFit="1"/>
    </xf>
    <xf numFmtId="180" fontId="16" fillId="0" borderId="0" xfId="0" applyNumberFormat="1" applyFont="1" applyFill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1" fontId="14" fillId="0" borderId="53" xfId="0" applyNumberFormat="1" applyFont="1" applyBorder="1" applyAlignment="1">
      <alignment horizontal="center" vertical="center"/>
    </xf>
    <xf numFmtId="178" fontId="14" fillId="0" borderId="53" xfId="0" applyNumberFormat="1" applyFont="1" applyBorder="1" applyAlignment="1">
      <alignment horizontal="center" vertical="center"/>
    </xf>
    <xf numFmtId="1" fontId="14" fillId="0" borderId="2" xfId="0" applyNumberFormat="1" applyFont="1" applyBorder="1" applyAlignment="1">
      <alignment horizontal="center" vertical="center"/>
    </xf>
    <xf numFmtId="178" fontId="14" fillId="0" borderId="2" xfId="0" applyNumberFormat="1" applyFont="1" applyBorder="1" applyAlignment="1">
      <alignment horizontal="center" vertical="center"/>
    </xf>
    <xf numFmtId="41" fontId="14" fillId="0" borderId="2" xfId="0" applyNumberFormat="1" applyFont="1" applyBorder="1" applyAlignment="1">
      <alignment horizontal="center" vertical="center"/>
    </xf>
    <xf numFmtId="178" fontId="14" fillId="0" borderId="9" xfId="0" applyNumberFormat="1" applyFont="1" applyBorder="1" applyAlignment="1">
      <alignment horizontal="center" vertical="center"/>
    </xf>
    <xf numFmtId="1" fontId="14" fillId="0" borderId="52" xfId="0" applyNumberFormat="1" applyFont="1" applyBorder="1" applyAlignment="1">
      <alignment horizontal="center" vertical="center"/>
    </xf>
    <xf numFmtId="178" fontId="14" fillId="0" borderId="52" xfId="0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178" fontId="14" fillId="0" borderId="1" xfId="0" applyNumberFormat="1" applyFont="1" applyBorder="1" applyAlignment="1">
      <alignment horizontal="center" vertical="center"/>
    </xf>
    <xf numFmtId="178" fontId="14" fillId="0" borderId="6" xfId="0" applyNumberFormat="1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178" fontId="14" fillId="0" borderId="69" xfId="0" applyNumberFormat="1" applyFont="1" applyBorder="1" applyAlignment="1">
      <alignment horizontal="center" vertical="center"/>
    </xf>
    <xf numFmtId="178" fontId="14" fillId="0" borderId="17" xfId="0" applyNumberFormat="1" applyFont="1" applyBorder="1" applyAlignment="1">
      <alignment horizontal="center" vertical="center"/>
    </xf>
    <xf numFmtId="178" fontId="14" fillId="0" borderId="2" xfId="1" applyNumberFormat="1" applyFont="1" applyBorder="1" applyAlignment="1">
      <alignment horizontal="right" vertical="center"/>
    </xf>
    <xf numFmtId="0" fontId="14" fillId="0" borderId="42" xfId="0" applyFont="1" applyBorder="1" applyAlignment="1">
      <alignment horizontal="center" vertical="center"/>
    </xf>
    <xf numFmtId="1" fontId="14" fillId="0" borderId="50" xfId="0" applyNumberFormat="1" applyFont="1" applyBorder="1" applyAlignment="1">
      <alignment horizontal="center" vertical="center"/>
    </xf>
    <xf numFmtId="178" fontId="14" fillId="0" borderId="50" xfId="0" applyNumberFormat="1" applyFont="1" applyBorder="1" applyAlignment="1">
      <alignment horizontal="center" vertical="center"/>
    </xf>
    <xf numFmtId="1" fontId="14" fillId="0" borderId="7" xfId="0" applyNumberFormat="1" applyFont="1" applyBorder="1" applyAlignment="1">
      <alignment horizontal="center" vertical="center"/>
    </xf>
    <xf numFmtId="178" fontId="14" fillId="0" borderId="7" xfId="0" applyNumberFormat="1" applyFont="1" applyBorder="1" applyAlignment="1">
      <alignment horizontal="center" vertical="center"/>
    </xf>
    <xf numFmtId="41" fontId="14" fillId="0" borderId="7" xfId="1" applyNumberFormat="1" applyFont="1" applyBorder="1" applyAlignment="1">
      <alignment horizontal="center" vertical="center"/>
    </xf>
    <xf numFmtId="41" fontId="14" fillId="0" borderId="7" xfId="0" applyNumberFormat="1" applyFont="1" applyBorder="1" applyAlignment="1">
      <alignment horizontal="center" vertical="center"/>
    </xf>
    <xf numFmtId="178" fontId="14" fillId="0" borderId="32" xfId="0" applyNumberFormat="1" applyFont="1" applyBorder="1" applyAlignment="1">
      <alignment horizontal="center" vertical="center"/>
    </xf>
    <xf numFmtId="178" fontId="7" fillId="0" borderId="0" xfId="0" applyNumberFormat="1" applyFont="1">
      <alignment vertical="center"/>
    </xf>
    <xf numFmtId="1" fontId="7" fillId="0" borderId="0" xfId="0" applyNumberFormat="1" applyFont="1">
      <alignment vertical="center"/>
    </xf>
    <xf numFmtId="41" fontId="16" fillId="0" borderId="3" xfId="4" applyFont="1" applyBorder="1" applyAlignment="1">
      <alignment horizontal="center" vertical="center"/>
    </xf>
    <xf numFmtId="41" fontId="16" fillId="0" borderId="43" xfId="4" applyFont="1" applyBorder="1" applyAlignment="1">
      <alignment horizontal="center" vertical="center"/>
    </xf>
    <xf numFmtId="41" fontId="16" fillId="0" borderId="0" xfId="4" applyFont="1" applyAlignment="1">
      <alignment horizontal="center" vertical="center"/>
    </xf>
    <xf numFmtId="41" fontId="16" fillId="0" borderId="1" xfId="4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180" fontId="16" fillId="0" borderId="0" xfId="4" applyNumberFormat="1" applyFont="1" applyAlignment="1">
      <alignment horizontal="center" vertical="center"/>
    </xf>
    <xf numFmtId="41" fontId="16" fillId="0" borderId="42" xfId="4" applyFont="1" applyBorder="1" applyAlignment="1">
      <alignment horizontal="center" vertical="center"/>
    </xf>
    <xf numFmtId="181" fontId="16" fillId="0" borderId="7" xfId="4" applyNumberFormat="1" applyFont="1" applyBorder="1" applyAlignment="1">
      <alignment horizontal="center" vertical="center"/>
    </xf>
    <xf numFmtId="178" fontId="16" fillId="0" borderId="7" xfId="4" applyNumberFormat="1" applyFont="1" applyBorder="1" applyAlignment="1">
      <alignment horizontal="center" vertical="center"/>
    </xf>
    <xf numFmtId="41" fontId="16" fillId="0" borderId="32" xfId="4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57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/>
    </xf>
    <xf numFmtId="0" fontId="14" fillId="0" borderId="59" xfId="0" applyFont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0" fontId="16" fillId="0" borderId="60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41" fontId="14" fillId="0" borderId="71" xfId="4" applyFont="1" applyFill="1" applyBorder="1" applyAlignment="1">
      <alignment horizontal="right" vertical="center" shrinkToFit="1"/>
    </xf>
    <xf numFmtId="0" fontId="16" fillId="0" borderId="72" xfId="0" applyFont="1" applyBorder="1" applyAlignment="1">
      <alignment horizontal="center" vertical="center"/>
    </xf>
    <xf numFmtId="182" fontId="14" fillId="0" borderId="72" xfId="4" applyNumberFormat="1" applyFont="1" applyFill="1" applyBorder="1" applyAlignment="1">
      <alignment vertical="center" shrinkToFit="1"/>
    </xf>
    <xf numFmtId="182" fontId="16" fillId="0" borderId="73" xfId="4" applyNumberFormat="1" applyFont="1" applyFill="1" applyBorder="1" applyAlignment="1">
      <alignment horizontal="right" vertical="center" shrinkToFit="1"/>
    </xf>
    <xf numFmtId="182" fontId="14" fillId="0" borderId="72" xfId="4" applyNumberFormat="1" applyFont="1" applyFill="1" applyBorder="1" applyAlignment="1">
      <alignment horizontal="right" vertical="center" shrinkToFit="1"/>
    </xf>
    <xf numFmtId="41" fontId="14" fillId="0" borderId="74" xfId="4" applyFont="1" applyFill="1" applyBorder="1" applyAlignment="1">
      <alignment horizontal="right" vertical="center" shrinkToFit="1"/>
    </xf>
    <xf numFmtId="182" fontId="16" fillId="0" borderId="74" xfId="4" applyNumberFormat="1" applyFont="1" applyFill="1" applyBorder="1" applyAlignment="1">
      <alignment horizontal="right" vertical="center" shrinkToFit="1"/>
    </xf>
    <xf numFmtId="182" fontId="16" fillId="0" borderId="72" xfId="4" applyNumberFormat="1" applyFont="1" applyFill="1" applyBorder="1" applyAlignment="1">
      <alignment horizontal="right" vertical="center" shrinkToFit="1"/>
    </xf>
    <xf numFmtId="182" fontId="14" fillId="0" borderId="73" xfId="4" applyNumberFormat="1" applyFont="1" applyFill="1" applyBorder="1" applyAlignment="1">
      <alignment horizontal="right" vertical="center" shrinkToFit="1"/>
    </xf>
    <xf numFmtId="41" fontId="16" fillId="0" borderId="70" xfId="4" applyFont="1" applyFill="1" applyBorder="1" applyAlignment="1">
      <alignment horizontal="right" vertical="center" shrinkToFit="1"/>
    </xf>
    <xf numFmtId="0" fontId="16" fillId="0" borderId="42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178" fontId="14" fillId="0" borderId="7" xfId="4" applyNumberFormat="1" applyFont="1" applyFill="1" applyBorder="1" applyAlignment="1">
      <alignment horizontal="right" vertical="center" shrinkToFit="1"/>
    </xf>
    <xf numFmtId="178" fontId="14" fillId="0" borderId="32" xfId="4" applyNumberFormat="1" applyFont="1" applyFill="1" applyBorder="1" applyAlignment="1">
      <alignment horizontal="center" vertical="center" shrinkToFit="1"/>
    </xf>
    <xf numFmtId="0" fontId="16" fillId="0" borderId="0" xfId="0" applyFont="1">
      <alignment vertical="center"/>
    </xf>
    <xf numFmtId="0" fontId="16" fillId="0" borderId="22" xfId="0" applyFont="1" applyFill="1" applyBorder="1" applyAlignment="1">
      <alignment vertical="center"/>
    </xf>
    <xf numFmtId="0" fontId="16" fillId="0" borderId="39" xfId="0" applyFont="1" applyFill="1" applyBorder="1" applyAlignment="1">
      <alignment vertical="center"/>
    </xf>
    <xf numFmtId="0" fontId="16" fillId="0" borderId="45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2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vertical="center"/>
    </xf>
    <xf numFmtId="0" fontId="16" fillId="0" borderId="87" xfId="0" applyFont="1" applyFill="1" applyBorder="1" applyAlignment="1">
      <alignment vertical="center"/>
    </xf>
    <xf numFmtId="0" fontId="16" fillId="0" borderId="80" xfId="0" applyFont="1" applyFill="1" applyBorder="1" applyAlignment="1">
      <alignment vertical="center"/>
    </xf>
    <xf numFmtId="0" fontId="16" fillId="0" borderId="0" xfId="0" applyFont="1" applyFill="1" applyAlignment="1">
      <alignment vertical="center"/>
    </xf>
    <xf numFmtId="0" fontId="16" fillId="0" borderId="89" xfId="0" applyFont="1" applyBorder="1" applyAlignment="1">
      <alignment vertical="center"/>
    </xf>
    <xf numFmtId="0" fontId="16" fillId="0" borderId="90" xfId="0" applyFont="1" applyBorder="1" applyAlignment="1">
      <alignment vertical="center"/>
    </xf>
    <xf numFmtId="0" fontId="16" fillId="0" borderId="16" xfId="0" applyFont="1" applyFill="1" applyBorder="1" applyAlignment="1">
      <alignment vertical="center"/>
    </xf>
    <xf numFmtId="0" fontId="16" fillId="0" borderId="91" xfId="0" applyFont="1" applyBorder="1" applyAlignment="1">
      <alignment vertical="center"/>
    </xf>
    <xf numFmtId="0" fontId="16" fillId="0" borderId="92" xfId="0" applyFont="1" applyBorder="1" applyAlignment="1">
      <alignment vertical="center"/>
    </xf>
    <xf numFmtId="185" fontId="16" fillId="0" borderId="0" xfId="0" applyNumberFormat="1" applyFont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4" fillId="0" borderId="67" xfId="0" applyFont="1" applyFill="1" applyBorder="1" applyAlignment="1">
      <alignment vertical="center"/>
    </xf>
    <xf numFmtId="0" fontId="16" fillId="0" borderId="54" xfId="0" applyFont="1" applyBorder="1" applyAlignment="1">
      <alignment vertical="center"/>
    </xf>
    <xf numFmtId="0" fontId="16" fillId="0" borderId="93" xfId="0" applyFont="1" applyBorder="1" applyAlignment="1">
      <alignment vertical="center"/>
    </xf>
    <xf numFmtId="41" fontId="16" fillId="0" borderId="3" xfId="4" applyFont="1" applyBorder="1" applyAlignment="1">
      <alignment horizontal="centerContinuous" vertical="center"/>
    </xf>
    <xf numFmtId="41" fontId="16" fillId="0" borderId="40" xfId="4" applyFont="1" applyBorder="1" applyAlignment="1">
      <alignment horizontal="centerContinuous" vertical="center"/>
    </xf>
    <xf numFmtId="0" fontId="9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center" vertical="center"/>
    </xf>
    <xf numFmtId="180" fontId="14" fillId="6" borderId="156" xfId="4" applyNumberFormat="1" applyFont="1" applyFill="1" applyBorder="1" applyAlignment="1">
      <alignment horizontal="center" vertical="center"/>
    </xf>
    <xf numFmtId="180" fontId="14" fillId="0" borderId="156" xfId="4" applyNumberFormat="1" applyFont="1" applyFill="1" applyBorder="1" applyAlignment="1">
      <alignment horizontal="center" vertical="center"/>
    </xf>
    <xf numFmtId="180" fontId="14" fillId="6" borderId="157" xfId="4" applyNumberFormat="1" applyFont="1" applyFill="1" applyBorder="1" applyAlignment="1">
      <alignment horizontal="centerContinuous" vertical="center"/>
    </xf>
    <xf numFmtId="180" fontId="14" fillId="6" borderId="159" xfId="4" applyNumberFormat="1" applyFont="1" applyFill="1" applyBorder="1" applyAlignment="1">
      <alignment horizontal="centerContinuous" vertical="center"/>
    </xf>
    <xf numFmtId="41" fontId="14" fillId="0" borderId="2" xfId="1" applyFont="1" applyBorder="1" applyAlignment="1">
      <alignment horizontal="center" vertical="center"/>
    </xf>
    <xf numFmtId="180" fontId="14" fillId="0" borderId="6" xfId="0" applyNumberFormat="1" applyFont="1" applyBorder="1">
      <alignment vertical="center"/>
    </xf>
    <xf numFmtId="180" fontId="14" fillId="0" borderId="32" xfId="0" applyNumberFormat="1" applyFont="1" applyBorder="1">
      <alignment vertical="center"/>
    </xf>
    <xf numFmtId="198" fontId="16" fillId="0" borderId="7" xfId="3" applyNumberFormat="1" applyFont="1" applyBorder="1" applyAlignment="1">
      <alignment horizontal="center" vertical="center"/>
    </xf>
    <xf numFmtId="41" fontId="4" fillId="2" borderId="167" xfId="1" applyFont="1" applyFill="1" applyBorder="1" applyAlignment="1">
      <alignment vertical="center" shrinkToFit="1"/>
    </xf>
    <xf numFmtId="199" fontId="0" fillId="0" borderId="0" xfId="0" applyNumberFormat="1" applyFill="1">
      <alignment vertical="center"/>
    </xf>
    <xf numFmtId="41" fontId="7" fillId="0" borderId="2" xfId="1" applyFont="1" applyFill="1" applyBorder="1">
      <alignment vertical="center"/>
    </xf>
    <xf numFmtId="180" fontId="14" fillId="0" borderId="0" xfId="0" applyNumberFormat="1" applyFont="1" applyFill="1" applyBorder="1">
      <alignment vertical="center"/>
    </xf>
    <xf numFmtId="41" fontId="14" fillId="0" borderId="5" xfId="1" applyFont="1" applyFill="1" applyBorder="1" applyAlignment="1">
      <alignment vertical="center" shrinkToFit="1"/>
    </xf>
    <xf numFmtId="177" fontId="4" fillId="0" borderId="1" xfId="1" applyNumberFormat="1" applyFont="1" applyFill="1" applyBorder="1" applyAlignment="1">
      <alignment horizontal="center" vertical="center" shrinkToFit="1"/>
    </xf>
    <xf numFmtId="177" fontId="4" fillId="0" borderId="17" xfId="1" applyNumberFormat="1" applyFont="1" applyFill="1" applyBorder="1" applyAlignment="1">
      <alignment horizontal="center" vertical="center" shrinkToFit="1"/>
    </xf>
    <xf numFmtId="180" fontId="16" fillId="0" borderId="0" xfId="1" applyNumberFormat="1" applyFont="1" applyFill="1" applyBorder="1" applyAlignment="1">
      <alignment horizontal="center" vertical="center" shrinkToFit="1"/>
    </xf>
    <xf numFmtId="0" fontId="14" fillId="0" borderId="0" xfId="0" applyFont="1">
      <alignment vertical="center"/>
    </xf>
    <xf numFmtId="41" fontId="14" fillId="0" borderId="0" xfId="4" applyFont="1" applyFill="1" applyBorder="1" applyAlignment="1">
      <alignment horizontal="centerContinuous" vertical="center"/>
    </xf>
    <xf numFmtId="180" fontId="14" fillId="0" borderId="0" xfId="4" applyNumberFormat="1" applyFont="1" applyFill="1" applyBorder="1" applyAlignment="1">
      <alignment horizontal="center" vertical="center"/>
    </xf>
    <xf numFmtId="0" fontId="12" fillId="0" borderId="0" xfId="0" applyFont="1">
      <alignment vertical="center"/>
    </xf>
    <xf numFmtId="43" fontId="12" fillId="0" borderId="0" xfId="0" applyNumberFormat="1" applyFont="1">
      <alignment vertical="center"/>
    </xf>
    <xf numFmtId="41" fontId="14" fillId="0" borderId="162" xfId="4" applyFont="1" applyFill="1" applyBorder="1" applyAlignment="1">
      <alignment horizontal="center" vertical="center"/>
    </xf>
    <xf numFmtId="201" fontId="0" fillId="0" borderId="0" xfId="0" applyNumberFormat="1">
      <alignment vertical="center"/>
    </xf>
    <xf numFmtId="43" fontId="0" fillId="0" borderId="0" xfId="0" applyNumberFormat="1" applyFill="1">
      <alignment vertical="center"/>
    </xf>
    <xf numFmtId="41" fontId="4" fillId="0" borderId="0" xfId="0" applyNumberFormat="1" applyFont="1">
      <alignment vertical="center"/>
    </xf>
    <xf numFmtId="41" fontId="14" fillId="0" borderId="155" xfId="4" applyFont="1" applyFill="1" applyBorder="1" applyAlignment="1">
      <alignment horizontal="center" vertical="center"/>
    </xf>
    <xf numFmtId="41" fontId="14" fillId="0" borderId="88" xfId="4" applyFont="1" applyFill="1" applyBorder="1" applyAlignment="1">
      <alignment horizontal="center" vertical="center"/>
    </xf>
    <xf numFmtId="41" fontId="16" fillId="6" borderId="49" xfId="4" applyFont="1" applyFill="1" applyBorder="1" applyAlignment="1">
      <alignment horizontal="center" vertical="center" wrapText="1"/>
    </xf>
    <xf numFmtId="1" fontId="14" fillId="0" borderId="156" xfId="0" applyNumberFormat="1" applyFont="1" applyBorder="1" applyAlignment="1">
      <alignment horizontal="center" vertical="center"/>
    </xf>
    <xf numFmtId="178" fontId="14" fillId="0" borderId="169" xfId="0" applyNumberFormat="1" applyFont="1" applyBorder="1" applyAlignment="1">
      <alignment horizontal="center" vertical="center"/>
    </xf>
    <xf numFmtId="41" fontId="5" fillId="0" borderId="178" xfId="1" applyFont="1" applyBorder="1" applyAlignment="1">
      <alignment horizontal="right" vertical="center"/>
    </xf>
    <xf numFmtId="41" fontId="5" fillId="0" borderId="68" xfId="1" applyFont="1" applyBorder="1" applyAlignment="1">
      <alignment horizontal="right" vertical="center"/>
    </xf>
    <xf numFmtId="41" fontId="5" fillId="3" borderId="18" xfId="1" applyNumberFormat="1" applyFont="1" applyFill="1" applyBorder="1" applyAlignment="1">
      <alignment horizontal="right" vertical="center" shrinkToFit="1"/>
    </xf>
    <xf numFmtId="0" fontId="4" fillId="0" borderId="0" xfId="0" applyFont="1" applyAlignment="1">
      <alignment horizontal="center" vertical="center"/>
    </xf>
    <xf numFmtId="41" fontId="4" fillId="0" borderId="0" xfId="1" applyFont="1">
      <alignment vertical="center"/>
    </xf>
    <xf numFmtId="0" fontId="4" fillId="0" borderId="182" xfId="0" applyFont="1" applyBorder="1" applyAlignment="1">
      <alignment horizontal="center" vertical="center"/>
    </xf>
    <xf numFmtId="41" fontId="4" fillId="0" borderId="182" xfId="1" applyFont="1" applyBorder="1">
      <alignment vertical="center"/>
    </xf>
    <xf numFmtId="41" fontId="4" fillId="0" borderId="182" xfId="0" applyNumberFormat="1" applyFont="1" applyBorder="1">
      <alignment vertical="center"/>
    </xf>
    <xf numFmtId="0" fontId="58" fillId="0" borderId="155" xfId="0" applyFont="1" applyBorder="1" applyAlignment="1">
      <alignment horizontal="center" vertical="center"/>
    </xf>
    <xf numFmtId="41" fontId="58" fillId="0" borderId="155" xfId="1" applyFont="1" applyBorder="1">
      <alignment vertical="center"/>
    </xf>
    <xf numFmtId="0" fontId="4" fillId="0" borderId="0" xfId="0" quotePrefix="1" applyFont="1" applyAlignment="1">
      <alignment horizontal="center" vertical="center"/>
    </xf>
    <xf numFmtId="41" fontId="5" fillId="0" borderId="162" xfId="0" applyNumberFormat="1" applyFont="1" applyBorder="1">
      <alignment vertical="center"/>
    </xf>
    <xf numFmtId="43" fontId="4" fillId="0" borderId="0" xfId="0" applyNumberFormat="1" applyFont="1">
      <alignment vertical="center"/>
    </xf>
    <xf numFmtId="182" fontId="4" fillId="0" borderId="0" xfId="1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right" vertical="center"/>
    </xf>
    <xf numFmtId="176" fontId="4" fillId="0" borderId="0" xfId="0" applyNumberFormat="1" applyFont="1" applyAlignment="1">
      <alignment vertical="center" shrinkToFit="1"/>
    </xf>
    <xf numFmtId="41" fontId="4" fillId="0" borderId="1" xfId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1" fontId="4" fillId="0" borderId="17" xfId="1" applyFont="1" applyFill="1" applyBorder="1" applyAlignment="1">
      <alignment horizontal="center" vertical="center"/>
    </xf>
    <xf numFmtId="180" fontId="4" fillId="0" borderId="3" xfId="1" applyNumberFormat="1" applyFont="1" applyFill="1" applyBorder="1" applyAlignment="1">
      <alignment horizontal="center" vertical="center" shrinkToFit="1"/>
    </xf>
    <xf numFmtId="41" fontId="4" fillId="0" borderId="3" xfId="1" applyFont="1" applyFill="1" applyBorder="1" applyAlignment="1">
      <alignment horizontal="center" vertical="center"/>
    </xf>
    <xf numFmtId="180" fontId="4" fillId="0" borderId="1" xfId="1" applyNumberFormat="1" applyFont="1" applyFill="1" applyBorder="1" applyAlignment="1">
      <alignment horizontal="center" vertical="center" shrinkToFit="1"/>
    </xf>
    <xf numFmtId="177" fontId="4" fillId="0" borderId="33" xfId="1" applyNumberFormat="1" applyFont="1" applyFill="1" applyBorder="1" applyAlignment="1">
      <alignment horizontal="center" vertical="center" shrinkToFit="1"/>
    </xf>
    <xf numFmtId="180" fontId="4" fillId="0" borderId="33" xfId="1" applyNumberFormat="1" applyFont="1" applyFill="1" applyBorder="1" applyAlignment="1">
      <alignment horizontal="center" vertical="center" shrinkToFit="1"/>
    </xf>
    <xf numFmtId="41" fontId="4" fillId="0" borderId="33" xfId="1" applyFont="1" applyFill="1" applyBorder="1" applyAlignment="1">
      <alignment horizontal="center" vertical="center"/>
    </xf>
    <xf numFmtId="41" fontId="4" fillId="0" borderId="36" xfId="1" applyNumberFormat="1" applyFont="1" applyFill="1" applyBorder="1" applyAlignment="1">
      <alignment horizontal="center" vertical="center" shrinkToFit="1"/>
    </xf>
    <xf numFmtId="41" fontId="4" fillId="0" borderId="36" xfId="1" applyFont="1" applyFill="1" applyBorder="1" applyAlignment="1">
      <alignment horizontal="center" vertical="center"/>
    </xf>
    <xf numFmtId="41" fontId="4" fillId="0" borderId="1" xfId="1" applyNumberFormat="1" applyFont="1" applyFill="1" applyBorder="1" applyAlignment="1">
      <alignment horizontal="center" vertical="center" shrinkToFit="1"/>
    </xf>
    <xf numFmtId="41" fontId="4" fillId="0" borderId="33" xfId="1" applyNumberFormat="1" applyFont="1" applyFill="1" applyBorder="1" applyAlignment="1">
      <alignment horizontal="center" vertical="center" shrinkToFit="1"/>
    </xf>
    <xf numFmtId="180" fontId="4" fillId="0" borderId="36" xfId="1" applyNumberFormat="1" applyFont="1" applyFill="1" applyBorder="1" applyAlignment="1">
      <alignment horizontal="center" vertical="center" shrinkToFit="1"/>
    </xf>
    <xf numFmtId="177" fontId="4" fillId="0" borderId="36" xfId="1" applyNumberFormat="1" applyFont="1" applyFill="1" applyBorder="1" applyAlignment="1">
      <alignment horizontal="center" vertical="center" shrinkToFit="1"/>
    </xf>
    <xf numFmtId="0" fontId="4" fillId="0" borderId="53" xfId="0" applyFont="1" applyFill="1" applyBorder="1" applyAlignment="1">
      <alignment horizontal="center" vertical="center"/>
    </xf>
    <xf numFmtId="41" fontId="4" fillId="0" borderId="2" xfId="1" applyFont="1" applyFill="1" applyBorder="1" applyAlignment="1">
      <alignment vertical="center" shrinkToFit="1"/>
    </xf>
    <xf numFmtId="177" fontId="4" fillId="0" borderId="2" xfId="1" applyNumberFormat="1" applyFont="1" applyFill="1" applyBorder="1" applyAlignment="1">
      <alignment horizontal="center" vertical="center" shrinkToFit="1"/>
    </xf>
    <xf numFmtId="41" fontId="4" fillId="0" borderId="2" xfId="1" applyFont="1" applyFill="1" applyBorder="1" applyAlignment="1">
      <alignment horizontal="center" vertical="center"/>
    </xf>
    <xf numFmtId="0" fontId="4" fillId="0" borderId="179" xfId="0" applyFont="1" applyFill="1" applyBorder="1" applyAlignment="1">
      <alignment horizontal="center" vertical="center"/>
    </xf>
    <xf numFmtId="41" fontId="4" fillId="0" borderId="17" xfId="1" applyNumberFormat="1" applyFont="1" applyFill="1" applyBorder="1" applyAlignment="1">
      <alignment horizontal="center" vertical="center" shrinkToFit="1"/>
    </xf>
    <xf numFmtId="0" fontId="4" fillId="0" borderId="176" xfId="0" applyFont="1" applyFill="1" applyBorder="1" applyAlignment="1">
      <alignment horizontal="center" vertical="center" wrapText="1"/>
    </xf>
    <xf numFmtId="0" fontId="4" fillId="0" borderId="176" xfId="0" applyFont="1" applyFill="1" applyBorder="1" applyAlignment="1">
      <alignment horizontal="center" vertical="center"/>
    </xf>
    <xf numFmtId="41" fontId="4" fillId="0" borderId="177" xfId="1" applyFont="1" applyFill="1" applyBorder="1" applyAlignment="1">
      <alignment horizontal="center" vertical="center" shrinkToFit="1"/>
    </xf>
    <xf numFmtId="41" fontId="4" fillId="0" borderId="177" xfId="1" applyNumberFormat="1" applyFont="1" applyFill="1" applyBorder="1" applyAlignment="1">
      <alignment horizontal="center" vertical="center" shrinkToFit="1"/>
    </xf>
    <xf numFmtId="177" fontId="4" fillId="0" borderId="177" xfId="1" applyNumberFormat="1" applyFont="1" applyFill="1" applyBorder="1" applyAlignment="1">
      <alignment horizontal="center" vertical="center" shrinkToFit="1"/>
    </xf>
    <xf numFmtId="41" fontId="4" fillId="0" borderId="177" xfId="1" applyFont="1" applyFill="1" applyBorder="1" applyAlignment="1">
      <alignment horizontal="center" vertical="center"/>
    </xf>
    <xf numFmtId="0" fontId="4" fillId="0" borderId="181" xfId="0" applyFont="1" applyFill="1" applyBorder="1" applyAlignment="1">
      <alignment horizontal="center" vertical="center" wrapText="1"/>
    </xf>
    <xf numFmtId="0" fontId="4" fillId="0" borderId="180" xfId="0" applyFont="1" applyFill="1" applyBorder="1" applyAlignment="1">
      <alignment horizontal="center" vertical="center"/>
    </xf>
    <xf numFmtId="41" fontId="4" fillId="0" borderId="56" xfId="1" applyFont="1" applyFill="1" applyBorder="1" applyAlignment="1">
      <alignment horizontal="center" vertical="center" shrinkToFit="1"/>
    </xf>
    <xf numFmtId="41" fontId="4" fillId="0" borderId="56" xfId="1" applyNumberFormat="1" applyFont="1" applyFill="1" applyBorder="1" applyAlignment="1">
      <alignment horizontal="center" vertical="center" shrinkToFit="1"/>
    </xf>
    <xf numFmtId="177" fontId="4" fillId="0" borderId="56" xfId="1" applyNumberFormat="1" applyFont="1" applyFill="1" applyBorder="1" applyAlignment="1">
      <alignment horizontal="center" vertical="center" shrinkToFit="1"/>
    </xf>
    <xf numFmtId="41" fontId="4" fillId="0" borderId="56" xfId="1" applyFont="1" applyFill="1" applyBorder="1" applyAlignment="1">
      <alignment horizontal="center" vertical="center"/>
    </xf>
    <xf numFmtId="177" fontId="4" fillId="0" borderId="3" xfId="1" applyNumberFormat="1" applyFont="1" applyFill="1" applyBorder="1" applyAlignment="1">
      <alignment horizontal="center" vertical="center" shrinkToFit="1"/>
    </xf>
    <xf numFmtId="177" fontId="4" fillId="0" borderId="33" xfId="1" applyNumberFormat="1" applyFont="1" applyFill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177" fontId="4" fillId="0" borderId="1" xfId="1" applyNumberFormat="1" applyFont="1" applyBorder="1" applyAlignment="1">
      <alignment vertical="center" shrinkToFit="1"/>
    </xf>
    <xf numFmtId="177" fontId="4" fillId="0" borderId="156" xfId="1" applyNumberFormat="1" applyFont="1" applyBorder="1" applyAlignment="1">
      <alignment vertical="center" shrinkToFit="1"/>
    </xf>
    <xf numFmtId="0" fontId="4" fillId="0" borderId="1" xfId="0" applyFont="1" applyBorder="1" applyAlignment="1">
      <alignment horizontal="center" vertical="center" shrinkToFit="1"/>
    </xf>
    <xf numFmtId="41" fontId="4" fillId="0" borderId="1" xfId="1" applyFont="1" applyBorder="1">
      <alignment vertical="center"/>
    </xf>
    <xf numFmtId="177" fontId="4" fillId="0" borderId="0" xfId="1" applyNumberFormat="1" applyFont="1">
      <alignment vertical="center"/>
    </xf>
    <xf numFmtId="41" fontId="4" fillId="0" borderId="156" xfId="1" applyFont="1" applyBorder="1">
      <alignment vertical="center"/>
    </xf>
    <xf numFmtId="177" fontId="4" fillId="0" borderId="1" xfId="1" applyNumberFormat="1" applyFont="1" applyFill="1" applyBorder="1" applyAlignment="1">
      <alignment horizontal="center" vertical="center"/>
    </xf>
    <xf numFmtId="177" fontId="4" fillId="0" borderId="1" xfId="1" applyNumberFormat="1" applyFont="1" applyBorder="1">
      <alignment vertical="center"/>
    </xf>
    <xf numFmtId="0" fontId="4" fillId="4" borderId="0" xfId="0" applyFont="1" applyFill="1">
      <alignment vertical="center"/>
    </xf>
    <xf numFmtId="43" fontId="4" fillId="0" borderId="0" xfId="0" applyNumberFormat="1" applyFont="1" applyAlignment="1">
      <alignment horizontal="right" vertical="center"/>
    </xf>
    <xf numFmtId="0" fontId="4" fillId="0" borderId="0" xfId="0" applyFont="1" applyFill="1">
      <alignment vertical="center"/>
    </xf>
    <xf numFmtId="41" fontId="4" fillId="0" borderId="0" xfId="0" applyNumberFormat="1" applyFont="1" applyFill="1">
      <alignment vertical="center"/>
    </xf>
    <xf numFmtId="41" fontId="4" fillId="0" borderId="0" xfId="1" applyFont="1" applyFill="1">
      <alignment vertical="center"/>
    </xf>
    <xf numFmtId="41" fontId="4" fillId="0" borderId="0" xfId="0" applyNumberFormat="1" applyFont="1" applyAlignment="1">
      <alignment horizontal="right" vertical="center"/>
    </xf>
    <xf numFmtId="41" fontId="4" fillId="3" borderId="24" xfId="1" applyFont="1" applyFill="1" applyBorder="1" applyAlignment="1">
      <alignment horizontal="center" vertical="center" shrinkToFit="1"/>
    </xf>
    <xf numFmtId="41" fontId="5" fillId="0" borderId="36" xfId="1" applyFont="1" applyFill="1" applyBorder="1" applyAlignment="1">
      <alignment horizontal="center" vertical="center"/>
    </xf>
    <xf numFmtId="41" fontId="5" fillId="0" borderId="33" xfId="1" applyFont="1" applyFill="1" applyBorder="1" applyAlignment="1">
      <alignment horizontal="center" vertical="center"/>
    </xf>
    <xf numFmtId="41" fontId="5" fillId="0" borderId="35" xfId="1" applyFont="1" applyBorder="1" applyAlignment="1">
      <alignment horizontal="right" vertical="center"/>
    </xf>
    <xf numFmtId="41" fontId="5" fillId="0" borderId="41" xfId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33" xfId="0" applyFont="1" applyFill="1" applyBorder="1" applyAlignment="1">
      <alignment horizontal="center" vertical="center"/>
    </xf>
    <xf numFmtId="0" fontId="4" fillId="0" borderId="3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1" applyNumberFormat="1" applyFont="1" applyBorder="1" applyAlignment="1">
      <alignment horizontal="center" vertical="center"/>
    </xf>
    <xf numFmtId="0" fontId="4" fillId="5" borderId="23" xfId="0" applyFont="1" applyFill="1" applyBorder="1" applyAlignment="1">
      <alignment horizontal="centerContinuous" vertical="center"/>
    </xf>
    <xf numFmtId="0" fontId="4" fillId="5" borderId="24" xfId="0" applyFont="1" applyFill="1" applyBorder="1" applyAlignment="1">
      <alignment horizontal="centerContinuous" vertical="center"/>
    </xf>
    <xf numFmtId="0" fontId="4" fillId="5" borderId="24" xfId="0" applyFont="1" applyFill="1" applyBorder="1" applyAlignment="1">
      <alignment horizontal="center" vertical="center"/>
    </xf>
    <xf numFmtId="177" fontId="4" fillId="5" borderId="20" xfId="1" applyNumberFormat="1" applyFont="1" applyFill="1" applyBorder="1" applyAlignment="1">
      <alignment horizontal="center" vertical="center"/>
    </xf>
    <xf numFmtId="177" fontId="4" fillId="5" borderId="24" xfId="1" applyNumberFormat="1" applyFont="1" applyFill="1" applyBorder="1" applyAlignment="1">
      <alignment horizontal="center" vertical="center"/>
    </xf>
    <xf numFmtId="41" fontId="4" fillId="5" borderId="24" xfId="1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0" borderId="156" xfId="0" applyFont="1" applyBorder="1" applyAlignment="1">
      <alignment horizontal="center" vertical="center"/>
    </xf>
    <xf numFmtId="41" fontId="4" fillId="0" borderId="156" xfId="0" applyNumberFormat="1" applyFont="1" applyBorder="1">
      <alignment vertical="center"/>
    </xf>
    <xf numFmtId="180" fontId="14" fillId="6" borderId="158" xfId="4" applyNumberFormat="1" applyFont="1" applyFill="1" applyBorder="1" applyAlignment="1">
      <alignment horizontal="center" vertical="center"/>
    </xf>
    <xf numFmtId="0" fontId="23" fillId="0" borderId="0" xfId="0" applyFont="1">
      <alignment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Continuous" vertical="center"/>
    </xf>
    <xf numFmtId="0" fontId="12" fillId="0" borderId="0" xfId="0" applyFont="1" applyFill="1">
      <alignment vertical="center"/>
    </xf>
    <xf numFmtId="43" fontId="12" fillId="0" borderId="0" xfId="0" applyNumberFormat="1" applyFont="1" applyFill="1" applyBorder="1" applyAlignment="1">
      <alignment vertical="center"/>
    </xf>
    <xf numFmtId="41" fontId="14" fillId="0" borderId="0" xfId="0" applyNumberFormat="1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 wrapText="1"/>
    </xf>
    <xf numFmtId="0" fontId="12" fillId="0" borderId="0" xfId="0" applyFont="1" applyFill="1" applyAlignment="1">
      <alignment vertical="center"/>
    </xf>
    <xf numFmtId="41" fontId="14" fillId="0" borderId="0" xfId="0" applyNumberFormat="1" applyFont="1" applyFill="1" applyAlignment="1">
      <alignment horizontal="center" vertical="center"/>
    </xf>
    <xf numFmtId="185" fontId="14" fillId="0" borderId="0" xfId="0" applyNumberFormat="1" applyFont="1" applyFill="1" applyAlignment="1">
      <alignment horizontal="center" vertical="center"/>
    </xf>
    <xf numFmtId="185" fontId="14" fillId="0" borderId="0" xfId="0" applyNumberFormat="1" applyFont="1" applyFill="1" applyAlignment="1">
      <alignment vertical="center"/>
    </xf>
    <xf numFmtId="0" fontId="14" fillId="0" borderId="0" xfId="0" applyFont="1" applyFill="1" applyAlignment="1">
      <alignment vertical="center"/>
    </xf>
    <xf numFmtId="200" fontId="12" fillId="0" borderId="0" xfId="0" applyNumberFormat="1" applyFont="1">
      <alignment vertical="center"/>
    </xf>
    <xf numFmtId="41" fontId="12" fillId="0" borderId="0" xfId="1" applyFont="1">
      <alignment vertical="center"/>
    </xf>
    <xf numFmtId="41" fontId="12" fillId="0" borderId="0" xfId="0" applyNumberFormat="1" applyFont="1">
      <alignment vertical="center"/>
    </xf>
    <xf numFmtId="184" fontId="12" fillId="0" borderId="0" xfId="0" applyNumberFormat="1" applyFont="1">
      <alignment vertical="center"/>
    </xf>
    <xf numFmtId="43" fontId="12" fillId="0" borderId="0" xfId="0" applyNumberFormat="1" applyFont="1" applyBorder="1">
      <alignment vertical="center"/>
    </xf>
    <xf numFmtId="41" fontId="11" fillId="0" borderId="0" xfId="1" applyFont="1" applyFill="1" applyAlignment="1">
      <alignment horizontal="center" vertical="center"/>
    </xf>
    <xf numFmtId="177" fontId="11" fillId="0" borderId="0" xfId="1" applyNumberFormat="1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41" fontId="11" fillId="0" borderId="0" xfId="1" applyFont="1" applyFill="1" applyAlignment="1">
      <alignment vertical="center"/>
    </xf>
    <xf numFmtId="41" fontId="12" fillId="0" borderId="0" xfId="1" applyFont="1" applyFill="1" applyAlignment="1">
      <alignment vertical="center"/>
    </xf>
    <xf numFmtId="0" fontId="11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41" fontId="16" fillId="6" borderId="45" xfId="1" applyFont="1" applyFill="1" applyBorder="1" applyAlignment="1">
      <alignment horizontal="centerContinuous" vertical="center" shrinkToFit="1"/>
    </xf>
    <xf numFmtId="41" fontId="7" fillId="0" borderId="2" xfId="1" applyFont="1" applyBorder="1" applyAlignment="1">
      <alignment horizontal="right" vertical="center"/>
    </xf>
    <xf numFmtId="41" fontId="7" fillId="0" borderId="2" xfId="1" applyFont="1" applyFill="1" applyBorder="1" applyAlignment="1">
      <alignment vertical="center"/>
    </xf>
    <xf numFmtId="0" fontId="0" fillId="0" borderId="46" xfId="0" applyFill="1" applyBorder="1">
      <alignment vertical="center"/>
    </xf>
    <xf numFmtId="0" fontId="16" fillId="0" borderId="173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82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202" fontId="14" fillId="0" borderId="0" xfId="0" applyNumberFormat="1" applyFont="1" applyBorder="1" applyAlignment="1">
      <alignment horizontal="center" vertical="center"/>
    </xf>
    <xf numFmtId="41" fontId="5" fillId="0" borderId="0" xfId="0" applyNumberFormat="1" applyFont="1">
      <alignment vertical="center"/>
    </xf>
    <xf numFmtId="41" fontId="16" fillId="8" borderId="186" xfId="0" applyNumberFormat="1" applyFont="1" applyFill="1" applyBorder="1" applyAlignment="1">
      <alignment vertical="center" shrinkToFit="1"/>
    </xf>
    <xf numFmtId="41" fontId="16" fillId="6" borderId="172" xfId="1" applyFont="1" applyFill="1" applyBorder="1" applyAlignment="1">
      <alignment horizontal="centerContinuous" vertical="center" wrapText="1" shrinkToFit="1"/>
    </xf>
    <xf numFmtId="41" fontId="16" fillId="6" borderId="160" xfId="1" applyFont="1" applyFill="1" applyBorder="1" applyAlignment="1">
      <alignment horizontal="centerContinuous" vertical="center" shrinkToFit="1"/>
    </xf>
    <xf numFmtId="41" fontId="14" fillId="0" borderId="94" xfId="6" applyNumberFormat="1" applyFont="1" applyFill="1" applyAlignment="1">
      <alignment horizontal="centerContinuous" vertical="center" wrapText="1"/>
    </xf>
    <xf numFmtId="0" fontId="16" fillId="0" borderId="156" xfId="0" applyFont="1" applyFill="1" applyBorder="1" applyAlignment="1">
      <alignment horizontal="center" vertical="center"/>
    </xf>
    <xf numFmtId="0" fontId="7" fillId="6" borderId="0" xfId="0" quotePrefix="1" applyFont="1" applyFill="1" applyAlignment="1">
      <alignment horizontal="left" vertical="center"/>
    </xf>
    <xf numFmtId="0" fontId="7" fillId="6" borderId="0" xfId="0" applyFont="1" applyFill="1" applyAlignment="1">
      <alignment horizontal="centerContinuous" vertical="center"/>
    </xf>
    <xf numFmtId="0" fontId="7" fillId="6" borderId="0" xfId="0" applyFont="1" applyFill="1" applyAlignment="1">
      <alignment horizontal="left" vertical="center"/>
    </xf>
    <xf numFmtId="0" fontId="59" fillId="0" borderId="162" xfId="0" applyFont="1" applyBorder="1" applyAlignment="1">
      <alignment horizontal="centerContinuous" vertical="center"/>
    </xf>
    <xf numFmtId="185" fontId="59" fillId="0" borderId="162" xfId="0" applyNumberFormat="1" applyFont="1" applyBorder="1" applyAlignment="1">
      <alignment horizontal="center" vertical="center"/>
    </xf>
    <xf numFmtId="43" fontId="4" fillId="0" borderId="0" xfId="1" applyNumberFormat="1" applyFont="1">
      <alignment vertical="center"/>
    </xf>
    <xf numFmtId="0" fontId="59" fillId="0" borderId="162" xfId="0" applyFont="1" applyBorder="1" applyAlignment="1">
      <alignment horizontal="center" vertical="center"/>
    </xf>
    <xf numFmtId="0" fontId="59" fillId="0" borderId="170" xfId="0" applyFont="1" applyBorder="1" applyAlignment="1">
      <alignment horizontal="center" vertical="center"/>
    </xf>
    <xf numFmtId="0" fontId="59" fillId="0" borderId="170" xfId="0" applyFont="1" applyBorder="1" applyAlignment="1">
      <alignment horizontal="centerContinuous" vertical="center"/>
    </xf>
    <xf numFmtId="185" fontId="14" fillId="0" borderId="0" xfId="0" applyNumberFormat="1" applyFont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202" fontId="14" fillId="0" borderId="0" xfId="0" applyNumberFormat="1" applyFont="1" applyFill="1" applyBorder="1" applyAlignment="1">
      <alignment horizontal="center" vertical="center"/>
    </xf>
    <xf numFmtId="0" fontId="14" fillId="0" borderId="170" xfId="0" applyFont="1" applyBorder="1" applyAlignment="1">
      <alignment horizontal="center" vertical="center"/>
    </xf>
    <xf numFmtId="0" fontId="14" fillId="0" borderId="162" xfId="0" applyFont="1" applyBorder="1" applyAlignment="1">
      <alignment horizontal="center" vertical="center"/>
    </xf>
    <xf numFmtId="0" fontId="61" fillId="0" borderId="0" xfId="0" applyFont="1" applyBorder="1" applyAlignment="1">
      <alignment horizontal="center" vertical="center"/>
    </xf>
    <xf numFmtId="185" fontId="61" fillId="0" borderId="0" xfId="0" applyNumberFormat="1" applyFont="1" applyBorder="1" applyAlignment="1">
      <alignment horizontal="center" vertical="center"/>
    </xf>
    <xf numFmtId="1" fontId="14" fillId="0" borderId="0" xfId="0" applyNumberFormat="1" applyFont="1" applyBorder="1" applyAlignment="1">
      <alignment horizontal="center" vertical="center"/>
    </xf>
    <xf numFmtId="177" fontId="14" fillId="0" borderId="0" xfId="4" applyNumberFormat="1" applyFont="1" applyFill="1" applyBorder="1" applyAlignment="1">
      <alignment horizontal="center" vertical="center"/>
    </xf>
    <xf numFmtId="0" fontId="14" fillId="0" borderId="187" xfId="0" applyFont="1" applyBorder="1" applyAlignment="1">
      <alignment horizontal="center" vertical="center"/>
    </xf>
    <xf numFmtId="41" fontId="14" fillId="0" borderId="187" xfId="1" applyFont="1" applyBorder="1">
      <alignment vertical="center"/>
    </xf>
    <xf numFmtId="41" fontId="14" fillId="0" borderId="187" xfId="0" applyNumberFormat="1" applyFont="1" applyBorder="1">
      <alignment vertical="center"/>
    </xf>
    <xf numFmtId="0" fontId="59" fillId="0" borderId="185" xfId="0" applyFont="1" applyBorder="1" applyAlignment="1">
      <alignment horizontal="center" vertical="center"/>
    </xf>
    <xf numFmtId="41" fontId="59" fillId="0" borderId="185" xfId="0" applyNumberFormat="1" applyFont="1" applyBorder="1">
      <alignment vertical="center"/>
    </xf>
    <xf numFmtId="0" fontId="14" fillId="0" borderId="188" xfId="0" applyFont="1" applyBorder="1" applyAlignment="1">
      <alignment horizontal="center" vertical="center"/>
    </xf>
    <xf numFmtId="0" fontId="14" fillId="0" borderId="189" xfId="0" applyFont="1" applyBorder="1" applyAlignment="1">
      <alignment horizontal="center" vertical="center"/>
    </xf>
    <xf numFmtId="0" fontId="14" fillId="0" borderId="190" xfId="0" applyFont="1" applyBorder="1" applyAlignment="1">
      <alignment horizontal="center" vertical="center"/>
    </xf>
    <xf numFmtId="0" fontId="14" fillId="0" borderId="190" xfId="0" applyFont="1" applyBorder="1" applyAlignment="1">
      <alignment horizontal="center" vertical="center" wrapText="1"/>
    </xf>
    <xf numFmtId="0" fontId="14" fillId="0" borderId="72" xfId="0" applyFont="1" applyBorder="1" applyAlignment="1">
      <alignment horizontal="center" vertical="center"/>
    </xf>
    <xf numFmtId="0" fontId="14" fillId="0" borderId="193" xfId="0" applyFont="1" applyBorder="1" applyAlignment="1">
      <alignment horizontal="center" vertical="center"/>
    </xf>
    <xf numFmtId="0" fontId="14" fillId="6" borderId="0" xfId="0" applyFont="1" applyFill="1">
      <alignment vertical="center"/>
    </xf>
    <xf numFmtId="41" fontId="61" fillId="0" borderId="185" xfId="0" applyNumberFormat="1" applyFont="1" applyBorder="1">
      <alignment vertical="center"/>
    </xf>
    <xf numFmtId="0" fontId="59" fillId="0" borderId="195" xfId="0" applyFont="1" applyBorder="1" applyAlignment="1">
      <alignment horizontal="center" vertical="center"/>
    </xf>
    <xf numFmtId="0" fontId="59" fillId="0" borderId="196" xfId="0" applyFont="1" applyBorder="1" applyAlignment="1">
      <alignment horizontal="center" vertical="center"/>
    </xf>
    <xf numFmtId="0" fontId="59" fillId="0" borderId="197" xfId="0" applyFont="1" applyBorder="1" applyAlignment="1">
      <alignment horizontal="center" vertical="center"/>
    </xf>
    <xf numFmtId="185" fontId="59" fillId="0" borderId="170" xfId="0" applyNumberFormat="1" applyFont="1" applyBorder="1" applyAlignment="1">
      <alignment horizontal="center" vertical="center"/>
    </xf>
    <xf numFmtId="41" fontId="5" fillId="0" borderId="22" xfId="1" applyNumberFormat="1" applyFont="1" applyFill="1" applyBorder="1" applyAlignment="1">
      <alignment horizontal="center" vertical="center" shrinkToFit="1"/>
    </xf>
    <xf numFmtId="41" fontId="5" fillId="0" borderId="36" xfId="1" applyNumberFormat="1" applyFont="1" applyFill="1" applyBorder="1" applyAlignment="1">
      <alignment horizontal="center" vertical="center" shrinkToFit="1"/>
    </xf>
    <xf numFmtId="0" fontId="7" fillId="0" borderId="162" xfId="0" applyFont="1" applyBorder="1" applyAlignment="1">
      <alignment horizontal="right" vertical="center"/>
    </xf>
    <xf numFmtId="41" fontId="7" fillId="0" borderId="156" xfId="1" applyFont="1" applyBorder="1" applyAlignment="1">
      <alignment vertical="center"/>
    </xf>
    <xf numFmtId="41" fontId="16" fillId="6" borderId="44" xfId="1" applyFont="1" applyFill="1" applyBorder="1" applyAlignment="1">
      <alignment horizontal="centerContinuous" vertical="center" wrapText="1" shrinkToFit="1"/>
    </xf>
    <xf numFmtId="185" fontId="14" fillId="0" borderId="182" xfId="0" applyNumberFormat="1" applyFont="1" applyBorder="1" applyAlignment="1">
      <alignment horizontal="center" vertical="center"/>
    </xf>
    <xf numFmtId="185" fontId="14" fillId="0" borderId="0" xfId="0" applyNumberFormat="1" applyFont="1" applyFill="1" applyBorder="1" applyAlignment="1">
      <alignment horizontal="center" vertical="center"/>
    </xf>
    <xf numFmtId="0" fontId="14" fillId="0" borderId="191" xfId="0" applyFont="1" applyBorder="1" applyAlignment="1">
      <alignment horizontal="center" vertical="center"/>
    </xf>
    <xf numFmtId="0" fontId="14" fillId="0" borderId="192" xfId="0" applyFont="1" applyBorder="1" applyAlignment="1">
      <alignment horizontal="center" vertical="center"/>
    </xf>
    <xf numFmtId="0" fontId="14" fillId="0" borderId="194" xfId="0" applyFont="1" applyBorder="1" applyAlignment="1">
      <alignment horizontal="center" vertical="center"/>
    </xf>
    <xf numFmtId="0" fontId="14" fillId="0" borderId="73" xfId="0" applyFont="1" applyBorder="1" applyAlignment="1">
      <alignment horizontal="center" vertical="center"/>
    </xf>
    <xf numFmtId="180" fontId="14" fillId="0" borderId="0" xfId="1" applyNumberFormat="1" applyFont="1" applyFill="1" applyBorder="1" applyAlignment="1">
      <alignment horizontal="center" vertical="center" shrinkToFit="1"/>
    </xf>
    <xf numFmtId="41" fontId="14" fillId="0" borderId="5" xfId="1" applyFont="1" applyFill="1" applyBorder="1" applyAlignment="1">
      <alignment horizontal="center" vertical="center" shrinkToFit="1"/>
    </xf>
    <xf numFmtId="41" fontId="14" fillId="8" borderId="65" xfId="1" applyFont="1" applyFill="1" applyBorder="1" applyAlignment="1">
      <alignment horizontal="center" vertical="center" shrinkToFit="1"/>
    </xf>
    <xf numFmtId="180" fontId="14" fillId="8" borderId="65" xfId="1" applyNumberFormat="1" applyFont="1" applyFill="1" applyBorder="1" applyAlignment="1">
      <alignment horizontal="center" vertical="center" shrinkToFit="1"/>
    </xf>
    <xf numFmtId="41" fontId="12" fillId="0" borderId="0" xfId="1" applyFont="1" applyFill="1" applyAlignment="1">
      <alignment horizontal="center" vertical="center"/>
    </xf>
    <xf numFmtId="43" fontId="4" fillId="0" borderId="0" xfId="0" applyNumberFormat="1" applyFont="1" applyFill="1" applyAlignment="1">
      <alignment horizontal="right" vertical="center"/>
    </xf>
    <xf numFmtId="41" fontId="16" fillId="0" borderId="175" xfId="0" applyNumberFormat="1" applyFont="1" applyFill="1" applyBorder="1" applyAlignment="1">
      <alignment vertical="center" shrinkToFit="1"/>
    </xf>
    <xf numFmtId="180" fontId="16" fillId="0" borderId="80" xfId="1" applyNumberFormat="1" applyFont="1" applyFill="1" applyBorder="1" applyAlignment="1">
      <alignment horizontal="center" vertical="center" shrinkToFit="1"/>
    </xf>
    <xf numFmtId="200" fontId="4" fillId="0" borderId="0" xfId="0" applyNumberFormat="1" applyFont="1">
      <alignment vertical="center"/>
    </xf>
    <xf numFmtId="0" fontId="14" fillId="0" borderId="191" xfId="0" applyFont="1" applyBorder="1" applyAlignment="1">
      <alignment horizontal="center" vertical="center" wrapText="1"/>
    </xf>
    <xf numFmtId="41" fontId="14" fillId="0" borderId="0" xfId="0" applyNumberFormat="1" applyFont="1">
      <alignment vertical="center"/>
    </xf>
    <xf numFmtId="41" fontId="12" fillId="0" borderId="0" xfId="1" applyFont="1" applyBorder="1">
      <alignment vertical="center"/>
    </xf>
    <xf numFmtId="181" fontId="14" fillId="0" borderId="7" xfId="4" applyNumberFormat="1" applyFont="1" applyBorder="1" applyAlignment="1">
      <alignment horizontal="center" vertical="center"/>
    </xf>
    <xf numFmtId="41" fontId="14" fillId="0" borderId="189" xfId="1" applyFont="1" applyBorder="1" applyAlignment="1">
      <alignment horizontal="center" vertical="center"/>
    </xf>
    <xf numFmtId="41" fontId="14" fillId="0" borderId="191" xfId="1" applyFont="1" applyBorder="1" applyAlignment="1">
      <alignment horizontal="center" vertical="center"/>
    </xf>
    <xf numFmtId="41" fontId="59" fillId="0" borderId="197" xfId="1" applyFont="1" applyBorder="1" applyAlignment="1">
      <alignment horizontal="center" vertical="center"/>
    </xf>
    <xf numFmtId="41" fontId="14" fillId="0" borderId="194" xfId="1" applyFont="1" applyBorder="1" applyAlignment="1">
      <alignment horizontal="center" vertical="center"/>
    </xf>
    <xf numFmtId="180" fontId="14" fillId="0" borderId="1" xfId="3" applyNumberFormat="1" applyFont="1" applyFill="1" applyBorder="1" applyAlignment="1">
      <alignment vertical="center"/>
    </xf>
    <xf numFmtId="0" fontId="16" fillId="0" borderId="6" xfId="0" applyFont="1" applyBorder="1" applyAlignment="1">
      <alignment horizontal="center" vertical="center"/>
    </xf>
    <xf numFmtId="180" fontId="14" fillId="0" borderId="0" xfId="0" applyNumberFormat="1" applyFont="1" applyFill="1" applyBorder="1" applyAlignment="1">
      <alignment horizontal="center" vertical="center"/>
    </xf>
    <xf numFmtId="180" fontId="14" fillId="0" borderId="0" xfId="0" applyNumberFormat="1" applyFont="1" applyFill="1" applyAlignment="1">
      <alignment horizontal="center" vertical="center"/>
    </xf>
    <xf numFmtId="9" fontId="14" fillId="0" borderId="0" xfId="3" applyFont="1" applyFill="1" applyAlignment="1">
      <alignment horizontal="center" vertical="center"/>
    </xf>
    <xf numFmtId="43" fontId="12" fillId="0" borderId="0" xfId="0" applyNumberFormat="1" applyFont="1" applyFill="1" applyBorder="1" applyAlignment="1">
      <alignment horizontal="center" vertical="center"/>
    </xf>
    <xf numFmtId="43" fontId="12" fillId="0" borderId="0" xfId="0" applyNumberFormat="1" applyFont="1" applyFill="1" applyAlignment="1">
      <alignment vertical="center"/>
    </xf>
    <xf numFmtId="41" fontId="14" fillId="0" borderId="73" xfId="1" applyFont="1" applyBorder="1" applyAlignment="1">
      <alignment horizontal="center" vertical="center"/>
    </xf>
    <xf numFmtId="203" fontId="14" fillId="0" borderId="0" xfId="0" applyNumberFormat="1" applyFont="1" applyBorder="1" applyAlignment="1">
      <alignment horizontal="center" vertical="center"/>
    </xf>
    <xf numFmtId="180" fontId="16" fillId="0" borderId="1" xfId="0" applyNumberFormat="1" applyFont="1" applyBorder="1">
      <alignment vertical="center"/>
    </xf>
    <xf numFmtId="180" fontId="16" fillId="0" borderId="1" xfId="1" applyNumberFormat="1" applyFont="1" applyBorder="1">
      <alignment vertical="center"/>
    </xf>
    <xf numFmtId="180" fontId="16" fillId="0" borderId="156" xfId="4" applyNumberFormat="1" applyFont="1" applyFill="1" applyBorder="1" applyAlignment="1">
      <alignment horizontal="center" vertical="center"/>
    </xf>
    <xf numFmtId="185" fontId="16" fillId="0" borderId="156" xfId="4" applyNumberFormat="1" applyFont="1" applyFill="1" applyBorder="1" applyAlignment="1">
      <alignment horizontal="right" vertical="center"/>
    </xf>
    <xf numFmtId="185" fontId="16" fillId="0" borderId="161" xfId="4" applyNumberFormat="1" applyFont="1" applyFill="1" applyBorder="1" applyAlignment="1">
      <alignment horizontal="right" vertical="center"/>
    </xf>
    <xf numFmtId="41" fontId="14" fillId="0" borderId="184" xfId="4" applyFont="1" applyFill="1" applyBorder="1" applyAlignment="1">
      <alignment horizontal="center" vertical="center"/>
    </xf>
    <xf numFmtId="41" fontId="14" fillId="0" borderId="199" xfId="4" applyFont="1" applyFill="1" applyBorder="1" applyAlignment="1">
      <alignment horizontal="center" vertical="center"/>
    </xf>
    <xf numFmtId="41" fontId="16" fillId="0" borderId="199" xfId="4" applyFont="1" applyFill="1" applyBorder="1" applyAlignment="1">
      <alignment horizontal="center" vertical="center"/>
    </xf>
    <xf numFmtId="41" fontId="14" fillId="0" borderId="158" xfId="4" applyFont="1" applyFill="1" applyBorder="1" applyAlignment="1">
      <alignment horizontal="center" vertical="center"/>
    </xf>
    <xf numFmtId="41" fontId="14" fillId="0" borderId="67" xfId="4" applyFont="1" applyFill="1" applyBorder="1" applyAlignment="1">
      <alignment horizontal="center" vertical="center"/>
    </xf>
    <xf numFmtId="41" fontId="16" fillId="6" borderId="170" xfId="4" applyFont="1" applyFill="1" applyBorder="1" applyAlignment="1">
      <alignment horizontal="centerContinuous" vertical="center" wrapText="1"/>
    </xf>
    <xf numFmtId="41" fontId="16" fillId="6" borderId="67" xfId="4" applyFont="1" applyFill="1" applyBorder="1" applyAlignment="1">
      <alignment horizontal="center" vertical="center" wrapText="1"/>
    </xf>
    <xf numFmtId="0" fontId="62" fillId="0" borderId="0" xfId="0" applyFont="1" applyFill="1" applyAlignment="1">
      <alignment vertical="center"/>
    </xf>
    <xf numFmtId="0" fontId="17" fillId="0" borderId="0" xfId="0" applyFont="1" applyFill="1" applyAlignment="1">
      <alignment vertical="center"/>
    </xf>
    <xf numFmtId="0" fontId="7" fillId="8" borderId="7" xfId="0" applyFont="1" applyFill="1" applyBorder="1" applyAlignment="1">
      <alignment horizontal="center" vertical="center" wrapText="1"/>
    </xf>
    <xf numFmtId="41" fontId="17" fillId="0" borderId="77" xfId="11" applyFont="1" applyFill="1" applyBorder="1" applyAlignment="1">
      <alignment horizontal="center" vertical="center"/>
    </xf>
    <xf numFmtId="41" fontId="17" fillId="0" borderId="0" xfId="0" applyNumberFormat="1" applyFont="1" applyFill="1" applyAlignment="1">
      <alignment vertical="center"/>
    </xf>
    <xf numFmtId="41" fontId="7" fillId="0" borderId="202" xfId="11" applyFont="1" applyFill="1" applyBorder="1" applyAlignment="1">
      <alignment horizontal="center" vertical="center"/>
    </xf>
    <xf numFmtId="41" fontId="7" fillId="0" borderId="168" xfId="11" applyFont="1" applyFill="1" applyBorder="1" applyAlignment="1">
      <alignment horizontal="center" vertical="center"/>
    </xf>
    <xf numFmtId="41" fontId="7" fillId="0" borderId="203" xfId="11" applyFont="1" applyFill="1" applyBorder="1" applyAlignment="1">
      <alignment horizontal="center" vertical="center"/>
    </xf>
    <xf numFmtId="41" fontId="7" fillId="0" borderId="42" xfId="11" applyFont="1" applyFill="1" applyBorder="1" applyAlignment="1">
      <alignment horizontal="center" vertical="center"/>
    </xf>
    <xf numFmtId="41" fontId="17" fillId="0" borderId="0" xfId="11" applyFont="1" applyFill="1" applyAlignment="1">
      <alignment vertical="center"/>
    </xf>
    <xf numFmtId="41" fontId="7" fillId="0" borderId="7" xfId="11" applyFont="1" applyFill="1" applyBorder="1" applyAlignment="1">
      <alignment vertical="center"/>
    </xf>
    <xf numFmtId="41" fontId="7" fillId="0" borderId="32" xfId="11" applyFont="1" applyFill="1" applyBorder="1" applyAlignment="1">
      <alignment vertical="center"/>
    </xf>
    <xf numFmtId="41" fontId="7" fillId="0" borderId="157" xfId="11" applyFont="1" applyFill="1" applyBorder="1" applyAlignment="1">
      <alignment horizontal="center" vertical="center"/>
    </xf>
    <xf numFmtId="41" fontId="7" fillId="0" borderId="67" xfId="11" applyFont="1" applyFill="1" applyBorder="1" applyAlignment="1">
      <alignment vertical="center"/>
    </xf>
    <xf numFmtId="41" fontId="7" fillId="0" borderId="202" xfId="11" applyFont="1" applyFill="1" applyBorder="1" applyAlignment="1">
      <alignment horizontal="centerContinuous" vertical="center"/>
    </xf>
    <xf numFmtId="41" fontId="7" fillId="0" borderId="42" xfId="11" applyFont="1" applyFill="1" applyBorder="1" applyAlignment="1">
      <alignment horizontal="centerContinuous" vertical="center"/>
    </xf>
    <xf numFmtId="202" fontId="14" fillId="0" borderId="182" xfId="0" applyNumberFormat="1" applyFont="1" applyBorder="1" applyAlignment="1">
      <alignment horizontal="center" vertical="center"/>
    </xf>
    <xf numFmtId="0" fontId="14" fillId="0" borderId="71" xfId="0" applyFont="1" applyBorder="1" applyAlignment="1">
      <alignment horizontal="center" vertical="center" wrapText="1"/>
    </xf>
    <xf numFmtId="0" fontId="14" fillId="0" borderId="192" xfId="0" applyFont="1" applyBorder="1" applyAlignment="1">
      <alignment horizontal="center" vertical="center" wrapText="1"/>
    </xf>
    <xf numFmtId="0" fontId="7" fillId="6" borderId="0" xfId="0" applyFont="1" applyFill="1">
      <alignment vertical="center"/>
    </xf>
    <xf numFmtId="0" fontId="4" fillId="0" borderId="1" xfId="0" applyFont="1" applyBorder="1" applyAlignment="1">
      <alignment horizontal="center" vertical="center"/>
    </xf>
    <xf numFmtId="180" fontId="14" fillId="0" borderId="158" xfId="4" applyNumberFormat="1" applyFont="1" applyFill="1" applyBorder="1" applyAlignment="1">
      <alignment horizontal="center" vertical="center"/>
    </xf>
    <xf numFmtId="180" fontId="16" fillId="0" borderId="158" xfId="1" applyNumberFormat="1" applyFont="1" applyBorder="1">
      <alignment vertical="center"/>
    </xf>
    <xf numFmtId="180" fontId="14" fillId="0" borderId="158" xfId="0" applyNumberFormat="1" applyFont="1" applyBorder="1">
      <alignment vertical="center"/>
    </xf>
    <xf numFmtId="180" fontId="14" fillId="6" borderId="158" xfId="4" applyNumberFormat="1" applyFont="1" applyFill="1" applyBorder="1" applyAlignment="1">
      <alignment horizontal="center" vertical="center" wrapText="1"/>
    </xf>
    <xf numFmtId="183" fontId="14" fillId="6" borderId="48" xfId="3" applyNumberFormat="1" applyFont="1" applyFill="1" applyBorder="1" applyAlignment="1">
      <alignment horizontal="center" vertical="center"/>
    </xf>
    <xf numFmtId="182" fontId="14" fillId="0" borderId="48" xfId="4" applyNumberFormat="1" applyFont="1" applyFill="1" applyBorder="1" applyAlignment="1">
      <alignment horizontal="center" vertical="center"/>
    </xf>
    <xf numFmtId="182" fontId="14" fillId="0" borderId="48" xfId="1" applyNumberFormat="1" applyFont="1" applyFill="1" applyBorder="1" applyAlignment="1">
      <alignment horizontal="center" vertical="center"/>
    </xf>
    <xf numFmtId="182" fontId="14" fillId="0" borderId="48" xfId="3" applyNumberFormat="1" applyFont="1" applyFill="1" applyBorder="1" applyAlignment="1">
      <alignment horizontal="center" vertical="center"/>
    </xf>
    <xf numFmtId="182" fontId="16" fillId="0" borderId="48" xfId="0" applyNumberFormat="1" applyFont="1" applyBorder="1">
      <alignment vertical="center"/>
    </xf>
    <xf numFmtId="41" fontId="14" fillId="0" borderId="48" xfId="0" applyNumberFormat="1" applyFont="1" applyBorder="1">
      <alignment vertical="center"/>
    </xf>
    <xf numFmtId="180" fontId="14" fillId="6" borderId="6" xfId="4" applyNumberFormat="1" applyFont="1" applyFill="1" applyBorder="1" applyAlignment="1">
      <alignment horizontal="center" vertical="center" wrapText="1"/>
    </xf>
    <xf numFmtId="185" fontId="16" fillId="0" borderId="7" xfId="4" applyNumberFormat="1" applyFont="1" applyFill="1" applyBorder="1" applyAlignment="1">
      <alignment horizontal="right" vertical="center"/>
    </xf>
    <xf numFmtId="185" fontId="16" fillId="0" borderId="81" xfId="4" applyNumberFormat="1" applyFont="1" applyFill="1" applyBorder="1" applyAlignment="1">
      <alignment horizontal="right" vertical="center"/>
    </xf>
    <xf numFmtId="41" fontId="14" fillId="0" borderId="49" xfId="0" applyNumberFormat="1" applyFont="1" applyBorder="1">
      <alignment vertical="center"/>
    </xf>
    <xf numFmtId="0" fontId="4" fillId="2" borderId="173" xfId="0" applyFont="1" applyFill="1" applyBorder="1" applyAlignment="1">
      <alignment horizontal="centerContinuous" vertical="center"/>
    </xf>
    <xf numFmtId="41" fontId="5" fillId="2" borderId="173" xfId="1" applyFont="1" applyFill="1" applyBorder="1" applyAlignment="1">
      <alignment horizontal="center" vertical="center"/>
    </xf>
    <xf numFmtId="41" fontId="5" fillId="2" borderId="184" xfId="1" applyFont="1" applyFill="1" applyBorder="1" applyAlignment="1">
      <alignment horizontal="right" vertical="center"/>
    </xf>
    <xf numFmtId="0" fontId="4" fillId="2" borderId="169" xfId="0" applyFont="1" applyFill="1" applyBorder="1" applyAlignment="1">
      <alignment horizontal="centerContinuous" vertical="center"/>
    </xf>
    <xf numFmtId="41" fontId="5" fillId="2" borderId="169" xfId="1" applyFont="1" applyFill="1" applyBorder="1" applyAlignment="1">
      <alignment horizontal="center" vertical="center"/>
    </xf>
    <xf numFmtId="41" fontId="5" fillId="2" borderId="200" xfId="1" applyFont="1" applyFill="1" applyBorder="1" applyAlignment="1">
      <alignment horizontal="right" vertical="center"/>
    </xf>
    <xf numFmtId="0" fontId="4" fillId="2" borderId="156" xfId="0" applyFont="1" applyFill="1" applyBorder="1" applyAlignment="1">
      <alignment horizontal="centerContinuous" vertical="center"/>
    </xf>
    <xf numFmtId="41" fontId="5" fillId="2" borderId="156" xfId="1" applyFont="1" applyFill="1" applyBorder="1" applyAlignment="1">
      <alignment horizontal="center" vertical="center"/>
    </xf>
    <xf numFmtId="41" fontId="5" fillId="2" borderId="158" xfId="1" applyNumberFormat="1" applyFont="1" applyFill="1" applyBorder="1" applyAlignment="1">
      <alignment horizontal="center" vertical="center" shrinkToFit="1"/>
    </xf>
    <xf numFmtId="41" fontId="5" fillId="2" borderId="156" xfId="1" applyNumberFormat="1" applyFont="1" applyFill="1" applyBorder="1" applyAlignment="1">
      <alignment horizontal="center" vertical="center" shrinkToFit="1"/>
    </xf>
    <xf numFmtId="41" fontId="5" fillId="2" borderId="6" xfId="1" applyFont="1" applyFill="1" applyBorder="1" applyAlignment="1">
      <alignment horizontal="right" vertical="center"/>
    </xf>
    <xf numFmtId="0" fontId="4" fillId="2" borderId="7" xfId="0" applyFont="1" applyFill="1" applyBorder="1" applyAlignment="1">
      <alignment horizontal="centerContinuous" vertical="center"/>
    </xf>
    <xf numFmtId="41" fontId="5" fillId="2" borderId="7" xfId="1" applyFont="1" applyFill="1" applyBorder="1" applyAlignment="1">
      <alignment horizontal="center" vertical="center"/>
    </xf>
    <xf numFmtId="41" fontId="5" fillId="2" borderId="67" xfId="1" applyNumberFormat="1" applyFont="1" applyFill="1" applyBorder="1" applyAlignment="1">
      <alignment horizontal="center" vertical="center" shrinkToFit="1"/>
    </xf>
    <xf numFmtId="41" fontId="5" fillId="2" borderId="7" xfId="1" applyNumberFormat="1" applyFont="1" applyFill="1" applyBorder="1" applyAlignment="1">
      <alignment horizontal="center" vertical="center" shrinkToFit="1"/>
    </xf>
    <xf numFmtId="41" fontId="5" fillId="2" borderId="32" xfId="1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33" xfId="0" applyFont="1" applyFill="1" applyBorder="1" applyAlignment="1">
      <alignment horizontal="center" vertical="center"/>
    </xf>
    <xf numFmtId="0" fontId="4" fillId="0" borderId="36" xfId="0" applyFont="1" applyFill="1" applyBorder="1" applyAlignment="1">
      <alignment horizontal="center" vertical="center"/>
    </xf>
    <xf numFmtId="0" fontId="14" fillId="0" borderId="187" xfId="0" quotePrefix="1" applyFont="1" applyBorder="1" applyAlignment="1">
      <alignment horizontal="center" vertical="center"/>
    </xf>
    <xf numFmtId="204" fontId="14" fillId="0" borderId="0" xfId="0" applyNumberFormat="1" applyFont="1" applyBorder="1" applyAlignment="1">
      <alignment horizontal="center" vertical="center"/>
    </xf>
    <xf numFmtId="205" fontId="14" fillId="0" borderId="0" xfId="1" applyNumberFormat="1" applyFont="1" applyBorder="1" applyAlignment="1">
      <alignment horizontal="center" vertical="center"/>
    </xf>
    <xf numFmtId="205" fontId="14" fillId="0" borderId="0" xfId="0" applyNumberFormat="1" applyFont="1" applyBorder="1" applyAlignment="1">
      <alignment horizontal="center" vertical="center"/>
    </xf>
    <xf numFmtId="41" fontId="17" fillId="0" borderId="0" xfId="1" applyFont="1" applyFill="1" applyAlignment="1">
      <alignment vertical="center"/>
    </xf>
    <xf numFmtId="41" fontId="5" fillId="0" borderId="32" xfId="1" applyFont="1" applyBorder="1" applyAlignment="1">
      <alignment horizontal="right" vertical="center"/>
    </xf>
    <xf numFmtId="41" fontId="4" fillId="0" borderId="156" xfId="1" applyFont="1" applyFill="1" applyBorder="1" applyAlignment="1">
      <alignment horizontal="center" vertical="center"/>
    </xf>
    <xf numFmtId="41" fontId="4" fillId="0" borderId="169" xfId="1" applyFont="1" applyFill="1" applyBorder="1" applyAlignment="1">
      <alignment horizontal="center" vertical="center"/>
    </xf>
    <xf numFmtId="41" fontId="4" fillId="0" borderId="7" xfId="1" applyFont="1" applyFill="1" applyBorder="1" applyAlignment="1">
      <alignment horizontal="center" vertical="center"/>
    </xf>
    <xf numFmtId="0" fontId="4" fillId="3" borderId="166" xfId="0" applyFont="1" applyFill="1" applyBorder="1" applyAlignment="1">
      <alignment horizontal="center" vertical="center"/>
    </xf>
    <xf numFmtId="41" fontId="4" fillId="3" borderId="173" xfId="1" applyFont="1" applyFill="1" applyBorder="1" applyAlignment="1">
      <alignment horizontal="center" vertical="center"/>
    </xf>
    <xf numFmtId="0" fontId="4" fillId="3" borderId="184" xfId="0" applyFont="1" applyFill="1" applyBorder="1" applyAlignment="1">
      <alignment horizontal="center" vertical="center"/>
    </xf>
    <xf numFmtId="0" fontId="4" fillId="3" borderId="207" xfId="0" applyFont="1" applyFill="1" applyBorder="1" applyAlignment="1">
      <alignment horizontal="center" vertical="center"/>
    </xf>
    <xf numFmtId="41" fontId="4" fillId="3" borderId="169" xfId="1" applyFont="1" applyFill="1" applyBorder="1" applyAlignment="1">
      <alignment horizontal="center" vertical="center"/>
    </xf>
    <xf numFmtId="0" fontId="4" fillId="3" borderId="200" xfId="0" applyFont="1" applyFill="1" applyBorder="1" applyAlignment="1">
      <alignment horizontal="center" vertical="center"/>
    </xf>
    <xf numFmtId="41" fontId="4" fillId="3" borderId="157" xfId="1" applyNumberFormat="1" applyFont="1" applyFill="1" applyBorder="1" applyAlignment="1">
      <alignment horizontal="center" vertical="center" shrinkToFit="1"/>
    </xf>
    <xf numFmtId="180" fontId="4" fillId="3" borderId="168" xfId="1" applyNumberFormat="1" applyFont="1" applyFill="1" applyBorder="1" applyAlignment="1">
      <alignment horizontal="center" vertical="center" shrinkToFit="1"/>
    </xf>
    <xf numFmtId="41" fontId="4" fillId="3" borderId="168" xfId="1" applyFont="1" applyFill="1" applyBorder="1" applyAlignment="1">
      <alignment horizontal="center" vertical="center"/>
    </xf>
    <xf numFmtId="177" fontId="4" fillId="0" borderId="1" xfId="1" applyNumberFormat="1" applyFont="1" applyBorder="1" applyAlignment="1">
      <alignment horizontal="center" vertical="center"/>
    </xf>
    <xf numFmtId="177" fontId="4" fillId="0" borderId="156" xfId="1" applyNumberFormat="1" applyFont="1" applyBorder="1" applyAlignment="1">
      <alignment horizontal="center" vertical="center"/>
    </xf>
    <xf numFmtId="177" fontId="5" fillId="0" borderId="1" xfId="1" applyNumberFormat="1" applyFont="1" applyBorder="1" applyAlignment="1">
      <alignment vertical="center" shrinkToFit="1"/>
    </xf>
    <xf numFmtId="177" fontId="5" fillId="4" borderId="1" xfId="1" applyNumberFormat="1" applyFont="1" applyFill="1" applyBorder="1" applyAlignment="1">
      <alignment vertical="center" shrinkToFit="1"/>
    </xf>
    <xf numFmtId="177" fontId="5" fillId="0" borderId="1" xfId="1" applyNumberFormat="1" applyFont="1" applyBorder="1" applyAlignment="1">
      <alignment horizontal="center" vertical="center"/>
    </xf>
    <xf numFmtId="41" fontId="5" fillId="0" borderId="2" xfId="1" applyNumberFormat="1" applyFont="1" applyFill="1" applyBorder="1" applyAlignment="1">
      <alignment horizontal="center" vertical="center" shrinkToFit="1"/>
    </xf>
    <xf numFmtId="177" fontId="4" fillId="0" borderId="1" xfId="1" applyNumberFormat="1" applyFont="1" applyBorder="1" applyAlignment="1">
      <alignment horizontal="center" vertical="center"/>
    </xf>
    <xf numFmtId="177" fontId="4" fillId="0" borderId="156" xfId="1" applyNumberFormat="1" applyFont="1" applyBorder="1" applyAlignment="1">
      <alignment horizontal="center" vertical="center"/>
    </xf>
    <xf numFmtId="185" fontId="14" fillId="0" borderId="6" xfId="4" applyNumberFormat="1" applyFont="1" applyFill="1" applyBorder="1" applyAlignment="1">
      <alignment horizontal="right" vertical="center"/>
    </xf>
    <xf numFmtId="180" fontId="14" fillId="6" borderId="159" xfId="4" applyNumberFormat="1" applyFont="1" applyFill="1" applyBorder="1" applyAlignment="1">
      <alignment horizontal="center" vertical="center"/>
    </xf>
    <xf numFmtId="200" fontId="14" fillId="0" borderId="0" xfId="0" applyNumberFormat="1" applyFont="1" applyAlignment="1">
      <alignment horizontal="left" vertical="center"/>
    </xf>
    <xf numFmtId="200" fontId="14" fillId="0" borderId="0" xfId="0" applyNumberFormat="1" applyFont="1" applyAlignment="1">
      <alignment horizontal="centerContinuous" vertical="center"/>
    </xf>
    <xf numFmtId="180" fontId="14" fillId="6" borderId="210" xfId="4" applyNumberFormat="1" applyFont="1" applyFill="1" applyBorder="1" applyAlignment="1">
      <alignment horizontal="center" vertical="center" wrapText="1"/>
    </xf>
    <xf numFmtId="180" fontId="14" fillId="0" borderId="210" xfId="4" applyNumberFormat="1" applyFont="1" applyFill="1" applyBorder="1" applyAlignment="1">
      <alignment horizontal="center" vertical="center"/>
    </xf>
    <xf numFmtId="180" fontId="16" fillId="0" borderId="210" xfId="1" applyNumberFormat="1" applyFont="1" applyBorder="1">
      <alignment vertical="center"/>
    </xf>
    <xf numFmtId="180" fontId="14" fillId="0" borderId="210" xfId="0" applyNumberFormat="1" applyFont="1" applyBorder="1">
      <alignment vertical="center"/>
    </xf>
    <xf numFmtId="180" fontId="14" fillId="0" borderId="209" xfId="0" applyNumberFormat="1" applyFont="1" applyBorder="1">
      <alignment vertical="center"/>
    </xf>
    <xf numFmtId="180" fontId="14" fillId="6" borderId="211" xfId="4" applyNumberFormat="1" applyFont="1" applyFill="1" applyBorder="1" applyAlignment="1">
      <alignment horizontal="center" vertical="center" wrapText="1"/>
    </xf>
    <xf numFmtId="180" fontId="14" fillId="6" borderId="156" xfId="4" applyNumberFormat="1" applyFont="1" applyFill="1" applyBorder="1" applyAlignment="1">
      <alignment horizontal="center" vertical="center" wrapText="1"/>
    </xf>
    <xf numFmtId="41" fontId="14" fillId="0" borderId="211" xfId="4" applyNumberFormat="1" applyFont="1" applyFill="1" applyBorder="1" applyAlignment="1">
      <alignment horizontal="center" vertical="center"/>
    </xf>
    <xf numFmtId="41" fontId="14" fillId="0" borderId="156" xfId="4" applyNumberFormat="1" applyFont="1" applyFill="1" applyBorder="1" applyAlignment="1">
      <alignment horizontal="center" vertical="center"/>
    </xf>
    <xf numFmtId="41" fontId="14" fillId="0" borderId="158" xfId="4" applyNumberFormat="1" applyFont="1" applyFill="1" applyBorder="1" applyAlignment="1">
      <alignment horizontal="center" vertical="center"/>
    </xf>
    <xf numFmtId="41" fontId="14" fillId="0" borderId="156" xfId="0" applyNumberFormat="1" applyFont="1" applyBorder="1">
      <alignment vertical="center"/>
    </xf>
    <xf numFmtId="41" fontId="14" fillId="0" borderId="211" xfId="0" applyNumberFormat="1" applyFont="1" applyBorder="1">
      <alignment vertical="center"/>
    </xf>
    <xf numFmtId="41" fontId="14" fillId="0" borderId="158" xfId="0" applyNumberFormat="1" applyFont="1" applyBorder="1">
      <alignment vertical="center"/>
    </xf>
    <xf numFmtId="41" fontId="14" fillId="0" borderId="212" xfId="0" applyNumberFormat="1" applyFont="1" applyBorder="1">
      <alignment vertical="center"/>
    </xf>
    <xf numFmtId="41" fontId="14" fillId="0" borderId="67" xfId="0" applyNumberFormat="1" applyFont="1" applyBorder="1">
      <alignment vertical="center"/>
    </xf>
    <xf numFmtId="41" fontId="14" fillId="0" borderId="5" xfId="1" applyFont="1" applyFill="1" applyBorder="1" applyAlignment="1">
      <alignment horizontal="center" vertical="center"/>
    </xf>
    <xf numFmtId="41" fontId="4" fillId="3" borderId="203" xfId="1" applyFont="1" applyFill="1" applyBorder="1" applyAlignment="1">
      <alignment horizontal="right" vertical="center"/>
    </xf>
    <xf numFmtId="41" fontId="4" fillId="3" borderId="9" xfId="1" applyFont="1" applyFill="1" applyBorder="1" applyAlignment="1">
      <alignment horizontal="right" vertical="center"/>
    </xf>
    <xf numFmtId="0" fontId="12" fillId="0" borderId="0" xfId="0" applyFont="1" applyFill="1" applyBorder="1">
      <alignment vertical="center"/>
    </xf>
    <xf numFmtId="0" fontId="14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center" vertical="center" wrapText="1"/>
    </xf>
    <xf numFmtId="41" fontId="14" fillId="0" borderId="0" xfId="1" applyFont="1" applyFill="1" applyBorder="1" applyAlignment="1">
      <alignment horizontal="center" vertical="center"/>
    </xf>
    <xf numFmtId="43" fontId="12" fillId="0" borderId="0" xfId="0" applyNumberFormat="1" applyFont="1" applyFill="1" applyBorder="1">
      <alignment vertical="center"/>
    </xf>
    <xf numFmtId="41" fontId="5" fillId="0" borderId="33" xfId="1" applyFont="1" applyFill="1" applyBorder="1" applyAlignment="1">
      <alignment vertical="center" shrinkToFit="1"/>
    </xf>
    <xf numFmtId="41" fontId="17" fillId="0" borderId="0" xfId="11" applyFont="1" applyFill="1" applyAlignment="1">
      <alignment horizontal="left" vertical="center"/>
    </xf>
    <xf numFmtId="41" fontId="14" fillId="0" borderId="0" xfId="11" applyFont="1" applyFill="1" applyAlignment="1">
      <alignment horizontal="right" vertical="center"/>
    </xf>
    <xf numFmtId="180" fontId="14" fillId="6" borderId="208" xfId="4" applyNumberFormat="1" applyFont="1" applyFill="1" applyBorder="1" applyAlignment="1">
      <alignment horizontal="centerContinuous" vertical="center"/>
    </xf>
    <xf numFmtId="180" fontId="14" fillId="6" borderId="160" xfId="4" applyNumberFormat="1" applyFont="1" applyFill="1" applyBorder="1" applyAlignment="1">
      <alignment horizontal="centerContinuous" vertical="center"/>
    </xf>
    <xf numFmtId="41" fontId="4" fillId="2" borderId="7" xfId="1" applyFont="1" applyFill="1" applyBorder="1" applyAlignment="1">
      <alignment horizontal="center" vertical="center"/>
    </xf>
    <xf numFmtId="180" fontId="4" fillId="3" borderId="183" xfId="1" applyNumberFormat="1" applyFont="1" applyFill="1" applyBorder="1" applyAlignment="1">
      <alignment horizontal="center" vertical="center"/>
    </xf>
    <xf numFmtId="177" fontId="4" fillId="3" borderId="173" xfId="1" applyNumberFormat="1" applyFont="1" applyFill="1" applyBorder="1" applyAlignment="1">
      <alignment horizontal="center" vertical="center"/>
    </xf>
    <xf numFmtId="0" fontId="7" fillId="8" borderId="50" xfId="0" applyFont="1" applyFill="1" applyBorder="1" applyAlignment="1">
      <alignment horizontal="center" vertical="center" wrapText="1"/>
    </xf>
    <xf numFmtId="0" fontId="7" fillId="8" borderId="67" xfId="0" applyFont="1" applyFill="1" applyBorder="1" applyAlignment="1">
      <alignment horizontal="centerContinuous" vertical="center"/>
    </xf>
    <xf numFmtId="0" fontId="7" fillId="8" borderId="88" xfId="0" applyFont="1" applyFill="1" applyBorder="1" applyAlignment="1">
      <alignment horizontal="centerContinuous" vertical="center"/>
    </xf>
    <xf numFmtId="0" fontId="7" fillId="8" borderId="50" xfId="0" applyFont="1" applyFill="1" applyBorder="1" applyAlignment="1">
      <alignment horizontal="centerContinuous" vertical="center"/>
    </xf>
    <xf numFmtId="0" fontId="7" fillId="8" borderId="157" xfId="0" applyFont="1" applyFill="1" applyBorder="1" applyAlignment="1">
      <alignment horizontal="centerContinuous" vertical="center"/>
    </xf>
    <xf numFmtId="0" fontId="7" fillId="8" borderId="159" xfId="0" applyFont="1" applyFill="1" applyBorder="1" applyAlignment="1">
      <alignment horizontal="centerContinuous" vertical="center"/>
    </xf>
    <xf numFmtId="0" fontId="7" fillId="8" borderId="160" xfId="0" applyFont="1" applyFill="1" applyBorder="1" applyAlignment="1">
      <alignment horizontal="centerContinuous" vertical="center"/>
    </xf>
    <xf numFmtId="0" fontId="7" fillId="8" borderId="171" xfId="0" applyFont="1" applyFill="1" applyBorder="1" applyAlignment="1">
      <alignment horizontal="centerContinuous" vertical="center"/>
    </xf>
    <xf numFmtId="0" fontId="7" fillId="8" borderId="183" xfId="0" applyFont="1" applyFill="1" applyBorder="1" applyAlignment="1">
      <alignment horizontal="centerContinuous" vertical="center" wrapText="1"/>
    </xf>
    <xf numFmtId="180" fontId="4" fillId="3" borderId="67" xfId="1" applyNumberFormat="1" applyFont="1" applyFill="1" applyBorder="1" applyAlignment="1">
      <alignment horizontal="center" vertical="center"/>
    </xf>
    <xf numFmtId="177" fontId="4" fillId="3" borderId="7" xfId="1" applyNumberFormat="1" applyFont="1" applyFill="1" applyBorder="1" applyAlignment="1">
      <alignment horizontal="center" vertical="center"/>
    </xf>
    <xf numFmtId="41" fontId="5" fillId="3" borderId="173" xfId="1" applyFont="1" applyFill="1" applyBorder="1" applyAlignment="1">
      <alignment vertical="center" shrinkToFit="1"/>
    </xf>
    <xf numFmtId="41" fontId="5" fillId="3" borderId="173" xfId="1" applyNumberFormat="1" applyFont="1" applyFill="1" applyBorder="1" applyAlignment="1">
      <alignment vertical="center" shrinkToFit="1"/>
    </xf>
    <xf numFmtId="41" fontId="5" fillId="3" borderId="47" xfId="1" applyNumberFormat="1" applyFont="1" applyFill="1" applyBorder="1" applyAlignment="1">
      <alignment horizontal="right" vertical="center" shrinkToFit="1"/>
    </xf>
    <xf numFmtId="200" fontId="12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41" fontId="5" fillId="2" borderId="206" xfId="1" applyNumberFormat="1" applyFont="1" applyFill="1" applyBorder="1" applyAlignment="1">
      <alignment horizontal="center" vertical="center" shrinkToFit="1"/>
    </xf>
    <xf numFmtId="41" fontId="5" fillId="2" borderId="169" xfId="1" applyNumberFormat="1" applyFont="1" applyFill="1" applyBorder="1" applyAlignment="1">
      <alignment horizontal="center" vertical="center" shrinkToFit="1"/>
    </xf>
    <xf numFmtId="41" fontId="16" fillId="0" borderId="158" xfId="1" applyFont="1" applyBorder="1">
      <alignment vertical="center"/>
    </xf>
    <xf numFmtId="177" fontId="5" fillId="2" borderId="183" xfId="1" applyNumberFormat="1" applyFont="1" applyFill="1" applyBorder="1" applyAlignment="1">
      <alignment horizontal="center" vertical="center" shrinkToFit="1"/>
    </xf>
    <xf numFmtId="177" fontId="5" fillId="2" borderId="173" xfId="1" applyNumberFormat="1" applyFont="1" applyFill="1" applyBorder="1" applyAlignment="1">
      <alignment horizontal="center" vertical="center" shrinkToFit="1"/>
    </xf>
    <xf numFmtId="43" fontId="17" fillId="0" borderId="0" xfId="0" applyNumberFormat="1" applyFont="1" applyFill="1" applyAlignment="1">
      <alignment vertical="center"/>
    </xf>
    <xf numFmtId="184" fontId="17" fillId="0" borderId="0" xfId="0" applyNumberFormat="1" applyFont="1" applyFill="1" applyAlignment="1">
      <alignment vertical="center"/>
    </xf>
    <xf numFmtId="41" fontId="14" fillId="0" borderId="158" xfId="1" applyFont="1" applyFill="1" applyBorder="1" applyAlignment="1">
      <alignment horizontal="center" vertical="center"/>
    </xf>
    <xf numFmtId="0" fontId="14" fillId="0" borderId="71" xfId="0" applyFont="1" applyBorder="1" applyAlignment="1">
      <alignment horizontal="center" vertical="center"/>
    </xf>
    <xf numFmtId="0" fontId="61" fillId="2" borderId="0" xfId="0" applyFont="1" applyFill="1" applyAlignment="1">
      <alignment horizontal="center" vertical="center"/>
    </xf>
    <xf numFmtId="9" fontId="61" fillId="2" borderId="0" xfId="3" applyFont="1" applyFill="1">
      <alignment vertical="center"/>
    </xf>
    <xf numFmtId="0" fontId="14" fillId="0" borderId="215" xfId="0" applyFont="1" applyBorder="1" applyAlignment="1">
      <alignment horizontal="center" vertical="center"/>
    </xf>
    <xf numFmtId="0" fontId="14" fillId="0" borderId="216" xfId="0" applyFont="1" applyBorder="1" applyAlignment="1">
      <alignment horizontal="center" vertical="center"/>
    </xf>
    <xf numFmtId="0" fontId="14" fillId="0" borderId="215" xfId="0" applyFont="1" applyBorder="1">
      <alignment vertical="center"/>
    </xf>
    <xf numFmtId="41" fontId="14" fillId="0" borderId="215" xfId="1" applyFont="1" applyBorder="1">
      <alignment vertical="center"/>
    </xf>
    <xf numFmtId="0" fontId="14" fillId="0" borderId="217" xfId="0" applyFont="1" applyBorder="1" applyAlignment="1">
      <alignment horizontal="center" vertical="center"/>
    </xf>
    <xf numFmtId="0" fontId="14" fillId="0" borderId="190" xfId="0" applyFont="1" applyBorder="1">
      <alignment vertical="center"/>
    </xf>
    <xf numFmtId="41" fontId="14" fillId="0" borderId="190" xfId="1" applyFont="1" applyBorder="1">
      <alignment vertical="center"/>
    </xf>
    <xf numFmtId="0" fontId="14" fillId="0" borderId="218" xfId="0" applyFont="1" applyBorder="1" applyAlignment="1">
      <alignment horizontal="center" vertical="center"/>
    </xf>
    <xf numFmtId="0" fontId="14" fillId="0" borderId="71" xfId="0" applyFont="1" applyBorder="1">
      <alignment vertical="center"/>
    </xf>
    <xf numFmtId="41" fontId="14" fillId="0" borderId="71" xfId="1" applyFont="1" applyBorder="1">
      <alignment vertical="center"/>
    </xf>
    <xf numFmtId="0" fontId="14" fillId="0" borderId="219" xfId="0" applyFont="1" applyBorder="1" applyAlignment="1">
      <alignment horizontal="center" vertical="center"/>
    </xf>
    <xf numFmtId="0" fontId="14" fillId="0" borderId="220" xfId="0" applyFont="1" applyBorder="1" applyAlignment="1">
      <alignment horizontal="center" vertical="center"/>
    </xf>
    <xf numFmtId="0" fontId="59" fillId="0" borderId="221" xfId="0" applyFont="1" applyBorder="1" applyAlignment="1">
      <alignment horizontal="center" vertical="center"/>
    </xf>
    <xf numFmtId="41" fontId="59" fillId="0" borderId="196" xfId="1" applyFont="1" applyBorder="1" applyAlignment="1">
      <alignment horizontal="center" vertical="center"/>
    </xf>
    <xf numFmtId="41" fontId="61" fillId="2" borderId="0" xfId="0" applyNumberFormat="1" applyFont="1" applyFill="1">
      <alignment vertical="center"/>
    </xf>
    <xf numFmtId="0" fontId="61" fillId="2" borderId="0" xfId="0" applyFont="1" applyFill="1" applyAlignment="1">
      <alignment horizontal="right" vertical="center"/>
    </xf>
    <xf numFmtId="0" fontId="14" fillId="0" borderId="21" xfId="0" applyFont="1" applyBorder="1" applyAlignment="1">
      <alignment horizontal="center" vertical="center"/>
    </xf>
    <xf numFmtId="0" fontId="14" fillId="0" borderId="225" xfId="0" applyFont="1" applyBorder="1" applyAlignment="1">
      <alignment horizontal="center" vertical="center"/>
    </xf>
    <xf numFmtId="41" fontId="14" fillId="0" borderId="193" xfId="1" applyFont="1" applyBorder="1" applyAlignment="1">
      <alignment horizontal="center" vertical="center"/>
    </xf>
    <xf numFmtId="0" fontId="14" fillId="0" borderId="226" xfId="0" applyFont="1" applyBorder="1" applyAlignment="1">
      <alignment horizontal="center" vertical="center"/>
    </xf>
    <xf numFmtId="205" fontId="14" fillId="0" borderId="182" xfId="1" applyNumberFormat="1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 wrapText="1"/>
    </xf>
    <xf numFmtId="177" fontId="4" fillId="0" borderId="156" xfId="1" applyNumberFormat="1" applyFont="1" applyBorder="1" applyAlignment="1">
      <alignment horizontal="center" vertical="center"/>
    </xf>
    <xf numFmtId="200" fontId="17" fillId="0" borderId="0" xfId="0" applyNumberFormat="1" applyFont="1" applyFill="1" applyAlignment="1">
      <alignment vertical="center"/>
    </xf>
    <xf numFmtId="41" fontId="5" fillId="3" borderId="167" xfId="1" applyFont="1" applyFill="1" applyBorder="1" applyAlignment="1">
      <alignment vertical="center" shrinkToFit="1"/>
    </xf>
    <xf numFmtId="41" fontId="4" fillId="2" borderId="156" xfId="1" applyNumberFormat="1" applyFont="1" applyFill="1" applyBorder="1" applyAlignment="1">
      <alignment horizontal="center" vertical="center"/>
    </xf>
    <xf numFmtId="0" fontId="64" fillId="0" borderId="222" xfId="0" applyFont="1" applyBorder="1" applyAlignment="1">
      <alignment horizontal="center" vertical="top" wrapText="1" readingOrder="1"/>
    </xf>
    <xf numFmtId="0" fontId="64" fillId="0" borderId="222" xfId="0" applyFont="1" applyBorder="1" applyAlignment="1">
      <alignment horizontal="center" vertical="center" wrapText="1" readingOrder="1"/>
    </xf>
    <xf numFmtId="0" fontId="64" fillId="0" borderId="224" xfId="0" applyFont="1" applyBorder="1" applyAlignment="1">
      <alignment horizontal="center" vertical="top" wrapText="1" readingOrder="1"/>
    </xf>
    <xf numFmtId="0" fontId="64" fillId="0" borderId="223" xfId="0" applyFont="1" applyBorder="1" applyAlignment="1">
      <alignment horizontal="center" vertical="center" wrapText="1" readingOrder="1"/>
    </xf>
    <xf numFmtId="2" fontId="4" fillId="0" borderId="1" xfId="0" applyNumberFormat="1" applyFont="1" applyFill="1" applyBorder="1">
      <alignment vertical="center"/>
    </xf>
    <xf numFmtId="0" fontId="4" fillId="0" borderId="1" xfId="0" applyFont="1" applyFill="1" applyBorder="1">
      <alignment vertical="center"/>
    </xf>
    <xf numFmtId="180" fontId="17" fillId="0" borderId="53" xfId="11" applyNumberFormat="1" applyFont="1" applyFill="1" applyBorder="1" applyAlignment="1">
      <alignment horizontal="right" vertical="center"/>
    </xf>
    <xf numFmtId="41" fontId="17" fillId="0" borderId="2" xfId="11" applyFont="1" applyFill="1" applyBorder="1" applyAlignment="1">
      <alignment horizontal="right" vertical="center"/>
    </xf>
    <xf numFmtId="41" fontId="17" fillId="0" borderId="9" xfId="11" applyFont="1" applyFill="1" applyBorder="1" applyAlignment="1">
      <alignment horizontal="center" vertical="center"/>
    </xf>
    <xf numFmtId="180" fontId="7" fillId="0" borderId="168" xfId="11" applyNumberFormat="1" applyFont="1" applyFill="1" applyBorder="1" applyAlignment="1">
      <alignment horizontal="center" vertical="center"/>
    </xf>
    <xf numFmtId="41" fontId="7" fillId="0" borderId="7" xfId="11" applyFont="1" applyFill="1" applyBorder="1" applyAlignment="1">
      <alignment horizontal="center" vertical="center"/>
    </xf>
    <xf numFmtId="184" fontId="7" fillId="0" borderId="7" xfId="11" applyNumberFormat="1" applyFont="1" applyFill="1" applyBorder="1" applyAlignment="1">
      <alignment horizontal="center" vertical="center"/>
    </xf>
    <xf numFmtId="41" fontId="7" fillId="0" borderId="32" xfId="11" applyFont="1" applyFill="1" applyBorder="1" applyAlignment="1">
      <alignment horizontal="center" vertical="center"/>
    </xf>
    <xf numFmtId="41" fontId="14" fillId="0" borderId="14" xfId="1" applyFont="1" applyFill="1" applyBorder="1" applyAlignment="1">
      <alignment horizontal="center" vertical="center"/>
    </xf>
    <xf numFmtId="41" fontId="14" fillId="0" borderId="216" xfId="1" applyFont="1" applyBorder="1">
      <alignment vertical="center"/>
    </xf>
    <xf numFmtId="41" fontId="14" fillId="0" borderId="216" xfId="0" applyNumberFormat="1" applyFont="1" applyBorder="1">
      <alignment vertical="center"/>
    </xf>
    <xf numFmtId="41" fontId="14" fillId="0" borderId="216" xfId="0" applyNumberFormat="1" applyFont="1" applyBorder="1" applyAlignment="1">
      <alignment horizontal="center" vertical="center"/>
    </xf>
    <xf numFmtId="41" fontId="14" fillId="0" borderId="217" xfId="1" applyFont="1" applyBorder="1">
      <alignment vertical="center"/>
    </xf>
    <xf numFmtId="41" fontId="14" fillId="0" borderId="217" xfId="0" applyNumberFormat="1" applyFont="1" applyBorder="1">
      <alignment vertical="center"/>
    </xf>
    <xf numFmtId="41" fontId="14" fillId="0" borderId="217" xfId="0" applyNumberFormat="1" applyFont="1" applyBorder="1" applyAlignment="1">
      <alignment horizontal="center" vertical="center"/>
    </xf>
    <xf numFmtId="0" fontId="14" fillId="0" borderId="228" xfId="0" applyFont="1" applyBorder="1" applyAlignment="1">
      <alignment horizontal="center" vertical="center"/>
    </xf>
    <xf numFmtId="41" fontId="14" fillId="0" borderId="228" xfId="0" applyNumberFormat="1" applyFont="1" applyBorder="1">
      <alignment vertical="center"/>
    </xf>
    <xf numFmtId="41" fontId="14" fillId="0" borderId="228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1" fontId="4" fillId="0" borderId="227" xfId="1" applyFont="1" applyFill="1" applyBorder="1" applyAlignment="1">
      <alignment horizontal="center" vertical="center"/>
    </xf>
    <xf numFmtId="180" fontId="17" fillId="0" borderId="2" xfId="11" applyNumberFormat="1" applyFont="1" applyFill="1" applyBorder="1" applyAlignment="1">
      <alignment horizontal="right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33" xfId="0" applyFont="1" applyFill="1" applyBorder="1" applyAlignment="1">
      <alignment horizontal="center" vertical="center"/>
    </xf>
    <xf numFmtId="41" fontId="4" fillId="0" borderId="1" xfId="1" applyFont="1" applyFill="1" applyBorder="1" applyAlignment="1">
      <alignment vertical="center" shrinkToFit="1"/>
    </xf>
    <xf numFmtId="41" fontId="4" fillId="0" borderId="156" xfId="1" applyFont="1" applyFill="1" applyBorder="1" applyAlignment="1">
      <alignment vertical="center" shrinkToFit="1"/>
    </xf>
    <xf numFmtId="41" fontId="4" fillId="0" borderId="33" xfId="1" applyFont="1" applyFill="1" applyBorder="1" applyAlignment="1">
      <alignment vertical="center" shrinkToFit="1"/>
    </xf>
    <xf numFmtId="41" fontId="4" fillId="0" borderId="36" xfId="1" applyFont="1" applyFill="1" applyBorder="1" applyAlignment="1">
      <alignment vertical="center" shrinkToFit="1"/>
    </xf>
    <xf numFmtId="41" fontId="14" fillId="0" borderId="218" xfId="0" applyNumberFormat="1" applyFont="1" applyBorder="1">
      <alignment vertical="center"/>
    </xf>
    <xf numFmtId="41" fontId="14" fillId="0" borderId="218" xfId="0" applyNumberFormat="1" applyFont="1" applyBorder="1" applyAlignment="1">
      <alignment horizontal="center" vertical="center"/>
    </xf>
    <xf numFmtId="41" fontId="14" fillId="0" borderId="230" xfId="0" applyNumberFormat="1" applyFont="1" applyBorder="1">
      <alignment vertical="center"/>
    </xf>
    <xf numFmtId="41" fontId="14" fillId="0" borderId="230" xfId="0" applyNumberFormat="1" applyFont="1" applyBorder="1" applyAlignment="1">
      <alignment horizontal="center" vertical="center"/>
    </xf>
    <xf numFmtId="0" fontId="14" fillId="0" borderId="230" xfId="0" applyFont="1" applyBorder="1" applyAlignment="1">
      <alignment horizontal="center" vertical="center"/>
    </xf>
    <xf numFmtId="41" fontId="5" fillId="0" borderId="6" xfId="1" applyFont="1" applyFill="1" applyBorder="1" applyAlignment="1">
      <alignment horizontal="right" vertical="center"/>
    </xf>
    <xf numFmtId="177" fontId="5" fillId="0" borderId="35" xfId="1" applyNumberFormat="1" applyFont="1" applyFill="1" applyBorder="1" applyAlignment="1">
      <alignment horizontal="right" vertical="center"/>
    </xf>
    <xf numFmtId="177" fontId="4" fillId="0" borderId="156" xfId="1" applyNumberFormat="1" applyFont="1" applyBorder="1" applyAlignment="1">
      <alignment horizontal="center" vertical="center"/>
    </xf>
    <xf numFmtId="0" fontId="14" fillId="0" borderId="217" xfId="0" applyFont="1" applyBorder="1" applyAlignment="1">
      <alignment horizontal="center" vertical="center"/>
    </xf>
    <xf numFmtId="0" fontId="14" fillId="0" borderId="231" xfId="0" applyFont="1" applyBorder="1" applyAlignment="1">
      <alignment horizontal="center" vertical="center"/>
    </xf>
    <xf numFmtId="41" fontId="14" fillId="0" borderId="231" xfId="1" applyFont="1" applyBorder="1" applyAlignment="1">
      <alignment horizontal="center" vertical="center"/>
    </xf>
    <xf numFmtId="0" fontId="14" fillId="0" borderId="232" xfId="0" applyFont="1" applyBorder="1" applyAlignment="1">
      <alignment horizontal="center" vertical="center"/>
    </xf>
    <xf numFmtId="0" fontId="14" fillId="0" borderId="72" xfId="0" applyFont="1" applyBorder="1">
      <alignment vertical="center"/>
    </xf>
    <xf numFmtId="41" fontId="14" fillId="0" borderId="72" xfId="1" applyFont="1" applyBorder="1">
      <alignment vertical="center"/>
    </xf>
    <xf numFmtId="0" fontId="14" fillId="0" borderId="233" xfId="0" applyFont="1" applyBorder="1" applyAlignment="1">
      <alignment horizontal="center" vertical="center"/>
    </xf>
    <xf numFmtId="41" fontId="7" fillId="0" borderId="0" xfId="0" applyNumberFormat="1" applyFont="1">
      <alignment vertical="center"/>
    </xf>
    <xf numFmtId="41" fontId="5" fillId="3" borderId="20" xfId="1" applyNumberFormat="1" applyFont="1" applyFill="1" applyBorder="1" applyAlignment="1">
      <alignment horizontal="center" vertical="center" shrinkToFit="1"/>
    </xf>
    <xf numFmtId="177" fontId="5" fillId="3" borderId="24" xfId="1" applyNumberFormat="1" applyFont="1" applyFill="1" applyBorder="1" applyAlignment="1">
      <alignment horizontal="center" vertical="center" shrinkToFit="1"/>
    </xf>
    <xf numFmtId="0" fontId="14" fillId="0" borderId="217" xfId="0" applyFont="1" applyBorder="1" applyAlignment="1">
      <alignment horizontal="center" vertical="center"/>
    </xf>
    <xf numFmtId="180" fontId="4" fillId="3" borderId="173" xfId="0" applyNumberFormat="1" applyFont="1" applyFill="1" applyBorder="1" applyAlignment="1">
      <alignment horizontal="center" vertical="center"/>
    </xf>
    <xf numFmtId="41" fontId="4" fillId="0" borderId="33" xfId="1" applyFont="1" applyBorder="1" applyAlignment="1">
      <alignment vertical="center" shrinkToFit="1"/>
    </xf>
    <xf numFmtId="0" fontId="14" fillId="0" borderId="217" xfId="0" applyFont="1" applyBorder="1" applyAlignment="1">
      <alignment horizontal="center" vertical="center"/>
    </xf>
    <xf numFmtId="206" fontId="16" fillId="0" borderId="21" xfId="0" applyNumberFormat="1" applyFont="1" applyFill="1" applyBorder="1" applyAlignment="1">
      <alignment vertical="center"/>
    </xf>
    <xf numFmtId="180" fontId="14" fillId="0" borderId="0" xfId="1" applyNumberFormat="1" applyFont="1" applyFill="1" applyBorder="1" applyAlignment="1">
      <alignment horizontal="center" vertical="center"/>
    </xf>
    <xf numFmtId="177" fontId="14" fillId="0" borderId="0" xfId="0" applyNumberFormat="1" applyFont="1" applyFill="1" applyBorder="1" applyAlignment="1">
      <alignment horizontal="center" vertical="center"/>
    </xf>
    <xf numFmtId="0" fontId="14" fillId="0" borderId="0" xfId="0" applyFont="1" applyFill="1" applyBorder="1">
      <alignment vertical="center"/>
    </xf>
    <xf numFmtId="41" fontId="4" fillId="3" borderId="24" xfId="1" applyNumberFormat="1" applyFont="1" applyFill="1" applyBorder="1" applyAlignment="1">
      <alignment horizontal="center" vertical="center"/>
    </xf>
    <xf numFmtId="177" fontId="4" fillId="0" borderId="156" xfId="1" applyNumberFormat="1" applyFont="1" applyBorder="1" applyAlignment="1">
      <alignment horizontal="center" vertical="center"/>
    </xf>
    <xf numFmtId="41" fontId="5" fillId="2" borderId="227" xfId="1" applyFont="1" applyFill="1" applyBorder="1" applyAlignment="1">
      <alignment horizontal="center" vertical="center"/>
    </xf>
    <xf numFmtId="180" fontId="17" fillId="0" borderId="8" xfId="11" applyNumberFormat="1" applyFont="1" applyFill="1" applyBorder="1" applyAlignment="1">
      <alignment horizontal="right" vertical="center"/>
    </xf>
    <xf numFmtId="180" fontId="17" fillId="0" borderId="8" xfId="1" applyNumberFormat="1" applyFont="1" applyFill="1" applyBorder="1" applyAlignment="1">
      <alignment horizontal="right" vertical="center"/>
    </xf>
    <xf numFmtId="0" fontId="14" fillId="0" borderId="0" xfId="0" applyFont="1" applyBorder="1" applyAlignment="1">
      <alignment horizontal="center" vertical="center"/>
    </xf>
    <xf numFmtId="0" fontId="14" fillId="0" borderId="234" xfId="0" applyFont="1" applyBorder="1" applyAlignment="1">
      <alignment horizontal="center" vertical="center"/>
    </xf>
    <xf numFmtId="0" fontId="64" fillId="0" borderId="235" xfId="0" applyFont="1" applyBorder="1" applyAlignment="1">
      <alignment horizontal="center" vertical="center" wrapText="1" readingOrder="1"/>
    </xf>
    <xf numFmtId="41" fontId="14" fillId="0" borderId="234" xfId="1" applyFont="1" applyBorder="1" applyAlignment="1">
      <alignment horizontal="center" vertical="center"/>
    </xf>
    <xf numFmtId="180" fontId="4" fillId="3" borderId="169" xfId="0" applyNumberFormat="1" applyFont="1" applyFill="1" applyBorder="1" applyAlignment="1">
      <alignment horizontal="center" vertical="center"/>
    </xf>
    <xf numFmtId="41" fontId="4" fillId="3" borderId="168" xfId="0" applyNumberFormat="1" applyFont="1" applyFill="1" applyBorder="1" applyAlignment="1">
      <alignment horizontal="center" vertical="center"/>
    </xf>
    <xf numFmtId="182" fontId="4" fillId="3" borderId="3" xfId="0" applyNumberFormat="1" applyFont="1" applyFill="1" applyBorder="1" applyAlignment="1">
      <alignment horizontal="center" vertical="center"/>
    </xf>
    <xf numFmtId="41" fontId="4" fillId="3" borderId="2" xfId="0" applyNumberFormat="1" applyFont="1" applyFill="1" applyBorder="1" applyAlignment="1">
      <alignment horizontal="center" vertical="center"/>
    </xf>
    <xf numFmtId="41" fontId="4" fillId="0" borderId="1" xfId="0" applyNumberFormat="1" applyFont="1" applyBorder="1" applyAlignment="1">
      <alignment horizontal="center" vertical="center"/>
    </xf>
    <xf numFmtId="41" fontId="4" fillId="0" borderId="1" xfId="0" applyNumberFormat="1" applyFont="1" applyFill="1" applyBorder="1" applyAlignment="1">
      <alignment horizontal="center" vertical="center"/>
    </xf>
    <xf numFmtId="41" fontId="4" fillId="0" borderId="169" xfId="1" applyNumberFormat="1" applyFont="1" applyBorder="1" applyAlignment="1">
      <alignment horizontal="center" vertical="center"/>
    </xf>
    <xf numFmtId="41" fontId="4" fillId="0" borderId="169" xfId="1" applyNumberFormat="1" applyFont="1" applyFill="1" applyBorder="1" applyAlignment="1">
      <alignment horizontal="center" vertical="center"/>
    </xf>
    <xf numFmtId="41" fontId="4" fillId="0" borderId="156" xfId="0" applyNumberFormat="1" applyFont="1" applyBorder="1" applyAlignment="1">
      <alignment horizontal="center" vertical="center"/>
    </xf>
    <xf numFmtId="41" fontId="4" fillId="0" borderId="7" xfId="1" applyNumberFormat="1" applyFont="1" applyBorder="1" applyAlignment="1">
      <alignment horizontal="center" vertical="center"/>
    </xf>
    <xf numFmtId="41" fontId="4" fillId="0" borderId="7" xfId="1" applyNumberFormat="1" applyFont="1" applyFill="1" applyBorder="1" applyAlignment="1">
      <alignment horizontal="center" vertical="center"/>
    </xf>
    <xf numFmtId="41" fontId="4" fillId="0" borderId="3" xfId="1" applyNumberFormat="1" applyFont="1" applyFill="1" applyBorder="1" applyAlignment="1">
      <alignment vertical="center" shrinkToFit="1"/>
    </xf>
    <xf numFmtId="41" fontId="4" fillId="0" borderId="168" xfId="1" applyNumberFormat="1" applyFont="1" applyFill="1" applyBorder="1" applyAlignment="1">
      <alignment vertical="center" shrinkToFit="1"/>
    </xf>
    <xf numFmtId="41" fontId="4" fillId="0" borderId="36" xfId="1" applyFont="1" applyBorder="1" applyAlignment="1">
      <alignment vertical="center" shrinkToFit="1"/>
    </xf>
    <xf numFmtId="41" fontId="4" fillId="0" borderId="1" xfId="1" applyFont="1" applyBorder="1" applyAlignment="1">
      <alignment vertical="center" shrinkToFit="1"/>
    </xf>
    <xf numFmtId="41" fontId="4" fillId="0" borderId="156" xfId="1" applyFont="1" applyBorder="1" applyAlignment="1">
      <alignment vertical="center" shrinkToFit="1"/>
    </xf>
    <xf numFmtId="177" fontId="4" fillId="0" borderId="3" xfId="1" applyNumberFormat="1" applyFont="1" applyFill="1" applyBorder="1" applyAlignment="1">
      <alignment vertical="center" shrinkToFit="1"/>
    </xf>
    <xf numFmtId="177" fontId="4" fillId="0" borderId="168" xfId="1" applyNumberFormat="1" applyFont="1" applyFill="1" applyBorder="1" applyAlignment="1">
      <alignment vertical="center" shrinkToFit="1"/>
    </xf>
    <xf numFmtId="177" fontId="4" fillId="0" borderId="1" xfId="1" applyNumberFormat="1" applyFont="1" applyFill="1" applyBorder="1" applyAlignment="1">
      <alignment vertical="center" shrinkToFit="1"/>
    </xf>
    <xf numFmtId="177" fontId="4" fillId="0" borderId="33" xfId="1" applyNumberFormat="1" applyFont="1" applyFill="1" applyBorder="1" applyAlignment="1">
      <alignment vertical="center" shrinkToFit="1"/>
    </xf>
    <xf numFmtId="177" fontId="4" fillId="4" borderId="1" xfId="1" applyNumberFormat="1" applyFont="1" applyFill="1" applyBorder="1" applyAlignment="1">
      <alignment vertical="center" shrinkToFit="1"/>
    </xf>
    <xf numFmtId="41" fontId="4" fillId="4" borderId="1" xfId="1" applyFont="1" applyFill="1" applyBorder="1" applyAlignment="1">
      <alignment vertical="center" shrinkToFit="1"/>
    </xf>
    <xf numFmtId="41" fontId="4" fillId="4" borderId="156" xfId="1" applyFont="1" applyFill="1" applyBorder="1" applyAlignment="1">
      <alignment vertical="center" shrinkToFit="1"/>
    </xf>
    <xf numFmtId="41" fontId="4" fillId="4" borderId="14" xfId="1" applyFont="1" applyFill="1" applyBorder="1" applyAlignment="1">
      <alignment vertical="center" shrinkToFit="1"/>
    </xf>
    <xf numFmtId="41" fontId="4" fillId="0" borderId="1" xfId="0" applyNumberFormat="1" applyFont="1" applyBorder="1" applyAlignment="1">
      <alignment horizontal="right" vertical="center"/>
    </xf>
    <xf numFmtId="41" fontId="4" fillId="0" borderId="1" xfId="0" applyNumberFormat="1" applyFont="1" applyBorder="1" applyAlignment="1">
      <alignment horizontal="right" vertical="center" shrinkToFit="1"/>
    </xf>
    <xf numFmtId="41" fontId="4" fillId="0" borderId="1" xfId="0" applyNumberFormat="1" applyFont="1" applyBorder="1" applyAlignment="1">
      <alignment vertical="center" shrinkToFit="1"/>
    </xf>
    <xf numFmtId="41" fontId="4" fillId="4" borderId="1" xfId="0" applyNumberFormat="1" applyFont="1" applyFill="1" applyBorder="1" applyAlignment="1">
      <alignment vertical="center" shrinkToFit="1"/>
    </xf>
    <xf numFmtId="41" fontId="4" fillId="0" borderId="156" xfId="0" applyNumberFormat="1" applyFont="1" applyFill="1" applyBorder="1" applyAlignment="1">
      <alignment vertical="center" shrinkToFit="1"/>
    </xf>
    <xf numFmtId="41" fontId="4" fillId="0" borderId="156" xfId="0" applyNumberFormat="1" applyFont="1" applyBorder="1" applyAlignment="1">
      <alignment vertical="center" shrinkToFit="1"/>
    </xf>
    <xf numFmtId="41" fontId="4" fillId="0" borderId="156" xfId="0" applyNumberFormat="1" applyFont="1" applyBorder="1" applyAlignment="1">
      <alignment horizontal="right" vertical="center"/>
    </xf>
    <xf numFmtId="0" fontId="4" fillId="2" borderId="227" xfId="0" applyFont="1" applyFill="1" applyBorder="1" applyAlignment="1">
      <alignment horizontal="centerContinuous" vertical="center"/>
    </xf>
    <xf numFmtId="41" fontId="5" fillId="2" borderId="227" xfId="1" applyNumberFormat="1" applyFont="1" applyFill="1" applyBorder="1" applyAlignment="1">
      <alignment horizontal="center" vertical="center" shrinkToFit="1"/>
    </xf>
    <xf numFmtId="0" fontId="16" fillId="0" borderId="54" xfId="0" applyFont="1" applyBorder="1" applyAlignment="1">
      <alignment horizontal="right" vertical="center"/>
    </xf>
    <xf numFmtId="0" fontId="16" fillId="0" borderId="2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9" fillId="7" borderId="0" xfId="0" applyFont="1" applyFill="1" applyAlignment="1">
      <alignment horizontal="left" vertical="center"/>
    </xf>
    <xf numFmtId="41" fontId="16" fillId="0" borderId="11" xfId="4" applyFont="1" applyBorder="1" applyAlignment="1">
      <alignment horizontal="center" vertical="center"/>
    </xf>
    <xf numFmtId="41" fontId="16" fillId="0" borderId="8" xfId="4" applyFont="1" applyBorder="1" applyAlignment="1">
      <alignment horizontal="center" vertical="center"/>
    </xf>
    <xf numFmtId="41" fontId="16" fillId="0" borderId="22" xfId="4" applyFont="1" applyBorder="1" applyAlignment="1">
      <alignment horizontal="center" vertical="center"/>
    </xf>
    <xf numFmtId="41" fontId="16" fillId="0" borderId="39" xfId="4" applyFont="1" applyBorder="1" applyAlignment="1">
      <alignment horizontal="center" vertical="center"/>
    </xf>
    <xf numFmtId="41" fontId="16" fillId="0" borderId="40" xfId="4" applyFont="1" applyBorder="1" applyAlignment="1">
      <alignment horizontal="center" vertical="center"/>
    </xf>
    <xf numFmtId="0" fontId="16" fillId="0" borderId="22" xfId="0" quotePrefix="1" applyFont="1" applyBorder="1" applyAlignment="1">
      <alignment horizontal="center" vertical="center"/>
    </xf>
    <xf numFmtId="0" fontId="16" fillId="0" borderId="39" xfId="0" quotePrefix="1" applyFont="1" applyBorder="1" applyAlignment="1">
      <alignment horizontal="center" vertical="center"/>
    </xf>
    <xf numFmtId="0" fontId="16" fillId="0" borderId="40" xfId="0" quotePrefix="1" applyFont="1" applyBorder="1" applyAlignment="1">
      <alignment horizontal="center" vertical="center"/>
    </xf>
    <xf numFmtId="0" fontId="16" fillId="0" borderId="166" xfId="0" applyFont="1" applyFill="1" applyBorder="1" applyAlignment="1">
      <alignment horizontal="center" vertical="center" wrapText="1"/>
    </xf>
    <xf numFmtId="0" fontId="16" fillId="0" borderId="12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63" fillId="7" borderId="0" xfId="0" applyFont="1" applyFill="1" applyAlignment="1">
      <alignment horizontal="left" vertical="center"/>
    </xf>
    <xf numFmtId="41" fontId="17" fillId="0" borderId="0" xfId="11" applyFont="1" applyFill="1" applyAlignment="1">
      <alignment horizontal="left" vertical="center"/>
    </xf>
    <xf numFmtId="0" fontId="7" fillId="8" borderId="174" xfId="0" applyFont="1" applyFill="1" applyBorder="1" applyAlignment="1">
      <alignment horizontal="center" vertical="center"/>
    </xf>
    <xf numFmtId="0" fontId="7" fillId="8" borderId="46" xfId="0" applyFont="1" applyFill="1" applyBorder="1" applyAlignment="1">
      <alignment horizontal="center" vertical="center"/>
    </xf>
    <xf numFmtId="0" fontId="7" fillId="8" borderId="201" xfId="0" applyFont="1" applyFill="1" applyBorder="1" applyAlignment="1">
      <alignment horizontal="center" vertical="center"/>
    </xf>
    <xf numFmtId="0" fontId="7" fillId="8" borderId="200" xfId="0" applyFont="1" applyFill="1" applyBorder="1" applyAlignment="1">
      <alignment horizontal="center" vertical="center"/>
    </xf>
    <xf numFmtId="0" fontId="7" fillId="8" borderId="47" xfId="0" applyFont="1" applyFill="1" applyBorder="1" applyAlignment="1">
      <alignment horizontal="center" vertical="center"/>
    </xf>
    <xf numFmtId="0" fontId="7" fillId="8" borderId="68" xfId="0" applyFont="1" applyFill="1" applyBorder="1" applyAlignment="1">
      <alignment horizontal="center" vertical="center"/>
    </xf>
    <xf numFmtId="0" fontId="7" fillId="8" borderId="173" xfId="0" applyFont="1" applyFill="1" applyBorder="1" applyAlignment="1">
      <alignment horizontal="center" vertical="center" wrapText="1"/>
    </xf>
    <xf numFmtId="0" fontId="7" fillId="8" borderId="56" xfId="0" applyFont="1" applyFill="1" applyBorder="1" applyAlignment="1">
      <alignment horizontal="center" vertical="center" wrapText="1"/>
    </xf>
    <xf numFmtId="0" fontId="7" fillId="8" borderId="173" xfId="0" applyFont="1" applyFill="1" applyBorder="1" applyAlignment="1">
      <alignment horizontal="center" vertical="center"/>
    </xf>
    <xf numFmtId="0" fontId="7" fillId="8" borderId="56" xfId="0" applyFont="1" applyFill="1" applyBorder="1" applyAlignment="1">
      <alignment horizontal="center" vertical="center"/>
    </xf>
    <xf numFmtId="0" fontId="4" fillId="0" borderId="41" xfId="0" applyNumberFormat="1" applyFont="1" applyBorder="1" applyAlignment="1">
      <alignment horizontal="center" vertical="center"/>
    </xf>
    <xf numFmtId="0" fontId="4" fillId="0" borderId="14" xfId="0" applyNumberFormat="1" applyFont="1" applyBorder="1" applyAlignment="1">
      <alignment horizontal="center" vertical="center"/>
    </xf>
    <xf numFmtId="0" fontId="4" fillId="0" borderId="56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177" fontId="4" fillId="0" borderId="1" xfId="1" applyNumberFormat="1" applyFont="1" applyBorder="1" applyAlignment="1">
      <alignment horizontal="center" vertical="center"/>
    </xf>
    <xf numFmtId="177" fontId="4" fillId="0" borderId="156" xfId="1" applyNumberFormat="1" applyFont="1" applyBorder="1" applyAlignment="1">
      <alignment horizontal="center" vertical="center"/>
    </xf>
    <xf numFmtId="0" fontId="4" fillId="0" borderId="17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62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3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36" xfId="0" applyFont="1" applyFill="1" applyBorder="1" applyAlignment="1">
      <alignment horizontal="center" vertical="center" wrapText="1"/>
    </xf>
    <xf numFmtId="0" fontId="4" fillId="0" borderId="36" xfId="0" applyFont="1" applyFill="1" applyBorder="1" applyAlignment="1">
      <alignment horizontal="center" vertical="center"/>
    </xf>
    <xf numFmtId="0" fontId="4" fillId="0" borderId="169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185" xfId="0" applyFont="1" applyFill="1" applyBorder="1" applyAlignment="1">
      <alignment horizontal="center" vertical="center"/>
    </xf>
    <xf numFmtId="0" fontId="5" fillId="3" borderId="18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1" fontId="4" fillId="0" borderId="17" xfId="1" applyFont="1" applyFill="1" applyBorder="1" applyAlignment="1">
      <alignment horizontal="center" vertical="center" shrinkToFit="1"/>
    </xf>
    <xf numFmtId="41" fontId="4" fillId="0" borderId="169" xfId="1" applyFont="1" applyFill="1" applyBorder="1" applyAlignment="1">
      <alignment horizontal="center" vertical="center" shrinkToFit="1"/>
    </xf>
    <xf numFmtId="41" fontId="4" fillId="0" borderId="227" xfId="1" applyFont="1" applyFill="1" applyBorder="1" applyAlignment="1">
      <alignment horizontal="center" vertical="center" shrinkToFit="1"/>
    </xf>
    <xf numFmtId="0" fontId="4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3" borderId="16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176" fontId="61" fillId="0" borderId="162" xfId="0" applyNumberFormat="1" applyFont="1" applyBorder="1" applyAlignment="1">
      <alignment horizontal="left" vertical="center" shrinkToFit="1"/>
    </xf>
    <xf numFmtId="0" fontId="4" fillId="2" borderId="171" xfId="0" applyFont="1" applyFill="1" applyBorder="1" applyAlignment="1">
      <alignment horizontal="center" vertical="center"/>
    </xf>
    <xf numFmtId="0" fontId="4" fillId="2" borderId="51" xfId="0" applyFont="1" applyFill="1" applyBorder="1" applyAlignment="1">
      <alignment horizontal="center" vertical="center"/>
    </xf>
    <xf numFmtId="0" fontId="4" fillId="2" borderId="180" xfId="0" applyFont="1" applyFill="1" applyBorder="1" applyAlignment="1">
      <alignment horizontal="center" vertical="center"/>
    </xf>
    <xf numFmtId="0" fontId="4" fillId="3" borderId="173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180" fontId="14" fillId="6" borderId="172" xfId="4" applyNumberFormat="1" applyFont="1" applyFill="1" applyBorder="1" applyAlignment="1">
      <alignment horizontal="center" vertical="center"/>
    </xf>
    <xf numFmtId="180" fontId="14" fillId="6" borderId="159" xfId="4" applyNumberFormat="1" applyFont="1" applyFill="1" applyBorder="1" applyAlignment="1">
      <alignment horizontal="center" vertical="center"/>
    </xf>
    <xf numFmtId="180" fontId="14" fillId="6" borderId="160" xfId="4" applyNumberFormat="1" applyFont="1" applyFill="1" applyBorder="1" applyAlignment="1">
      <alignment horizontal="center" vertical="center"/>
    </xf>
    <xf numFmtId="41" fontId="16" fillId="6" borderId="44" xfId="4" applyFont="1" applyFill="1" applyBorder="1" applyAlignment="1">
      <alignment horizontal="center" vertical="center" wrapText="1"/>
    </xf>
    <xf numFmtId="41" fontId="16" fillId="6" borderId="39" xfId="4" applyFont="1" applyFill="1" applyBorder="1" applyAlignment="1">
      <alignment horizontal="center" vertical="center" wrapText="1"/>
    </xf>
    <xf numFmtId="41" fontId="16" fillId="6" borderId="45" xfId="4" applyFont="1" applyFill="1" applyBorder="1" applyAlignment="1">
      <alignment horizontal="center" vertical="center" wrapText="1"/>
    </xf>
    <xf numFmtId="41" fontId="16" fillId="6" borderId="38" xfId="4" applyFont="1" applyFill="1" applyBorder="1" applyAlignment="1">
      <alignment horizontal="center" vertical="center" wrapText="1"/>
    </xf>
    <xf numFmtId="41" fontId="16" fillId="6" borderId="56" xfId="4" applyFont="1" applyFill="1" applyBorder="1" applyAlignment="1">
      <alignment horizontal="center" vertical="center" wrapText="1"/>
    </xf>
    <xf numFmtId="41" fontId="16" fillId="6" borderId="43" xfId="4" applyFont="1" applyFill="1" applyBorder="1" applyAlignment="1">
      <alignment horizontal="center" vertical="center" wrapText="1"/>
    </xf>
    <xf numFmtId="41" fontId="16" fillId="6" borderId="68" xfId="4" applyFont="1" applyFill="1" applyBorder="1" applyAlignment="1">
      <alignment horizontal="center" vertical="center" wrapText="1"/>
    </xf>
    <xf numFmtId="0" fontId="14" fillId="6" borderId="10" xfId="0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41" fontId="16" fillId="6" borderId="11" xfId="4" applyFont="1" applyFill="1" applyBorder="1" applyAlignment="1">
      <alignment horizontal="center" vertical="center" wrapText="1"/>
    </xf>
    <xf numFmtId="0" fontId="14" fillId="6" borderId="13" xfId="0" applyFont="1" applyFill="1" applyBorder="1" applyAlignment="1">
      <alignment horizontal="center" vertical="center" wrapText="1"/>
    </xf>
    <xf numFmtId="41" fontId="16" fillId="6" borderId="22" xfId="4" applyFont="1" applyFill="1" applyBorder="1" applyAlignment="1">
      <alignment horizontal="center" vertical="center" wrapText="1"/>
    </xf>
    <xf numFmtId="41" fontId="16" fillId="6" borderId="13" xfId="4" applyFont="1" applyFill="1" applyBorder="1" applyAlignment="1">
      <alignment horizontal="center" vertical="center" wrapText="1"/>
    </xf>
    <xf numFmtId="41" fontId="16" fillId="6" borderId="186" xfId="1" applyFont="1" applyFill="1" applyBorder="1" applyAlignment="1">
      <alignment horizontal="center" vertical="center" wrapText="1" shrinkToFit="1"/>
    </xf>
    <xf numFmtId="41" fontId="16" fillId="6" borderId="62" xfId="1" applyFont="1" applyFill="1" applyBorder="1" applyAlignment="1">
      <alignment horizontal="center" vertical="center" shrinkToFit="1"/>
    </xf>
    <xf numFmtId="0" fontId="14" fillId="0" borderId="54" xfId="0" applyFont="1" applyBorder="1" applyAlignment="1">
      <alignment horizontal="left" vertical="center"/>
    </xf>
    <xf numFmtId="41" fontId="16" fillId="6" borderId="61" xfId="1" applyFont="1" applyFill="1" applyBorder="1" applyAlignment="1">
      <alignment horizontal="center" vertical="center" shrinkToFit="1"/>
    </xf>
    <xf numFmtId="41" fontId="16" fillId="6" borderId="19" xfId="1" applyFont="1" applyFill="1" applyBorder="1" applyAlignment="1">
      <alignment horizontal="center" vertical="center" shrinkToFit="1"/>
    </xf>
    <xf numFmtId="41" fontId="16" fillId="6" borderId="75" xfId="1" applyFont="1" applyFill="1" applyBorder="1" applyAlignment="1">
      <alignment horizontal="center" vertical="center" shrinkToFit="1"/>
    </xf>
    <xf numFmtId="41" fontId="16" fillId="6" borderId="204" xfId="1" applyFont="1" applyFill="1" applyBorder="1" applyAlignment="1">
      <alignment horizontal="center" vertical="center" shrinkToFit="1"/>
    </xf>
    <xf numFmtId="41" fontId="16" fillId="6" borderId="185" xfId="1" applyFont="1" applyFill="1" applyBorder="1" applyAlignment="1">
      <alignment horizontal="center" vertical="center" shrinkToFit="1"/>
    </xf>
    <xf numFmtId="41" fontId="16" fillId="6" borderId="205" xfId="1" applyFont="1" applyFill="1" applyBorder="1" applyAlignment="1">
      <alignment horizontal="center" vertical="center" shrinkToFit="1"/>
    </xf>
    <xf numFmtId="41" fontId="16" fillId="6" borderId="172" xfId="4" applyFont="1" applyFill="1" applyBorder="1" applyAlignment="1">
      <alignment horizontal="center" vertical="center" wrapText="1"/>
    </xf>
    <xf numFmtId="41" fontId="16" fillId="6" borderId="160" xfId="4" applyFont="1" applyFill="1" applyBorder="1" applyAlignment="1">
      <alignment horizontal="center" vertical="center" wrapText="1"/>
    </xf>
    <xf numFmtId="41" fontId="16" fillId="6" borderId="198" xfId="1" applyFont="1" applyFill="1" applyBorder="1" applyAlignment="1">
      <alignment horizontal="center" vertical="center" shrinkToFit="1"/>
    </xf>
    <xf numFmtId="41" fontId="16" fillId="6" borderId="172" xfId="1" applyFont="1" applyFill="1" applyBorder="1" applyAlignment="1">
      <alignment horizontal="center" vertical="center" shrinkToFit="1"/>
    </xf>
    <xf numFmtId="41" fontId="16" fillId="6" borderId="160" xfId="1" applyFont="1" applyFill="1" applyBorder="1" applyAlignment="1">
      <alignment horizontal="center" vertical="center" shrinkToFit="1"/>
    </xf>
    <xf numFmtId="179" fontId="7" fillId="0" borderId="31" xfId="0" applyNumberFormat="1" applyFont="1" applyBorder="1" applyAlignment="1">
      <alignment horizontal="center" vertical="center" wrapText="1"/>
    </xf>
    <xf numFmtId="179" fontId="7" fillId="0" borderId="12" xfId="0" applyNumberFormat="1" applyFont="1" applyBorder="1" applyAlignment="1">
      <alignment horizontal="center" vertical="center"/>
    </xf>
    <xf numFmtId="179" fontId="7" fillId="0" borderId="13" xfId="0" applyNumberFormat="1" applyFont="1" applyBorder="1" applyAlignment="1">
      <alignment horizontal="center" vertical="center"/>
    </xf>
    <xf numFmtId="0" fontId="7" fillId="0" borderId="162" xfId="0" applyFont="1" applyBorder="1" applyAlignment="1">
      <alignment horizontal="right" vertical="center"/>
    </xf>
    <xf numFmtId="0" fontId="14" fillId="0" borderId="179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53" xfId="0" applyFont="1" applyBorder="1" applyAlignment="1">
      <alignment horizontal="center" vertical="center" wrapText="1"/>
    </xf>
    <xf numFmtId="0" fontId="14" fillId="0" borderId="171" xfId="0" applyFont="1" applyBorder="1" applyAlignment="1">
      <alignment horizontal="center" vertical="center" wrapText="1"/>
    </xf>
    <xf numFmtId="41" fontId="59" fillId="0" borderId="170" xfId="0" applyNumberFormat="1" applyFont="1" applyBorder="1" applyAlignment="1">
      <alignment horizontal="center" vertical="center"/>
    </xf>
    <xf numFmtId="41" fontId="59" fillId="0" borderId="236" xfId="0" applyNumberFormat="1" applyFont="1" applyBorder="1" applyAlignment="1">
      <alignment horizontal="center" vertical="center"/>
    </xf>
    <xf numFmtId="41" fontId="61" fillId="0" borderId="170" xfId="0" applyNumberFormat="1" applyFont="1" applyBorder="1" applyAlignment="1">
      <alignment horizontal="center" vertical="center"/>
    </xf>
    <xf numFmtId="41" fontId="61" fillId="0" borderId="236" xfId="0" applyNumberFormat="1" applyFont="1" applyBorder="1" applyAlignment="1">
      <alignment horizontal="center" vertical="center"/>
    </xf>
    <xf numFmtId="0" fontId="59" fillId="0" borderId="170" xfId="0" applyFont="1" applyBorder="1" applyAlignment="1">
      <alignment horizontal="center" vertical="center"/>
    </xf>
    <xf numFmtId="0" fontId="59" fillId="0" borderId="236" xfId="0" applyFont="1" applyBorder="1" applyAlignment="1">
      <alignment horizontal="center" vertical="center"/>
    </xf>
    <xf numFmtId="0" fontId="14" fillId="0" borderId="217" xfId="0" applyFont="1" applyBorder="1" applyAlignment="1">
      <alignment horizontal="center" vertical="center"/>
    </xf>
    <xf numFmtId="41" fontId="14" fillId="0" borderId="217" xfId="1" applyFont="1" applyBorder="1" applyAlignment="1">
      <alignment horizontal="center" vertical="center"/>
    </xf>
    <xf numFmtId="0" fontId="14" fillId="0" borderId="214" xfId="0" applyFont="1" applyBorder="1" applyAlignment="1">
      <alignment horizontal="center" vertical="center" wrapText="1"/>
    </xf>
    <xf numFmtId="0" fontId="14" fillId="0" borderId="213" xfId="0" applyFont="1" applyBorder="1" applyAlignment="1">
      <alignment horizontal="center" vertical="center" wrapText="1"/>
    </xf>
    <xf numFmtId="0" fontId="14" fillId="0" borderId="218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229" xfId="0" applyFont="1" applyBorder="1" applyAlignment="1">
      <alignment horizontal="center" vertical="center"/>
    </xf>
    <xf numFmtId="41" fontId="14" fillId="0" borderId="218" xfId="1" applyFont="1" applyBorder="1" applyAlignment="1">
      <alignment horizontal="center" vertical="center"/>
    </xf>
    <xf numFmtId="41" fontId="14" fillId="0" borderId="0" xfId="1" applyFont="1" applyBorder="1" applyAlignment="1">
      <alignment horizontal="center" vertical="center"/>
    </xf>
    <xf numFmtId="41" fontId="14" fillId="0" borderId="229" xfId="1" applyFont="1" applyBorder="1" applyAlignment="1">
      <alignment horizontal="center" vertical="center"/>
    </xf>
    <xf numFmtId="0" fontId="59" fillId="0" borderId="162" xfId="0" applyFont="1" applyBorder="1" applyAlignment="1">
      <alignment horizontal="center" vertical="center"/>
    </xf>
    <xf numFmtId="185" fontId="59" fillId="0" borderId="170" xfId="0" applyNumberFormat="1" applyFont="1" applyBorder="1" applyAlignment="1">
      <alignment horizontal="center" vertical="center"/>
    </xf>
    <xf numFmtId="185" fontId="59" fillId="0" borderId="162" xfId="0" applyNumberFormat="1" applyFont="1" applyBorder="1" applyAlignment="1">
      <alignment horizontal="center" vertical="center"/>
    </xf>
    <xf numFmtId="0" fontId="59" fillId="0" borderId="170" xfId="0" applyNumberFormat="1" applyFont="1" applyBorder="1" applyAlignment="1">
      <alignment horizontal="center" vertical="center"/>
    </xf>
    <xf numFmtId="0" fontId="59" fillId="0" borderId="162" xfId="0" applyNumberFormat="1" applyFont="1" applyBorder="1" applyAlignment="1">
      <alignment horizontal="center" vertical="center"/>
    </xf>
  </cellXfs>
  <cellStyles count="10904">
    <cellStyle name="_기안1 (3)" xfId="89"/>
    <cellStyle name="_기안1 (3)_1" xfId="90"/>
    <cellStyle name="_돌은농축" xfId="91"/>
    <cellStyle name="_돌은농축_1" xfId="92"/>
    <cellStyle name="_인센1 (2)" xfId="93"/>
    <cellStyle name="_인센1 (2)_1" xfId="94"/>
    <cellStyle name="_인센1 (2)_2" xfId="95"/>
    <cellStyle name="_인센2 (2)" xfId="96"/>
    <cellStyle name="_인센2 (2)_1" xfId="97"/>
    <cellStyle name="Accent1 - 20%" xfId="191"/>
    <cellStyle name="Accent1 - 40%" xfId="192"/>
    <cellStyle name="Accent1 - 60%" xfId="193"/>
    <cellStyle name="Accent2 - 20%" xfId="194"/>
    <cellStyle name="Accent2 - 40%" xfId="195"/>
    <cellStyle name="Accent2 - 60%" xfId="196"/>
    <cellStyle name="Accent3 - 20%" xfId="197"/>
    <cellStyle name="Accent3 - 40%" xfId="198"/>
    <cellStyle name="Accent3 - 60%" xfId="199"/>
    <cellStyle name="Accent4 - 20%" xfId="200"/>
    <cellStyle name="Accent4 - 40%" xfId="201"/>
    <cellStyle name="Accent4 - 60%" xfId="202"/>
    <cellStyle name="Accent5 - 20%" xfId="203"/>
    <cellStyle name="Accent5 - 40%" xfId="204"/>
    <cellStyle name="Accent5 - 60%" xfId="205"/>
    <cellStyle name="Accent6 - 20%" xfId="206"/>
    <cellStyle name="Accent6 - 40%" xfId="207"/>
    <cellStyle name="Accent6 - 60%" xfId="208"/>
    <cellStyle name="Comma [0]_ SG&amp;A Bridge " xfId="98"/>
    <cellStyle name="Comma_ SG&amp;A Bridge " xfId="99"/>
    <cellStyle name="Currency [0]_ SG&amp;A Bridge " xfId="100"/>
    <cellStyle name="Currency_ SG&amp;A Bridge " xfId="101"/>
    <cellStyle name="Emphasis 1" xfId="209"/>
    <cellStyle name="Emphasis 2" xfId="210"/>
    <cellStyle name="Emphasis 3" xfId="211"/>
    <cellStyle name="Grey" xfId="102"/>
    <cellStyle name="Header1" xfId="43"/>
    <cellStyle name="Header1 2" xfId="4608"/>
    <cellStyle name="Header2" xfId="44"/>
    <cellStyle name="Header2 2" xfId="874"/>
    <cellStyle name="Header2 2 2" xfId="1214"/>
    <cellStyle name="Header2 2 2 2" xfId="2305"/>
    <cellStyle name="Header2 2 2 2 2" xfId="4500"/>
    <cellStyle name="Header2 2 2 2 2 2" xfId="8943"/>
    <cellStyle name="Header2 2 2 2 2 3" xfId="10589"/>
    <cellStyle name="Header2 2 2 2 2 4" xfId="10775"/>
    <cellStyle name="Header2 2 2 2 2 5" xfId="10875"/>
    <cellStyle name="Header2 2 2 2 3" xfId="6748"/>
    <cellStyle name="Header2 2 2 2 4" xfId="9487"/>
    <cellStyle name="Header2 2 2 3" xfId="3414"/>
    <cellStyle name="Header2 2 2 3 2" xfId="7857"/>
    <cellStyle name="Header2 2 2 3 3" xfId="10152"/>
    <cellStyle name="Header2 2 2 3 4" xfId="10073"/>
    <cellStyle name="Header2 2 2 3 5" xfId="10187"/>
    <cellStyle name="Header2 2 2 4" xfId="5660"/>
    <cellStyle name="Header2 2 2 5" xfId="9118"/>
    <cellStyle name="Header2 2 3" xfId="1233"/>
    <cellStyle name="Header2 2 3 2" xfId="2324"/>
    <cellStyle name="Header2 2 3 2 2" xfId="4519"/>
    <cellStyle name="Header2 2 3 2 2 2" xfId="8962"/>
    <cellStyle name="Header2 2 3 2 2 3" xfId="10608"/>
    <cellStyle name="Header2 2 3 2 2 4" xfId="10794"/>
    <cellStyle name="Header2 2 3 2 2 5" xfId="10894"/>
    <cellStyle name="Header2 2 3 2 3" xfId="6767"/>
    <cellStyle name="Header2 2 3 2 4" xfId="5722"/>
    <cellStyle name="Header2 2 3 3" xfId="3433"/>
    <cellStyle name="Header2 2 3 3 2" xfId="7876"/>
    <cellStyle name="Header2 2 3 3 3" xfId="10171"/>
    <cellStyle name="Header2 2 3 3 4" xfId="10335"/>
    <cellStyle name="Header2 2 3 3 5" xfId="9075"/>
    <cellStyle name="Header2 2 3 4" xfId="5679"/>
    <cellStyle name="Header2 2 3 5" xfId="9803"/>
    <cellStyle name="Header2 2 4" xfId="1965"/>
    <cellStyle name="Header2 2 4 2" xfId="4160"/>
    <cellStyle name="Header2 2 4 2 2" xfId="8603"/>
    <cellStyle name="Header2 2 4 2 3" xfId="10438"/>
    <cellStyle name="Header2 2 4 2 4" xfId="10654"/>
    <cellStyle name="Header2 2 4 2 5" xfId="10804"/>
    <cellStyle name="Header2 2 4 3" xfId="6408"/>
    <cellStyle name="Header2 2 4 4" xfId="9808"/>
    <cellStyle name="Header2 2 5" xfId="3074"/>
    <cellStyle name="Header2 2 5 2" xfId="7517"/>
    <cellStyle name="Header2 2 5 3" xfId="9997"/>
    <cellStyle name="Header2 2 5 4" xfId="9166"/>
    <cellStyle name="Header2 2 5 5" xfId="9391"/>
    <cellStyle name="Header2 2 6" xfId="5320"/>
    <cellStyle name="Header2 2 7" xfId="9523"/>
    <cellStyle name="Header2 3" xfId="576"/>
    <cellStyle name="Header2 3 2" xfId="1149"/>
    <cellStyle name="Header2 3 2 2" xfId="2240"/>
    <cellStyle name="Header2 3 2 2 2" xfId="4435"/>
    <cellStyle name="Header2 3 2 2 2 2" xfId="8878"/>
    <cellStyle name="Header2 3 2 2 2 3" xfId="10529"/>
    <cellStyle name="Header2 3 2 2 2 4" xfId="10718"/>
    <cellStyle name="Header2 3 2 2 2 5" xfId="10819"/>
    <cellStyle name="Header2 3 2 2 3" xfId="6683"/>
    <cellStyle name="Header2 3 2 2 4" xfId="9409"/>
    <cellStyle name="Header2 3 2 3" xfId="3349"/>
    <cellStyle name="Header2 3 2 3 2" xfId="7792"/>
    <cellStyle name="Header2 3 2 3 3" xfId="10096"/>
    <cellStyle name="Header2 3 2 3 4" xfId="9307"/>
    <cellStyle name="Header2 3 2 3 5" xfId="9483"/>
    <cellStyle name="Header2 3 2 4" xfId="5595"/>
    <cellStyle name="Header2 3 2 5" xfId="10045"/>
    <cellStyle name="Header2 3 3" xfId="1667"/>
    <cellStyle name="Header2 3 3 2" xfId="3862"/>
    <cellStyle name="Header2 3 3 2 2" xfId="8305"/>
    <cellStyle name="Header2 3 3 2 3" xfId="10356"/>
    <cellStyle name="Header2 3 3 2 4" xfId="9039"/>
    <cellStyle name="Header2 3 3 2 5" xfId="9519"/>
    <cellStyle name="Header2 3 3 3" xfId="6110"/>
    <cellStyle name="Header2 3 3 4" xfId="10351"/>
    <cellStyle name="Header2 3 4" xfId="2776"/>
    <cellStyle name="Header2 3 4 2" xfId="7219"/>
    <cellStyle name="Header2 3 4 3" xfId="9908"/>
    <cellStyle name="Header2 3 4 4" xfId="10618"/>
    <cellStyle name="Header2 3 4 5" xfId="9249"/>
    <cellStyle name="Header2 3 5" xfId="5022"/>
    <cellStyle name="Header2 3 6" xfId="10474"/>
    <cellStyle name="Header2 4" xfId="1290"/>
    <cellStyle name="Header2 4 2" xfId="3485"/>
    <cellStyle name="Header2 4 2 2" xfId="7928"/>
    <cellStyle name="Header2 4 2 3" xfId="10189"/>
    <cellStyle name="Header2 4 2 4" xfId="9535"/>
    <cellStyle name="Header2 4 2 5" xfId="10626"/>
    <cellStyle name="Header2 4 3" xfId="5733"/>
    <cellStyle name="Header2 4 4" xfId="10016"/>
    <cellStyle name="Header2 5" xfId="2399"/>
    <cellStyle name="Header2 5 2" xfId="6842"/>
    <cellStyle name="Header2 5 3" xfId="9741"/>
    <cellStyle name="Header2 5 4" xfId="10069"/>
    <cellStyle name="Header2 5 5" xfId="10495"/>
    <cellStyle name="Header2 6" xfId="4609"/>
    <cellStyle name="Header2 7" xfId="9231"/>
    <cellStyle name="Input [yellow]" xfId="103"/>
    <cellStyle name="Input [yellow] 2" xfId="597"/>
    <cellStyle name="Input [yellow] 2 2" xfId="1154"/>
    <cellStyle name="Input [yellow] 2 2 2" xfId="2245"/>
    <cellStyle name="Input [yellow] 2 2 2 2" xfId="4440"/>
    <cellStyle name="Input [yellow] 2 2 2 2 2" xfId="8883"/>
    <cellStyle name="Input [yellow] 2 2 2 2 3" xfId="10534"/>
    <cellStyle name="Input [yellow] 2 2 2 2 4" xfId="10723"/>
    <cellStyle name="Input [yellow] 2 2 2 2 5" xfId="10824"/>
    <cellStyle name="Input [yellow] 2 2 2 3" xfId="6688"/>
    <cellStyle name="Input [yellow] 2 2 2 4" xfId="9651"/>
    <cellStyle name="Input [yellow] 2 2 2 5" xfId="9125"/>
    <cellStyle name="Input [yellow] 2 2 2 6" xfId="10585"/>
    <cellStyle name="Input [yellow] 2 2 3" xfId="3354"/>
    <cellStyle name="Input [yellow] 2 2 3 2" xfId="7797"/>
    <cellStyle name="Input [yellow] 2 2 3 3" xfId="10101"/>
    <cellStyle name="Input [yellow] 2 2 3 4" xfId="9995"/>
    <cellStyle name="Input [yellow] 2 2 3 5" xfId="10479"/>
    <cellStyle name="Input [yellow] 2 2 4" xfId="5600"/>
    <cellStyle name="Input [yellow] 2 2 5" xfId="9283"/>
    <cellStyle name="Input [yellow] 2 2 6" xfId="9521"/>
    <cellStyle name="Input [yellow] 2 2 7" xfId="9480"/>
    <cellStyle name="Input [yellow] 2 3" xfId="1688"/>
    <cellStyle name="Input [yellow] 2 3 2" xfId="3883"/>
    <cellStyle name="Input [yellow] 2 3 2 2" xfId="8326"/>
    <cellStyle name="Input [yellow] 2 3 2 3" xfId="10364"/>
    <cellStyle name="Input [yellow] 2 3 2 4" xfId="9296"/>
    <cellStyle name="Input [yellow] 2 3 2 5" xfId="9531"/>
    <cellStyle name="Input [yellow] 2 3 3" xfId="6131"/>
    <cellStyle name="Input [yellow] 2 3 4" xfId="9491"/>
    <cellStyle name="Input [yellow] 2 3 5" xfId="9701"/>
    <cellStyle name="Input [yellow] 2 3 6" xfId="10773"/>
    <cellStyle name="Input [yellow] 2 4" xfId="2797"/>
    <cellStyle name="Input [yellow] 2 4 2" xfId="7240"/>
    <cellStyle name="Input [yellow] 2 4 3" xfId="9917"/>
    <cellStyle name="Input [yellow] 2 4 4" xfId="10365"/>
    <cellStyle name="Input [yellow] 2 4 5" xfId="9207"/>
    <cellStyle name="Input [yellow] 2 5" xfId="5043"/>
    <cellStyle name="Input [yellow] 2 6" xfId="9126"/>
    <cellStyle name="Input [yellow] 2 7" xfId="10384"/>
    <cellStyle name="Input [yellow] 2 8" xfId="9813"/>
    <cellStyle name="Input [yellow] 3" xfId="1311"/>
    <cellStyle name="Input [yellow] 3 2" xfId="3506"/>
    <cellStyle name="Input [yellow] 3 2 2" xfId="7949"/>
    <cellStyle name="Input [yellow] 3 2 3" xfId="10196"/>
    <cellStyle name="Input [yellow] 3 2 4" xfId="9979"/>
    <cellStyle name="Input [yellow] 3 2 5" xfId="9903"/>
    <cellStyle name="Input [yellow] 3 3" xfId="5754"/>
    <cellStyle name="Input [yellow] 3 4" xfId="9319"/>
    <cellStyle name="Input [yellow] 3 5" xfId="10074"/>
    <cellStyle name="Input [yellow] 3 6" xfId="9309"/>
    <cellStyle name="Input [yellow] 4" xfId="2420"/>
    <cellStyle name="Input [yellow] 4 2" xfId="6863"/>
    <cellStyle name="Input [yellow] 4 3" xfId="9968"/>
    <cellStyle name="Input [yellow] 4 4" xfId="9934"/>
    <cellStyle name="Input [yellow] 5" xfId="4638"/>
    <cellStyle name="Input [yellow] 6" xfId="4637"/>
    <cellStyle name="Input [yellow] 7" xfId="10274"/>
    <cellStyle name="Normal - Style1" xfId="104"/>
    <cellStyle name="Normal_ SG&amp;A Bridge " xfId="105"/>
    <cellStyle name="Percent [2]" xfId="106"/>
    <cellStyle name="SAPBEXaggData" xfId="212"/>
    <cellStyle name="SAPBEXaggData 2" xfId="424"/>
    <cellStyle name="SAPBEXaggData 2 2" xfId="1155"/>
    <cellStyle name="SAPBEXaggData 2 2 2" xfId="2246"/>
    <cellStyle name="SAPBEXaggData 2 2 2 2" xfId="4441"/>
    <cellStyle name="SAPBEXaggData 2 2 2 2 2" xfId="8884"/>
    <cellStyle name="SAPBEXaggData 2 2 2 2 3" xfId="10535"/>
    <cellStyle name="SAPBEXaggData 2 2 2 2 4" xfId="10724"/>
    <cellStyle name="SAPBEXaggData 2 2 2 2 5" xfId="10825"/>
    <cellStyle name="SAPBEXaggData 2 2 2 3" xfId="6689"/>
    <cellStyle name="SAPBEXaggData 2 2 2 4" xfId="9652"/>
    <cellStyle name="SAPBEXaggData 2 2 2 5" xfId="10004"/>
    <cellStyle name="SAPBEXaggData 2 2 2 6" xfId="9940"/>
    <cellStyle name="SAPBEXaggData 2 2 3" xfId="3355"/>
    <cellStyle name="SAPBEXaggData 2 2 3 2" xfId="7798"/>
    <cellStyle name="SAPBEXaggData 2 2 3 3" xfId="10102"/>
    <cellStyle name="SAPBEXaggData 2 2 3 4" xfId="10436"/>
    <cellStyle name="SAPBEXaggData 2 2 3 5" xfId="9127"/>
    <cellStyle name="SAPBEXaggData 2 2 4" xfId="5601"/>
    <cellStyle name="SAPBEXaggData 2 2 5" xfId="9901"/>
    <cellStyle name="SAPBEXaggData 2 3" xfId="1141"/>
    <cellStyle name="SAPBEXaggData 2 3 2" xfId="2232"/>
    <cellStyle name="SAPBEXaggData 2 3 2 2" xfId="4427"/>
    <cellStyle name="SAPBEXaggData 2 3 2 2 2" xfId="8870"/>
    <cellStyle name="SAPBEXaggData 2 3 2 2 3" xfId="10521"/>
    <cellStyle name="SAPBEXaggData 2 3 2 2 4" xfId="10710"/>
    <cellStyle name="SAPBEXaggData 2 3 2 2 5" xfId="10811"/>
    <cellStyle name="SAPBEXaggData 2 3 2 3" xfId="6675"/>
    <cellStyle name="SAPBEXaggData 2 3 2 4" xfId="9639"/>
    <cellStyle name="SAPBEXaggData 2 3 2 5" xfId="10038"/>
    <cellStyle name="SAPBEXaggData 2 3 2 6" xfId="10615"/>
    <cellStyle name="SAPBEXaggData 2 3 3" xfId="3341"/>
    <cellStyle name="SAPBEXaggData 2 3 3 2" xfId="7784"/>
    <cellStyle name="SAPBEXaggData 2 3 3 3" xfId="10088"/>
    <cellStyle name="SAPBEXaggData 2 3 3 4" xfId="10058"/>
    <cellStyle name="SAPBEXaggData 2 3 3 5" xfId="10184"/>
    <cellStyle name="SAPBEXaggData 2 3 4" xfId="5587"/>
    <cellStyle name="SAPBEXaggData 2 3 5" xfId="10650"/>
    <cellStyle name="SAPBEXaggData 2 4" xfId="1515"/>
    <cellStyle name="SAPBEXaggData 2 4 2" xfId="3710"/>
    <cellStyle name="SAPBEXaggData 2 4 2 2" xfId="8153"/>
    <cellStyle name="SAPBEXaggData 2 4 2 3" xfId="10291"/>
    <cellStyle name="SAPBEXaggData 2 4 2 4" xfId="10190"/>
    <cellStyle name="SAPBEXaggData 2 4 2 5" xfId="10507"/>
    <cellStyle name="SAPBEXaggData 2 4 3" xfId="5958"/>
    <cellStyle name="SAPBEXaggData 2 4 4" xfId="9411"/>
    <cellStyle name="SAPBEXaggData 2 4 5" xfId="10018"/>
    <cellStyle name="SAPBEXaggData 2 4 6" xfId="10486"/>
    <cellStyle name="SAPBEXaggData 2 5" xfId="2624"/>
    <cellStyle name="SAPBEXaggData 2 5 2" xfId="7067"/>
    <cellStyle name="SAPBEXaggData 2 5 3" xfId="9841"/>
    <cellStyle name="SAPBEXaggData 2 5 4" xfId="9937"/>
    <cellStyle name="SAPBEXaggData 2 5 5" xfId="10625"/>
    <cellStyle name="SAPBEXaggData 2 6" xfId="4870"/>
    <cellStyle name="SAPBEXaggData 2 7" xfId="10621"/>
    <cellStyle name="SAPBEXaggData 3" xfId="1327"/>
    <cellStyle name="SAPBEXaggData 3 2" xfId="3522"/>
    <cellStyle name="SAPBEXaggData 3 2 2" xfId="7965"/>
    <cellStyle name="SAPBEXaggData 3 2 3" xfId="10201"/>
    <cellStyle name="SAPBEXaggData 3 2 4" xfId="9497"/>
    <cellStyle name="SAPBEXaggData 3 2 5" xfId="9033"/>
    <cellStyle name="SAPBEXaggData 3 3" xfId="5770"/>
    <cellStyle name="SAPBEXaggData 3 4" xfId="9323"/>
    <cellStyle name="SAPBEXaggData 3 5" xfId="9203"/>
    <cellStyle name="SAPBEXaggData 3 6" xfId="9943"/>
    <cellStyle name="SAPBEXaggData 4" xfId="2436"/>
    <cellStyle name="SAPBEXaggData 4 2" xfId="6879"/>
    <cellStyle name="SAPBEXaggData 4 3" xfId="9756"/>
    <cellStyle name="SAPBEXaggData 4 4" xfId="10023"/>
    <cellStyle name="SAPBEXaggData 4 5" xfId="10065"/>
    <cellStyle name="SAPBEXaggData 5" xfId="4673"/>
    <cellStyle name="SAPBEXaggData 6" xfId="9026"/>
    <cellStyle name="SAPBEXaggDataEmph" xfId="213"/>
    <cellStyle name="SAPBEXaggDataEmph 2" xfId="425"/>
    <cellStyle name="SAPBEXaggDataEmph 2 2" xfId="1156"/>
    <cellStyle name="SAPBEXaggDataEmph 2 2 2" xfId="2247"/>
    <cellStyle name="SAPBEXaggDataEmph 2 2 2 2" xfId="4442"/>
    <cellStyle name="SAPBEXaggDataEmph 2 2 2 2 2" xfId="8885"/>
    <cellStyle name="SAPBEXaggDataEmph 2 2 2 2 3" xfId="10536"/>
    <cellStyle name="SAPBEXaggDataEmph 2 2 2 2 4" xfId="10725"/>
    <cellStyle name="SAPBEXaggDataEmph 2 2 2 2 5" xfId="10826"/>
    <cellStyle name="SAPBEXaggDataEmph 2 2 2 3" xfId="6690"/>
    <cellStyle name="SAPBEXaggDataEmph 2 2 2 4" xfId="9653"/>
    <cellStyle name="SAPBEXaggDataEmph 2 2 2 5" xfId="10446"/>
    <cellStyle name="SAPBEXaggDataEmph 2 2 2 6" xfId="9983"/>
    <cellStyle name="SAPBEXaggDataEmph 2 2 3" xfId="3356"/>
    <cellStyle name="SAPBEXaggDataEmph 2 2 3 2" xfId="7799"/>
    <cellStyle name="SAPBEXaggDataEmph 2 2 3 3" xfId="10103"/>
    <cellStyle name="SAPBEXaggDataEmph 2 2 3 4" xfId="9567"/>
    <cellStyle name="SAPBEXaggDataEmph 2 2 3 5" xfId="10652"/>
    <cellStyle name="SAPBEXaggDataEmph 2 2 4" xfId="5602"/>
    <cellStyle name="SAPBEXaggDataEmph 2 2 5" xfId="9397"/>
    <cellStyle name="SAPBEXaggDataEmph 2 3" xfId="1224"/>
    <cellStyle name="SAPBEXaggDataEmph 2 3 2" xfId="2315"/>
    <cellStyle name="SAPBEXaggDataEmph 2 3 2 2" xfId="4510"/>
    <cellStyle name="SAPBEXaggDataEmph 2 3 2 2 2" xfId="8953"/>
    <cellStyle name="SAPBEXaggDataEmph 2 3 2 2 3" xfId="10599"/>
    <cellStyle name="SAPBEXaggDataEmph 2 3 2 2 4" xfId="10785"/>
    <cellStyle name="SAPBEXaggDataEmph 2 3 2 2 5" xfId="10885"/>
    <cellStyle name="SAPBEXaggDataEmph 2 3 2 3" xfId="6758"/>
    <cellStyle name="SAPBEXaggDataEmph 2 3 2 4" xfId="9713"/>
    <cellStyle name="SAPBEXaggDataEmph 2 3 2 5" xfId="10368"/>
    <cellStyle name="SAPBEXaggDataEmph 2 3 2 6" xfId="10051"/>
    <cellStyle name="SAPBEXaggDataEmph 2 3 3" xfId="3424"/>
    <cellStyle name="SAPBEXaggDataEmph 2 3 3 2" xfId="7867"/>
    <cellStyle name="SAPBEXaggDataEmph 2 3 3 3" xfId="10162"/>
    <cellStyle name="SAPBEXaggDataEmph 2 3 3 4" xfId="9926"/>
    <cellStyle name="SAPBEXaggDataEmph 2 3 3 5" xfId="10443"/>
    <cellStyle name="SAPBEXaggDataEmph 2 3 4" xfId="5670"/>
    <cellStyle name="SAPBEXaggDataEmph 2 3 5" xfId="9958"/>
    <cellStyle name="SAPBEXaggDataEmph 2 4" xfId="1516"/>
    <cellStyle name="SAPBEXaggDataEmph 2 4 2" xfId="3711"/>
    <cellStyle name="SAPBEXaggDataEmph 2 4 2 2" xfId="8154"/>
    <cellStyle name="SAPBEXaggDataEmph 2 4 2 3" xfId="10292"/>
    <cellStyle name="SAPBEXaggDataEmph 2 4 2 4" xfId="9311"/>
    <cellStyle name="SAPBEXaggDataEmph 2 4 2 5" xfId="9159"/>
    <cellStyle name="SAPBEXaggDataEmph 2 4 3" xfId="5959"/>
    <cellStyle name="SAPBEXaggDataEmph 2 4 4" xfId="9412"/>
    <cellStyle name="SAPBEXaggDataEmph 2 4 5" xfId="10458"/>
    <cellStyle name="SAPBEXaggDataEmph 2 4 6" xfId="10380"/>
    <cellStyle name="SAPBEXaggDataEmph 2 5" xfId="2625"/>
    <cellStyle name="SAPBEXaggDataEmph 2 5 2" xfId="7068"/>
    <cellStyle name="SAPBEXaggDataEmph 2 5 3" xfId="9842"/>
    <cellStyle name="SAPBEXaggDataEmph 2 5 4" xfId="10381"/>
    <cellStyle name="SAPBEXaggDataEmph 2 5 5" xfId="9948"/>
    <cellStyle name="SAPBEXaggDataEmph 2 6" xfId="4871"/>
    <cellStyle name="SAPBEXaggDataEmph 2 7" xfId="10043"/>
    <cellStyle name="SAPBEXaggDataEmph 3" xfId="1328"/>
    <cellStyle name="SAPBEXaggDataEmph 3 2" xfId="3523"/>
    <cellStyle name="SAPBEXaggDataEmph 3 2 2" xfId="7966"/>
    <cellStyle name="SAPBEXaggDataEmph 3 2 3" xfId="10202"/>
    <cellStyle name="SAPBEXaggDataEmph 3 2 4" xfId="9133"/>
    <cellStyle name="SAPBEXaggDataEmph 3 2 5" xfId="10390"/>
    <cellStyle name="SAPBEXaggDataEmph 3 3" xfId="5771"/>
    <cellStyle name="SAPBEXaggDataEmph 3 4" xfId="9324"/>
    <cellStyle name="SAPBEXaggDataEmph 3 5" xfId="9832"/>
    <cellStyle name="SAPBEXaggDataEmph 3 6" xfId="10030"/>
    <cellStyle name="SAPBEXaggDataEmph 4" xfId="2437"/>
    <cellStyle name="SAPBEXaggDataEmph 4 2" xfId="6880"/>
    <cellStyle name="SAPBEXaggDataEmph 4 3" xfId="9757"/>
    <cellStyle name="SAPBEXaggDataEmph 4 4" xfId="10465"/>
    <cellStyle name="SAPBEXaggDataEmph 4 5" xfId="10195"/>
    <cellStyle name="SAPBEXaggDataEmph 5" xfId="4674"/>
    <cellStyle name="SAPBEXaggDataEmph 6" xfId="9234"/>
    <cellStyle name="SAPBEXaggItem" xfId="214"/>
    <cellStyle name="SAPBEXaggItem 2" xfId="426"/>
    <cellStyle name="SAPBEXaggItem 2 2" xfId="1157"/>
    <cellStyle name="SAPBEXaggItem 2 2 2" xfId="2248"/>
    <cellStyle name="SAPBEXaggItem 2 2 2 2" xfId="4443"/>
    <cellStyle name="SAPBEXaggItem 2 2 2 2 2" xfId="8886"/>
    <cellStyle name="SAPBEXaggItem 2 2 2 2 3" xfId="10537"/>
    <cellStyle name="SAPBEXaggItem 2 2 2 2 4" xfId="10726"/>
    <cellStyle name="SAPBEXaggItem 2 2 2 2 5" xfId="10827"/>
    <cellStyle name="SAPBEXaggItem 2 2 2 3" xfId="6691"/>
    <cellStyle name="SAPBEXaggItem 2 2 2 4" xfId="9654"/>
    <cellStyle name="SAPBEXaggItem 2 2 2 5" xfId="9571"/>
    <cellStyle name="SAPBEXaggItem 2 2 2 6" xfId="10657"/>
    <cellStyle name="SAPBEXaggItem 2 2 3" xfId="3357"/>
    <cellStyle name="SAPBEXaggItem 2 2 3 2" xfId="7800"/>
    <cellStyle name="SAPBEXaggItem 2 2 3 3" xfId="10104"/>
    <cellStyle name="SAPBEXaggItem 2 2 3 4" xfId="9196"/>
    <cellStyle name="SAPBEXaggItem 2 2 3 5" xfId="9944"/>
    <cellStyle name="SAPBEXaggItem 2 2 4" xfId="5603"/>
    <cellStyle name="SAPBEXaggItem 2 2 5" xfId="9241"/>
    <cellStyle name="SAPBEXaggItem 2 3" xfId="1219"/>
    <cellStyle name="SAPBEXaggItem 2 3 2" xfId="2310"/>
    <cellStyle name="SAPBEXaggItem 2 3 2 2" xfId="4505"/>
    <cellStyle name="SAPBEXaggItem 2 3 2 2 2" xfId="8948"/>
    <cellStyle name="SAPBEXaggItem 2 3 2 2 3" xfId="10594"/>
    <cellStyle name="SAPBEXaggItem 2 3 2 2 4" xfId="10780"/>
    <cellStyle name="SAPBEXaggItem 2 3 2 2 5" xfId="10880"/>
    <cellStyle name="SAPBEXaggItem 2 3 2 3" xfId="6753"/>
    <cellStyle name="SAPBEXaggItem 2 3 2 4" xfId="9708"/>
    <cellStyle name="SAPBEXaggItem 2 3 2 5" xfId="9047"/>
    <cellStyle name="SAPBEXaggItem 2 3 2 6" xfId="9315"/>
    <cellStyle name="SAPBEXaggItem 2 3 3" xfId="3419"/>
    <cellStyle name="SAPBEXaggItem 2 3 3 2" xfId="7862"/>
    <cellStyle name="SAPBEXaggItem 2 3 3 3" xfId="10157"/>
    <cellStyle name="SAPBEXaggItem 2 3 3 4" xfId="9063"/>
    <cellStyle name="SAPBEXaggItem 2 3 3 5" xfId="9594"/>
    <cellStyle name="SAPBEXaggItem 2 3 4" xfId="5665"/>
    <cellStyle name="SAPBEXaggItem 2 3 5" xfId="9900"/>
    <cellStyle name="SAPBEXaggItem 2 4" xfId="1517"/>
    <cellStyle name="SAPBEXaggItem 2 4 2" xfId="3712"/>
    <cellStyle name="SAPBEXaggItem 2 4 2 2" xfId="8155"/>
    <cellStyle name="SAPBEXaggItem 2 4 2 3" xfId="10293"/>
    <cellStyle name="SAPBEXaggItem 2 4 2 4" xfId="9909"/>
    <cellStyle name="SAPBEXaggItem 2 4 2 5" xfId="9102"/>
    <cellStyle name="SAPBEXaggItem 2 4 3" xfId="5960"/>
    <cellStyle name="SAPBEXaggItem 2 4 4" xfId="9413"/>
    <cellStyle name="SAPBEXaggItem 2 4 5" xfId="9582"/>
    <cellStyle name="SAPBEXaggItem 2 4 6" xfId="10668"/>
    <cellStyle name="SAPBEXaggItem 2 5" xfId="2626"/>
    <cellStyle name="SAPBEXaggItem 2 5 2" xfId="7069"/>
    <cellStyle name="SAPBEXaggItem 2 5 3" xfId="9843"/>
    <cellStyle name="SAPBEXaggItem 2 5 4" xfId="9510"/>
    <cellStyle name="SAPBEXaggItem 2 5 5" xfId="9079"/>
    <cellStyle name="SAPBEXaggItem 2 6" xfId="4872"/>
    <cellStyle name="SAPBEXaggItem 2 7" xfId="9308"/>
    <cellStyle name="SAPBEXaggItem 3" xfId="1329"/>
    <cellStyle name="SAPBEXaggItem 3 2" xfId="3524"/>
    <cellStyle name="SAPBEXaggItem 3 2 2" xfId="7967"/>
    <cellStyle name="SAPBEXaggItem 3 2 3" xfId="10203"/>
    <cellStyle name="SAPBEXaggItem 3 2 4" xfId="10009"/>
    <cellStyle name="SAPBEXaggItem 3 2 5" xfId="10509"/>
    <cellStyle name="SAPBEXaggItem 3 3" xfId="5772"/>
    <cellStyle name="SAPBEXaggItem 3 4" xfId="9325"/>
    <cellStyle name="SAPBEXaggItem 3 5" xfId="10283"/>
    <cellStyle name="SAPBEXaggItem 3 6" xfId="9920"/>
    <cellStyle name="SAPBEXaggItem 4" xfId="2438"/>
    <cellStyle name="SAPBEXaggItem 4 2" xfId="6881"/>
    <cellStyle name="SAPBEXaggItem 4 3" xfId="9758"/>
    <cellStyle name="SAPBEXaggItem 4 4" xfId="9587"/>
    <cellStyle name="SAPBEXaggItem 4 5" xfId="10671"/>
    <cellStyle name="SAPBEXaggItem 5" xfId="4675"/>
    <cellStyle name="SAPBEXaggItem 6" xfId="4631"/>
    <cellStyle name="SAPBEXaggItemX" xfId="215"/>
    <cellStyle name="SAPBEXaggItemX 2" xfId="427"/>
    <cellStyle name="SAPBEXaggItemX 2 2" xfId="1158"/>
    <cellStyle name="SAPBEXaggItemX 2 2 2" xfId="2249"/>
    <cellStyle name="SAPBEXaggItemX 2 2 2 2" xfId="4444"/>
    <cellStyle name="SAPBEXaggItemX 2 2 2 2 2" xfId="8887"/>
    <cellStyle name="SAPBEXaggItemX 2 2 2 2 3" xfId="10538"/>
    <cellStyle name="SAPBEXaggItemX 2 2 2 2 4" xfId="10727"/>
    <cellStyle name="SAPBEXaggItemX 2 2 2 2 5" xfId="10828"/>
    <cellStyle name="SAPBEXaggItemX 2 2 2 3" xfId="6692"/>
    <cellStyle name="SAPBEXaggItemX 2 2 2 4" xfId="9655"/>
    <cellStyle name="SAPBEXaggItemX 2 2 2 5" xfId="9205"/>
    <cellStyle name="SAPBEXaggItemX 2 2 2 6" xfId="9227"/>
    <cellStyle name="SAPBEXaggItemX 2 2 3" xfId="3358"/>
    <cellStyle name="SAPBEXaggItemX 2 2 3 2" xfId="7801"/>
    <cellStyle name="SAPBEXaggItemX 2 2 3 3" xfId="10105"/>
    <cellStyle name="SAPBEXaggItemX 2 2 3 4" xfId="9824"/>
    <cellStyle name="SAPBEXaggItemX 2 2 3 5" xfId="10081"/>
    <cellStyle name="SAPBEXaggItemX 2 2 4" xfId="5604"/>
    <cellStyle name="SAPBEXaggItemX 2 2 5" xfId="10675"/>
    <cellStyle name="SAPBEXaggItemX 2 3" xfId="1234"/>
    <cellStyle name="SAPBEXaggItemX 2 3 2" xfId="2325"/>
    <cellStyle name="SAPBEXaggItemX 2 3 2 2" xfId="4520"/>
    <cellStyle name="SAPBEXaggItemX 2 3 2 2 2" xfId="8963"/>
    <cellStyle name="SAPBEXaggItemX 2 3 2 2 3" xfId="10609"/>
    <cellStyle name="SAPBEXaggItemX 2 3 2 2 4" xfId="10795"/>
    <cellStyle name="SAPBEXaggItemX 2 3 2 2 5" xfId="10895"/>
    <cellStyle name="SAPBEXaggItemX 2 3 2 3" xfId="6768"/>
    <cellStyle name="SAPBEXaggItemX 2 3 2 4" xfId="9722"/>
    <cellStyle name="SAPBEXaggItemX 2 3 2 5" xfId="9969"/>
    <cellStyle name="SAPBEXaggItemX 2 3 2 6" xfId="9506"/>
    <cellStyle name="SAPBEXaggItemX 2 3 3" xfId="3434"/>
    <cellStyle name="SAPBEXaggItemX 2 3 3 2" xfId="7877"/>
    <cellStyle name="SAPBEXaggItemX 2 3 3 3" xfId="10172"/>
    <cellStyle name="SAPBEXaggItemX 2 3 3 4" xfId="9455"/>
    <cellStyle name="SAPBEXaggItemX 2 3 3 5" xfId="9091"/>
    <cellStyle name="SAPBEXaggItemX 2 3 4" xfId="5680"/>
    <cellStyle name="SAPBEXaggItemX 2 3 5" xfId="9043"/>
    <cellStyle name="SAPBEXaggItemX 2 4" xfId="1518"/>
    <cellStyle name="SAPBEXaggItemX 2 4 2" xfId="3713"/>
    <cellStyle name="SAPBEXaggItemX 2 4 2 2" xfId="8156"/>
    <cellStyle name="SAPBEXaggItemX 2 4 2 3" xfId="10294"/>
    <cellStyle name="SAPBEXaggItemX 2 4 2 4" xfId="10357"/>
    <cellStyle name="SAPBEXaggItemX 2 4 2 5" xfId="9734"/>
    <cellStyle name="SAPBEXaggItemX 2 4 3" xfId="5961"/>
    <cellStyle name="SAPBEXaggItemX 2 4 4" xfId="9414"/>
    <cellStyle name="SAPBEXaggItemX 2 4 5" xfId="9221"/>
    <cellStyle name="SAPBEXaggItemX 2 4 6" xfId="9819"/>
    <cellStyle name="SAPBEXaggItemX 2 5" xfId="2627"/>
    <cellStyle name="SAPBEXaggItemX 2 5 2" xfId="7070"/>
    <cellStyle name="SAPBEXaggItemX 2 5 3" xfId="9844"/>
    <cellStyle name="SAPBEXaggItemX 2 5 4" xfId="9145"/>
    <cellStyle name="SAPBEXaggItemX 2 5 5" xfId="9902"/>
    <cellStyle name="SAPBEXaggItemX 2 6" xfId="4873"/>
    <cellStyle name="SAPBEXaggItemX 2 7" xfId="10423"/>
    <cellStyle name="SAPBEXaggItemX 3" xfId="1330"/>
    <cellStyle name="SAPBEXaggItemX 3 2" xfId="3525"/>
    <cellStyle name="SAPBEXaggItemX 3 2 2" xfId="7968"/>
    <cellStyle name="SAPBEXaggItemX 3 2 3" xfId="10204"/>
    <cellStyle name="SAPBEXaggItemX 3 2 4" xfId="10451"/>
    <cellStyle name="SAPBEXaggItemX 3 2 5" xfId="10362"/>
    <cellStyle name="SAPBEXaggItemX 3 3" xfId="5773"/>
    <cellStyle name="SAPBEXaggItemX 3 4" xfId="9326"/>
    <cellStyle name="SAPBEXaggItemX 3 5" xfId="9404"/>
    <cellStyle name="SAPBEXaggItemX 3 6" xfId="9931"/>
    <cellStyle name="SAPBEXaggItemX 4" xfId="2439"/>
    <cellStyle name="SAPBEXaggItemX 4 2" xfId="6882"/>
    <cellStyle name="SAPBEXaggItemX 4 3" xfId="9759"/>
    <cellStyle name="SAPBEXaggItemX 4 4" xfId="9224"/>
    <cellStyle name="SAPBEXaggItemX 4 5" xfId="9103"/>
    <cellStyle name="SAPBEXaggItemX 5" xfId="4676"/>
    <cellStyle name="SAPBEXaggItemX 6" xfId="10803"/>
    <cellStyle name="SAPBEXchaText" xfId="216"/>
    <cellStyle name="SAPBEXchaText 2" xfId="428"/>
    <cellStyle name="SAPBEXchaText 2 2" xfId="1159"/>
    <cellStyle name="SAPBEXchaText 2 2 2" xfId="2250"/>
    <cellStyle name="SAPBEXchaText 2 2 2 2" xfId="4445"/>
    <cellStyle name="SAPBEXchaText 2 2 2 2 2" xfId="8888"/>
    <cellStyle name="SAPBEXchaText 2 2 2 2 3" xfId="10539"/>
    <cellStyle name="SAPBEXchaText 2 2 2 2 4" xfId="10728"/>
    <cellStyle name="SAPBEXchaText 2 2 2 2 5" xfId="10829"/>
    <cellStyle name="SAPBEXchaText 2 2 2 3" xfId="6693"/>
    <cellStyle name="SAPBEXchaText 2 2 2 4" xfId="9656"/>
    <cellStyle name="SAPBEXchaText 2 2 2 5" xfId="9833"/>
    <cellStyle name="SAPBEXchaText 2 2 2 6" xfId="9992"/>
    <cellStyle name="SAPBEXchaText 2 2 3" xfId="3359"/>
    <cellStyle name="SAPBEXchaText 2 2 3 2" xfId="7802"/>
    <cellStyle name="SAPBEXchaText 2 2 3 3" xfId="10106"/>
    <cellStyle name="SAPBEXchaText 2 2 3 4" xfId="10272"/>
    <cellStyle name="SAPBEXchaText 2 2 3 5" xfId="9511"/>
    <cellStyle name="SAPBEXchaText 2 2 4" xfId="5605"/>
    <cellStyle name="SAPBEXchaText 2 2 5" xfId="10076"/>
    <cellStyle name="SAPBEXchaText 2 3" xfId="1199"/>
    <cellStyle name="SAPBEXchaText 2 3 2" xfId="2290"/>
    <cellStyle name="SAPBEXchaText 2 3 2 2" xfId="4485"/>
    <cellStyle name="SAPBEXchaText 2 3 2 2 2" xfId="8928"/>
    <cellStyle name="SAPBEXchaText 2 3 2 2 3" xfId="10579"/>
    <cellStyle name="SAPBEXchaText 2 3 2 2 4" xfId="10768"/>
    <cellStyle name="SAPBEXchaText 2 3 2 2 5" xfId="10869"/>
    <cellStyle name="SAPBEXchaText 2 3 2 3" xfId="6733"/>
    <cellStyle name="SAPBEXchaText 2 3 2 4" xfId="9696"/>
    <cellStyle name="SAPBEXchaText 2 3 2 5" xfId="10385"/>
    <cellStyle name="SAPBEXchaText 2 3 2 6" xfId="10256"/>
    <cellStyle name="SAPBEXchaText 2 3 3" xfId="3399"/>
    <cellStyle name="SAPBEXchaText 2 3 3 2" xfId="7842"/>
    <cellStyle name="SAPBEXchaText 2 3 3 3" xfId="10146"/>
    <cellStyle name="SAPBEXchaText 2 3 3 4" xfId="9942"/>
    <cellStyle name="SAPBEXchaText 2 3 3 5" xfId="10000"/>
    <cellStyle name="SAPBEXchaText 2 3 4" xfId="5645"/>
    <cellStyle name="SAPBEXchaText 2 3 5" xfId="10395"/>
    <cellStyle name="SAPBEXchaText 2 4" xfId="1519"/>
    <cellStyle name="SAPBEXchaText 2 4 2" xfId="3714"/>
    <cellStyle name="SAPBEXchaText 2 4 2 2" xfId="8157"/>
    <cellStyle name="SAPBEXchaText 2 4 2 3" xfId="10295"/>
    <cellStyle name="SAPBEXchaText 2 4 2 4" xfId="9481"/>
    <cellStyle name="SAPBEXchaText 2 4 2 5" xfId="9293"/>
    <cellStyle name="SAPBEXchaText 2 4 3" xfId="5962"/>
    <cellStyle name="SAPBEXchaText 2 4 4" xfId="9415"/>
    <cellStyle name="SAPBEXchaText 2 4 5" xfId="9889"/>
    <cellStyle name="SAPBEXchaText 2 4 6" xfId="10388"/>
    <cellStyle name="SAPBEXchaText 2 5" xfId="2628"/>
    <cellStyle name="SAPBEXchaText 2 5 2" xfId="7071"/>
    <cellStyle name="SAPBEXchaText 2 5 3" xfId="9845"/>
    <cellStyle name="SAPBEXchaText 2 5 4" xfId="10020"/>
    <cellStyle name="SAPBEXchaText 2 5 5" xfId="9982"/>
    <cellStyle name="SAPBEXchaText 2 6" xfId="4874"/>
    <cellStyle name="SAPBEXchaText 2 7" xfId="9402"/>
    <cellStyle name="SAPBEXchaText 3" xfId="1331"/>
    <cellStyle name="SAPBEXchaText 3 2" xfId="3526"/>
    <cellStyle name="SAPBEXchaText 3 2 2" xfId="7969"/>
    <cellStyle name="SAPBEXchaText 3 2 3" xfId="10205"/>
    <cellStyle name="SAPBEXchaText 3 2 4" xfId="9576"/>
    <cellStyle name="SAPBEXchaText 3 2 5" xfId="10661"/>
    <cellStyle name="SAPBEXchaText 3 3" xfId="5774"/>
    <cellStyle name="SAPBEXchaText 3 4" xfId="9327"/>
    <cellStyle name="SAPBEXchaText 3 5" xfId="9960"/>
    <cellStyle name="SAPBEXchaText 3 6" xfId="9994"/>
    <cellStyle name="SAPBEXchaText 4" xfId="2440"/>
    <cellStyle name="SAPBEXchaText 4 2" xfId="6883"/>
    <cellStyle name="SAPBEXchaText 4 3" xfId="9760"/>
    <cellStyle name="SAPBEXchaText 4 4" xfId="9895"/>
    <cellStyle name="SAPBEXchaText 4 5" xfId="9392"/>
    <cellStyle name="SAPBEXchaText 5" xfId="4677"/>
    <cellStyle name="SAPBEXchaText 6" xfId="10802"/>
    <cellStyle name="SAPBEXexcBad7" xfId="217"/>
    <cellStyle name="SAPBEXexcBad7 2" xfId="429"/>
    <cellStyle name="SAPBEXexcBad7 2 2" xfId="1160"/>
    <cellStyle name="SAPBEXexcBad7 2 2 2" xfId="2251"/>
    <cellStyle name="SAPBEXexcBad7 2 2 2 2" xfId="4446"/>
    <cellStyle name="SAPBEXexcBad7 2 2 2 2 2" xfId="8889"/>
    <cellStyle name="SAPBEXexcBad7 2 2 2 2 3" xfId="10540"/>
    <cellStyle name="SAPBEXexcBad7 2 2 2 2 4" xfId="10729"/>
    <cellStyle name="SAPBEXexcBad7 2 2 2 2 5" xfId="10830"/>
    <cellStyle name="SAPBEXexcBad7 2 2 2 3" xfId="6694"/>
    <cellStyle name="SAPBEXexcBad7 2 2 2 4" xfId="9657"/>
    <cellStyle name="SAPBEXexcBad7 2 2 2 5" xfId="10285"/>
    <cellStyle name="SAPBEXexcBad7 2 2 2 6" xfId="9209"/>
    <cellStyle name="SAPBEXexcBad7 2 2 3" xfId="3360"/>
    <cellStyle name="SAPBEXexcBad7 2 2 3 2" xfId="7803"/>
    <cellStyle name="SAPBEXexcBad7 2 2 3 3" xfId="10107"/>
    <cellStyle name="SAPBEXexcBad7 2 2 3 4" xfId="9395"/>
    <cellStyle name="SAPBEXexcBad7 2 2 3 5" xfId="9907"/>
    <cellStyle name="SAPBEXexcBad7 2 2 4" xfId="5606"/>
    <cellStyle name="SAPBEXexcBad7 2 2 5" xfId="9107"/>
    <cellStyle name="SAPBEXexcBad7 2 3" xfId="1153"/>
    <cellStyle name="SAPBEXexcBad7 2 3 2" xfId="2244"/>
    <cellStyle name="SAPBEXexcBad7 2 3 2 2" xfId="4439"/>
    <cellStyle name="SAPBEXexcBad7 2 3 2 2 2" xfId="8882"/>
    <cellStyle name="SAPBEXexcBad7 2 3 2 2 3" xfId="10533"/>
    <cellStyle name="SAPBEXexcBad7 2 3 2 2 4" xfId="10722"/>
    <cellStyle name="SAPBEXexcBad7 2 3 2 2 5" xfId="10823"/>
    <cellStyle name="SAPBEXexcBad7 2 3 2 3" xfId="6687"/>
    <cellStyle name="SAPBEXexcBad7 2 3 2 4" xfId="9650"/>
    <cellStyle name="SAPBEXexcBad7 2 3 2 5" xfId="9490"/>
    <cellStyle name="SAPBEXexcBad7 2 3 2 6" xfId="9036"/>
    <cellStyle name="SAPBEXexcBad7 2 3 3" xfId="3353"/>
    <cellStyle name="SAPBEXexcBad7 2 3 3 2" xfId="7796"/>
    <cellStyle name="SAPBEXexcBad7 2 3 3 3" xfId="10100"/>
    <cellStyle name="SAPBEXexcBad7 2 3 3 4" xfId="9114"/>
    <cellStyle name="SAPBEXexcBad7 2 3 3 5" xfId="9119"/>
    <cellStyle name="SAPBEXexcBad7 2 3 4" xfId="5599"/>
    <cellStyle name="SAPBEXexcBad7 2 3 5" xfId="10419"/>
    <cellStyle name="SAPBEXexcBad7 2 4" xfId="1520"/>
    <cellStyle name="SAPBEXexcBad7 2 4 2" xfId="3715"/>
    <cellStyle name="SAPBEXexcBad7 2 4 2 2" xfId="8158"/>
    <cellStyle name="SAPBEXexcBad7 2 4 2 3" xfId="10296"/>
    <cellStyle name="SAPBEXexcBad7 2 4 2 4" xfId="9116"/>
    <cellStyle name="SAPBEXexcBad7 2 4 2 5" xfId="10041"/>
    <cellStyle name="SAPBEXexcBad7 2 4 3" xfId="5963"/>
    <cellStyle name="SAPBEXexcBad7 2 4 4" xfId="9416"/>
    <cellStyle name="SAPBEXexcBad7 2 4 5" xfId="10341"/>
    <cellStyle name="SAPBEXexcBad7 2 4 6" xfId="9266"/>
    <cellStyle name="SAPBEXexcBad7 2 5" xfId="2629"/>
    <cellStyle name="SAPBEXexcBad7 2 5 2" xfId="7072"/>
    <cellStyle name="SAPBEXexcBad7 2 5 3" xfId="9846"/>
    <cellStyle name="SAPBEXexcBad7 2 5 4" xfId="10462"/>
    <cellStyle name="SAPBEXexcBad7 2 5 5" xfId="9095"/>
    <cellStyle name="SAPBEXexcBad7 2 6" xfId="4875"/>
    <cellStyle name="SAPBEXexcBad7 2 7" xfId="10075"/>
    <cellStyle name="SAPBEXexcBad7 3" xfId="1332"/>
    <cellStyle name="SAPBEXexcBad7 3 2" xfId="3527"/>
    <cellStyle name="SAPBEXexcBad7 3 2 2" xfId="7970"/>
    <cellStyle name="SAPBEXexcBad7 3 2 3" xfId="10206"/>
    <cellStyle name="SAPBEXexcBad7 3 2 4" xfId="9212"/>
    <cellStyle name="SAPBEXexcBad7 3 2 5" xfId="10266"/>
    <cellStyle name="SAPBEXexcBad7 3 3" xfId="5775"/>
    <cellStyle name="SAPBEXexcBad7 3 4" xfId="9328"/>
    <cellStyle name="SAPBEXexcBad7 3 5" xfId="10400"/>
    <cellStyle name="SAPBEXexcBad7 3 6" xfId="9243"/>
    <cellStyle name="SAPBEXexcBad7 4" xfId="2441"/>
    <cellStyle name="SAPBEXexcBad7 4 2" xfId="6884"/>
    <cellStyle name="SAPBEXexcBad7 4 3" xfId="9761"/>
    <cellStyle name="SAPBEXexcBad7 4 4" xfId="10347"/>
    <cellStyle name="SAPBEXexcBad7 4 5" xfId="9565"/>
    <cellStyle name="SAPBEXexcBad7 5" xfId="4678"/>
    <cellStyle name="SAPBEXexcBad7 6" xfId="10801"/>
    <cellStyle name="SAPBEXexcBad8" xfId="218"/>
    <cellStyle name="SAPBEXexcBad8 2" xfId="430"/>
    <cellStyle name="SAPBEXexcBad8 2 2" xfId="1161"/>
    <cellStyle name="SAPBEXexcBad8 2 2 2" xfId="2252"/>
    <cellStyle name="SAPBEXexcBad8 2 2 2 2" xfId="4447"/>
    <cellStyle name="SAPBEXexcBad8 2 2 2 2 2" xfId="8890"/>
    <cellStyle name="SAPBEXexcBad8 2 2 2 2 3" xfId="10541"/>
    <cellStyle name="SAPBEXexcBad8 2 2 2 2 4" xfId="10730"/>
    <cellStyle name="SAPBEXexcBad8 2 2 2 2 5" xfId="10831"/>
    <cellStyle name="SAPBEXexcBad8 2 2 2 3" xfId="6695"/>
    <cellStyle name="SAPBEXexcBad8 2 2 2 4" xfId="9658"/>
    <cellStyle name="SAPBEXexcBad8 2 2 2 5" xfId="9406"/>
    <cellStyle name="SAPBEXexcBad8 2 2 2 6" xfId="9218"/>
    <cellStyle name="SAPBEXexcBad8 2 2 3" xfId="3361"/>
    <cellStyle name="SAPBEXexcBad8 2 2 3 2" xfId="7804"/>
    <cellStyle name="SAPBEXexcBad8 2 2 3 3" xfId="10108"/>
    <cellStyle name="SAPBEXexcBad8 2 2 3 4" xfId="9951"/>
    <cellStyle name="SAPBEXexcBad8 2 2 3 5" xfId="10620"/>
    <cellStyle name="SAPBEXexcBad8 2 2 4" xfId="5607"/>
    <cellStyle name="SAPBEXexcBad8 2 2 5" xfId="9139"/>
    <cellStyle name="SAPBEXexcBad8 2 3" xfId="1148"/>
    <cellStyle name="SAPBEXexcBad8 2 3 2" xfId="2239"/>
    <cellStyle name="SAPBEXexcBad8 2 3 2 2" xfId="4434"/>
    <cellStyle name="SAPBEXexcBad8 2 3 2 2 2" xfId="8877"/>
    <cellStyle name="SAPBEXexcBad8 2 3 2 2 3" xfId="10528"/>
    <cellStyle name="SAPBEXexcBad8 2 3 2 2 4" xfId="10717"/>
    <cellStyle name="SAPBEXexcBad8 2 3 2 2 5" xfId="10818"/>
    <cellStyle name="SAPBEXexcBad8 2 3 2 3" xfId="6682"/>
    <cellStyle name="SAPBEXexcBad8 2 3 2 4" xfId="9646"/>
    <cellStyle name="SAPBEXexcBad8 2 3 2 5" xfId="9749"/>
    <cellStyle name="SAPBEXexcBad8 2 3 2 6" xfId="4663"/>
    <cellStyle name="SAPBEXexcBad8 2 3 3" xfId="3348"/>
    <cellStyle name="SAPBEXexcBad8 2 3 3 2" xfId="7791"/>
    <cellStyle name="SAPBEXexcBad8 2 3 3 3" xfId="10095"/>
    <cellStyle name="SAPBEXexcBad8 2 3 3 4" xfId="10186"/>
    <cellStyle name="SAPBEXexcBad8 2 3 3 5" xfId="10024"/>
    <cellStyle name="SAPBEXexcBad8 2 3 4" xfId="5594"/>
    <cellStyle name="SAPBEXexcBad8 2 3 5" xfId="10339"/>
    <cellStyle name="SAPBEXexcBad8 2 4" xfId="1521"/>
    <cellStyle name="SAPBEXexcBad8 2 4 2" xfId="3716"/>
    <cellStyle name="SAPBEXexcBad8 2 4 2 2" xfId="8159"/>
    <cellStyle name="SAPBEXexcBad8 2 4 2 3" xfId="10297"/>
    <cellStyle name="SAPBEXexcBad8 2 4 2 4" xfId="9998"/>
    <cellStyle name="SAPBEXexcBad8 2 4 2 5" xfId="10011"/>
    <cellStyle name="SAPBEXexcBad8 2 4 3" xfId="5964"/>
    <cellStyle name="SAPBEXexcBad8 2 4 4" xfId="9417"/>
    <cellStyle name="SAPBEXexcBad8 2 4 5" xfId="9462"/>
    <cellStyle name="SAPBEXexcBad8 2 4 6" xfId="9291"/>
    <cellStyle name="SAPBEXexcBad8 2 5" xfId="2630"/>
    <cellStyle name="SAPBEXexcBad8 2 5 2" xfId="7073"/>
    <cellStyle name="SAPBEXexcBad8 2 5 3" xfId="9847"/>
    <cellStyle name="SAPBEXexcBad8 2 5 4" xfId="9586"/>
    <cellStyle name="SAPBEXexcBad8 2 5 5" xfId="10670"/>
    <cellStyle name="SAPBEXexcBad8 2 6" xfId="4876"/>
    <cellStyle name="SAPBEXexcBad8 2 7" xfId="4666"/>
    <cellStyle name="SAPBEXexcBad8 3" xfId="1333"/>
    <cellStyle name="SAPBEXexcBad8 3 2" xfId="3528"/>
    <cellStyle name="SAPBEXexcBad8 3 2 2" xfId="7971"/>
    <cellStyle name="SAPBEXexcBad8 3 2 3" xfId="10207"/>
    <cellStyle name="SAPBEXexcBad8 3 2 4" xfId="9840"/>
    <cellStyle name="SAPBEXexcBad8 3 2 5" xfId="9525"/>
    <cellStyle name="SAPBEXexcBad8 3 3" xfId="5776"/>
    <cellStyle name="SAPBEXexcBad8 3 4" xfId="9329"/>
    <cellStyle name="SAPBEXexcBad8 3 5" xfId="9539"/>
    <cellStyle name="SAPBEXexcBad8 3 6" xfId="10628"/>
    <cellStyle name="SAPBEXexcBad8 4" xfId="2442"/>
    <cellStyle name="SAPBEXexcBad8 4 2" xfId="6885"/>
    <cellStyle name="SAPBEXexcBad8 4 3" xfId="9762"/>
    <cellStyle name="SAPBEXexcBad8 4 4" xfId="9468"/>
    <cellStyle name="SAPBEXexcBad8 4 5" xfId="9044"/>
    <cellStyle name="SAPBEXexcBad8 5" xfId="4679"/>
    <cellStyle name="SAPBEXexcBad8 6" xfId="9545"/>
    <cellStyle name="SAPBEXexcBad9" xfId="219"/>
    <cellStyle name="SAPBEXexcBad9 2" xfId="431"/>
    <cellStyle name="SAPBEXexcBad9 2 2" xfId="1162"/>
    <cellStyle name="SAPBEXexcBad9 2 2 2" xfId="2253"/>
    <cellStyle name="SAPBEXexcBad9 2 2 2 2" xfId="4448"/>
    <cellStyle name="SAPBEXexcBad9 2 2 2 2 2" xfId="8891"/>
    <cellStyle name="SAPBEXexcBad9 2 2 2 2 3" xfId="10542"/>
    <cellStyle name="SAPBEXexcBad9 2 2 2 2 4" xfId="10731"/>
    <cellStyle name="SAPBEXexcBad9 2 2 2 2 5" xfId="10832"/>
    <cellStyle name="SAPBEXexcBad9 2 2 2 3" xfId="6696"/>
    <cellStyle name="SAPBEXexcBad9 2 2 2 4" xfId="9659"/>
    <cellStyle name="SAPBEXexcBad9 2 2 2 5" xfId="9963"/>
    <cellStyle name="SAPBEXexcBad9 2 2 2 6" xfId="9950"/>
    <cellStyle name="SAPBEXexcBad9 2 2 3" xfId="3362"/>
    <cellStyle name="SAPBEXexcBad9 2 2 3 2" xfId="7805"/>
    <cellStyle name="SAPBEXexcBad9 2 2 3 3" xfId="10109"/>
    <cellStyle name="SAPBEXexcBad9 2 2 3 4" xfId="10393"/>
    <cellStyle name="SAPBEXexcBad9 2 2 3 5" xfId="4716"/>
    <cellStyle name="SAPBEXexcBad9 2 2 4" xfId="5608"/>
    <cellStyle name="SAPBEXexcBad9 2 2 5" xfId="9290"/>
    <cellStyle name="SAPBEXexcBad9 2 3" xfId="1136"/>
    <cellStyle name="SAPBEXexcBad9 2 3 2" xfId="2227"/>
    <cellStyle name="SAPBEXexcBad9 2 3 2 2" xfId="4422"/>
    <cellStyle name="SAPBEXexcBad9 2 3 2 2 2" xfId="8865"/>
    <cellStyle name="SAPBEXexcBad9 2 3 2 2 3" xfId="10516"/>
    <cellStyle name="SAPBEXexcBad9 2 3 2 2 4" xfId="10705"/>
    <cellStyle name="SAPBEXexcBad9 2 3 2 2 5" xfId="10806"/>
    <cellStyle name="SAPBEXexcBad9 2 3 2 3" xfId="6670"/>
    <cellStyle name="SAPBEXexcBad9 2 3 2 4" xfId="9634"/>
    <cellStyle name="SAPBEXexcBad9 2 3 2 5" xfId="9400"/>
    <cellStyle name="SAPBEXexcBad9 2 3 2 6" xfId="9532"/>
    <cellStyle name="SAPBEXexcBad9 2 3 3" xfId="3336"/>
    <cellStyle name="SAPBEXexcBad9 2 3 3 2" xfId="7779"/>
    <cellStyle name="SAPBEXexcBad9 2 3 3 3" xfId="10083"/>
    <cellStyle name="SAPBEXexcBad9 2 3 3 4" xfId="9458"/>
    <cellStyle name="SAPBEXexcBad9 2 3 3 5" xfId="4640"/>
    <cellStyle name="SAPBEXexcBad9 2 3 4" xfId="5582"/>
    <cellStyle name="SAPBEXexcBad9 2 3 5" xfId="9821"/>
    <cellStyle name="SAPBEXexcBad9 2 4" xfId="1522"/>
    <cellStyle name="SAPBEXexcBad9 2 4 2" xfId="3717"/>
    <cellStyle name="SAPBEXexcBad9 2 4 2 2" xfId="8160"/>
    <cellStyle name="SAPBEXexcBad9 2 4 2 3" xfId="10298"/>
    <cellStyle name="SAPBEXexcBad9 2 4 2 4" xfId="10439"/>
    <cellStyle name="SAPBEXexcBad9 2 4 2 5" xfId="10049"/>
    <cellStyle name="SAPBEXexcBad9 2 4 3" xfId="5965"/>
    <cellStyle name="SAPBEXexcBad9 2 4 4" xfId="9418"/>
    <cellStyle name="SAPBEXexcBad9 2 4 5" xfId="9980"/>
    <cellStyle name="SAPBEXexcBad9 2 4 6" xfId="9474"/>
    <cellStyle name="SAPBEXexcBad9 2 5" xfId="2631"/>
    <cellStyle name="SAPBEXexcBad9 2 5 2" xfId="7074"/>
    <cellStyle name="SAPBEXexcBad9 2 5 3" xfId="9848"/>
    <cellStyle name="SAPBEXexcBad9 2 5 4" xfId="9223"/>
    <cellStyle name="SAPBEXexcBad9 2 5 5" xfId="10077"/>
    <cellStyle name="SAPBEXexcBad9 2 6" xfId="4877"/>
    <cellStyle name="SAPBEXexcBad9 2 7" xfId="9282"/>
    <cellStyle name="SAPBEXexcBad9 3" xfId="1334"/>
    <cellStyle name="SAPBEXexcBad9 3 2" xfId="3529"/>
    <cellStyle name="SAPBEXexcBad9 3 2 2" xfId="7972"/>
    <cellStyle name="SAPBEXexcBad9 3 2 3" xfId="10208"/>
    <cellStyle name="SAPBEXexcBad9 3 2 4" xfId="10290"/>
    <cellStyle name="SAPBEXexcBad9 3 2 5" xfId="9381"/>
    <cellStyle name="SAPBEXexcBad9 3 3" xfId="5777"/>
    <cellStyle name="SAPBEXexcBad9 3 4" xfId="9330"/>
    <cellStyle name="SAPBEXexcBad9 3 5" xfId="9162"/>
    <cellStyle name="SAPBEXexcBad9 3 6" xfId="10078"/>
    <cellStyle name="SAPBEXexcBad9 4" xfId="2443"/>
    <cellStyle name="SAPBEXexcBad9 4 2" xfId="6886"/>
    <cellStyle name="SAPBEXexcBad9 4 3" xfId="9763"/>
    <cellStyle name="SAPBEXexcBad9 4 4" xfId="9988"/>
    <cellStyle name="SAPBEXexcBad9 4 5" xfId="9737"/>
    <cellStyle name="SAPBEXexcBad9 5" xfId="4680"/>
    <cellStyle name="SAPBEXexcBad9 6" xfId="9750"/>
    <cellStyle name="SAPBEXexcCritical4" xfId="220"/>
    <cellStyle name="SAPBEXexcCritical4 2" xfId="432"/>
    <cellStyle name="SAPBEXexcCritical4 2 2" xfId="1163"/>
    <cellStyle name="SAPBEXexcCritical4 2 2 2" xfId="2254"/>
    <cellStyle name="SAPBEXexcCritical4 2 2 2 2" xfId="4449"/>
    <cellStyle name="SAPBEXexcCritical4 2 2 2 2 2" xfId="8892"/>
    <cellStyle name="SAPBEXexcCritical4 2 2 2 2 3" xfId="10543"/>
    <cellStyle name="SAPBEXexcCritical4 2 2 2 2 4" xfId="10732"/>
    <cellStyle name="SAPBEXexcCritical4 2 2 2 2 5" xfId="10833"/>
    <cellStyle name="SAPBEXexcCritical4 2 2 2 3" xfId="6697"/>
    <cellStyle name="SAPBEXexcCritical4 2 2 2 4" xfId="9660"/>
    <cellStyle name="SAPBEXexcCritical4 2 2 2 5" xfId="10403"/>
    <cellStyle name="SAPBEXexcCritical4 2 2 2 6" xfId="9509"/>
    <cellStyle name="SAPBEXexcCritical4 2 2 3" xfId="3363"/>
    <cellStyle name="SAPBEXexcCritical4 2 2 3 2" xfId="7806"/>
    <cellStyle name="SAPBEXexcCritical4 2 2 3 3" xfId="10110"/>
    <cellStyle name="SAPBEXexcCritical4 2 2 3 4" xfId="9529"/>
    <cellStyle name="SAPBEXexcCritical4 2 2 3 5" xfId="9030"/>
    <cellStyle name="SAPBEXexcCritical4 2 2 4" xfId="5609"/>
    <cellStyle name="SAPBEXexcCritical4 2 2 5" xfId="9597"/>
    <cellStyle name="SAPBEXexcCritical4 2 3" xfId="1235"/>
    <cellStyle name="SAPBEXexcCritical4 2 3 2" xfId="2326"/>
    <cellStyle name="SAPBEXexcCritical4 2 3 2 2" xfId="4521"/>
    <cellStyle name="SAPBEXexcCritical4 2 3 2 2 2" xfId="8964"/>
    <cellStyle name="SAPBEXexcCritical4 2 3 2 2 3" xfId="10610"/>
    <cellStyle name="SAPBEXexcCritical4 2 3 2 2 4" xfId="10796"/>
    <cellStyle name="SAPBEXexcCritical4 2 3 2 2 5" xfId="10896"/>
    <cellStyle name="SAPBEXexcCritical4 2 3 2 3" xfId="6769"/>
    <cellStyle name="SAPBEXexcCritical4 2 3 2 4" xfId="9723"/>
    <cellStyle name="SAPBEXexcCritical4 2 3 2 5" xfId="10408"/>
    <cellStyle name="SAPBEXexcCritical4 2 3 2 6" xfId="10503"/>
    <cellStyle name="SAPBEXexcCritical4 2 3 3" xfId="3435"/>
    <cellStyle name="SAPBEXexcCritical4 2 3 3 2" xfId="7878"/>
    <cellStyle name="SAPBEXexcCritical4 2 3 3 3" xfId="10173"/>
    <cellStyle name="SAPBEXexcCritical4 2 3 3 4" xfId="9971"/>
    <cellStyle name="SAPBEXexcCritical4 2 3 3 5" xfId="10178"/>
    <cellStyle name="SAPBEXexcCritical4 2 3 4" xfId="5681"/>
    <cellStyle name="SAPBEXexcCritical4 2 3 5" xfId="9949"/>
    <cellStyle name="SAPBEXexcCritical4 2 4" xfId="1523"/>
    <cellStyle name="SAPBEXexcCritical4 2 4 2" xfId="3718"/>
    <cellStyle name="SAPBEXexcCritical4 2 4 2 2" xfId="8161"/>
    <cellStyle name="SAPBEXexcCritical4 2 4 2 3" xfId="10299"/>
    <cellStyle name="SAPBEXexcCritical4 2 4 2 4" xfId="9568"/>
    <cellStyle name="SAPBEXexcCritical4 2 4 2 5" xfId="10655"/>
    <cellStyle name="SAPBEXexcCritical4 2 4 3" xfId="5966"/>
    <cellStyle name="SAPBEXexcCritical4 2 4 4" xfId="9419"/>
    <cellStyle name="SAPBEXexcCritical4 2 4 5" xfId="10417"/>
    <cellStyle name="SAPBEXexcCritical4 2 4 6" xfId="10050"/>
    <cellStyle name="SAPBEXexcCritical4 2 5" xfId="2632"/>
    <cellStyle name="SAPBEXexcCritical4 2 5 2" xfId="7075"/>
    <cellStyle name="SAPBEXexcCritical4 2 5 3" xfId="9849"/>
    <cellStyle name="SAPBEXexcCritical4 2 5 4" xfId="9894"/>
    <cellStyle name="SAPBEXexcCritical4 2 5 5" xfId="9108"/>
    <cellStyle name="SAPBEXexcCritical4 2 6" xfId="4878"/>
    <cellStyle name="SAPBEXexcCritical4 2 7" xfId="9956"/>
    <cellStyle name="SAPBEXexcCritical4 3" xfId="1335"/>
    <cellStyle name="SAPBEXexcCritical4 3 2" xfId="3530"/>
    <cellStyle name="SAPBEXexcCritical4 3 2 2" xfId="7973"/>
    <cellStyle name="SAPBEXexcCritical4 3 2 3" xfId="10209"/>
    <cellStyle name="SAPBEXexcCritical4 3 2 4" xfId="9410"/>
    <cellStyle name="SAPBEXexcCritical4 3 2 5" xfId="9742"/>
    <cellStyle name="SAPBEXexcCritical4 3 3" xfId="5778"/>
    <cellStyle name="SAPBEXexcCritical4 3 4" xfId="9331"/>
    <cellStyle name="SAPBEXexcCritical4 3 5" xfId="10046"/>
    <cellStyle name="SAPBEXexcCritical4 3 6" xfId="9299"/>
    <cellStyle name="SAPBEXexcCritical4 4" xfId="2444"/>
    <cellStyle name="SAPBEXexcCritical4 4 2" xfId="6887"/>
    <cellStyle name="SAPBEXexcCritical4 4 3" xfId="9764"/>
    <cellStyle name="SAPBEXexcCritical4 4 4" xfId="10422"/>
    <cellStyle name="SAPBEXexcCritical4 4 5" xfId="9184"/>
    <cellStyle name="SAPBEXexcCritical4 5" xfId="4681"/>
    <cellStyle name="SAPBEXexcCritical4 6" xfId="10651"/>
    <cellStyle name="SAPBEXexcCritical5" xfId="221"/>
    <cellStyle name="SAPBEXexcCritical5 2" xfId="433"/>
    <cellStyle name="SAPBEXexcCritical5 2 2" xfId="1164"/>
    <cellStyle name="SAPBEXexcCritical5 2 2 2" xfId="2255"/>
    <cellStyle name="SAPBEXexcCritical5 2 2 2 2" xfId="4450"/>
    <cellStyle name="SAPBEXexcCritical5 2 2 2 2 2" xfId="8893"/>
    <cellStyle name="SAPBEXexcCritical5 2 2 2 2 3" xfId="10544"/>
    <cellStyle name="SAPBEXexcCritical5 2 2 2 2 4" xfId="10733"/>
    <cellStyle name="SAPBEXexcCritical5 2 2 2 2 5" xfId="10834"/>
    <cellStyle name="SAPBEXexcCritical5 2 2 2 3" xfId="6698"/>
    <cellStyle name="SAPBEXexcCritical5 2 2 2 4" xfId="9661"/>
    <cellStyle name="SAPBEXexcCritical5 2 2 2 5" xfId="9541"/>
    <cellStyle name="SAPBEXexcCritical5 2 2 2 6" xfId="10629"/>
    <cellStyle name="SAPBEXexcCritical5 2 2 3" xfId="3364"/>
    <cellStyle name="SAPBEXexcCritical5 2 2 3 2" xfId="7807"/>
    <cellStyle name="SAPBEXexcCritical5 2 2 3 3" xfId="10111"/>
    <cellStyle name="SAPBEXexcCritical5 2 2 3 4" xfId="9155"/>
    <cellStyle name="SAPBEXexcCritical5 2 2 3 5" xfId="10514"/>
    <cellStyle name="SAPBEXexcCritical5 2 2 4" xfId="5610"/>
    <cellStyle name="SAPBEXexcCritical5 2 2 5" xfId="10286"/>
    <cellStyle name="SAPBEXexcCritical5 2 3" xfId="1146"/>
    <cellStyle name="SAPBEXexcCritical5 2 3 2" xfId="2237"/>
    <cellStyle name="SAPBEXexcCritical5 2 3 2 2" xfId="4432"/>
    <cellStyle name="SAPBEXexcCritical5 2 3 2 2 2" xfId="8875"/>
    <cellStyle name="SAPBEXexcCritical5 2 3 2 2 3" xfId="10526"/>
    <cellStyle name="SAPBEXexcCritical5 2 3 2 2 4" xfId="10715"/>
    <cellStyle name="SAPBEXexcCritical5 2 3 2 2 5" xfId="10816"/>
    <cellStyle name="SAPBEXexcCritical5 2 3 2 3" xfId="6680"/>
    <cellStyle name="SAPBEXexcCritical5 2 3 2 4" xfId="9644"/>
    <cellStyle name="SAPBEXexcCritical5 2 3 2 5" xfId="4662"/>
    <cellStyle name="SAPBEXexcCritical5 2 3 2 6" xfId="9401"/>
    <cellStyle name="SAPBEXexcCritical5 2 3 3" xfId="3346"/>
    <cellStyle name="SAPBEXexcCritical5 2 3 3 2" xfId="7789"/>
    <cellStyle name="SAPBEXexcCritical5 2 3 3 3" xfId="10093"/>
    <cellStyle name="SAPBEXexcCritical5 2 3 3 4" xfId="9049"/>
    <cellStyle name="SAPBEXexcCritical5 2 3 3 5" xfId="9050"/>
    <cellStyle name="SAPBEXexcCritical5 2 3 4" xfId="5592"/>
    <cellStyle name="SAPBEXexcCritical5 2 3 5" xfId="10497"/>
    <cellStyle name="SAPBEXexcCritical5 2 4" xfId="1524"/>
    <cellStyle name="SAPBEXexcCritical5 2 4 2" xfId="3719"/>
    <cellStyle name="SAPBEXexcCritical5 2 4 2 2" xfId="8162"/>
    <cellStyle name="SAPBEXexcCritical5 2 4 2 3" xfId="10300"/>
    <cellStyle name="SAPBEXexcCritical5 2 4 2 4" xfId="9198"/>
    <cellStyle name="SAPBEXexcCritical5 2 4 2 5" xfId="10428"/>
    <cellStyle name="SAPBEXexcCritical5 2 4 3" xfId="5967"/>
    <cellStyle name="SAPBEXexcCritical5 2 4 4" xfId="9420"/>
    <cellStyle name="SAPBEXexcCritical5 2 4 5" xfId="9554"/>
    <cellStyle name="SAPBEXexcCritical5 2 4 6" xfId="10641"/>
    <cellStyle name="SAPBEXexcCritical5 2 5" xfId="2633"/>
    <cellStyle name="SAPBEXexcCritical5 2 5 2" xfId="7076"/>
    <cellStyle name="SAPBEXexcCritical5 2 5 3" xfId="9850"/>
    <cellStyle name="SAPBEXexcCritical5 2 5 4" xfId="10346"/>
    <cellStyle name="SAPBEXexcCritical5 2 5 5" xfId="9476"/>
    <cellStyle name="SAPBEXexcCritical5 2 6" xfId="4879"/>
    <cellStyle name="SAPBEXexcCritical5 2 7" xfId="9927"/>
    <cellStyle name="SAPBEXexcCritical5 3" xfId="1336"/>
    <cellStyle name="SAPBEXexcCritical5 3 2" xfId="3531"/>
    <cellStyle name="SAPBEXexcCritical5 3 2 2" xfId="7974"/>
    <cellStyle name="SAPBEXexcCritical5 3 2 3" xfId="10210"/>
    <cellStyle name="SAPBEXexcCritical5 3 2 4" xfId="9970"/>
    <cellStyle name="SAPBEXexcCritical5 3 2 5" xfId="9142"/>
    <cellStyle name="SAPBEXexcCritical5 3 3" xfId="5779"/>
    <cellStyle name="SAPBEXexcCritical5 3 4" xfId="9332"/>
    <cellStyle name="SAPBEXexcCritical5 3 5" xfId="10484"/>
    <cellStyle name="SAPBEXexcCritical5 3 6" xfId="9508"/>
    <cellStyle name="SAPBEXexcCritical5 4" xfId="2445"/>
    <cellStyle name="SAPBEXexcCritical5 4 2" xfId="6888"/>
    <cellStyle name="SAPBEXexcCritical5 4 3" xfId="9765"/>
    <cellStyle name="SAPBEXexcCritical5 4 4" xfId="9559"/>
    <cellStyle name="SAPBEXexcCritical5 4 5" xfId="10644"/>
    <cellStyle name="SAPBEXexcCritical5 5" xfId="4682"/>
    <cellStyle name="SAPBEXexcCritical5 6" xfId="9275"/>
    <cellStyle name="SAPBEXexcCritical6" xfId="222"/>
    <cellStyle name="SAPBEXexcCritical6 2" xfId="434"/>
    <cellStyle name="SAPBEXexcCritical6 2 2" xfId="1165"/>
    <cellStyle name="SAPBEXexcCritical6 2 2 2" xfId="2256"/>
    <cellStyle name="SAPBEXexcCritical6 2 2 2 2" xfId="4451"/>
    <cellStyle name="SAPBEXexcCritical6 2 2 2 2 2" xfId="8894"/>
    <cellStyle name="SAPBEXexcCritical6 2 2 2 2 3" xfId="10545"/>
    <cellStyle name="SAPBEXexcCritical6 2 2 2 2 4" xfId="10734"/>
    <cellStyle name="SAPBEXexcCritical6 2 2 2 2 5" xfId="10835"/>
    <cellStyle name="SAPBEXexcCritical6 2 2 2 3" xfId="6699"/>
    <cellStyle name="SAPBEXexcCritical6 2 2 2 4" xfId="9662"/>
    <cellStyle name="SAPBEXexcCritical6 2 2 2 5" xfId="9165"/>
    <cellStyle name="SAPBEXexcCritical6 2 2 2 6" xfId="10268"/>
    <cellStyle name="SAPBEXexcCritical6 2 2 3" xfId="3365"/>
    <cellStyle name="SAPBEXexcCritical6 2 2 3 2" xfId="7808"/>
    <cellStyle name="SAPBEXexcCritical6 2 2 3 3" xfId="10112"/>
    <cellStyle name="SAPBEXexcCritical6 2 2 3 4" xfId="10035"/>
    <cellStyle name="SAPBEXexcCritical6 2 2 3 5" xfId="9088"/>
    <cellStyle name="SAPBEXexcCritical6 2 2 4" xfId="5611"/>
    <cellStyle name="SAPBEXexcCritical6 2 2 5" xfId="10649"/>
    <cellStyle name="SAPBEXexcCritical6 2 3" xfId="1222"/>
    <cellStyle name="SAPBEXexcCritical6 2 3 2" xfId="2313"/>
    <cellStyle name="SAPBEXexcCritical6 2 3 2 2" xfId="4508"/>
    <cellStyle name="SAPBEXexcCritical6 2 3 2 2 2" xfId="8951"/>
    <cellStyle name="SAPBEXexcCritical6 2 3 2 2 3" xfId="10597"/>
    <cellStyle name="SAPBEXexcCritical6 2 3 2 2 4" xfId="10783"/>
    <cellStyle name="SAPBEXexcCritical6 2 3 2 2 5" xfId="10883"/>
    <cellStyle name="SAPBEXexcCritical6 2 3 2 3" xfId="6756"/>
    <cellStyle name="SAPBEXexcCritical6 2 3 2 4" xfId="9711"/>
    <cellStyle name="SAPBEXexcCritical6 2 3 2 5" xfId="9322"/>
    <cellStyle name="SAPBEXexcCritical6 2 3 2 6" xfId="9923"/>
    <cellStyle name="SAPBEXexcCritical6 2 3 3" xfId="3422"/>
    <cellStyle name="SAPBEXexcCritical6 2 3 3 2" xfId="7865"/>
    <cellStyle name="SAPBEXexcCritical6 2 3 3 3" xfId="10160"/>
    <cellStyle name="SAPBEXexcCritical6 2 3 3 4" xfId="10247"/>
    <cellStyle name="SAPBEXexcCritical6 2 3 3 5" xfId="9512"/>
    <cellStyle name="SAPBEXexcCritical6 2 3 4" xfId="5668"/>
    <cellStyle name="SAPBEXexcCritical6 2 3 5" xfId="10421"/>
    <cellStyle name="SAPBEXexcCritical6 2 4" xfId="1525"/>
    <cellStyle name="SAPBEXexcCritical6 2 4 2" xfId="3720"/>
    <cellStyle name="SAPBEXexcCritical6 2 4 2 2" xfId="8163"/>
    <cellStyle name="SAPBEXexcCritical6 2 4 2 3" xfId="10301"/>
    <cellStyle name="SAPBEXexcCritical6 2 4 2 4" xfId="9828"/>
    <cellStyle name="SAPBEXexcCritical6 2 4 2 5" xfId="10032"/>
    <cellStyle name="SAPBEXexcCritical6 2 4 3" xfId="5968"/>
    <cellStyle name="SAPBEXexcCritical6 2 4 4" xfId="9421"/>
    <cellStyle name="SAPBEXexcCritical6 2 4 5" xfId="9181"/>
    <cellStyle name="SAPBEXexcCritical6 2 4 6" xfId="10392"/>
    <cellStyle name="SAPBEXexcCritical6 2 5" xfId="2634"/>
    <cellStyle name="SAPBEXexcCritical6 2 5 2" xfId="7077"/>
    <cellStyle name="SAPBEXexcCritical6 2 5 3" xfId="9851"/>
    <cellStyle name="SAPBEXexcCritical6 2 5 4" xfId="9466"/>
    <cellStyle name="SAPBEXexcCritical6 2 5 5" xfId="9045"/>
    <cellStyle name="SAPBEXexcCritical6 2 6" xfId="4880"/>
    <cellStyle name="SAPBEXexcCritical6 2 7" xfId="9964"/>
    <cellStyle name="SAPBEXexcCritical6 3" xfId="1337"/>
    <cellStyle name="SAPBEXexcCritical6 3 2" xfId="3532"/>
    <cellStyle name="SAPBEXexcCritical6 3 2 2" xfId="7975"/>
    <cellStyle name="SAPBEXexcCritical6 3 2 3" xfId="10211"/>
    <cellStyle name="SAPBEXexcCritical6 3 2 4" xfId="10409"/>
    <cellStyle name="SAPBEXexcCritical6 3 2 5" xfId="9619"/>
    <cellStyle name="SAPBEXexcCritical6 3 3" xfId="5780"/>
    <cellStyle name="SAPBEXexcCritical6 3 4" xfId="9333"/>
    <cellStyle name="SAPBEXexcCritical6 3 5" xfId="9605"/>
    <cellStyle name="SAPBEXexcCritical6 3 6" xfId="10682"/>
    <cellStyle name="SAPBEXexcCritical6 4" xfId="2446"/>
    <cellStyle name="SAPBEXexcCritical6 4 2" xfId="6889"/>
    <cellStyle name="SAPBEXexcCritical6 4 3" xfId="9766"/>
    <cellStyle name="SAPBEXexcCritical6 4 4" xfId="9188"/>
    <cellStyle name="SAPBEXexcCritical6 4 5" xfId="9978"/>
    <cellStyle name="SAPBEXexcCritical6 5" xfId="4683"/>
    <cellStyle name="SAPBEXexcCritical6 6" xfId="10352"/>
    <cellStyle name="SAPBEXexcGood1" xfId="223"/>
    <cellStyle name="SAPBEXexcGood1 2" xfId="435"/>
    <cellStyle name="SAPBEXexcGood1 2 2" xfId="1166"/>
    <cellStyle name="SAPBEXexcGood1 2 2 2" xfId="2257"/>
    <cellStyle name="SAPBEXexcGood1 2 2 2 2" xfId="4452"/>
    <cellStyle name="SAPBEXexcGood1 2 2 2 2 2" xfId="8895"/>
    <cellStyle name="SAPBEXexcGood1 2 2 2 2 3" xfId="10546"/>
    <cellStyle name="SAPBEXexcGood1 2 2 2 2 4" xfId="10735"/>
    <cellStyle name="SAPBEXexcGood1 2 2 2 2 5" xfId="10836"/>
    <cellStyle name="SAPBEXexcGood1 2 2 2 3" xfId="6700"/>
    <cellStyle name="SAPBEXexcGood1 2 2 2 4" xfId="9663"/>
    <cellStyle name="SAPBEXexcGood1 2 2 2 5" xfId="10048"/>
    <cellStyle name="SAPBEXexcGood1 2 2 2 6" xfId="9726"/>
    <cellStyle name="SAPBEXexcGood1 2 2 3" xfId="3366"/>
    <cellStyle name="SAPBEXexcGood1 2 2 3 2" xfId="7809"/>
    <cellStyle name="SAPBEXexcGood1 2 2 3 3" xfId="10113"/>
    <cellStyle name="SAPBEXexcGood1 2 2 3 4" xfId="10622"/>
    <cellStyle name="SAPBEXexcGood1 2 2 3 5" xfId="9488"/>
    <cellStyle name="SAPBEXexcGood1 2 2 4" xfId="5612"/>
    <cellStyle name="SAPBEXexcGood1 2 2 5" xfId="9199"/>
    <cellStyle name="SAPBEXexcGood1 2 3" xfId="1142"/>
    <cellStyle name="SAPBEXexcGood1 2 3 2" xfId="2233"/>
    <cellStyle name="SAPBEXexcGood1 2 3 2 2" xfId="4428"/>
    <cellStyle name="SAPBEXexcGood1 2 3 2 2 2" xfId="8871"/>
    <cellStyle name="SAPBEXexcGood1 2 3 2 2 3" xfId="10522"/>
    <cellStyle name="SAPBEXexcGood1 2 3 2 2 4" xfId="10711"/>
    <cellStyle name="SAPBEXexcGood1 2 3 2 2 5" xfId="10812"/>
    <cellStyle name="SAPBEXexcGood1 2 3 2 3" xfId="6676"/>
    <cellStyle name="SAPBEXexcGood1 2 3 2 4" xfId="9640"/>
    <cellStyle name="SAPBEXexcGood1 2 3 2 5" xfId="10482"/>
    <cellStyle name="SAPBEXexcGood1 2 3 2 6" xfId="10047"/>
    <cellStyle name="SAPBEXexcGood1 2 3 3" xfId="3342"/>
    <cellStyle name="SAPBEXexcGood1 2 3 3 2" xfId="7785"/>
    <cellStyle name="SAPBEXexcGood1 2 3 3 3" xfId="10089"/>
    <cellStyle name="SAPBEXexcGood1 2 3 3 4" xfId="10494"/>
    <cellStyle name="SAPBEXexcGood1 2 3 3 5" xfId="9112"/>
    <cellStyle name="SAPBEXexcGood1 2 3 4" xfId="5588"/>
    <cellStyle name="SAPBEXexcGood1 2 3 5" xfId="10280"/>
    <cellStyle name="SAPBEXexcGood1 2 4" xfId="1526"/>
    <cellStyle name="SAPBEXexcGood1 2 4 2" xfId="3721"/>
    <cellStyle name="SAPBEXexcGood1 2 4 2 2" xfId="8164"/>
    <cellStyle name="SAPBEXexcGood1 2 4 2 3" xfId="10302"/>
    <cellStyle name="SAPBEXexcGood1 2 4 2 4" xfId="10277"/>
    <cellStyle name="SAPBEXexcGood1 2 4 2 5" xfId="9558"/>
    <cellStyle name="SAPBEXexcGood1 2 4 3" xfId="5969"/>
    <cellStyle name="SAPBEXexcGood1 2 4 4" xfId="9422"/>
    <cellStyle name="SAPBEXexcGood1 2 4 5" xfId="10063"/>
    <cellStyle name="SAPBEXexcGood1 2 4 6" xfId="10475"/>
    <cellStyle name="SAPBEXexcGood1 2 5" xfId="2635"/>
    <cellStyle name="SAPBEXexcGood1 2 5 2" xfId="7078"/>
    <cellStyle name="SAPBEXexcGood1 2 5 3" xfId="9852"/>
    <cellStyle name="SAPBEXexcGood1 2 5 4" xfId="9986"/>
    <cellStyle name="SAPBEXexcGood1 2 5 5" xfId="10587"/>
    <cellStyle name="SAPBEXexcGood1 2 6" xfId="4881"/>
    <cellStyle name="SAPBEXexcGood1 2 7" xfId="10653"/>
    <cellStyle name="SAPBEXexcGood1 3" xfId="1338"/>
    <cellStyle name="SAPBEXexcGood1 3 2" xfId="3533"/>
    <cellStyle name="SAPBEXexcGood1 3 2 2" xfId="7976"/>
    <cellStyle name="SAPBEXexcGood1 3 2 3" xfId="10212"/>
    <cellStyle name="SAPBEXexcGood1 3 2 4" xfId="9547"/>
    <cellStyle name="SAPBEXexcGood1 3 2 5" xfId="10633"/>
    <cellStyle name="SAPBEXexcGood1 3 3" xfId="5781"/>
    <cellStyle name="SAPBEXexcGood1 3 4" xfId="9334"/>
    <cellStyle name="SAPBEXexcGood1 3 5" xfId="9239"/>
    <cellStyle name="SAPBEXexcGood1 3 6" xfId="10264"/>
    <cellStyle name="SAPBEXexcGood1 4" xfId="2447"/>
    <cellStyle name="SAPBEXexcGood1 4 2" xfId="6890"/>
    <cellStyle name="SAPBEXexcGood1 4 3" xfId="9767"/>
    <cellStyle name="SAPBEXexcGood1 4 4" xfId="10068"/>
    <cellStyle name="SAPBEXexcGood1 4 5" xfId="10059"/>
    <cellStyle name="SAPBEXexcGood1 5" xfId="4684"/>
    <cellStyle name="SAPBEXexcGood1 6" xfId="9076"/>
    <cellStyle name="SAPBEXexcGood2" xfId="224"/>
    <cellStyle name="SAPBEXexcGood2 2" xfId="436"/>
    <cellStyle name="SAPBEXexcGood2 2 2" xfId="1167"/>
    <cellStyle name="SAPBEXexcGood2 2 2 2" xfId="2258"/>
    <cellStyle name="SAPBEXexcGood2 2 2 2 2" xfId="4453"/>
    <cellStyle name="SAPBEXexcGood2 2 2 2 2 2" xfId="8896"/>
    <cellStyle name="SAPBEXexcGood2 2 2 2 2 3" xfId="10547"/>
    <cellStyle name="SAPBEXexcGood2 2 2 2 2 4" xfId="10736"/>
    <cellStyle name="SAPBEXexcGood2 2 2 2 2 5" xfId="10837"/>
    <cellStyle name="SAPBEXexcGood2 2 2 2 3" xfId="6701"/>
    <cellStyle name="SAPBEXexcGood2 2 2 2 4" xfId="9664"/>
    <cellStyle name="SAPBEXexcGood2 2 2 2 5" xfId="10488"/>
    <cellStyle name="SAPBEXexcGood2 2 2 2 6" xfId="10344"/>
    <cellStyle name="SAPBEXexcGood2 2 2 3" xfId="3367"/>
    <cellStyle name="SAPBEXexcGood2 2 2 3 2" xfId="7810"/>
    <cellStyle name="SAPBEXexcGood2 2 2 3 3" xfId="10114"/>
    <cellStyle name="SAPBEXexcGood2 2 2 3 4" xfId="9735"/>
    <cellStyle name="SAPBEXexcGood2 2 2 3 5" xfId="10800"/>
    <cellStyle name="SAPBEXexcGood2 2 2 4" xfId="5613"/>
    <cellStyle name="SAPBEXexcGood2 2 2 5" xfId="9952"/>
    <cellStyle name="SAPBEXexcGood2 2 3" xfId="1225"/>
    <cellStyle name="SAPBEXexcGood2 2 3 2" xfId="2316"/>
    <cellStyle name="SAPBEXexcGood2 2 3 2 2" xfId="4511"/>
    <cellStyle name="SAPBEXexcGood2 2 3 2 2 2" xfId="8954"/>
    <cellStyle name="SAPBEXexcGood2 2 3 2 2 3" xfId="10600"/>
    <cellStyle name="SAPBEXexcGood2 2 3 2 2 4" xfId="10786"/>
    <cellStyle name="SAPBEXexcGood2 2 3 2 2 5" xfId="10886"/>
    <cellStyle name="SAPBEXexcGood2 2 3 2 3" xfId="6759"/>
    <cellStyle name="SAPBEXexcGood2 2 3 2 4" xfId="9714"/>
    <cellStyle name="SAPBEXexcGood2 2 3 2 5" xfId="9496"/>
    <cellStyle name="SAPBEXexcGood2 2 3 2 6" xfId="9082"/>
    <cellStyle name="SAPBEXexcGood2 2 3 3" xfId="3425"/>
    <cellStyle name="SAPBEXexcGood2 2 3 3 2" xfId="7868"/>
    <cellStyle name="SAPBEXexcGood2 2 3 3 3" xfId="10163"/>
    <cellStyle name="SAPBEXexcGood2 2 3 3 4" xfId="10371"/>
    <cellStyle name="SAPBEXexcGood2 2 3 3 5" xfId="9074"/>
    <cellStyle name="SAPBEXexcGood2 2 3 4" xfId="5671"/>
    <cellStyle name="SAPBEXexcGood2 2 3 5" xfId="9585"/>
    <cellStyle name="SAPBEXexcGood2 2 4" xfId="1527"/>
    <cellStyle name="SAPBEXexcGood2 2 4 2" xfId="3722"/>
    <cellStyle name="SAPBEXexcGood2 2 4 2 2" xfId="8165"/>
    <cellStyle name="SAPBEXexcGood2 2 4 2 3" xfId="10303"/>
    <cellStyle name="SAPBEXexcGood2 2 4 2 4" xfId="9399"/>
    <cellStyle name="SAPBEXexcGood2 2 4 2 5" xfId="9953"/>
    <cellStyle name="SAPBEXexcGood2 2 4 3" xfId="5970"/>
    <cellStyle name="SAPBEXexcGood2 2 4 4" xfId="9423"/>
    <cellStyle name="SAPBEXexcGood2 2 4 5" xfId="10498"/>
    <cellStyle name="SAPBEXexcGood2 2 4 6" xfId="10254"/>
    <cellStyle name="SAPBEXexcGood2 2 5" xfId="2636"/>
    <cellStyle name="SAPBEXexcGood2 2 5 2" xfId="7079"/>
    <cellStyle name="SAPBEXexcGood2 2 5 3" xfId="9853"/>
    <cellStyle name="SAPBEXexcGood2 2 5 4" xfId="10420"/>
    <cellStyle name="SAPBEXexcGood2 2 5 5" xfId="9464"/>
    <cellStyle name="SAPBEXexcGood2 2 6" xfId="4882"/>
    <cellStyle name="SAPBEXexcGood2 2 7" xfId="9899"/>
    <cellStyle name="SAPBEXexcGood2 3" xfId="1339"/>
    <cellStyle name="SAPBEXexcGood2 3 2" xfId="3534"/>
    <cellStyle name="SAPBEXexcGood2 3 2 2" xfId="7977"/>
    <cellStyle name="SAPBEXexcGood2 3 2 3" xfId="10213"/>
    <cellStyle name="SAPBEXexcGood2 3 2 4" xfId="9172"/>
    <cellStyle name="SAPBEXexcGood2 3 2 5" xfId="9562"/>
    <cellStyle name="SAPBEXexcGood2 3 3" xfId="5782"/>
    <cellStyle name="SAPBEXexcGood2 3 4" xfId="9335"/>
    <cellStyle name="SAPBEXexcGood2 3 5" xfId="9072"/>
    <cellStyle name="SAPBEXexcGood2 3 6" xfId="9217"/>
    <cellStyle name="SAPBEXexcGood2 4" xfId="2448"/>
    <cellStyle name="SAPBEXexcGood2 4 2" xfId="6891"/>
    <cellStyle name="SAPBEXexcGood2 4 3" xfId="9768"/>
    <cellStyle name="SAPBEXexcGood2 4 4" xfId="10506"/>
    <cellStyle name="SAPBEXexcGood2 4 5" xfId="9055"/>
    <cellStyle name="SAPBEXexcGood2 5" xfId="4685"/>
    <cellStyle name="SAPBEXexcGood2 6" xfId="9090"/>
    <cellStyle name="SAPBEXexcGood3" xfId="225"/>
    <cellStyle name="SAPBEXexcGood3 2" xfId="437"/>
    <cellStyle name="SAPBEXexcGood3 2 2" xfId="1168"/>
    <cellStyle name="SAPBEXexcGood3 2 2 2" xfId="2259"/>
    <cellStyle name="SAPBEXexcGood3 2 2 2 2" xfId="4454"/>
    <cellStyle name="SAPBEXexcGood3 2 2 2 2 2" xfId="8897"/>
    <cellStyle name="SAPBEXexcGood3 2 2 2 2 3" xfId="10548"/>
    <cellStyle name="SAPBEXexcGood3 2 2 2 2 4" xfId="10737"/>
    <cellStyle name="SAPBEXexcGood3 2 2 2 2 5" xfId="10838"/>
    <cellStyle name="SAPBEXexcGood3 2 2 2 3" xfId="6702"/>
    <cellStyle name="SAPBEXexcGood3 2 2 2 4" xfId="9665"/>
    <cellStyle name="SAPBEXexcGood3 2 2 2 5" xfId="9607"/>
    <cellStyle name="SAPBEXexcGood3 2 2 2 6" xfId="10683"/>
    <cellStyle name="SAPBEXexcGood3 2 2 3" xfId="3368"/>
    <cellStyle name="SAPBEXexcGood3 2 2 3 2" xfId="7811"/>
    <cellStyle name="SAPBEXexcGood3 2 2 3 3" xfId="10115"/>
    <cellStyle name="SAPBEXexcGood3 2 2 3 4" xfId="10477"/>
    <cellStyle name="SAPBEXexcGood3 2 2 3 5" xfId="10407"/>
    <cellStyle name="SAPBEXexcGood3 2 2 4" xfId="5614"/>
    <cellStyle name="SAPBEXexcGood3 2 2 5" xfId="10485"/>
    <cellStyle name="SAPBEXexcGood3 2 3" xfId="1202"/>
    <cellStyle name="SAPBEXexcGood3 2 3 2" xfId="2293"/>
    <cellStyle name="SAPBEXexcGood3 2 3 2 2" xfId="4488"/>
    <cellStyle name="SAPBEXexcGood3 2 3 2 2 2" xfId="8931"/>
    <cellStyle name="SAPBEXexcGood3 2 3 2 2 3" xfId="10582"/>
    <cellStyle name="SAPBEXexcGood3 2 3 2 2 4" xfId="10771"/>
    <cellStyle name="SAPBEXexcGood3 2 3 2 2 5" xfId="10872"/>
    <cellStyle name="SAPBEXexcGood3 2 3 2 3" xfId="6736"/>
    <cellStyle name="SAPBEXexcGood3 2 3 2 4" xfId="9699"/>
    <cellStyle name="SAPBEXexcGood3 2 3 2 5" xfId="10026"/>
    <cellStyle name="SAPBEXexcGood3 2 3 2 6" xfId="4612"/>
    <cellStyle name="SAPBEXexcGood3 2 3 3" xfId="3402"/>
    <cellStyle name="SAPBEXexcGood3 2 3 3 2" xfId="7845"/>
    <cellStyle name="SAPBEXexcGood3 2 3 3 3" xfId="10149"/>
    <cellStyle name="SAPBEXexcGood3 2 3 3 4" xfId="9148"/>
    <cellStyle name="SAPBEXexcGood3 2 3 3 5" xfId="9109"/>
    <cellStyle name="SAPBEXexcGood3 2 3 4" xfId="5648"/>
    <cellStyle name="SAPBEXexcGood3 2 3 5" xfId="4615"/>
    <cellStyle name="SAPBEXexcGood3 2 4" xfId="1528"/>
    <cellStyle name="SAPBEXexcGood3 2 4 2" xfId="3723"/>
    <cellStyle name="SAPBEXexcGood3 2 4 2 2" xfId="8166"/>
    <cellStyle name="SAPBEXexcGood3 2 4 2 3" xfId="10304"/>
    <cellStyle name="SAPBEXexcGood3 2 4 2 4" xfId="9954"/>
    <cellStyle name="SAPBEXexcGood3 2 4 2 5" xfId="9732"/>
    <cellStyle name="SAPBEXexcGood3 2 4 3" xfId="5971"/>
    <cellStyle name="SAPBEXexcGood3 2 4 4" xfId="9424"/>
    <cellStyle name="SAPBEXexcGood3 2 4 5" xfId="9616"/>
    <cellStyle name="SAPBEXexcGood3 2 4 6" xfId="10692"/>
    <cellStyle name="SAPBEXexcGood3 2 5" xfId="2637"/>
    <cellStyle name="SAPBEXexcGood3 2 5 2" xfId="7080"/>
    <cellStyle name="SAPBEXexcGood3 2 5 3" xfId="9854"/>
    <cellStyle name="SAPBEXexcGood3 2 5 4" xfId="9557"/>
    <cellStyle name="SAPBEXexcGood3 2 5 5" xfId="10643"/>
    <cellStyle name="SAPBEXexcGood3 2 6" xfId="4883"/>
    <cellStyle name="SAPBEXexcGood3 2 7" xfId="9946"/>
    <cellStyle name="SAPBEXexcGood3 3" xfId="1340"/>
    <cellStyle name="SAPBEXexcGood3 3 2" xfId="3535"/>
    <cellStyle name="SAPBEXexcGood3 3 2 2" xfId="7978"/>
    <cellStyle name="SAPBEXexcGood3 3 2 3" xfId="10214"/>
    <cellStyle name="SAPBEXexcGood3 3 2 4" xfId="10054"/>
    <cellStyle name="SAPBEXexcGood3 3 2 5" xfId="9702"/>
    <cellStyle name="SAPBEXexcGood3 3 3" xfId="5783"/>
    <cellStyle name="SAPBEXexcGood3 3 4" xfId="9336"/>
    <cellStyle name="SAPBEXexcGood3 3 5" xfId="9810"/>
    <cellStyle name="SAPBEXexcGood3 3 6" xfId="9807"/>
    <cellStyle name="SAPBEXexcGood3 4" xfId="2449"/>
    <cellStyle name="SAPBEXexcGood3 4 2" xfId="6892"/>
    <cellStyle name="SAPBEXexcGood3 4 3" xfId="9769"/>
    <cellStyle name="SAPBEXexcGood3 4 4" xfId="9622"/>
    <cellStyle name="SAPBEXexcGood3 4 5" xfId="10695"/>
    <cellStyle name="SAPBEXexcGood3 5" xfId="4686"/>
    <cellStyle name="SAPBEXexcGood3 6" xfId="9053"/>
    <cellStyle name="SAPBEXfilterDrill" xfId="226"/>
    <cellStyle name="SAPBEXfilterDrill 2" xfId="438"/>
    <cellStyle name="SAPBEXfilterDrill 2 2" xfId="1169"/>
    <cellStyle name="SAPBEXfilterDrill 2 2 2" xfId="2260"/>
    <cellStyle name="SAPBEXfilterDrill 2 2 2 2" xfId="4455"/>
    <cellStyle name="SAPBEXfilterDrill 2 2 2 2 2" xfId="8898"/>
    <cellStyle name="SAPBEXfilterDrill 2 2 2 2 3" xfId="10549"/>
    <cellStyle name="SAPBEXfilterDrill 2 2 2 2 4" xfId="10738"/>
    <cellStyle name="SAPBEXfilterDrill 2 2 2 2 5" xfId="10839"/>
    <cellStyle name="SAPBEXfilterDrill 2 2 2 3" xfId="6703"/>
    <cellStyle name="SAPBEXfilterDrill 2 2 2 4" xfId="9666"/>
    <cellStyle name="SAPBEXfilterDrill 2 2 2 5" xfId="9242"/>
    <cellStyle name="SAPBEXfilterDrill 2 2 2 6" xfId="10468"/>
    <cellStyle name="SAPBEXfilterDrill 2 2 3" xfId="3369"/>
    <cellStyle name="SAPBEXfilterDrill 2 2 3 2" xfId="7812"/>
    <cellStyle name="SAPBEXfilterDrill 2 2 3 3" xfId="10116"/>
    <cellStyle name="SAPBEXfilterDrill 2 2 3 4" xfId="9598"/>
    <cellStyle name="SAPBEXfilterDrill 2 2 3 5" xfId="10677"/>
    <cellStyle name="SAPBEXfilterDrill 2 2 4" xfId="5615"/>
    <cellStyle name="SAPBEXfilterDrill 2 2 5" xfId="10702"/>
    <cellStyle name="SAPBEXfilterDrill 2 3" xfId="1237"/>
    <cellStyle name="SAPBEXfilterDrill 2 3 2" xfId="2328"/>
    <cellStyle name="SAPBEXfilterDrill 2 3 2 2" xfId="4523"/>
    <cellStyle name="SAPBEXfilterDrill 2 3 2 2 2" xfId="8966"/>
    <cellStyle name="SAPBEXfilterDrill 2 3 2 2 3" xfId="10612"/>
    <cellStyle name="SAPBEXfilterDrill 2 3 2 2 4" xfId="10798"/>
    <cellStyle name="SAPBEXfilterDrill 2 3 2 2 5" xfId="10898"/>
    <cellStyle name="SAPBEXfilterDrill 2 3 2 3" xfId="6771"/>
    <cellStyle name="SAPBEXfilterDrill 2 3 2 4" xfId="9725"/>
    <cellStyle name="SAPBEXfilterDrill 2 3 2 5" xfId="9171"/>
    <cellStyle name="SAPBEXfilterDrill 2 3 2 6" xfId="10431"/>
    <cellStyle name="SAPBEXfilterDrill 2 3 3" xfId="3437"/>
    <cellStyle name="SAPBEXfilterDrill 2 3 3 2" xfId="7880"/>
    <cellStyle name="SAPBEXfilterDrill 2 3 3 3" xfId="10175"/>
    <cellStyle name="SAPBEXfilterDrill 2 3 3 4" xfId="9548"/>
    <cellStyle name="SAPBEXfilterDrill 2 3 3 5" xfId="10634"/>
    <cellStyle name="SAPBEXfilterDrill 2 3 4" xfId="5683"/>
    <cellStyle name="SAPBEXfilterDrill 2 3 5" xfId="10646"/>
    <cellStyle name="SAPBEXfilterDrill 2 4" xfId="1529"/>
    <cellStyle name="SAPBEXfilterDrill 2 4 2" xfId="3724"/>
    <cellStyle name="SAPBEXfilterDrill 2 4 2 2" xfId="8167"/>
    <cellStyle name="SAPBEXfilterDrill 2 4 2 3" xfId="10305"/>
    <cellStyle name="SAPBEXfilterDrill 2 4 2 4" xfId="10396"/>
    <cellStyle name="SAPBEXfilterDrill 2 4 2 5" xfId="9572"/>
    <cellStyle name="SAPBEXfilterDrill 2 4 3" xfId="5972"/>
    <cellStyle name="SAPBEXfilterDrill 2 4 4" xfId="9425"/>
    <cellStyle name="SAPBEXfilterDrill 2 4 5" xfId="9260"/>
    <cellStyle name="SAPBEXfilterDrill 2 4 6" xfId="9087"/>
    <cellStyle name="SAPBEXfilterDrill 2 5" xfId="2638"/>
    <cellStyle name="SAPBEXfilterDrill 2 5 2" xfId="7081"/>
    <cellStyle name="SAPBEXfilterDrill 2 5 3" xfId="9855"/>
    <cellStyle name="SAPBEXfilterDrill 2 5 4" xfId="9185"/>
    <cellStyle name="SAPBEXfilterDrill 2 5 5" xfId="9220"/>
    <cellStyle name="SAPBEXfilterDrill 2 6" xfId="4884"/>
    <cellStyle name="SAPBEXfilterDrill 2 7" xfId="9467"/>
    <cellStyle name="SAPBEXfilterDrill 3" xfId="1341"/>
    <cellStyle name="SAPBEXfilterDrill 3 2" xfId="3536"/>
    <cellStyle name="SAPBEXfilterDrill 3 2 2" xfId="7979"/>
    <cellStyle name="SAPBEXfilterDrill 3 2 3" xfId="10215"/>
    <cellStyle name="SAPBEXfilterDrill 3 2 4" xfId="10491"/>
    <cellStyle name="SAPBEXfilterDrill 3 2 5" xfId="10183"/>
    <cellStyle name="SAPBEXfilterDrill 3 3" xfId="5784"/>
    <cellStyle name="SAPBEXfilterDrill 3 4" xfId="9337"/>
    <cellStyle name="SAPBEXfilterDrill 3 5" xfId="10253"/>
    <cellStyle name="SAPBEXfilterDrill 3 6" xfId="10006"/>
    <cellStyle name="SAPBEXfilterDrill 4" xfId="2450"/>
    <cellStyle name="SAPBEXfilterDrill 4 2" xfId="6893"/>
    <cellStyle name="SAPBEXfilterDrill 4 3" xfId="9770"/>
    <cellStyle name="SAPBEXfilterDrill 4 4" xfId="9269"/>
    <cellStyle name="SAPBEXfilterDrill 4 5" xfId="9595"/>
    <cellStyle name="SAPBEXfilterDrill 5" xfId="4687"/>
    <cellStyle name="SAPBEXfilterDrill 6" xfId="9167"/>
    <cellStyle name="SAPBEXfilterItem" xfId="227"/>
    <cellStyle name="SAPBEXfilterItem 2" xfId="439"/>
    <cellStyle name="SAPBEXfilterItem 2 2" xfId="1170"/>
    <cellStyle name="SAPBEXfilterItem 2 2 2" xfId="2261"/>
    <cellStyle name="SAPBEXfilterItem 2 2 2 2" xfId="4456"/>
    <cellStyle name="SAPBEXfilterItem 2 2 2 2 2" xfId="8899"/>
    <cellStyle name="SAPBEXfilterItem 2 2 2 2 3" xfId="10550"/>
    <cellStyle name="SAPBEXfilterItem 2 2 2 2 4" xfId="10739"/>
    <cellStyle name="SAPBEXfilterItem 2 2 2 2 5" xfId="10840"/>
    <cellStyle name="SAPBEXfilterItem 2 2 2 3" xfId="6704"/>
    <cellStyle name="SAPBEXfilterItem 2 2 2 4" xfId="9667"/>
    <cellStyle name="SAPBEXfilterItem 2 2 2 5" xfId="9073"/>
    <cellStyle name="SAPBEXfilterItem 2 2 2 6" xfId="9176"/>
    <cellStyle name="SAPBEXfilterItem 2 2 3" xfId="3370"/>
    <cellStyle name="SAPBEXfilterItem 2 2 3 2" xfId="7813"/>
    <cellStyle name="SAPBEXfilterItem 2 2 3 3" xfId="10117"/>
    <cellStyle name="SAPBEXfilterItem 2 2 3 4" xfId="9233"/>
    <cellStyle name="SAPBEXfilterItem 2 2 3 5" xfId="9387"/>
    <cellStyle name="SAPBEXfilterItem 2 2 4" xfId="5616"/>
    <cellStyle name="SAPBEXfilterItem 2 2 5" xfId="9179"/>
    <cellStyle name="SAPBEXfilterItem 2 3" xfId="1226"/>
    <cellStyle name="SAPBEXfilterItem 2 3 2" xfId="2317"/>
    <cellStyle name="SAPBEXfilterItem 2 3 2 2" xfId="4512"/>
    <cellStyle name="SAPBEXfilterItem 2 3 2 2 2" xfId="8955"/>
    <cellStyle name="SAPBEXfilterItem 2 3 2 2 3" xfId="10601"/>
    <cellStyle name="SAPBEXfilterItem 2 3 2 2 4" xfId="10787"/>
    <cellStyle name="SAPBEXfilterItem 2 3 2 2 5" xfId="10887"/>
    <cellStyle name="SAPBEXfilterItem 2 3 2 3" xfId="6760"/>
    <cellStyle name="SAPBEXfilterItem 2 3 2 4" xfId="9715"/>
    <cellStyle name="SAPBEXfilterItem 2 3 2 5" xfId="9132"/>
    <cellStyle name="SAPBEXfilterItem 2 3 2 6" xfId="9947"/>
    <cellStyle name="SAPBEXfilterItem 2 3 3" xfId="3426"/>
    <cellStyle name="SAPBEXfilterItem 2 3 3 2" xfId="7869"/>
    <cellStyle name="SAPBEXfilterItem 2 3 3 3" xfId="10164"/>
    <cellStyle name="SAPBEXfilterItem 2 3 3 4" xfId="9500"/>
    <cellStyle name="SAPBEXfilterItem 2 3 3 5" xfId="9081"/>
    <cellStyle name="SAPBEXfilterItem 2 3 4" xfId="5672"/>
    <cellStyle name="SAPBEXfilterItem 2 3 5" xfId="4635"/>
    <cellStyle name="SAPBEXfilterItem 2 4" xfId="1530"/>
    <cellStyle name="SAPBEXfilterItem 2 4 2" xfId="3725"/>
    <cellStyle name="SAPBEXfilterItem 2 4 2 2" xfId="8168"/>
    <cellStyle name="SAPBEXfilterItem 2 4 2 3" xfId="10306"/>
    <cellStyle name="SAPBEXfilterItem 2 4 2 4" xfId="9533"/>
    <cellStyle name="SAPBEXfilterItem 2 4 2 5" xfId="5708"/>
    <cellStyle name="SAPBEXfilterItem 2 4 3" xfId="5973"/>
    <cellStyle name="SAPBEXfilterItem 2 4 4" xfId="9426"/>
    <cellStyle name="SAPBEXfilterItem 2 4 5" xfId="9093"/>
    <cellStyle name="SAPBEXfilterItem 2 4 6" xfId="10180"/>
    <cellStyle name="SAPBEXfilterItem 2 5" xfId="2639"/>
    <cellStyle name="SAPBEXfilterItem 2 5 2" xfId="7082"/>
    <cellStyle name="SAPBEXfilterItem 2 5 3" xfId="9856"/>
    <cellStyle name="SAPBEXfilterItem 2 5 4" xfId="10066"/>
    <cellStyle name="SAPBEXfilterItem 2 5 5" xfId="9976"/>
    <cellStyle name="SAPBEXfilterItem 2 6" xfId="4885"/>
    <cellStyle name="SAPBEXfilterItem 2 7" xfId="9827"/>
    <cellStyle name="SAPBEXfilterItem 3" xfId="1342"/>
    <cellStyle name="SAPBEXfilterItem 3 2" xfId="3537"/>
    <cellStyle name="SAPBEXfilterItem 3 2 2" xfId="7980"/>
    <cellStyle name="SAPBEXfilterItem 3 2 3" xfId="10216"/>
    <cellStyle name="SAPBEXfilterItem 3 2 4" xfId="9611"/>
    <cellStyle name="SAPBEXfilterItem 3 2 5" xfId="10687"/>
    <cellStyle name="SAPBEXfilterItem 3 3" xfId="5785"/>
    <cellStyle name="SAPBEXfilterItem 3 4" xfId="9338"/>
    <cellStyle name="SAPBEXfilterItem 3 5" xfId="9376"/>
    <cellStyle name="SAPBEXfilterItem 3 6" xfId="10015"/>
    <cellStyle name="SAPBEXfilterItem 4" xfId="2451"/>
    <cellStyle name="SAPBEXfilterItem 4 2" xfId="6894"/>
    <cellStyle name="SAPBEXfilterItem 4 3" xfId="9771"/>
    <cellStyle name="SAPBEXfilterItem 4 4" xfId="9097"/>
    <cellStyle name="SAPBEXfilterItem 4 5" xfId="10512"/>
    <cellStyle name="SAPBEXfilterItem 5" xfId="4688"/>
    <cellStyle name="SAPBEXfilterItem 6" xfId="9031"/>
    <cellStyle name="SAPBEXfilterText" xfId="228"/>
    <cellStyle name="SAPBEXfilterText 2" xfId="440"/>
    <cellStyle name="SAPBEXfilterText 2 2" xfId="1171"/>
    <cellStyle name="SAPBEXfilterText 2 2 2" xfId="2262"/>
    <cellStyle name="SAPBEXfilterText 2 2 2 2" xfId="4457"/>
    <cellStyle name="SAPBEXfilterText 2 2 2 2 2" xfId="8900"/>
    <cellStyle name="SAPBEXfilterText 2 2 2 2 3" xfId="10551"/>
    <cellStyle name="SAPBEXfilterText 2 2 2 2 4" xfId="10740"/>
    <cellStyle name="SAPBEXfilterText 2 2 2 2 5" xfId="10841"/>
    <cellStyle name="SAPBEXfilterText 2 2 2 3" xfId="6705"/>
    <cellStyle name="SAPBEXfilterText 2 2 2 4" xfId="9668"/>
    <cellStyle name="SAPBEXfilterText 2 2 2 5" xfId="4723"/>
    <cellStyle name="SAPBEXfilterText 2 2 2 6" xfId="10017"/>
    <cellStyle name="SAPBEXfilterText 2 2 3" xfId="3371"/>
    <cellStyle name="SAPBEXfilterText 2 2 3 2" xfId="7814"/>
    <cellStyle name="SAPBEXfilterText 2 2 3 3" xfId="10118"/>
    <cellStyle name="SAPBEXfilterText 2 2 3 4" xfId="9067"/>
    <cellStyle name="SAPBEXfilterText 2 2 3 5" xfId="9302"/>
    <cellStyle name="SAPBEXfilterText 2 2 4" xfId="5617"/>
    <cellStyle name="SAPBEXfilterText 2 2 5" xfId="10429"/>
    <cellStyle name="SAPBEXfilterText 2 3" xfId="1145"/>
    <cellStyle name="SAPBEXfilterText 2 3 2" xfId="2236"/>
    <cellStyle name="SAPBEXfilterText 2 3 2 2" xfId="4431"/>
    <cellStyle name="SAPBEXfilterText 2 3 2 2 2" xfId="8874"/>
    <cellStyle name="SAPBEXfilterText 2 3 2 2 3" xfId="10525"/>
    <cellStyle name="SAPBEXfilterText 2 3 2 2 4" xfId="10714"/>
    <cellStyle name="SAPBEXfilterText 2 3 2 2 5" xfId="10815"/>
    <cellStyle name="SAPBEXfilterText 2 3 2 3" xfId="6679"/>
    <cellStyle name="SAPBEXfilterText 2 3 2 4" xfId="9643"/>
    <cellStyle name="SAPBEXfilterText 2 3 2 5" xfId="9069"/>
    <cellStyle name="SAPBEXfilterText 2 3 2 6" xfId="9804"/>
    <cellStyle name="SAPBEXfilterText 2 3 3" xfId="3345"/>
    <cellStyle name="SAPBEXfilterText 2 3 3 2" xfId="7788"/>
    <cellStyle name="SAPBEXfilterText 2 3 3 3" xfId="10092"/>
    <cellStyle name="SAPBEXfilterText 2 3 3 4" xfId="9086"/>
    <cellStyle name="SAPBEXfilterText 2 3 3 5" xfId="9396"/>
    <cellStyle name="SAPBEXfilterText 2 3 4" xfId="5591"/>
    <cellStyle name="SAPBEXfilterText 2 3 5" xfId="10703"/>
    <cellStyle name="SAPBEXfilterText 2 4" xfId="1531"/>
    <cellStyle name="SAPBEXfilterText 2 4 2" xfId="3726"/>
    <cellStyle name="SAPBEXfilterText 2 4 2 2" xfId="8169"/>
    <cellStyle name="SAPBEXfilterText 2 4 2 3" xfId="10307"/>
    <cellStyle name="SAPBEXfilterText 2 4 2 4" xfId="9157"/>
    <cellStyle name="SAPBEXfilterText 2 4 2 5" xfId="9149"/>
    <cellStyle name="SAPBEXfilterText 2 4 3" xfId="5974"/>
    <cellStyle name="SAPBEXfilterText 2 4 4" xfId="9427"/>
    <cellStyle name="SAPBEXfilterText 2 4 5" xfId="9052"/>
    <cellStyle name="SAPBEXfilterText 2 4 6" xfId="10619"/>
    <cellStyle name="SAPBEXfilterText 2 5" xfId="2640"/>
    <cellStyle name="SAPBEXfilterText 2 5 2" xfId="7083"/>
    <cellStyle name="SAPBEXfilterText 2 5 3" xfId="9857"/>
    <cellStyle name="SAPBEXfilterText 2 5 4" xfId="10504"/>
    <cellStyle name="SAPBEXfilterText 2 5 5" xfId="10501"/>
    <cellStyle name="SAPBEXfilterText 2 6" xfId="4886"/>
    <cellStyle name="SAPBEXfilterText 2 7" xfId="10617"/>
    <cellStyle name="SAPBEXfilterText 3" xfId="1343"/>
    <cellStyle name="SAPBEXfilterText 3 2" xfId="3538"/>
    <cellStyle name="SAPBEXfilterText 3 2 2" xfId="7981"/>
    <cellStyle name="SAPBEXfilterText 3 2 3" xfId="10217"/>
    <cellStyle name="SAPBEXfilterText 3 2 4" xfId="9250"/>
    <cellStyle name="SAPBEXfilterText 3 2 5" xfId="9064"/>
    <cellStyle name="SAPBEXfilterText 3 3" xfId="5786"/>
    <cellStyle name="SAPBEXfilterText 3 4" xfId="9339"/>
    <cellStyle name="SAPBEXfilterText 3 5" xfId="9935"/>
    <cellStyle name="SAPBEXfilterText 3 6" xfId="10342"/>
    <cellStyle name="SAPBEXfilterText 4" xfId="2452"/>
    <cellStyle name="SAPBEXfilterText 4 2" xfId="6895"/>
    <cellStyle name="SAPBEXfilterText 4 3" xfId="9772"/>
    <cellStyle name="SAPBEXfilterText 4 4" xfId="9060"/>
    <cellStyle name="SAPBEXfilterText 4 5" xfId="9394"/>
    <cellStyle name="SAPBEXfilterText 5" xfId="4689"/>
    <cellStyle name="SAPBEXfilterText 6" xfId="9473"/>
    <cellStyle name="SAPBEXformats" xfId="229"/>
    <cellStyle name="SAPBEXformats 2" xfId="441"/>
    <cellStyle name="SAPBEXformats 2 2" xfId="1172"/>
    <cellStyle name="SAPBEXformats 2 2 2" xfId="2263"/>
    <cellStyle name="SAPBEXformats 2 2 2 2" xfId="4458"/>
    <cellStyle name="SAPBEXformats 2 2 2 2 2" xfId="8901"/>
    <cellStyle name="SAPBEXformats 2 2 2 2 3" xfId="10552"/>
    <cellStyle name="SAPBEXformats 2 2 2 2 4" xfId="10741"/>
    <cellStyle name="SAPBEXformats 2 2 2 2 5" xfId="10842"/>
    <cellStyle name="SAPBEXformats 2 2 2 3" xfId="6706"/>
    <cellStyle name="SAPBEXformats 2 2 2 4" xfId="9669"/>
    <cellStyle name="SAPBEXformats 2 2 2 5" xfId="9801"/>
    <cellStyle name="SAPBEXformats 2 2 2 6" xfId="4656"/>
    <cellStyle name="SAPBEXformats 2 2 3" xfId="3372"/>
    <cellStyle name="SAPBEXformats 2 2 3 2" xfId="7815"/>
    <cellStyle name="SAPBEXformats 2 2 3 3" xfId="10119"/>
    <cellStyle name="SAPBEXformats 2 2 3 4" xfId="4667"/>
    <cellStyle name="SAPBEXformats 2 2 3 5" xfId="9744"/>
    <cellStyle name="SAPBEXformats 2 2 4" xfId="5618"/>
    <cellStyle name="SAPBEXformats 2 2 5" xfId="9216"/>
    <cellStyle name="SAPBEXformats 2 3" xfId="1232"/>
    <cellStyle name="SAPBEXformats 2 3 2" xfId="2323"/>
    <cellStyle name="SAPBEXformats 2 3 2 2" xfId="4518"/>
    <cellStyle name="SAPBEXformats 2 3 2 2 2" xfId="8961"/>
    <cellStyle name="SAPBEXformats 2 3 2 2 3" xfId="10607"/>
    <cellStyle name="SAPBEXformats 2 3 2 2 4" xfId="10793"/>
    <cellStyle name="SAPBEXformats 2 3 2 2 5" xfId="10893"/>
    <cellStyle name="SAPBEXformats 2 3 2 3" xfId="6766"/>
    <cellStyle name="SAPBEXformats 2 3 2 4" xfId="9721"/>
    <cellStyle name="SAPBEXformats 2 3 2 5" xfId="10289"/>
    <cellStyle name="SAPBEXformats 2 3 2 6" xfId="10259"/>
    <cellStyle name="SAPBEXformats 2 3 3" xfId="3432"/>
    <cellStyle name="SAPBEXformats 2 3 3 2" xfId="7875"/>
    <cellStyle name="SAPBEXformats 2 3 3 3" xfId="10170"/>
    <cellStyle name="SAPBEXformats 2 3 3 4" xfId="9885"/>
    <cellStyle name="SAPBEXformats 2 3 3 5" xfId="9151"/>
    <cellStyle name="SAPBEXformats 2 3 4" xfId="5678"/>
    <cellStyle name="SAPBEXformats 2 3 5" xfId="9563"/>
    <cellStyle name="SAPBEXformats 2 4" xfId="1532"/>
    <cellStyle name="SAPBEXformats 2 4 2" xfId="3727"/>
    <cellStyle name="SAPBEXformats 2 4 2 2" xfId="8170"/>
    <cellStyle name="SAPBEXformats 2 4 2 3" xfId="10308"/>
    <cellStyle name="SAPBEXformats 2 4 2 4" xfId="10036"/>
    <cellStyle name="SAPBEXformats 2 4 2 5" xfId="9730"/>
    <cellStyle name="SAPBEXformats 2 4 3" xfId="5975"/>
    <cellStyle name="SAPBEXformats 2 4 4" xfId="9428"/>
    <cellStyle name="SAPBEXformats 2 4 5" xfId="9745"/>
    <cellStyle name="SAPBEXformats 2 4 6" xfId="9071"/>
    <cellStyle name="SAPBEXformats 2 5" xfId="2641"/>
    <cellStyle name="SAPBEXformats 2 5 2" xfId="7084"/>
    <cellStyle name="SAPBEXformats 2 5 3" xfId="9858"/>
    <cellStyle name="SAPBEXformats 2 5 4" xfId="9620"/>
    <cellStyle name="SAPBEXformats 2 5 5" xfId="10694"/>
    <cellStyle name="SAPBEXformats 2 6" xfId="4887"/>
    <cellStyle name="SAPBEXformats 2 7" xfId="9129"/>
    <cellStyle name="SAPBEXformats 3" xfId="1344"/>
    <cellStyle name="SAPBEXformats 3 2" xfId="3539"/>
    <cellStyle name="SAPBEXformats 3 2 2" xfId="7982"/>
    <cellStyle name="SAPBEXformats 3 2 3" xfId="10218"/>
    <cellStyle name="SAPBEXformats 3 2 4" xfId="9078"/>
    <cellStyle name="SAPBEXformats 3 2 5" xfId="10437"/>
    <cellStyle name="SAPBEXformats 3 3" xfId="5787"/>
    <cellStyle name="SAPBEXformats 3 4" xfId="9340"/>
    <cellStyle name="SAPBEXformats 3 5" xfId="10379"/>
    <cellStyle name="SAPBEXformats 3 6" xfId="10182"/>
    <cellStyle name="SAPBEXformats 4" xfId="2453"/>
    <cellStyle name="SAPBEXformats 4 2" xfId="6896"/>
    <cellStyle name="SAPBEXformats 4 3" xfId="9773"/>
    <cellStyle name="SAPBEXformats 4 4" xfId="4639"/>
    <cellStyle name="SAPBEXformats 4 5" xfId="9261"/>
    <cellStyle name="SAPBEXformats 5" xfId="4690"/>
    <cellStyle name="SAPBEXformats 6" xfId="9552"/>
    <cellStyle name="SAPBEXheaderItem" xfId="230"/>
    <cellStyle name="SAPBEXheaderItem 2" xfId="442"/>
    <cellStyle name="SAPBEXheaderItem 2 2" xfId="1173"/>
    <cellStyle name="SAPBEXheaderItem 2 2 2" xfId="2264"/>
    <cellStyle name="SAPBEXheaderItem 2 2 2 2" xfId="4459"/>
    <cellStyle name="SAPBEXheaderItem 2 2 2 2 2" xfId="8902"/>
    <cellStyle name="SAPBEXheaderItem 2 2 2 2 3" xfId="10553"/>
    <cellStyle name="SAPBEXheaderItem 2 2 2 2 4" xfId="10742"/>
    <cellStyle name="SAPBEXheaderItem 2 2 2 2 5" xfId="10843"/>
    <cellStyle name="SAPBEXheaderItem 2 2 2 3" xfId="6707"/>
    <cellStyle name="SAPBEXheaderItem 2 2 2 4" xfId="9670"/>
    <cellStyle name="SAPBEXheaderItem 2 2 2 5" xfId="10248"/>
    <cellStyle name="SAPBEXheaderItem 2 2 2 6" xfId="10022"/>
    <cellStyle name="SAPBEXheaderItem 2 2 3" xfId="3373"/>
    <cellStyle name="SAPBEXheaderItem 2 2 3 2" xfId="7816"/>
    <cellStyle name="SAPBEXheaderItem 2 2 3 3" xfId="10120"/>
    <cellStyle name="SAPBEXheaderItem 2 2 3 4" xfId="9802"/>
    <cellStyle name="SAPBEXheaderItem 2 2 3 5" xfId="9027"/>
    <cellStyle name="SAPBEXheaderItem 2 2 4" xfId="5619"/>
    <cellStyle name="SAPBEXheaderItem 2 2 5" xfId="9538"/>
    <cellStyle name="SAPBEXheaderItem 2 3" xfId="1231"/>
    <cellStyle name="SAPBEXheaderItem 2 3 2" xfId="2322"/>
    <cellStyle name="SAPBEXheaderItem 2 3 2 2" xfId="4517"/>
    <cellStyle name="SAPBEXheaderItem 2 3 2 2 2" xfId="8960"/>
    <cellStyle name="SAPBEXheaderItem 2 3 2 2 3" xfId="10606"/>
    <cellStyle name="SAPBEXheaderItem 2 3 2 2 4" xfId="10792"/>
    <cellStyle name="SAPBEXheaderItem 2 3 2 2 5" xfId="10892"/>
    <cellStyle name="SAPBEXheaderItem 2 3 2 3" xfId="6765"/>
    <cellStyle name="SAPBEXheaderItem 2 3 2 4" xfId="9720"/>
    <cellStyle name="SAPBEXheaderItem 2 3 2 5" xfId="9839"/>
    <cellStyle name="SAPBEXheaderItem 2 3 2 6" xfId="10389"/>
    <cellStyle name="SAPBEXheaderItem 2 3 3" xfId="3431"/>
    <cellStyle name="SAPBEXheaderItem 2 3 3 2" xfId="7874"/>
    <cellStyle name="SAPBEXheaderItem 2 3 3 3" xfId="10169"/>
    <cellStyle name="SAPBEXheaderItem 2 3 3 4" xfId="9213"/>
    <cellStyle name="SAPBEXheaderItem 2 3 3 5" xfId="9388"/>
    <cellStyle name="SAPBEXheaderItem 2 3 4" xfId="5677"/>
    <cellStyle name="SAPBEXheaderItem 2 3 5" xfId="10349"/>
    <cellStyle name="SAPBEXheaderItem 2 4" xfId="1533"/>
    <cellStyle name="SAPBEXheaderItem 2 4 2" xfId="3728"/>
    <cellStyle name="SAPBEXheaderItem 2 4 2 2" xfId="8171"/>
    <cellStyle name="SAPBEXheaderItem 2 4 2 3" xfId="10309"/>
    <cellStyle name="SAPBEXheaderItem 2 4 2 4" xfId="10481"/>
    <cellStyle name="SAPBEXheaderItem 2 4 2 5" xfId="9540"/>
    <cellStyle name="SAPBEXheaderItem 2 4 3" xfId="5976"/>
    <cellStyle name="SAPBEXheaderItem 2 4 4" xfId="9429"/>
    <cellStyle name="SAPBEXheaderItem 2 4 5" xfId="10192"/>
    <cellStyle name="SAPBEXheaderItem 2 4 6" xfId="10199"/>
    <cellStyle name="SAPBEXheaderItem 2 5" xfId="2642"/>
    <cellStyle name="SAPBEXheaderItem 2 5 2" xfId="7085"/>
    <cellStyle name="SAPBEXheaderItem 2 5 3" xfId="9859"/>
    <cellStyle name="SAPBEXheaderItem 2 5 4" xfId="9267"/>
    <cellStyle name="SAPBEXheaderItem 2 5 5" xfId="9528"/>
    <cellStyle name="SAPBEXheaderItem 2 6" xfId="4888"/>
    <cellStyle name="SAPBEXheaderItem 2 7" xfId="4720"/>
    <cellStyle name="SAPBEXheaderItem 3" xfId="1345"/>
    <cellStyle name="SAPBEXheaderItem 3 2" xfId="3540"/>
    <cellStyle name="SAPBEXheaderItem 3 2 2" xfId="7983"/>
    <cellStyle name="SAPBEXheaderItem 3 2 3" xfId="10219"/>
    <cellStyle name="SAPBEXheaderItem 3 2 4" xfId="9816"/>
    <cellStyle name="SAPBEXheaderItem 3 2 5" xfId="9092"/>
    <cellStyle name="SAPBEXheaderItem 3 3" xfId="5788"/>
    <cellStyle name="SAPBEXheaderItem 3 4" xfId="9341"/>
    <cellStyle name="SAPBEXheaderItem 3 5" xfId="9507"/>
    <cellStyle name="SAPBEXheaderItem 3 6" xfId="9286"/>
    <cellStyle name="SAPBEXheaderItem 4" xfId="2454"/>
    <cellStyle name="SAPBEXheaderItem 4 2" xfId="6897"/>
    <cellStyle name="SAPBEXheaderItem 4 3" xfId="9774"/>
    <cellStyle name="SAPBEXheaderItem 4 4" xfId="9753"/>
    <cellStyle name="SAPBEXheaderItem 4 5" xfId="9961"/>
    <cellStyle name="SAPBEXheaderItem 5" xfId="4691"/>
    <cellStyle name="SAPBEXheaderItem 6" xfId="4657"/>
    <cellStyle name="SAPBEXheaderText" xfId="231"/>
    <cellStyle name="SAPBEXheaderText 2" xfId="443"/>
    <cellStyle name="SAPBEXheaderText 2 2" xfId="1174"/>
    <cellStyle name="SAPBEXheaderText 2 2 2" xfId="2265"/>
    <cellStyle name="SAPBEXheaderText 2 2 2 2" xfId="4460"/>
    <cellStyle name="SAPBEXheaderText 2 2 2 2 2" xfId="8903"/>
    <cellStyle name="SAPBEXheaderText 2 2 2 2 3" xfId="10554"/>
    <cellStyle name="SAPBEXheaderText 2 2 2 2 4" xfId="10743"/>
    <cellStyle name="SAPBEXheaderText 2 2 2 2 5" xfId="10844"/>
    <cellStyle name="SAPBEXheaderText 2 2 2 3" xfId="6708"/>
    <cellStyle name="SAPBEXheaderText 2 2 2 4" xfId="9671"/>
    <cellStyle name="SAPBEXheaderText 2 2 2 5" xfId="9370"/>
    <cellStyle name="SAPBEXheaderText 2 2 2 6" xfId="9482"/>
    <cellStyle name="SAPBEXheaderText 2 2 3" xfId="3374"/>
    <cellStyle name="SAPBEXheaderText 2 2 3 2" xfId="7817"/>
    <cellStyle name="SAPBEXheaderText 2 2 3 3" xfId="10121"/>
    <cellStyle name="SAPBEXheaderText 2 2 3 4" xfId="10249"/>
    <cellStyle name="SAPBEXheaderText 2 2 3 5" xfId="10464"/>
    <cellStyle name="SAPBEXheaderText 2 2 4" xfId="5620"/>
    <cellStyle name="SAPBEXheaderText 2 2 5" xfId="10505"/>
    <cellStyle name="SAPBEXheaderText 2 3" xfId="1152"/>
    <cellStyle name="SAPBEXheaderText 2 3 2" xfId="2243"/>
    <cellStyle name="SAPBEXheaderText 2 3 2 2" xfId="4438"/>
    <cellStyle name="SAPBEXheaderText 2 3 2 2 2" xfId="8881"/>
    <cellStyle name="SAPBEXheaderText 2 3 2 2 3" xfId="10532"/>
    <cellStyle name="SAPBEXheaderText 2 3 2 2 4" xfId="10721"/>
    <cellStyle name="SAPBEXheaderText 2 3 2 2 5" xfId="10822"/>
    <cellStyle name="SAPBEXheaderText 2 3 2 3" xfId="6686"/>
    <cellStyle name="SAPBEXheaderText 2 3 2 4" xfId="9649"/>
    <cellStyle name="SAPBEXheaderText 2 3 2 5" xfId="10363"/>
    <cellStyle name="SAPBEXheaderText 2 3 2 6" xfId="9918"/>
    <cellStyle name="SAPBEXheaderText 2 3 3" xfId="3352"/>
    <cellStyle name="SAPBEXheaderText 2 3 3 2" xfId="7795"/>
    <cellStyle name="SAPBEXheaderText 2 3 3 3" xfId="10099"/>
    <cellStyle name="SAPBEXheaderText 2 3 3 4" xfId="9478"/>
    <cellStyle name="SAPBEXheaderText 2 3 3 5" xfId="9280"/>
    <cellStyle name="SAPBEXheaderText 2 3 4" xfId="5598"/>
    <cellStyle name="SAPBEXheaderText 2 3 5" xfId="9603"/>
    <cellStyle name="SAPBEXheaderText 2 4" xfId="1534"/>
    <cellStyle name="SAPBEXheaderText 2 4 2" xfId="3729"/>
    <cellStyle name="SAPBEXheaderText 2 4 2 2" xfId="8172"/>
    <cellStyle name="SAPBEXheaderText 2 4 2 3" xfId="10310"/>
    <cellStyle name="SAPBEXheaderText 2 4 2 4" xfId="9600"/>
    <cellStyle name="SAPBEXheaderText 2 4 2 5" xfId="10679"/>
    <cellStyle name="SAPBEXheaderText 2 4 3" xfId="5977"/>
    <cellStyle name="SAPBEXheaderText 2 4 4" xfId="9430"/>
    <cellStyle name="SAPBEXheaderText 2 4 5" xfId="9313"/>
    <cellStyle name="SAPBEXheaderText 2 4 6" xfId="10252"/>
    <cellStyle name="SAPBEXheaderText 2 5" xfId="2643"/>
    <cellStyle name="SAPBEXheaderText 2 5 2" xfId="7086"/>
    <cellStyle name="SAPBEXheaderText 2 5 3" xfId="9860"/>
    <cellStyle name="SAPBEXheaderText 2 5 4" xfId="9096"/>
    <cellStyle name="SAPBEXheaderText 2 5 5" xfId="10430"/>
    <cellStyle name="SAPBEXheaderText 2 6" xfId="4889"/>
    <cellStyle name="SAPBEXheaderText 2 7" xfId="9945"/>
    <cellStyle name="SAPBEXheaderText 3" xfId="1346"/>
    <cellStyle name="SAPBEXheaderText 3 2" xfId="3541"/>
    <cellStyle name="SAPBEXheaderText 3 2 2" xfId="7984"/>
    <cellStyle name="SAPBEXheaderText 3 2 3" xfId="10220"/>
    <cellStyle name="SAPBEXheaderText 3 2 4" xfId="10261"/>
    <cellStyle name="SAPBEXheaderText 3 2 5" xfId="10382"/>
    <cellStyle name="SAPBEXheaderText 3 3" xfId="5789"/>
    <cellStyle name="SAPBEXheaderText 3 4" xfId="9342"/>
    <cellStyle name="SAPBEXheaderText 3 5" xfId="9143"/>
    <cellStyle name="SAPBEXheaderText 3 6" xfId="9110"/>
    <cellStyle name="SAPBEXheaderText 4" xfId="2455"/>
    <cellStyle name="SAPBEXheaderText 4 2" xfId="6898"/>
    <cellStyle name="SAPBEXheaderText 4 3" xfId="9775"/>
    <cellStyle name="SAPBEXheaderText 4 4" xfId="10198"/>
    <cellStyle name="SAPBEXheaderText 4 5" xfId="9383"/>
    <cellStyle name="SAPBEXheaderText 5" xfId="4692"/>
    <cellStyle name="SAPBEXheaderText 6" xfId="10676"/>
    <cellStyle name="SAPBEXHLevel0" xfId="232"/>
    <cellStyle name="SAPBEXHLevel0 2" xfId="444"/>
    <cellStyle name="SAPBEXHLevel0 2 2" xfId="1175"/>
    <cellStyle name="SAPBEXHLevel0 2 2 2" xfId="2266"/>
    <cellStyle name="SAPBEXHLevel0 2 2 2 2" xfId="4461"/>
    <cellStyle name="SAPBEXHLevel0 2 2 2 2 2" xfId="8904"/>
    <cellStyle name="SAPBEXHLevel0 2 2 2 2 3" xfId="10555"/>
    <cellStyle name="SAPBEXHLevel0 2 2 2 2 4" xfId="10744"/>
    <cellStyle name="SAPBEXHLevel0 2 2 2 2 5" xfId="10845"/>
    <cellStyle name="SAPBEXHLevel0 2 2 2 3" xfId="6709"/>
    <cellStyle name="SAPBEXHLevel0 2 2 2 4" xfId="9672"/>
    <cellStyle name="SAPBEXHLevel0 2 2 2 5" xfId="9928"/>
    <cellStyle name="SAPBEXHLevel0 2 2 2 6" xfId="9202"/>
    <cellStyle name="SAPBEXHLevel0 2 2 3" xfId="3375"/>
    <cellStyle name="SAPBEXHLevel0 2 2 3 2" xfId="7818"/>
    <cellStyle name="SAPBEXHLevel0 2 2 3 3" xfId="10122"/>
    <cellStyle name="SAPBEXHLevel0 2 2 3 4" xfId="9371"/>
    <cellStyle name="SAPBEXHLevel0 2 2 3 5" xfId="9117"/>
    <cellStyle name="SAPBEXHLevel0 2 2 4" xfId="5621"/>
    <cellStyle name="SAPBEXHLevel0 2 2 5" xfId="9156"/>
    <cellStyle name="SAPBEXHLevel0 2 3" xfId="1200"/>
    <cellStyle name="SAPBEXHLevel0 2 3 2" xfId="2291"/>
    <cellStyle name="SAPBEXHLevel0 2 3 2 2" xfId="4486"/>
    <cellStyle name="SAPBEXHLevel0 2 3 2 2 2" xfId="8929"/>
    <cellStyle name="SAPBEXHLevel0 2 3 2 2 3" xfId="10580"/>
    <cellStyle name="SAPBEXHLevel0 2 3 2 2 4" xfId="10769"/>
    <cellStyle name="SAPBEXHLevel0 2 3 2 2 5" xfId="10870"/>
    <cellStyle name="SAPBEXHLevel0 2 3 2 3" xfId="6734"/>
    <cellStyle name="SAPBEXHLevel0 2 3 2 4" xfId="9697"/>
    <cellStyle name="SAPBEXHLevel0 2 3 2 5" xfId="9515"/>
    <cellStyle name="SAPBEXHLevel0 2 3 2 6" xfId="9294"/>
    <cellStyle name="SAPBEXHLevel0 2 3 3" xfId="3400"/>
    <cellStyle name="SAPBEXHLevel0 2 3 3 2" xfId="7843"/>
    <cellStyle name="SAPBEXHLevel0 2 3 3 3" xfId="10147"/>
    <cellStyle name="SAPBEXHLevel0 2 3 3 4" xfId="10386"/>
    <cellStyle name="SAPBEXHLevel0 2 3 3 5" xfId="9378"/>
    <cellStyle name="SAPBEXHLevel0 2 3 4" xfId="5646"/>
    <cellStyle name="SAPBEXHLevel0 2 3 5" xfId="9537"/>
    <cellStyle name="SAPBEXHLevel0 2 4" xfId="1535"/>
    <cellStyle name="SAPBEXHLevel0 2 4 2" xfId="3730"/>
    <cellStyle name="SAPBEXHLevel0 2 4 2 2" xfId="8173"/>
    <cellStyle name="SAPBEXHLevel0 2 4 2 3" xfId="10311"/>
    <cellStyle name="SAPBEXHLevel0 2 4 2 4" xfId="9236"/>
    <cellStyle name="SAPBEXHLevel0 2 4 2 5" xfId="9470"/>
    <cellStyle name="SAPBEXHLevel0 2 4 3" xfId="5978"/>
    <cellStyle name="SAPBEXHLevel0 2 4 4" xfId="9431"/>
    <cellStyle name="SAPBEXHLevel0 2 4 5" xfId="9911"/>
    <cellStyle name="SAPBEXHLevel0 2 4 6" xfId="9517"/>
    <cellStyle name="SAPBEXHLevel0 2 5" xfId="2644"/>
    <cellStyle name="SAPBEXHLevel0 2 5 2" xfId="7087"/>
    <cellStyle name="SAPBEXHLevel0 2 5 3" xfId="9861"/>
    <cellStyle name="SAPBEXHLevel0 2 5 4" xfId="9058"/>
    <cellStyle name="SAPBEXHLevel0 2 5 5" xfId="9566"/>
    <cellStyle name="SAPBEXHLevel0 2 6" xfId="4890"/>
    <cellStyle name="SAPBEXHLevel0 2 7" xfId="10181"/>
    <cellStyle name="SAPBEXHLevel0 3" xfId="1347"/>
    <cellStyle name="SAPBEXHLevel0 3 2" xfId="3542"/>
    <cellStyle name="SAPBEXHLevel0 3 2 2" xfId="7985"/>
    <cellStyle name="SAPBEXHLevel0 3 2 3" xfId="10221"/>
    <cellStyle name="SAPBEXHLevel0 3 2 4" xfId="9384"/>
    <cellStyle name="SAPBEXHLevel0 3 2 5" xfId="9310"/>
    <cellStyle name="SAPBEXHLevel0 3 3" xfId="5790"/>
    <cellStyle name="SAPBEXHLevel0 3 4" xfId="9343"/>
    <cellStyle name="SAPBEXHLevel0 3 5" xfId="10019"/>
    <cellStyle name="SAPBEXHLevel0 3 6" xfId="10255"/>
    <cellStyle name="SAPBEXHLevel0 4" xfId="2456"/>
    <cellStyle name="SAPBEXHLevel0 4 2" xfId="6899"/>
    <cellStyle name="SAPBEXHLevel0 4 3" xfId="9776"/>
    <cellStyle name="SAPBEXHLevel0 4 4" xfId="9321"/>
    <cellStyle name="SAPBEXHLevel0 4 5" xfId="9755"/>
    <cellStyle name="SAPBEXHLevel0 5" xfId="4693"/>
    <cellStyle name="SAPBEXHLevel0 6" xfId="9629"/>
    <cellStyle name="SAPBEXHLevel0X" xfId="233"/>
    <cellStyle name="SAPBEXHLevel0X 2" xfId="445"/>
    <cellStyle name="SAPBEXHLevel0X 2 2" xfId="1176"/>
    <cellStyle name="SAPBEXHLevel0X 2 2 2" xfId="2267"/>
    <cellStyle name="SAPBEXHLevel0X 2 2 2 2" xfId="4462"/>
    <cellStyle name="SAPBEXHLevel0X 2 2 2 2 2" xfId="8905"/>
    <cellStyle name="SAPBEXHLevel0X 2 2 2 2 3" xfId="10556"/>
    <cellStyle name="SAPBEXHLevel0X 2 2 2 2 4" xfId="10745"/>
    <cellStyle name="SAPBEXHLevel0X 2 2 2 2 5" xfId="10846"/>
    <cellStyle name="SAPBEXHLevel0X 2 2 2 3" xfId="6710"/>
    <cellStyle name="SAPBEXHLevel0X 2 2 2 4" xfId="9673"/>
    <cellStyle name="SAPBEXHLevel0X 2 2 2 5" xfId="10372"/>
    <cellStyle name="SAPBEXHLevel0X 2 2 2 6" xfId="10257"/>
    <cellStyle name="SAPBEXHLevel0X 2 2 3" xfId="3376"/>
    <cellStyle name="SAPBEXHLevel0X 2 2 3 2" xfId="7819"/>
    <cellStyle name="SAPBEXHLevel0X 2 2 3 3" xfId="10123"/>
    <cellStyle name="SAPBEXHLevel0X 2 2 3 4" xfId="9929"/>
    <cellStyle name="SAPBEXHLevel0X 2 2 3 5" xfId="9831"/>
    <cellStyle name="SAPBEXHLevel0X 2 2 4" xfId="5622"/>
    <cellStyle name="SAPBEXHLevel0X 2 2 5" xfId="10044"/>
    <cellStyle name="SAPBEXHLevel0X 2 3" xfId="1220"/>
    <cellStyle name="SAPBEXHLevel0X 2 3 2" xfId="2311"/>
    <cellStyle name="SAPBEXHLevel0X 2 3 2 2" xfId="4506"/>
    <cellStyle name="SAPBEXHLevel0X 2 3 2 2 2" xfId="8949"/>
    <cellStyle name="SAPBEXHLevel0X 2 3 2 2 3" xfId="10595"/>
    <cellStyle name="SAPBEXHLevel0X 2 3 2 2 4" xfId="10781"/>
    <cellStyle name="SAPBEXHLevel0X 2 3 2 2 5" xfId="10881"/>
    <cellStyle name="SAPBEXHLevel0X 2 3 2 3" xfId="6754"/>
    <cellStyle name="SAPBEXHLevel0X 2 3 2 4" xfId="9709"/>
    <cellStyle name="SAPBEXHLevel0X 2 3 2 5" xfId="9754"/>
    <cellStyle name="SAPBEXHLevel0X 2 3 2 6" xfId="9599"/>
    <cellStyle name="SAPBEXHLevel0X 2 3 3" xfId="3420"/>
    <cellStyle name="SAPBEXHLevel0X 2 3 3 2" xfId="7863"/>
    <cellStyle name="SAPBEXHLevel0X 2 3 3 3" xfId="10158"/>
    <cellStyle name="SAPBEXHLevel0X 2 3 3 4" xfId="9048"/>
    <cellStyle name="SAPBEXHLevel0X 2 3 3 5" xfId="9913"/>
    <cellStyle name="SAPBEXHLevel0X 2 3 4" xfId="5666"/>
    <cellStyle name="SAPBEXHLevel0X 2 3 5" xfId="9140"/>
    <cellStyle name="SAPBEXHLevel0X 2 4" xfId="1536"/>
    <cellStyle name="SAPBEXHLevel0X 2 4 2" xfId="3731"/>
    <cellStyle name="SAPBEXHLevel0X 2 4 2 2" xfId="8174"/>
    <cellStyle name="SAPBEXHLevel0X 2 4 2 3" xfId="10312"/>
    <cellStyle name="SAPBEXHLevel0X 2 4 2 4" xfId="9068"/>
    <cellStyle name="SAPBEXHLevel0X 2 4 2 5" xfId="9727"/>
    <cellStyle name="SAPBEXHLevel0X 2 4 3" xfId="5979"/>
    <cellStyle name="SAPBEXHLevel0X 2 4 4" xfId="9432"/>
    <cellStyle name="SAPBEXHLevel0X 2 4 5" xfId="10358"/>
    <cellStyle name="SAPBEXHLevel0X 2 4 6" xfId="10185"/>
    <cellStyle name="SAPBEXHLevel0X 2 5" xfId="2645"/>
    <cellStyle name="SAPBEXHLevel0X 2 5 2" xfId="7088"/>
    <cellStyle name="SAPBEXHLevel0X 2 5 3" xfId="9862"/>
    <cellStyle name="SAPBEXHLevel0X 2 5 4" xfId="4715"/>
    <cellStyle name="SAPBEXHLevel0X 2 5 5" xfId="9182"/>
    <cellStyle name="SAPBEXHLevel0X 2 6" xfId="4891"/>
    <cellStyle name="SAPBEXHLevel0X 2 7" xfId="9405"/>
    <cellStyle name="SAPBEXHLevel0X 3" xfId="1348"/>
    <cellStyle name="SAPBEXHLevel0X 3 2" xfId="3543"/>
    <cellStyle name="SAPBEXHLevel0X 3 2 2" xfId="7986"/>
    <cellStyle name="SAPBEXHLevel0X 3 2 3" xfId="10222"/>
    <cellStyle name="SAPBEXHLevel0X 3 2 4" xfId="9939"/>
    <cellStyle name="SAPBEXHLevel0X 3 2 5" xfId="9912"/>
    <cellStyle name="SAPBEXHLevel0X 3 3" xfId="5791"/>
    <cellStyle name="SAPBEXHLevel0X 3 4" xfId="9344"/>
    <cellStyle name="SAPBEXHLevel0X 3 5" xfId="10459"/>
    <cellStyle name="SAPBEXHLevel0X 3 6" xfId="9584"/>
    <cellStyle name="SAPBEXHLevel0X 4" xfId="2457"/>
    <cellStyle name="SAPBEXHLevel0X 4 2" xfId="6900"/>
    <cellStyle name="SAPBEXHLevel0X 4 3" xfId="9777"/>
    <cellStyle name="SAPBEXHLevel0X 4 4" xfId="9921"/>
    <cellStyle name="SAPBEXHLevel0X 4 5" xfId="9486"/>
    <cellStyle name="SAPBEXHLevel0X 5" xfId="4694"/>
    <cellStyle name="SAPBEXHLevel0X 6" xfId="9304"/>
    <cellStyle name="SAPBEXHLevel1" xfId="234"/>
    <cellStyle name="SAPBEXHLevel1 2" xfId="446"/>
    <cellStyle name="SAPBEXHLevel1 2 2" xfId="1177"/>
    <cellStyle name="SAPBEXHLevel1 2 2 2" xfId="2268"/>
    <cellStyle name="SAPBEXHLevel1 2 2 2 2" xfId="4463"/>
    <cellStyle name="SAPBEXHLevel1 2 2 2 2 2" xfId="8906"/>
    <cellStyle name="SAPBEXHLevel1 2 2 2 2 3" xfId="10557"/>
    <cellStyle name="SAPBEXHLevel1 2 2 2 2 4" xfId="10746"/>
    <cellStyle name="SAPBEXHLevel1 2 2 2 2 5" xfId="10847"/>
    <cellStyle name="SAPBEXHLevel1 2 2 2 3" xfId="6711"/>
    <cellStyle name="SAPBEXHLevel1 2 2 2 4" xfId="9674"/>
    <cellStyle name="SAPBEXHLevel1 2 2 2 5" xfId="9501"/>
    <cellStyle name="SAPBEXHLevel1 2 2 2 6" xfId="9292"/>
    <cellStyle name="SAPBEXHLevel1 2 2 3" xfId="3377"/>
    <cellStyle name="SAPBEXHLevel1 2 2 3 2" xfId="7820"/>
    <cellStyle name="SAPBEXHLevel1 2 2 3 3" xfId="10124"/>
    <cellStyle name="SAPBEXHLevel1 2 2 3 4" xfId="10373"/>
    <cellStyle name="SAPBEXHLevel1 2 2 3 5" xfId="9379"/>
    <cellStyle name="SAPBEXHLevel1 2 2 4" xfId="5623"/>
    <cellStyle name="SAPBEXHLevel1 2 2 5" xfId="9465"/>
    <cellStyle name="SAPBEXHLevel1 2 3" xfId="1236"/>
    <cellStyle name="SAPBEXHLevel1 2 3 2" xfId="2327"/>
    <cellStyle name="SAPBEXHLevel1 2 3 2 2" xfId="4522"/>
    <cellStyle name="SAPBEXHLevel1 2 3 2 2 2" xfId="8965"/>
    <cellStyle name="SAPBEXHLevel1 2 3 2 2 3" xfId="10611"/>
    <cellStyle name="SAPBEXHLevel1 2 3 2 2 4" xfId="10797"/>
    <cellStyle name="SAPBEXHLevel1 2 3 2 2 5" xfId="10897"/>
    <cellStyle name="SAPBEXHLevel1 2 3 2 3" xfId="6770"/>
    <cellStyle name="SAPBEXHLevel1 2 3 2 4" xfId="9724"/>
    <cellStyle name="SAPBEXHLevel1 2 3 2 5" xfId="9546"/>
    <cellStyle name="SAPBEXHLevel1 2 3 2 6" xfId="10632"/>
    <cellStyle name="SAPBEXHLevel1 2 3 3" xfId="3436"/>
    <cellStyle name="SAPBEXHLevel1 2 3 3 2" xfId="7879"/>
    <cellStyle name="SAPBEXHLevel1 2 3 3 3" xfId="10174"/>
    <cellStyle name="SAPBEXHLevel1 2 3 3 4" xfId="10410"/>
    <cellStyle name="SAPBEXHLevel1 2 3 3 5" xfId="9265"/>
    <cellStyle name="SAPBEXHLevel1 2 3 4" xfId="5682"/>
    <cellStyle name="SAPBEXHLevel1 2 3 5" xfId="9128"/>
    <cellStyle name="SAPBEXHLevel1 2 4" xfId="1537"/>
    <cellStyle name="SAPBEXHLevel1 2 4 2" xfId="3732"/>
    <cellStyle name="SAPBEXHLevel1 2 4 2 2" xfId="8175"/>
    <cellStyle name="SAPBEXHLevel1 2 4 2 3" xfId="10313"/>
    <cellStyle name="SAPBEXHLevel1 2 4 2 4" xfId="9805"/>
    <cellStyle name="SAPBEXHLevel1 2 4 2 5" xfId="9829"/>
    <cellStyle name="SAPBEXHLevel1 2 4 3" xfId="5980"/>
    <cellStyle name="SAPBEXHLevel1 2 4 4" xfId="9433"/>
    <cellStyle name="SAPBEXHLevel1 2 4 5" xfId="9484"/>
    <cellStyle name="SAPBEXHLevel1 2 4 6" xfId="9038"/>
    <cellStyle name="SAPBEXHLevel1 2 5" xfId="2646"/>
    <cellStyle name="SAPBEXHLevel1 2 5 2" xfId="7089"/>
    <cellStyle name="SAPBEXHLevel1 2 5 3" xfId="9863"/>
    <cellStyle name="SAPBEXHLevel1 2 5 4" xfId="9752"/>
    <cellStyle name="SAPBEXHLevel1 2 5 5" xfId="9204"/>
    <cellStyle name="SAPBEXHLevel1 2 6" xfId="4892"/>
    <cellStyle name="SAPBEXHLevel1 2 7" xfId="10678"/>
    <cellStyle name="SAPBEXHLevel1 3" xfId="1349"/>
    <cellStyle name="SAPBEXHLevel1 3 2" xfId="3544"/>
    <cellStyle name="SAPBEXHLevel1 3 2 2" xfId="7987"/>
    <cellStyle name="SAPBEXHLevel1 3 2 3" xfId="10223"/>
    <cellStyle name="SAPBEXHLevel1 3 2 4" xfId="10383"/>
    <cellStyle name="SAPBEXHLevel1 3 2 5" xfId="9230"/>
    <cellStyle name="SAPBEXHLevel1 3 3" xfId="5792"/>
    <cellStyle name="SAPBEXHLevel1 3 4" xfId="9345"/>
    <cellStyle name="SAPBEXHLevel1 3 5" xfId="9583"/>
    <cellStyle name="SAPBEXHLevel1 3 6" xfId="10669"/>
    <cellStyle name="SAPBEXHLevel1 4" xfId="2458"/>
    <cellStyle name="SAPBEXHLevel1 4 2" xfId="6901"/>
    <cellStyle name="SAPBEXHLevel1 4 3" xfId="9778"/>
    <cellStyle name="SAPBEXHLevel1 4 4" xfId="10367"/>
    <cellStyle name="SAPBEXHLevel1 4 5" xfId="10404"/>
    <cellStyle name="SAPBEXHLevel1 5" xfId="4695"/>
    <cellStyle name="SAPBEXHLevel1 6" xfId="10499"/>
    <cellStyle name="SAPBEXHLevel1X" xfId="235"/>
    <cellStyle name="SAPBEXHLevel1X 2" xfId="447"/>
    <cellStyle name="SAPBEXHLevel1X 2 2" xfId="1178"/>
    <cellStyle name="SAPBEXHLevel1X 2 2 2" xfId="2269"/>
    <cellStyle name="SAPBEXHLevel1X 2 2 2 2" xfId="4464"/>
    <cellStyle name="SAPBEXHLevel1X 2 2 2 2 2" xfId="8907"/>
    <cellStyle name="SAPBEXHLevel1X 2 2 2 2 3" xfId="10558"/>
    <cellStyle name="SAPBEXHLevel1X 2 2 2 2 4" xfId="10747"/>
    <cellStyle name="SAPBEXHLevel1X 2 2 2 2 5" xfId="10848"/>
    <cellStyle name="SAPBEXHLevel1X 2 2 2 3" xfId="6712"/>
    <cellStyle name="SAPBEXHLevel1X 2 2 2 4" xfId="9675"/>
    <cellStyle name="SAPBEXHLevel1X 2 2 2 5" xfId="9137"/>
    <cellStyle name="SAPBEXHLevel1X 2 2 2 6" xfId="9593"/>
    <cellStyle name="SAPBEXHLevel1X 2 2 3" xfId="3378"/>
    <cellStyle name="SAPBEXHLevel1X 2 2 3 2" xfId="7821"/>
    <cellStyle name="SAPBEXHLevel1X 2 2 3 3" xfId="10125"/>
    <cellStyle name="SAPBEXHLevel1X 2 2 3 4" xfId="9502"/>
    <cellStyle name="SAPBEXHLevel1X 2 2 3 5" xfId="9288"/>
    <cellStyle name="SAPBEXHLevel1X 2 2 4" xfId="5624"/>
    <cellStyle name="SAPBEXHLevel1X 2 2 5" xfId="4623"/>
    <cellStyle name="SAPBEXHLevel1X 2 3" xfId="1216"/>
    <cellStyle name="SAPBEXHLevel1X 2 3 2" xfId="2307"/>
    <cellStyle name="SAPBEXHLevel1X 2 3 2 2" xfId="4502"/>
    <cellStyle name="SAPBEXHLevel1X 2 3 2 2 2" xfId="8945"/>
    <cellStyle name="SAPBEXHLevel1X 2 3 2 2 3" xfId="10591"/>
    <cellStyle name="SAPBEXHLevel1X 2 3 2 2 4" xfId="10777"/>
    <cellStyle name="SAPBEXHLevel1X 2 3 2 2 5" xfId="10877"/>
    <cellStyle name="SAPBEXHLevel1X 2 3 2 3" xfId="6750"/>
    <cellStyle name="SAPBEXHLevel1X 2 3 2 4" xfId="9705"/>
    <cellStyle name="SAPBEXHLevel1X 2 3 2 5" xfId="9272"/>
    <cellStyle name="SAPBEXHLevel1X 2 3 2 6" xfId="9933"/>
    <cellStyle name="SAPBEXHLevel1X 2 3 3" xfId="3416"/>
    <cellStyle name="SAPBEXHLevel1X 2 3 3 2" xfId="7859"/>
    <cellStyle name="SAPBEXHLevel1X 2 3 3 3" xfId="10154"/>
    <cellStyle name="SAPBEXHLevel1X 2 3 3 4" xfId="9627"/>
    <cellStyle name="SAPBEXHLevel1X 2 3 3 5" xfId="10699"/>
    <cellStyle name="SAPBEXHLevel1X 2 3 4" xfId="5662"/>
    <cellStyle name="SAPBEXHLevel1X 2 3 5" xfId="10401"/>
    <cellStyle name="SAPBEXHLevel1X 2 4" xfId="1538"/>
    <cellStyle name="SAPBEXHLevel1X 2 4 2" xfId="3733"/>
    <cellStyle name="SAPBEXHLevel1X 2 4 2 2" xfId="8176"/>
    <cellStyle name="SAPBEXHLevel1X 2 4 2 3" xfId="10314"/>
    <cellStyle name="SAPBEXHLevel1X 2 4 2 4" xfId="10251"/>
    <cellStyle name="SAPBEXHLevel1X 2 4 2 5" xfId="9621"/>
    <cellStyle name="SAPBEXHLevel1X 2 4 3" xfId="5981"/>
    <cellStyle name="SAPBEXHLevel1X 2 4 4" xfId="9434"/>
    <cellStyle name="SAPBEXHLevel1X 2 4 5" xfId="9120"/>
    <cellStyle name="SAPBEXHLevel1X 2 4 6" xfId="9993"/>
    <cellStyle name="SAPBEXHLevel1X 2 5" xfId="2647"/>
    <cellStyle name="SAPBEXHLevel1X 2 5 2" xfId="7090"/>
    <cellStyle name="SAPBEXHLevel1X 2 5 3" xfId="9864"/>
    <cellStyle name="SAPBEXHLevel1X 2 5 4" xfId="10197"/>
    <cellStyle name="SAPBEXHLevel1X 2 5 5" xfId="9248"/>
    <cellStyle name="SAPBEXHLevel1X 2 6" xfId="4893"/>
    <cellStyle name="SAPBEXHLevel1X 2 7" xfId="9226"/>
    <cellStyle name="SAPBEXHLevel1X 3" xfId="1350"/>
    <cellStyle name="SAPBEXHLevel1X 3 2" xfId="3545"/>
    <cellStyle name="SAPBEXHLevel1X 3 2 2" xfId="7988"/>
    <cellStyle name="SAPBEXHLevel1X 3 2 3" xfId="10224"/>
    <cellStyle name="SAPBEXHLevel1X 3 2 4" xfId="9514"/>
    <cellStyle name="SAPBEXHLevel1X 3 2 5" xfId="9285"/>
    <cellStyle name="SAPBEXHLevel1X 3 3" xfId="5793"/>
    <cellStyle name="SAPBEXHLevel1X 3 4" xfId="9346"/>
    <cellStyle name="SAPBEXHLevel1X 3 5" xfId="9222"/>
    <cellStyle name="SAPBEXHLevel1X 3 6" xfId="9518"/>
    <cellStyle name="SAPBEXHLevel1X 4" xfId="2459"/>
    <cellStyle name="SAPBEXHLevel1X 4 2" xfId="6902"/>
    <cellStyle name="SAPBEXHLevel1X 4 3" xfId="9779"/>
    <cellStyle name="SAPBEXHLevel1X 4 4" xfId="9494"/>
    <cellStyle name="SAPBEXHLevel1X 4 5" xfId="9034"/>
    <cellStyle name="SAPBEXHLevel1X 5" xfId="4696"/>
    <cellStyle name="SAPBEXHLevel1X 6" xfId="9987"/>
    <cellStyle name="SAPBEXHLevel2" xfId="236"/>
    <cellStyle name="SAPBEXHLevel2 2" xfId="448"/>
    <cellStyle name="SAPBEXHLevel2 2 2" xfId="1179"/>
    <cellStyle name="SAPBEXHLevel2 2 2 2" xfId="2270"/>
    <cellStyle name="SAPBEXHLevel2 2 2 2 2" xfId="4465"/>
    <cellStyle name="SAPBEXHLevel2 2 2 2 2 2" xfId="8908"/>
    <cellStyle name="SAPBEXHLevel2 2 2 2 2 3" xfId="10559"/>
    <cellStyle name="SAPBEXHLevel2 2 2 2 2 4" xfId="10748"/>
    <cellStyle name="SAPBEXHLevel2 2 2 2 2 5" xfId="10849"/>
    <cellStyle name="SAPBEXHLevel2 2 2 2 3" xfId="6713"/>
    <cellStyle name="SAPBEXHLevel2 2 2 2 4" xfId="9676"/>
    <cellStyle name="SAPBEXHLevel2 2 2 2 5" xfId="10012"/>
    <cellStyle name="SAPBEXHLevel2 2 2 2 6" xfId="9046"/>
    <cellStyle name="SAPBEXHLevel2 2 2 3" xfId="3379"/>
    <cellStyle name="SAPBEXHLevel2 2 2 3 2" xfId="7822"/>
    <cellStyle name="SAPBEXHLevel2 2 2 3 3" xfId="10126"/>
    <cellStyle name="SAPBEXHLevel2 2 2 3 4" xfId="9138"/>
    <cellStyle name="SAPBEXHLevel2 2 2 3 5" xfId="9229"/>
    <cellStyle name="SAPBEXHLevel2 2 2 4" xfId="5625"/>
    <cellStyle name="SAPBEXHLevel2 2 2 5" xfId="9591"/>
    <cellStyle name="SAPBEXHLevel2 2 3" xfId="1150"/>
    <cellStyle name="SAPBEXHLevel2 2 3 2" xfId="2241"/>
    <cellStyle name="SAPBEXHLevel2 2 3 2 2" xfId="4436"/>
    <cellStyle name="SAPBEXHLevel2 2 3 2 2 2" xfId="8879"/>
    <cellStyle name="SAPBEXHLevel2 2 3 2 2 3" xfId="10530"/>
    <cellStyle name="SAPBEXHLevel2 2 3 2 2 4" xfId="10719"/>
    <cellStyle name="SAPBEXHLevel2 2 3 2 2 5" xfId="10820"/>
    <cellStyle name="SAPBEXHLevel2 2 3 2 3" xfId="6684"/>
    <cellStyle name="SAPBEXHLevel2 2 3 2 4" xfId="9647"/>
    <cellStyle name="SAPBEXHLevel2 2 3 2 5" xfId="9318"/>
    <cellStyle name="SAPBEXHLevel2 2 3 2 6" xfId="9461"/>
    <cellStyle name="SAPBEXHLevel2 2 3 3" xfId="3350"/>
    <cellStyle name="SAPBEXHLevel2 2 3 3 2" xfId="7793"/>
    <cellStyle name="SAPBEXHLevel2 2 3 3 3" xfId="10097"/>
    <cellStyle name="SAPBEXHLevel2 2 3 3 4" xfId="9906"/>
    <cellStyle name="SAPBEXHLevel2 2 3 3 5" xfId="10469"/>
    <cellStyle name="SAPBEXHLevel2 2 3 4" xfId="5596"/>
    <cellStyle name="SAPBEXHLevel2 2 3 5" xfId="9268"/>
    <cellStyle name="SAPBEXHLevel2 2 4" xfId="1539"/>
    <cellStyle name="SAPBEXHLevel2 2 4 2" xfId="3734"/>
    <cellStyle name="SAPBEXHLevel2 2 4 2 2" xfId="8177"/>
    <cellStyle name="SAPBEXHLevel2 2 4 2 3" xfId="10315"/>
    <cellStyle name="SAPBEXHLevel2 2 4 2 4" xfId="9373"/>
    <cellStyle name="SAPBEXHLevel2 2 4 2 5" xfId="10037"/>
    <cellStyle name="SAPBEXHLevel2 2 4 3" xfId="5982"/>
    <cellStyle name="SAPBEXHLevel2 2 4 4" xfId="9435"/>
    <cellStyle name="SAPBEXHLevel2 2 4 5" xfId="9999"/>
    <cellStyle name="SAPBEXHLevel2 2 4 6" xfId="9972"/>
    <cellStyle name="SAPBEXHLevel2 2 5" xfId="2648"/>
    <cellStyle name="SAPBEXHLevel2 2 5 2" xfId="7091"/>
    <cellStyle name="SAPBEXHLevel2 2 5 3" xfId="9865"/>
    <cellStyle name="SAPBEXHLevel2 2 5 4" xfId="9320"/>
    <cellStyle name="SAPBEXHLevel2 2 5 5" xfId="9259"/>
    <cellStyle name="SAPBEXHLevel2 2 6" xfId="4894"/>
    <cellStyle name="SAPBEXHLevel2 2 7" xfId="9300"/>
    <cellStyle name="SAPBEXHLevel2 3" xfId="1351"/>
    <cellStyle name="SAPBEXHLevel2 3 2" xfId="3546"/>
    <cellStyle name="SAPBEXHLevel2 3 2 2" xfId="7989"/>
    <cellStyle name="SAPBEXHLevel2 3 2 3" xfId="10225"/>
    <cellStyle name="SAPBEXHLevel2 3 2 4" xfId="9146"/>
    <cellStyle name="SAPBEXHLevel2 3 2 5" xfId="10080"/>
    <cellStyle name="SAPBEXHLevel2 3 3" xfId="5794"/>
    <cellStyle name="SAPBEXHLevel2 3 4" xfId="9347"/>
    <cellStyle name="SAPBEXHLevel2 3 5" xfId="9890"/>
    <cellStyle name="SAPBEXHLevel2 3 6" xfId="9590"/>
    <cellStyle name="SAPBEXHLevel2 4" xfId="2460"/>
    <cellStyle name="SAPBEXHLevel2 4 2" xfId="6903"/>
    <cellStyle name="SAPBEXHLevel2 4 3" xfId="9780"/>
    <cellStyle name="SAPBEXHLevel2 4 4" xfId="9131"/>
    <cellStyle name="SAPBEXHLevel2 4 5" xfId="9822"/>
    <cellStyle name="SAPBEXHLevel2 5" xfId="4697"/>
    <cellStyle name="SAPBEXHLevel2 6" xfId="10278"/>
    <cellStyle name="SAPBEXHLevel2X" xfId="237"/>
    <cellStyle name="SAPBEXHLevel2X 2" xfId="449"/>
    <cellStyle name="SAPBEXHLevel2X 2 2" xfId="1180"/>
    <cellStyle name="SAPBEXHLevel2X 2 2 2" xfId="2271"/>
    <cellStyle name="SAPBEXHLevel2X 2 2 2 2" xfId="4466"/>
    <cellStyle name="SAPBEXHLevel2X 2 2 2 2 2" xfId="8909"/>
    <cellStyle name="SAPBEXHLevel2X 2 2 2 2 3" xfId="10560"/>
    <cellStyle name="SAPBEXHLevel2X 2 2 2 2 4" xfId="10749"/>
    <cellStyle name="SAPBEXHLevel2X 2 2 2 2 5" xfId="10850"/>
    <cellStyle name="SAPBEXHLevel2X 2 2 2 3" xfId="6714"/>
    <cellStyle name="SAPBEXHLevel2X 2 2 2 4" xfId="9677"/>
    <cellStyle name="SAPBEXHLevel2X 2 2 2 5" xfId="10453"/>
    <cellStyle name="SAPBEXHLevel2X 2 2 2 6" xfId="10003"/>
    <cellStyle name="SAPBEXHLevel2X 2 2 3" xfId="3380"/>
    <cellStyle name="SAPBEXHLevel2X 2 2 3 2" xfId="7823"/>
    <cellStyle name="SAPBEXHLevel2X 2 2 3 3" xfId="10127"/>
    <cellStyle name="SAPBEXHLevel2X 2 2 3 4" xfId="10013"/>
    <cellStyle name="SAPBEXHLevel2X 2 2 3 5" xfId="9747"/>
    <cellStyle name="SAPBEXHLevel2X 2 2 4" xfId="5626"/>
    <cellStyle name="SAPBEXHLevel2X 2 2 5" xfId="9826"/>
    <cellStyle name="SAPBEXHLevel2X 2 3" xfId="1227"/>
    <cellStyle name="SAPBEXHLevel2X 2 3 2" xfId="2318"/>
    <cellStyle name="SAPBEXHLevel2X 2 3 2 2" xfId="4513"/>
    <cellStyle name="SAPBEXHLevel2X 2 3 2 2 2" xfId="8956"/>
    <cellStyle name="SAPBEXHLevel2X 2 3 2 2 3" xfId="10602"/>
    <cellStyle name="SAPBEXHLevel2X 2 3 2 2 4" xfId="10788"/>
    <cellStyle name="SAPBEXHLevel2X 2 3 2 2 5" xfId="10888"/>
    <cellStyle name="SAPBEXHLevel2X 2 3 2 3" xfId="6761"/>
    <cellStyle name="SAPBEXHLevel2X 2 3 2 4" xfId="9716"/>
    <cellStyle name="SAPBEXHLevel2X 2 3 2 5" xfId="10008"/>
    <cellStyle name="SAPBEXHLevel2X 2 3 2 6" xfId="10071"/>
    <cellStyle name="SAPBEXHLevel2X 2 3 3" xfId="3427"/>
    <cellStyle name="SAPBEXHLevel2X 2 3 3 2" xfId="7870"/>
    <cellStyle name="SAPBEXHLevel2X 2 3 3 3" xfId="10165"/>
    <cellStyle name="SAPBEXHLevel2X 2 3 3 4" xfId="9136"/>
    <cellStyle name="SAPBEXHLevel2X 2 3 3 5" xfId="10033"/>
    <cellStyle name="SAPBEXHLevel2X 2 3 4" xfId="5673"/>
    <cellStyle name="SAPBEXHLevel2X 2 3 5" xfId="9524"/>
    <cellStyle name="SAPBEXHLevel2X 2 4" xfId="1540"/>
    <cellStyle name="SAPBEXHLevel2X 2 4 2" xfId="3735"/>
    <cellStyle name="SAPBEXHLevel2X 2 4 2 2" xfId="8178"/>
    <cellStyle name="SAPBEXHLevel2X 2 4 2 3" xfId="10316"/>
    <cellStyle name="SAPBEXHLevel2X 2 4 2 4" xfId="9932"/>
    <cellStyle name="SAPBEXHLevel2X 2 4 2 5" xfId="9809"/>
    <cellStyle name="SAPBEXHLevel2X 2 4 3" xfId="5983"/>
    <cellStyle name="SAPBEXHLevel2X 2 4 4" xfId="9436"/>
    <cellStyle name="SAPBEXHLevel2X 2 4 5" xfId="10442"/>
    <cellStyle name="SAPBEXHLevel2X 2 4 6" xfId="9377"/>
    <cellStyle name="SAPBEXHLevel2X 2 5" xfId="2649"/>
    <cellStyle name="SAPBEXHLevel2X 2 5 2" xfId="7092"/>
    <cellStyle name="SAPBEXHLevel2X 2 5 3" xfId="9866"/>
    <cellStyle name="SAPBEXHLevel2X 2 5 4" xfId="9919"/>
    <cellStyle name="SAPBEXHLevel2X 2 5 5" xfId="10194"/>
    <cellStyle name="SAPBEXHLevel2X 2 6" xfId="4895"/>
    <cellStyle name="SAPBEXHLevel2X 2 7" xfId="10440"/>
    <cellStyle name="SAPBEXHLevel2X 3" xfId="1352"/>
    <cellStyle name="SAPBEXHLevel2X 3 2" xfId="3547"/>
    <cellStyle name="SAPBEXHLevel2X 3 2 2" xfId="7990"/>
    <cellStyle name="SAPBEXHLevel2X 3 2 3" xfId="10226"/>
    <cellStyle name="SAPBEXHLevel2X 3 2 4" xfId="10025"/>
    <cellStyle name="SAPBEXHLevel2X 3 2 5" xfId="9263"/>
    <cellStyle name="SAPBEXHLevel2X 3 3" xfId="5795"/>
    <cellStyle name="SAPBEXHLevel2X 3 4" xfId="9348"/>
    <cellStyle name="SAPBEXHLevel2X 3 5" xfId="10343"/>
    <cellStyle name="SAPBEXHLevel2X 3 6" xfId="10614"/>
    <cellStyle name="SAPBEXHLevel2X 4" xfId="2461"/>
    <cellStyle name="SAPBEXHLevel2X 4 2" xfId="6904"/>
    <cellStyle name="SAPBEXHLevel2X 4 3" xfId="9781"/>
    <cellStyle name="SAPBEXHLevel2X 4 4" xfId="10007"/>
    <cellStyle name="SAPBEXHLevel2X 4 5" xfId="10425"/>
    <cellStyle name="SAPBEXHLevel2X 5" xfId="4698"/>
    <cellStyle name="SAPBEXHLevel2X 6" xfId="9161"/>
    <cellStyle name="SAPBEXHLevel3" xfId="238"/>
    <cellStyle name="SAPBEXHLevel3 2" xfId="450"/>
    <cellStyle name="SAPBEXHLevel3 2 2" xfId="1181"/>
    <cellStyle name="SAPBEXHLevel3 2 2 2" xfId="2272"/>
    <cellStyle name="SAPBEXHLevel3 2 2 2 2" xfId="4467"/>
    <cellStyle name="SAPBEXHLevel3 2 2 2 2 2" xfId="8910"/>
    <cellStyle name="SAPBEXHLevel3 2 2 2 2 3" xfId="10561"/>
    <cellStyle name="SAPBEXHLevel3 2 2 2 2 4" xfId="10750"/>
    <cellStyle name="SAPBEXHLevel3 2 2 2 2 5" xfId="10851"/>
    <cellStyle name="SAPBEXHLevel3 2 2 2 3" xfId="6715"/>
    <cellStyle name="SAPBEXHLevel3 2 2 2 4" xfId="9678"/>
    <cellStyle name="SAPBEXHLevel3 2 2 2 5" xfId="9578"/>
    <cellStyle name="SAPBEXHLevel3 2 2 2 6" xfId="10663"/>
    <cellStyle name="SAPBEXHLevel3 2 2 3" xfId="3381"/>
    <cellStyle name="SAPBEXHLevel3 2 2 3 2" xfId="7824"/>
    <cellStyle name="SAPBEXHLevel3 2 2 3 3" xfId="10128"/>
    <cellStyle name="SAPBEXHLevel3 2 2 3 4" xfId="10454"/>
    <cellStyle name="SAPBEXHLevel3 2 2 3 5" xfId="10445"/>
    <cellStyle name="SAPBEXHLevel3 2 2 4" xfId="5627"/>
    <cellStyle name="SAPBEXHLevel3 2 2 5" xfId="10487"/>
    <cellStyle name="SAPBEXHLevel3 2 3" xfId="1144"/>
    <cellStyle name="SAPBEXHLevel3 2 3 2" xfId="2235"/>
    <cellStyle name="SAPBEXHLevel3 2 3 2 2" xfId="4430"/>
    <cellStyle name="SAPBEXHLevel3 2 3 2 2 2" xfId="8873"/>
    <cellStyle name="SAPBEXHLevel3 2 3 2 2 3" xfId="10524"/>
    <cellStyle name="SAPBEXHLevel3 2 3 2 2 4" xfId="10713"/>
    <cellStyle name="SAPBEXHLevel3 2 3 2 2 5" xfId="10814"/>
    <cellStyle name="SAPBEXHLevel3 2 3 2 3" xfId="6678"/>
    <cellStyle name="SAPBEXHLevel3 2 3 2 4" xfId="9642"/>
    <cellStyle name="SAPBEXHLevel3 2 3 2 5" xfId="9237"/>
    <cellStyle name="SAPBEXHLevel3 2 3 2 6" xfId="10427"/>
    <cellStyle name="SAPBEXHLevel3 2 3 3" xfId="3344"/>
    <cellStyle name="SAPBEXHLevel3 2 3 3 2" xfId="7787"/>
    <cellStyle name="SAPBEXHLevel3 2 3 3 3" xfId="10091"/>
    <cellStyle name="SAPBEXHLevel3 2 3 3 4" xfId="9253"/>
    <cellStyle name="SAPBEXHLevel3 2 3 3 5" xfId="10374"/>
    <cellStyle name="SAPBEXHLevel3 2 3 4" xfId="5590"/>
    <cellStyle name="SAPBEXHLevel3 2 3 5" xfId="9240"/>
    <cellStyle name="SAPBEXHLevel3 2 4" xfId="1541"/>
    <cellStyle name="SAPBEXHLevel3 2 4 2" xfId="3736"/>
    <cellStyle name="SAPBEXHLevel3 2 4 2 2" xfId="8179"/>
    <cellStyle name="SAPBEXHLevel3 2 4 2 3" xfId="10317"/>
    <cellStyle name="SAPBEXHLevel3 2 4 2 4" xfId="10376"/>
    <cellStyle name="SAPBEXHLevel3 2 4 2 5" xfId="9984"/>
    <cellStyle name="SAPBEXHLevel3 2 4 3" xfId="5984"/>
    <cellStyle name="SAPBEXHLevel3 2 4 4" xfId="9437"/>
    <cellStyle name="SAPBEXHLevel3 2 4 5" xfId="9569"/>
    <cellStyle name="SAPBEXHLevel3 2 4 6" xfId="10656"/>
    <cellStyle name="SAPBEXHLevel3 2 5" xfId="2650"/>
    <cellStyle name="SAPBEXHLevel3 2 5 2" xfId="7093"/>
    <cellStyle name="SAPBEXHLevel3 2 5 3" xfId="9867"/>
    <cellStyle name="SAPBEXHLevel3 2 5 4" xfId="10366"/>
    <cellStyle name="SAPBEXHLevel3 2 5 5" xfId="9836"/>
    <cellStyle name="SAPBEXHLevel3 2 6" xfId="4896"/>
    <cellStyle name="SAPBEXHLevel3 2 7" xfId="9187"/>
    <cellStyle name="SAPBEXHLevel3 3" xfId="1353"/>
    <cellStyle name="SAPBEXHLevel3 3 2" xfId="3548"/>
    <cellStyle name="SAPBEXHLevel3 3 2 2" xfId="7991"/>
    <cellStyle name="SAPBEXHLevel3 3 2 3" xfId="10227"/>
    <cellStyle name="SAPBEXHLevel3 3 2 4" xfId="10466"/>
    <cellStyle name="SAPBEXHLevel3 3 2 5" xfId="10361"/>
    <cellStyle name="SAPBEXHLevel3 3 3" xfId="5796"/>
    <cellStyle name="SAPBEXHLevel3 3 4" xfId="9349"/>
    <cellStyle name="SAPBEXHLevel3 3 5" xfId="9463"/>
    <cellStyle name="SAPBEXHLevel3 3 6" xfId="4641"/>
    <cellStyle name="SAPBEXHLevel3 4" xfId="2462"/>
    <cellStyle name="SAPBEXHLevel3 4 2" xfId="6905"/>
    <cellStyle name="SAPBEXHLevel3 4 3" xfId="9782"/>
    <cellStyle name="SAPBEXHLevel3 4 4" xfId="10449"/>
    <cellStyle name="SAPBEXHLevel3 4 5" xfId="9748"/>
    <cellStyle name="SAPBEXHLevel3 5" xfId="4699"/>
    <cellStyle name="SAPBEXHLevel3 6" xfId="10460"/>
    <cellStyle name="SAPBEXHLevel3X" xfId="239"/>
    <cellStyle name="SAPBEXHLevel3X 2" xfId="451"/>
    <cellStyle name="SAPBEXHLevel3X 2 2" xfId="1182"/>
    <cellStyle name="SAPBEXHLevel3X 2 2 2" xfId="2273"/>
    <cellStyle name="SAPBEXHLevel3X 2 2 2 2" xfId="4468"/>
    <cellStyle name="SAPBEXHLevel3X 2 2 2 2 2" xfId="8911"/>
    <cellStyle name="SAPBEXHLevel3X 2 2 2 2 3" xfId="10562"/>
    <cellStyle name="SAPBEXHLevel3X 2 2 2 2 4" xfId="10751"/>
    <cellStyle name="SAPBEXHLevel3X 2 2 2 2 5" xfId="10852"/>
    <cellStyle name="SAPBEXHLevel3X 2 2 2 3" xfId="6716"/>
    <cellStyle name="SAPBEXHLevel3X 2 2 2 4" xfId="9679"/>
    <cellStyle name="SAPBEXHLevel3X 2 2 2 5" xfId="9214"/>
    <cellStyle name="SAPBEXHLevel3X 2 2 2 6" xfId="10387"/>
    <cellStyle name="SAPBEXHLevel3X 2 2 3" xfId="3382"/>
    <cellStyle name="SAPBEXHLevel3X 2 2 3 2" xfId="7825"/>
    <cellStyle name="SAPBEXHLevel3X 2 2 3 3" xfId="10129"/>
    <cellStyle name="SAPBEXHLevel3X 2 2 3 4" xfId="9579"/>
    <cellStyle name="SAPBEXHLevel3X 2 2 3 5" xfId="10664"/>
    <cellStyle name="SAPBEXHLevel3X 2 2 4" xfId="5628"/>
    <cellStyle name="SAPBEXHLevel3X 2 2 5" xfId="10674"/>
    <cellStyle name="SAPBEXHLevel3X 2 3" xfId="1135"/>
    <cellStyle name="SAPBEXHLevel3X 2 3 2" xfId="2226"/>
    <cellStyle name="SAPBEXHLevel3X 2 3 2 2" xfId="4421"/>
    <cellStyle name="SAPBEXHLevel3X 2 3 2 2 2" xfId="8864"/>
    <cellStyle name="SAPBEXHLevel3X 2 3 2 2 3" xfId="10515"/>
    <cellStyle name="SAPBEXHLevel3X 2 3 2 2 4" xfId="10704"/>
    <cellStyle name="SAPBEXHLevel3X 2 3 2 2 5" xfId="10805"/>
    <cellStyle name="SAPBEXHLevel3X 2 3 2 3" xfId="6669"/>
    <cellStyle name="SAPBEXHLevel3X 2 3 2 4" xfId="9633"/>
    <cellStyle name="SAPBEXHLevel3X 2 3 2 5" xfId="10279"/>
    <cellStyle name="SAPBEXHLevel3X 2 3 2 6" xfId="10067"/>
    <cellStyle name="SAPBEXHLevel3X 2 3 3" xfId="3335"/>
    <cellStyle name="SAPBEXHLevel3X 2 3 3 2" xfId="7778"/>
    <cellStyle name="SAPBEXHLevel3X 2 3 3 3" xfId="10082"/>
    <cellStyle name="SAPBEXHLevel3X 2 3 3 4" xfId="10338"/>
    <cellStyle name="SAPBEXHLevel3X 2 3 3 5" xfId="9936"/>
    <cellStyle name="SAPBEXHLevel3X 2 3 4" xfId="5581"/>
    <cellStyle name="SAPBEXHLevel3X 2 3 5" xfId="9630"/>
    <cellStyle name="SAPBEXHLevel3X 2 4" xfId="1542"/>
    <cellStyle name="SAPBEXHLevel3X 2 4 2" xfId="3737"/>
    <cellStyle name="SAPBEXHLevel3X 2 4 2 2" xfId="8180"/>
    <cellStyle name="SAPBEXHLevel3X 2 4 2 3" xfId="10318"/>
    <cellStyle name="SAPBEXHLevel3X 2 4 2 4" xfId="9504"/>
    <cellStyle name="SAPBEXHLevel3X 2 4 2 5" xfId="9287"/>
    <cellStyle name="SAPBEXHLevel3X 2 4 3" xfId="5985"/>
    <cellStyle name="SAPBEXHLevel3X 2 4 4" xfId="9438"/>
    <cellStyle name="SAPBEXHLevel3X 2 4 5" xfId="9201"/>
    <cellStyle name="SAPBEXHLevel3X 2 4 6" xfId="9105"/>
    <cellStyle name="SAPBEXHLevel3X 2 5" xfId="2651"/>
    <cellStyle name="SAPBEXHLevel3X 2 5 2" xfId="7094"/>
    <cellStyle name="SAPBEXHLevel3X 2 5 3" xfId="9868"/>
    <cellStyle name="SAPBEXHLevel3X 2 5 4" xfId="9493"/>
    <cellStyle name="SAPBEXHLevel3X 2 5 5" xfId="9035"/>
    <cellStyle name="SAPBEXHLevel3X 2 6" xfId="4897"/>
    <cellStyle name="SAPBEXHLevel3X 2 7" xfId="10397"/>
    <cellStyle name="SAPBEXHLevel3X 3" xfId="1354"/>
    <cellStyle name="SAPBEXHLevel3X 3 2" xfId="3549"/>
    <cellStyle name="SAPBEXHLevel3X 3 2 2" xfId="7992"/>
    <cellStyle name="SAPBEXHLevel3X 3 2 3" xfId="10228"/>
    <cellStyle name="SAPBEXHLevel3X 3 2 4" xfId="9588"/>
    <cellStyle name="SAPBEXHLevel3X 3 2 5" xfId="10672"/>
    <cellStyle name="SAPBEXHLevel3X 3 3" xfId="5797"/>
    <cellStyle name="SAPBEXHLevel3X 3 4" xfId="9350"/>
    <cellStyle name="SAPBEXHLevel3X 3 5" xfId="9981"/>
    <cellStyle name="SAPBEXHLevel3X 3 6" xfId="9195"/>
    <cellStyle name="SAPBEXHLevel3X 4" xfId="2463"/>
    <cellStyle name="SAPBEXHLevel3X 4 2" xfId="6906"/>
    <cellStyle name="SAPBEXHLevel3X 4 3" xfId="9783"/>
    <cellStyle name="SAPBEXHLevel3X 4 4" xfId="9574"/>
    <cellStyle name="SAPBEXHLevel3X 4 5" xfId="10659"/>
    <cellStyle name="SAPBEXHLevel3X 5" xfId="4700"/>
    <cellStyle name="SAPBEXHLevel3X 6" xfId="9032"/>
    <cellStyle name="SAPBEXinputData" xfId="240"/>
    <cellStyle name="SAPBEXinputData 2" xfId="4701"/>
    <cellStyle name="SAPBEXinputData 3" xfId="9040"/>
    <cellStyle name="SAPBEXItemHeader" xfId="241"/>
    <cellStyle name="SAPBEXItemHeader 2" xfId="452"/>
    <cellStyle name="SAPBEXItemHeader 2 2" xfId="1183"/>
    <cellStyle name="SAPBEXItemHeader 2 2 2" xfId="2274"/>
    <cellStyle name="SAPBEXItemHeader 2 2 2 2" xfId="4469"/>
    <cellStyle name="SAPBEXItemHeader 2 2 2 2 2" xfId="8912"/>
    <cellStyle name="SAPBEXItemHeader 2 2 2 2 3" xfId="10563"/>
    <cellStyle name="SAPBEXItemHeader 2 2 2 2 4" xfId="10752"/>
    <cellStyle name="SAPBEXItemHeader 2 2 2 2 5" xfId="10853"/>
    <cellStyle name="SAPBEXItemHeader 2 2 2 3" xfId="6717"/>
    <cellStyle name="SAPBEXItemHeader 2 2 2 4" xfId="9680"/>
    <cellStyle name="SAPBEXItemHeader 2 2 2 5" xfId="9886"/>
    <cellStyle name="SAPBEXItemHeader 2 2 2 6" xfId="10473"/>
    <cellStyle name="SAPBEXItemHeader 2 2 3" xfId="3383"/>
    <cellStyle name="SAPBEXItemHeader 2 2 3 2" xfId="7826"/>
    <cellStyle name="SAPBEXItemHeader 2 2 3 3" xfId="10130"/>
    <cellStyle name="SAPBEXItemHeader 2 2 3 4" xfId="9215"/>
    <cellStyle name="SAPBEXItemHeader 2 2 3 5" xfId="9520"/>
    <cellStyle name="SAPBEXItemHeader 2 2 4" xfId="5629"/>
    <cellStyle name="SAPBEXItemHeader 2 2 5" xfId="9561"/>
    <cellStyle name="SAPBEXItemHeader 2 3" xfId="1217"/>
    <cellStyle name="SAPBEXItemHeader 2 3 2" xfId="2308"/>
    <cellStyle name="SAPBEXItemHeader 2 3 2 2" xfId="4503"/>
    <cellStyle name="SAPBEXItemHeader 2 3 2 2 2" xfId="8946"/>
    <cellStyle name="SAPBEXItemHeader 2 3 2 2 3" xfId="10592"/>
    <cellStyle name="SAPBEXItemHeader 2 3 2 2 4" xfId="10778"/>
    <cellStyle name="SAPBEXItemHeader 2 3 2 2 5" xfId="10878"/>
    <cellStyle name="SAPBEXItemHeader 2 3 2 3" xfId="6751"/>
    <cellStyle name="SAPBEXItemHeader 2 3 2 4" xfId="9706"/>
    <cellStyle name="SAPBEXItemHeader 2 3 2 5" xfId="9100"/>
    <cellStyle name="SAPBEXItemHeader 2 3 2 6" xfId="10267"/>
    <cellStyle name="SAPBEXItemHeader 2 3 3" xfId="3417"/>
    <cellStyle name="SAPBEXItemHeader 2 3 3 2" xfId="7860"/>
    <cellStyle name="SAPBEXItemHeader 2 3 3 3" xfId="10155"/>
    <cellStyle name="SAPBEXItemHeader 2 3 3 4" xfId="9273"/>
    <cellStyle name="SAPBEXItemHeader 2 3 3 5" xfId="10377"/>
    <cellStyle name="SAPBEXItemHeader 2 3 4" xfId="5663"/>
    <cellStyle name="SAPBEXItemHeader 2 3 5" xfId="10700"/>
    <cellStyle name="SAPBEXItemHeader 2 4" xfId="1543"/>
    <cellStyle name="SAPBEXItemHeader 2 4 2" xfId="3738"/>
    <cellStyle name="SAPBEXItemHeader 2 4 2 2" xfId="8181"/>
    <cellStyle name="SAPBEXItemHeader 2 4 2 3" xfId="10319"/>
    <cellStyle name="SAPBEXItemHeader 2 4 2 4" xfId="9141"/>
    <cellStyle name="SAPBEXItemHeader 2 4 2 5" xfId="9228"/>
    <cellStyle name="SAPBEXItemHeader 2 4 3" xfId="5986"/>
    <cellStyle name="SAPBEXItemHeader 2 4 4" xfId="9439"/>
    <cellStyle name="SAPBEXItemHeader 2 4 5" xfId="9830"/>
    <cellStyle name="SAPBEXItemHeader 2 4 6" xfId="9393"/>
    <cellStyle name="SAPBEXItemHeader 2 5" xfId="2652"/>
    <cellStyle name="SAPBEXItemHeader 2 5 2" xfId="7095"/>
    <cellStyle name="SAPBEXItemHeader 2 5 3" xfId="9869"/>
    <cellStyle name="SAPBEXItemHeader 2 5 4" xfId="9130"/>
    <cellStyle name="SAPBEXItemHeader 2 5 5" xfId="10584"/>
    <cellStyle name="SAPBEXItemHeader 2 6" xfId="4898"/>
    <cellStyle name="SAPBEXItemHeader 2 7" xfId="9604"/>
    <cellStyle name="SAPBEXItemHeader 3" xfId="1355"/>
    <cellStyle name="SAPBEXItemHeader 3 2" xfId="3550"/>
    <cellStyle name="SAPBEXItemHeader 3 2 2" xfId="7993"/>
    <cellStyle name="SAPBEXItemHeader 3 2 3" xfId="10229"/>
    <cellStyle name="SAPBEXItemHeader 3 2 4" xfId="9225"/>
    <cellStyle name="SAPBEXItemHeader 3 2 5" xfId="10265"/>
    <cellStyle name="SAPBEXItemHeader 3 3" xfId="5798"/>
    <cellStyle name="SAPBEXItemHeader 3 4" xfId="9351"/>
    <cellStyle name="SAPBEXItemHeader 3 5" xfId="10418"/>
    <cellStyle name="SAPBEXItemHeader 3 6" xfId="9812"/>
    <cellStyle name="SAPBEXItemHeader 4" xfId="2464"/>
    <cellStyle name="SAPBEXItemHeader 4 2" xfId="6907"/>
    <cellStyle name="SAPBEXItemHeader 4 3" xfId="9784"/>
    <cellStyle name="SAPBEXItemHeader 4 4" xfId="9210"/>
    <cellStyle name="SAPBEXItemHeader 4 5" xfId="9274"/>
    <cellStyle name="SAPBEXItemHeader 5" xfId="4702"/>
    <cellStyle name="SAPBEXItemHeader 6" xfId="9124"/>
    <cellStyle name="SAPBEXresData" xfId="242"/>
    <cellStyle name="SAPBEXresData 2" xfId="453"/>
    <cellStyle name="SAPBEXresData 2 2" xfId="1184"/>
    <cellStyle name="SAPBEXresData 2 2 2" xfId="2275"/>
    <cellStyle name="SAPBEXresData 2 2 2 2" xfId="4470"/>
    <cellStyle name="SAPBEXresData 2 2 2 2 2" xfId="8913"/>
    <cellStyle name="SAPBEXresData 2 2 2 2 3" xfId="10564"/>
    <cellStyle name="SAPBEXresData 2 2 2 2 4" xfId="10753"/>
    <cellStyle name="SAPBEXresData 2 2 2 2 5" xfId="10854"/>
    <cellStyle name="SAPBEXresData 2 2 2 3" xfId="6718"/>
    <cellStyle name="SAPBEXresData 2 2 2 4" xfId="9681"/>
    <cellStyle name="SAPBEXresData 2 2 2 5" xfId="10336"/>
    <cellStyle name="SAPBEXresData 2 2 2 6" xfId="10258"/>
    <cellStyle name="SAPBEXresData 2 2 3" xfId="3384"/>
    <cellStyle name="SAPBEXresData 2 2 3 2" xfId="7827"/>
    <cellStyle name="SAPBEXresData 2 2 3 3" xfId="10131"/>
    <cellStyle name="SAPBEXresData 2 2 3 4" xfId="9887"/>
    <cellStyle name="SAPBEXresData 2 2 3 5" xfId="9592"/>
    <cellStyle name="SAPBEXresData 2 2 4" xfId="5630"/>
    <cellStyle name="SAPBEXresData 2 2 5" xfId="9632"/>
    <cellStyle name="SAPBEXresData 2 3" xfId="1201"/>
    <cellStyle name="SAPBEXresData 2 3 2" xfId="2292"/>
    <cellStyle name="SAPBEXresData 2 3 2 2" xfId="4487"/>
    <cellStyle name="SAPBEXresData 2 3 2 2 2" xfId="8930"/>
    <cellStyle name="SAPBEXresData 2 3 2 2 3" xfId="10581"/>
    <cellStyle name="SAPBEXresData 2 3 2 2 4" xfId="10770"/>
    <cellStyle name="SAPBEXresData 2 3 2 2 5" xfId="10871"/>
    <cellStyle name="SAPBEXresData 2 3 2 3" xfId="6735"/>
    <cellStyle name="SAPBEXresData 2 3 2 4" xfId="9698"/>
    <cellStyle name="SAPBEXresData 2 3 2 5" xfId="9147"/>
    <cellStyle name="SAPBEXresData 2 3 2 6" xfId="9278"/>
    <cellStyle name="SAPBEXresData 2 3 3" xfId="3401"/>
    <cellStyle name="SAPBEXresData 2 3 3 2" xfId="7844"/>
    <cellStyle name="SAPBEXresData 2 3 3 3" xfId="10148"/>
    <cellStyle name="SAPBEXresData 2 3 3 4" xfId="9516"/>
    <cellStyle name="SAPBEXresData 2 3 3 5" xfId="9284"/>
    <cellStyle name="SAPBEXresData 2 3 4" xfId="5647"/>
    <cellStyle name="SAPBEXresData 2 3 5" xfId="9891"/>
    <cellStyle name="SAPBEXresData 2 4" xfId="1544"/>
    <cellStyle name="SAPBEXresData 2 4 2" xfId="3739"/>
    <cellStyle name="SAPBEXresData 2 4 2 2" xfId="8182"/>
    <cellStyle name="SAPBEXresData 2 4 2 3" xfId="10320"/>
    <cellStyle name="SAPBEXresData 2 4 2 4" xfId="10014"/>
    <cellStyle name="SAPBEXresData 2 4 2 5" xfId="10284"/>
    <cellStyle name="SAPBEXresData 2 4 3" xfId="5987"/>
    <cellStyle name="SAPBEXresData 2 4 4" xfId="9440"/>
    <cellStyle name="SAPBEXresData 2 4 5" xfId="10281"/>
    <cellStyle name="SAPBEXresData 2 4 6" xfId="9059"/>
    <cellStyle name="SAPBEXresData 2 5" xfId="2653"/>
    <cellStyle name="SAPBEXresData 2 5 2" xfId="7096"/>
    <cellStyle name="SAPBEXresData 2 5 3" xfId="9870"/>
    <cellStyle name="SAPBEXresData 2 5 4" xfId="10005"/>
    <cellStyle name="SAPBEXresData 2 5 5" xfId="9897"/>
    <cellStyle name="SAPBEXresData 2 6" xfId="4899"/>
    <cellStyle name="SAPBEXresData 2 7" xfId="9892"/>
    <cellStyle name="SAPBEXresData 3" xfId="1356"/>
    <cellStyle name="SAPBEXresData 3 2" xfId="3551"/>
    <cellStyle name="SAPBEXresData 3 2 2" xfId="7994"/>
    <cellStyle name="SAPBEXresData 3 2 3" xfId="10230"/>
    <cellStyle name="SAPBEXresData 3 2 4" xfId="9896"/>
    <cellStyle name="SAPBEXresData 3 2 5" xfId="9522"/>
    <cellStyle name="SAPBEXresData 3 3" xfId="5799"/>
    <cellStyle name="SAPBEXresData 3 4" xfId="9352"/>
    <cellStyle name="SAPBEXresData 3 5" xfId="9555"/>
    <cellStyle name="SAPBEXresData 3 6" xfId="10642"/>
    <cellStyle name="SAPBEXresData 4" xfId="2465"/>
    <cellStyle name="SAPBEXresData 4 2" xfId="6908"/>
    <cellStyle name="SAPBEXresData 4 3" xfId="9785"/>
    <cellStyle name="SAPBEXresData 4 4" xfId="9838"/>
    <cellStyle name="SAPBEXresData 4 5" xfId="10269"/>
    <cellStyle name="SAPBEXresData 5" xfId="4703"/>
    <cellStyle name="SAPBEXresData 6" xfId="9962"/>
    <cellStyle name="SAPBEXresDataEmph" xfId="243"/>
    <cellStyle name="SAPBEXresDataEmph 2" xfId="613"/>
    <cellStyle name="SAPBEXresDataEmph 2 2" xfId="1229"/>
    <cellStyle name="SAPBEXresDataEmph 2 2 2" xfId="2320"/>
    <cellStyle name="SAPBEXresDataEmph 2 2 2 2" xfId="4515"/>
    <cellStyle name="SAPBEXresDataEmph 2 2 2 2 2" xfId="8958"/>
    <cellStyle name="SAPBEXresDataEmph 2 2 2 2 3" xfId="10604"/>
    <cellStyle name="SAPBEXresDataEmph 2 2 2 2 4" xfId="10790"/>
    <cellStyle name="SAPBEXresDataEmph 2 2 2 2 5" xfId="10890"/>
    <cellStyle name="SAPBEXresDataEmph 2 2 2 3" xfId="6763"/>
    <cellStyle name="SAPBEXresDataEmph 2 2 2 4" xfId="9718"/>
    <cellStyle name="SAPBEXresDataEmph 2 2 2 5" xfId="9575"/>
    <cellStyle name="SAPBEXresDataEmph 2 2 2 6" xfId="10660"/>
    <cellStyle name="SAPBEXresDataEmph 2 2 3" xfId="3429"/>
    <cellStyle name="SAPBEXresDataEmph 2 2 3 2" xfId="7872"/>
    <cellStyle name="SAPBEXresDataEmph 2 2 3 3" xfId="10167"/>
    <cellStyle name="SAPBEXresDataEmph 2 2 3 4" xfId="10452"/>
    <cellStyle name="SAPBEXresDataEmph 2 2 3 5" xfId="9489"/>
    <cellStyle name="SAPBEXresDataEmph 2 2 4" xfId="5675"/>
    <cellStyle name="SAPBEXresDataEmph 2 2 5" xfId="9295"/>
    <cellStyle name="SAPBEXresDataEmph 2 2 6" xfId="10470"/>
    <cellStyle name="SAPBEXresDataEmph 2 2 7" xfId="10402"/>
    <cellStyle name="SAPBEXresDataEmph 2 3" xfId="1704"/>
    <cellStyle name="SAPBEXresDataEmph 2 3 2" xfId="3899"/>
    <cellStyle name="SAPBEXresDataEmph 2 3 2 2" xfId="8342"/>
    <cellStyle name="SAPBEXresDataEmph 2 3 2 3" xfId="10369"/>
    <cellStyle name="SAPBEXresDataEmph 2 3 2 4" xfId="9297"/>
    <cellStyle name="SAPBEXresDataEmph 2 3 2 5" xfId="10276"/>
    <cellStyle name="SAPBEXresDataEmph 2 3 3" xfId="6147"/>
    <cellStyle name="SAPBEXresDataEmph 2 3 4" xfId="9498"/>
    <cellStyle name="SAPBEXresDataEmph 2 3 5" xfId="9526"/>
    <cellStyle name="SAPBEXresDataEmph 2 3 6" xfId="4731"/>
    <cellStyle name="SAPBEXresDataEmph 2 4" xfId="2813"/>
    <cellStyle name="SAPBEXresDataEmph 2 4 2" xfId="7256"/>
    <cellStyle name="SAPBEXresDataEmph 2 4 3" xfId="9924"/>
    <cellStyle name="SAPBEXresDataEmph 2 4 4" xfId="9608"/>
    <cellStyle name="SAPBEXresDataEmph 2 4 5" xfId="10684"/>
    <cellStyle name="SAPBEXresDataEmph 2 5" xfId="5059"/>
    <cellStyle name="SAPBEXresDataEmph 2 6" xfId="9134"/>
    <cellStyle name="SAPBEXresDataEmph 2 7" xfId="9625"/>
    <cellStyle name="SAPBEXresDataEmph 2 8" xfId="10697"/>
    <cellStyle name="SAPBEXresDataEmph 3" xfId="1357"/>
    <cellStyle name="SAPBEXresDataEmph 3 2" xfId="3552"/>
    <cellStyle name="SAPBEXresDataEmph 3 2 2" xfId="7995"/>
    <cellStyle name="SAPBEXresDataEmph 3 2 3" xfId="10231"/>
    <cellStyle name="SAPBEXresDataEmph 3 2 4" xfId="10348"/>
    <cellStyle name="SAPBEXresDataEmph 3 2 5" xfId="10271"/>
    <cellStyle name="SAPBEXresDataEmph 3 3" xfId="5800"/>
    <cellStyle name="SAPBEXresDataEmph 3 4" xfId="9353"/>
    <cellStyle name="SAPBEXresDataEmph 3 5" xfId="9183"/>
    <cellStyle name="SAPBEXresDataEmph 3 6" xfId="9596"/>
    <cellStyle name="SAPBEXresDataEmph 4" xfId="2466"/>
    <cellStyle name="SAPBEXresDataEmph 4 2" xfId="6909"/>
    <cellStyle name="SAPBEXresDataEmph 4 3" xfId="10288"/>
    <cellStyle name="SAPBEXresDataEmph 4 4" xfId="9246"/>
    <cellStyle name="SAPBEXresDataEmph 5" xfId="4704"/>
    <cellStyle name="SAPBEXresDataEmph 6" xfId="9580"/>
    <cellStyle name="SAPBEXresDataEmph 7" xfId="10665"/>
    <cellStyle name="SAPBEXresItem" xfId="244"/>
    <cellStyle name="SAPBEXresItem 2" xfId="454"/>
    <cellStyle name="SAPBEXresItem 2 2" xfId="1185"/>
    <cellStyle name="SAPBEXresItem 2 2 2" xfId="2276"/>
    <cellStyle name="SAPBEXresItem 2 2 2 2" xfId="4471"/>
    <cellStyle name="SAPBEXresItem 2 2 2 2 2" xfId="8914"/>
    <cellStyle name="SAPBEXresItem 2 2 2 2 3" xfId="10565"/>
    <cellStyle name="SAPBEXresItem 2 2 2 2 4" xfId="10754"/>
    <cellStyle name="SAPBEXresItem 2 2 2 2 5" xfId="10855"/>
    <cellStyle name="SAPBEXresItem 2 2 2 3" xfId="6719"/>
    <cellStyle name="SAPBEXresItem 2 2 2 4" xfId="9682"/>
    <cellStyle name="SAPBEXresItem 2 2 2 5" xfId="9456"/>
    <cellStyle name="SAPBEXresItem 2 2 2 6" xfId="4664"/>
    <cellStyle name="SAPBEXresItem 2 2 3" xfId="3385"/>
    <cellStyle name="SAPBEXresItem 2 2 3 2" xfId="7828"/>
    <cellStyle name="SAPBEXresItem 2 2 3 3" xfId="10132"/>
    <cellStyle name="SAPBEXresItem 2 2 3 4" xfId="10337"/>
    <cellStyle name="SAPBEXresItem 2 2 3 5" xfId="9380"/>
    <cellStyle name="SAPBEXresItem 2 2 4" xfId="5631"/>
    <cellStyle name="SAPBEXresItem 2 2 5" xfId="10375"/>
    <cellStyle name="SAPBEXresItem 2 3" xfId="1228"/>
    <cellStyle name="SAPBEXresItem 2 3 2" xfId="2319"/>
    <cellStyle name="SAPBEXresItem 2 3 2 2" xfId="4514"/>
    <cellStyle name="SAPBEXresItem 2 3 2 2 2" xfId="8957"/>
    <cellStyle name="SAPBEXresItem 2 3 2 2 3" xfId="10603"/>
    <cellStyle name="SAPBEXresItem 2 3 2 2 4" xfId="10789"/>
    <cellStyle name="SAPBEXresItem 2 3 2 2 5" xfId="10889"/>
    <cellStyle name="SAPBEXresItem 2 3 2 3" xfId="6762"/>
    <cellStyle name="SAPBEXresItem 2 3 2 4" xfId="9717"/>
    <cellStyle name="SAPBEXresItem 2 3 2 5" xfId="10450"/>
    <cellStyle name="SAPBEXresItem 2 3 2 6" xfId="9915"/>
    <cellStyle name="SAPBEXresItem 2 3 3" xfId="3428"/>
    <cellStyle name="SAPBEXresItem 2 3 3 2" xfId="7871"/>
    <cellStyle name="SAPBEXresItem 2 3 3 3" xfId="10166"/>
    <cellStyle name="SAPBEXresItem 2 3 3 4" xfId="10010"/>
    <cellStyle name="SAPBEXresItem 2 3 3 5" xfId="9099"/>
    <cellStyle name="SAPBEXresItem 2 3 4" xfId="5674"/>
    <cellStyle name="SAPBEXresItem 2 3 5" xfId="9996"/>
    <cellStyle name="SAPBEXresItem 2 4" xfId="1545"/>
    <cellStyle name="SAPBEXresItem 2 4 2" xfId="3740"/>
    <cellStyle name="SAPBEXresItem 2 4 2 2" xfId="8183"/>
    <cellStyle name="SAPBEXresItem 2 4 2 3" xfId="10321"/>
    <cellStyle name="SAPBEXresItem 2 4 2 4" xfId="10457"/>
    <cellStyle name="SAPBEXresItem 2 4 2 5" xfId="9606"/>
    <cellStyle name="SAPBEXresItem 2 4 3" xfId="5988"/>
    <cellStyle name="SAPBEXresItem 2 4 4" xfId="9441"/>
    <cellStyle name="SAPBEXresItem 2 4 5" xfId="9403"/>
    <cellStyle name="SAPBEXresItem 2 4 6" xfId="9235"/>
    <cellStyle name="SAPBEXresItem 2 5" xfId="2654"/>
    <cellStyle name="SAPBEXresItem 2 5 2" xfId="7097"/>
    <cellStyle name="SAPBEXresItem 2 5 3" xfId="9871"/>
    <cellStyle name="SAPBEXresItem 2 5 4" xfId="10448"/>
    <cellStyle name="SAPBEXresItem 2 5 5" xfId="9264"/>
    <cellStyle name="SAPBEXresItem 2 6" xfId="4900"/>
    <cellStyle name="SAPBEXresItem 2 7" xfId="9080"/>
    <cellStyle name="SAPBEXresItem 3" xfId="1358"/>
    <cellStyle name="SAPBEXresItem 3 2" xfId="3553"/>
    <cellStyle name="SAPBEXresItem 3 2 2" xfId="7996"/>
    <cellStyle name="SAPBEXresItem 3 2 3" xfId="10232"/>
    <cellStyle name="SAPBEXresItem 3 2 4" xfId="9469"/>
    <cellStyle name="SAPBEXresItem 3 2 5" xfId="9083"/>
    <cellStyle name="SAPBEXresItem 3 3" xfId="5801"/>
    <cellStyle name="SAPBEXresItem 3 4" xfId="9354"/>
    <cellStyle name="SAPBEXresItem 3 5" xfId="10064"/>
    <cellStyle name="SAPBEXresItem 3 6" xfId="10250"/>
    <cellStyle name="SAPBEXresItem 4" xfId="2467"/>
    <cellStyle name="SAPBEXresItem 4 2" xfId="6910"/>
    <cellStyle name="SAPBEXresItem 4 3" xfId="9786"/>
    <cellStyle name="SAPBEXresItem 4 4" xfId="9408"/>
    <cellStyle name="SAPBEXresItem 4 5" xfId="9256"/>
    <cellStyle name="SAPBEXresItem 5" xfId="4705"/>
    <cellStyle name="SAPBEXresItem 6" xfId="9898"/>
    <cellStyle name="SAPBEXresItemX" xfId="245"/>
    <cellStyle name="SAPBEXresItemX 2" xfId="455"/>
    <cellStyle name="SAPBEXresItemX 2 2" xfId="1186"/>
    <cellStyle name="SAPBEXresItemX 2 2 2" xfId="2277"/>
    <cellStyle name="SAPBEXresItemX 2 2 2 2" xfId="4472"/>
    <cellStyle name="SAPBEXresItemX 2 2 2 2 2" xfId="8915"/>
    <cellStyle name="SAPBEXresItemX 2 2 2 2 3" xfId="10566"/>
    <cellStyle name="SAPBEXresItemX 2 2 2 2 4" xfId="10755"/>
    <cellStyle name="SAPBEXresItemX 2 2 2 2 5" xfId="10856"/>
    <cellStyle name="SAPBEXresItemX 2 2 2 3" xfId="6720"/>
    <cellStyle name="SAPBEXresItemX 2 2 2 4" xfId="9683"/>
    <cellStyle name="SAPBEXresItemX 2 2 2 5" xfId="9973"/>
    <cellStyle name="SAPBEXresItemX 2 2 2 6" xfId="9729"/>
    <cellStyle name="SAPBEXresItemX 2 2 3" xfId="3386"/>
    <cellStyle name="SAPBEXresItemX 2 2 3 2" xfId="7829"/>
    <cellStyle name="SAPBEXresItemX 2 2 3 3" xfId="10133"/>
    <cellStyle name="SAPBEXresItemX 2 2 3 4" xfId="9457"/>
    <cellStyle name="SAPBEXresItemX 2 2 3 5" xfId="4670"/>
    <cellStyle name="SAPBEXresItemX 2 2 4" xfId="5632"/>
    <cellStyle name="SAPBEXresItemX 2 2 5" xfId="9042"/>
    <cellStyle name="SAPBEXresItemX 2 3" xfId="1143"/>
    <cellStyle name="SAPBEXresItemX 2 3 2" xfId="2234"/>
    <cellStyle name="SAPBEXresItemX 2 3 2 2" xfId="4429"/>
    <cellStyle name="SAPBEXresItemX 2 3 2 2 2" xfId="8872"/>
    <cellStyle name="SAPBEXresItemX 2 3 2 2 3" xfId="10523"/>
    <cellStyle name="SAPBEXresItemX 2 3 2 2 4" xfId="10712"/>
    <cellStyle name="SAPBEXresItemX 2 3 2 2 5" xfId="10813"/>
    <cellStyle name="SAPBEXresItemX 2 3 2 3" xfId="6677"/>
    <cellStyle name="SAPBEXresItemX 2 3 2 4" xfId="9641"/>
    <cellStyle name="SAPBEXresItemX 2 3 2 5" xfId="9601"/>
    <cellStyle name="SAPBEXresItemX 2 3 2 6" xfId="10680"/>
    <cellStyle name="SAPBEXresItemX 2 3 3" xfId="3343"/>
    <cellStyle name="SAPBEXresItemX 2 3 3 2" xfId="7786"/>
    <cellStyle name="SAPBEXresItemX 2 3 3 3" xfId="10090"/>
    <cellStyle name="SAPBEXresItemX 2 3 3 4" xfId="9614"/>
    <cellStyle name="SAPBEXresItemX 2 3 3 5" xfId="10690"/>
    <cellStyle name="SAPBEXresItemX 2 3 4" xfId="5589"/>
    <cellStyle name="SAPBEXresItemX 2 3 5" xfId="9530"/>
    <cellStyle name="SAPBEXresItemX 2 4" xfId="1546"/>
    <cellStyle name="SAPBEXresItemX 2 4 2" xfId="3741"/>
    <cellStyle name="SAPBEXresItemX 2 4 2 2" xfId="8184"/>
    <cellStyle name="SAPBEXresItemX 2 4 2 3" xfId="10322"/>
    <cellStyle name="SAPBEXresItemX 2 4 2 4" xfId="9581"/>
    <cellStyle name="SAPBEXresItemX 2 4 2 5" xfId="10667"/>
    <cellStyle name="SAPBEXresItemX 2 4 3" xfId="5989"/>
    <cellStyle name="SAPBEXresItemX 2 4 4" xfId="9442"/>
    <cellStyle name="SAPBEXresItemX 2 4 5" xfId="9957"/>
    <cellStyle name="SAPBEXresItemX 2 4 6" xfId="9306"/>
    <cellStyle name="SAPBEXresItemX 2 5" xfId="2655"/>
    <cellStyle name="SAPBEXresItemX 2 5 2" xfId="7098"/>
    <cellStyle name="SAPBEXresItemX 2 5 3" xfId="9872"/>
    <cellStyle name="SAPBEXresItemX 2 5 4" xfId="9573"/>
    <cellStyle name="SAPBEXresItemX 2 5 5" xfId="10658"/>
    <cellStyle name="SAPBEXresItemX 2 6" xfId="4901"/>
    <cellStyle name="SAPBEXresItemX 2 7" xfId="10031"/>
    <cellStyle name="SAPBEXresItemX 3" xfId="1359"/>
    <cellStyle name="SAPBEXresItemX 3 2" xfId="3554"/>
    <cellStyle name="SAPBEXresItemX 3 2 2" xfId="7997"/>
    <cellStyle name="SAPBEXresItemX 3 2 3" xfId="10233"/>
    <cellStyle name="SAPBEXresItemX 3 2 4" xfId="9989"/>
    <cellStyle name="SAPBEXresItemX 3 2 5" xfId="9905"/>
    <cellStyle name="SAPBEXresItemX 3 3" xfId="5802"/>
    <cellStyle name="SAPBEXresItemX 3 4" xfId="9355"/>
    <cellStyle name="SAPBEXresItemX 3 5" xfId="10500"/>
    <cellStyle name="SAPBEXresItemX 3 6" xfId="9144"/>
    <cellStyle name="SAPBEXresItemX 4" xfId="2468"/>
    <cellStyle name="SAPBEXresItemX 4 2" xfId="6911"/>
    <cellStyle name="SAPBEXresItemX 4 3" xfId="9787"/>
    <cellStyle name="SAPBEXresItemX 4 4" xfId="9967"/>
    <cellStyle name="SAPBEXresItemX 4 5" xfId="9375"/>
    <cellStyle name="SAPBEXresItemX 5" xfId="4706"/>
    <cellStyle name="SAPBEXresItemX 6" xfId="10432"/>
    <cellStyle name="SAPBEXstdData" xfId="246"/>
    <cellStyle name="SAPBEXstdData 2" xfId="456"/>
    <cellStyle name="SAPBEXstdData 2 2" xfId="1187"/>
    <cellStyle name="SAPBEXstdData 2 2 2" xfId="2278"/>
    <cellStyle name="SAPBEXstdData 2 2 2 2" xfId="4473"/>
    <cellStyle name="SAPBEXstdData 2 2 2 2 2" xfId="8916"/>
    <cellStyle name="SAPBEXstdData 2 2 2 2 3" xfId="10567"/>
    <cellStyle name="SAPBEXstdData 2 2 2 2 4" xfId="10756"/>
    <cellStyle name="SAPBEXstdData 2 2 2 2 5" xfId="10857"/>
    <cellStyle name="SAPBEXstdData 2 2 2 3" xfId="6721"/>
    <cellStyle name="SAPBEXstdData 2 2 2 4" xfId="9684"/>
    <cellStyle name="SAPBEXstdData 2 2 2 5" xfId="10411"/>
    <cellStyle name="SAPBEXstdData 2 2 2 6" xfId="9057"/>
    <cellStyle name="SAPBEXstdData 2 2 3" xfId="3387"/>
    <cellStyle name="SAPBEXstdData 2 2 3 2" xfId="7830"/>
    <cellStyle name="SAPBEXstdData 2 2 3 3" xfId="10134"/>
    <cellStyle name="SAPBEXstdData 2 2 3 4" xfId="9974"/>
    <cellStyle name="SAPBEXstdData 2 2 3 5" xfId="9301"/>
    <cellStyle name="SAPBEXstdData 2 2 4" xfId="5633"/>
    <cellStyle name="SAPBEXstdData 2 2 5" xfId="10034"/>
    <cellStyle name="SAPBEXstdData 2 3" xfId="1138"/>
    <cellStyle name="SAPBEXstdData 2 3 2" xfId="2229"/>
    <cellStyle name="SAPBEXstdData 2 3 2 2" xfId="4424"/>
    <cellStyle name="SAPBEXstdData 2 3 2 2 2" xfId="8867"/>
    <cellStyle name="SAPBEXstdData 2 3 2 2 3" xfId="10518"/>
    <cellStyle name="SAPBEXstdData 2 3 2 2 4" xfId="10707"/>
    <cellStyle name="SAPBEXstdData 2 3 2 2 5" xfId="10808"/>
    <cellStyle name="SAPBEXstdData 2 3 2 3" xfId="6672"/>
    <cellStyle name="SAPBEXstdData 2 3 2 4" xfId="9636"/>
    <cellStyle name="SAPBEXstdData 2 3 2 5" xfId="10398"/>
    <cellStyle name="SAPBEXstdData 2 3 2 6" xfId="9835"/>
    <cellStyle name="SAPBEXstdData 2 3 3" xfId="3338"/>
    <cellStyle name="SAPBEXstdData 2 3 3 2" xfId="7781"/>
    <cellStyle name="SAPBEXstdData 2 3 3 3" xfId="10085"/>
    <cellStyle name="SAPBEXstdData 2 3 3 4" xfId="10413"/>
    <cellStyle name="SAPBEXstdData 2 3 3 5" xfId="9751"/>
    <cellStyle name="SAPBEXstdData 2 3 4" xfId="5584"/>
    <cellStyle name="SAPBEXstdData 2 3 5" xfId="9041"/>
    <cellStyle name="SAPBEXstdData 2 4" xfId="1547"/>
    <cellStyle name="SAPBEXstdData 2 4 2" xfId="3742"/>
    <cellStyle name="SAPBEXstdData 2 4 2 2" xfId="8185"/>
    <cellStyle name="SAPBEXstdData 2 4 2 3" xfId="10323"/>
    <cellStyle name="SAPBEXstdData 2 4 2 4" xfId="9219"/>
    <cellStyle name="SAPBEXstdData 2 4 2 5" xfId="9192"/>
    <cellStyle name="SAPBEXstdData 2 4 3" xfId="5990"/>
    <cellStyle name="SAPBEXstdData 2 4 4" xfId="9443"/>
    <cellStyle name="SAPBEXstdData 2 4 5" xfId="10399"/>
    <cellStyle name="SAPBEXstdData 2 4 6" xfId="9542"/>
    <cellStyle name="SAPBEXstdData 2 5" xfId="2656"/>
    <cellStyle name="SAPBEXstdData 2 5 2" xfId="7099"/>
    <cellStyle name="SAPBEXstdData 2 5 3" xfId="9873"/>
    <cellStyle name="SAPBEXstdData 2 5 4" xfId="9208"/>
    <cellStyle name="SAPBEXstdData 2 5 5" xfId="9193"/>
    <cellStyle name="SAPBEXstdData 2 6" xfId="4902"/>
    <cellStyle name="SAPBEXstdData 2 7" xfId="9570"/>
    <cellStyle name="SAPBEXstdData 3" xfId="1360"/>
    <cellStyle name="SAPBEXstdData 3 2" xfId="3555"/>
    <cellStyle name="SAPBEXstdData 3 2 2" xfId="7998"/>
    <cellStyle name="SAPBEXstdData 3 2 3" xfId="10234"/>
    <cellStyle name="SAPBEXstdData 3 2 4" xfId="10424"/>
    <cellStyle name="SAPBEXstdData 3 2 5" xfId="9618"/>
    <cellStyle name="SAPBEXstdData 3 3" xfId="5803"/>
    <cellStyle name="SAPBEXstdData 3 4" xfId="9356"/>
    <cellStyle name="SAPBEXstdData 3 5" xfId="9617"/>
    <cellStyle name="SAPBEXstdData 3 6" xfId="10693"/>
    <cellStyle name="SAPBEXstdData 4" xfId="2469"/>
    <cellStyle name="SAPBEXstdData 4 2" xfId="6912"/>
    <cellStyle name="SAPBEXstdData 4 3" xfId="9788"/>
    <cellStyle name="SAPBEXstdData 4 4" xfId="10406"/>
    <cellStyle name="SAPBEXstdData 4 5" xfId="9556"/>
    <cellStyle name="SAPBEXstdData 5" xfId="4707"/>
    <cellStyle name="SAPBEXstdData 6" xfId="10461"/>
    <cellStyle name="SAPBEXstdData 7" xfId="247"/>
    <cellStyle name="SAPBEXstdData 7 2" xfId="457"/>
    <cellStyle name="SAPBEXstdData 7 2 2" xfId="1188"/>
    <cellStyle name="SAPBEXstdData 7 2 2 2" xfId="2279"/>
    <cellStyle name="SAPBEXstdData 7 2 2 2 2" xfId="4474"/>
    <cellStyle name="SAPBEXstdData 7 2 2 2 2 2" xfId="8917"/>
    <cellStyle name="SAPBEXstdData 7 2 2 2 2 3" xfId="10568"/>
    <cellStyle name="SAPBEXstdData 7 2 2 2 2 4" xfId="10757"/>
    <cellStyle name="SAPBEXstdData 7 2 2 2 2 5" xfId="10858"/>
    <cellStyle name="SAPBEXstdData 7 2 2 2 3" xfId="6722"/>
    <cellStyle name="SAPBEXstdData 7 2 2 2 4" xfId="9685"/>
    <cellStyle name="SAPBEXstdData 7 2 2 2 5" xfId="9549"/>
    <cellStyle name="SAPBEXstdData 7 2 2 2 6" xfId="10635"/>
    <cellStyle name="SAPBEXstdData 7 2 2 3" xfId="3388"/>
    <cellStyle name="SAPBEXstdData 7 2 2 3 2" xfId="7831"/>
    <cellStyle name="SAPBEXstdData 7 2 2 3 3" xfId="10135"/>
    <cellStyle name="SAPBEXstdData 7 2 2 3 4" xfId="10412"/>
    <cellStyle name="SAPBEXstdData 7 2 2 3 5" xfId="4717"/>
    <cellStyle name="SAPBEXstdData 7 2 2 4" xfId="5634"/>
    <cellStyle name="SAPBEXstdData 7 2 2 5" xfId="9206"/>
    <cellStyle name="SAPBEXstdData 7 2 3" xfId="1221"/>
    <cellStyle name="SAPBEXstdData 7 2 3 2" xfId="2312"/>
    <cellStyle name="SAPBEXstdData 7 2 3 2 2" xfId="4507"/>
    <cellStyle name="SAPBEXstdData 7 2 3 2 2 2" xfId="8950"/>
    <cellStyle name="SAPBEXstdData 7 2 3 2 2 3" xfId="10596"/>
    <cellStyle name="SAPBEXstdData 7 2 3 2 2 4" xfId="10782"/>
    <cellStyle name="SAPBEXstdData 7 2 3 2 2 5" xfId="10882"/>
    <cellStyle name="SAPBEXstdData 7 2 3 2 3" xfId="6755"/>
    <cellStyle name="SAPBEXstdData 7 2 3 2 4" xfId="9710"/>
    <cellStyle name="SAPBEXstdData 7 2 3 2 5" xfId="10200"/>
    <cellStyle name="SAPBEXstdData 7 2 3 2 6" xfId="9513"/>
    <cellStyle name="SAPBEXstdData 7 2 3 3" xfId="3421"/>
    <cellStyle name="SAPBEXstdData 7 2 3 3 2" xfId="7864"/>
    <cellStyle name="SAPBEXstdData 7 2 3 3 3" xfId="10159"/>
    <cellStyle name="SAPBEXstdData 7 2 3 3 4" xfId="9800"/>
    <cellStyle name="SAPBEXstdData 7 2 3 3 5" xfId="9314"/>
    <cellStyle name="SAPBEXstdData 7 2 3 4" xfId="5667"/>
    <cellStyle name="SAPBEXstdData 7 2 3 5" xfId="10282"/>
    <cellStyle name="SAPBEXstdData 7 2 4" xfId="1548"/>
    <cellStyle name="SAPBEXstdData 7 2 4 2" xfId="3743"/>
    <cellStyle name="SAPBEXstdData 7 2 4 2 2" xfId="8186"/>
    <cellStyle name="SAPBEXstdData 7 2 4 2 3" xfId="10324"/>
    <cellStyle name="SAPBEXstdData 7 2 4 2 4" xfId="9888"/>
    <cellStyle name="SAPBEXstdData 7 2 4 2 5" xfId="9277"/>
    <cellStyle name="SAPBEXstdData 7 2 4 3" xfId="5991"/>
    <cellStyle name="SAPBEXstdData 7 2 4 4" xfId="9444"/>
    <cellStyle name="SAPBEXstdData 7 2 4 5" xfId="9536"/>
    <cellStyle name="SAPBEXstdData 7 2 4 6" xfId="10627"/>
    <cellStyle name="SAPBEXstdData 7 2 5" xfId="2657"/>
    <cellStyle name="SAPBEXstdData 7 2 5 2" xfId="7100"/>
    <cellStyle name="SAPBEXstdData 7 2 5 3" xfId="9874"/>
    <cellStyle name="SAPBEXstdData 7 2 5 4" xfId="9837"/>
    <cellStyle name="SAPBEXstdData 7 2 5 5" xfId="9279"/>
    <cellStyle name="SAPBEXstdData 7 2 6" xfId="4903"/>
    <cellStyle name="SAPBEXstdData 7 2 7" xfId="9164"/>
    <cellStyle name="SAPBEXstdData 7 3" xfId="1361"/>
    <cellStyle name="SAPBEXstdData 7 3 2" xfId="3556"/>
    <cellStyle name="SAPBEXstdData 7 3 2 2" xfId="7999"/>
    <cellStyle name="SAPBEXstdData 7 3 2 3" xfId="10235"/>
    <cellStyle name="SAPBEXstdData 7 3 2 4" xfId="9560"/>
    <cellStyle name="SAPBEXstdData 7 3 2 5" xfId="10645"/>
    <cellStyle name="SAPBEXstdData 7 3 3" xfId="5804"/>
    <cellStyle name="SAPBEXstdData 7 3 4" xfId="9357"/>
    <cellStyle name="SAPBEXstdData 7 3 5" xfId="9262"/>
    <cellStyle name="SAPBEXstdData 7 3 6" xfId="9904"/>
    <cellStyle name="SAPBEXstdData 7 4" xfId="2470"/>
    <cellStyle name="SAPBEXstdData 7 4 2" xfId="6913"/>
    <cellStyle name="SAPBEXstdData 7 4 3" xfId="9789"/>
    <cellStyle name="SAPBEXstdData 7 4 4" xfId="9544"/>
    <cellStyle name="SAPBEXstdData 7 4 5" xfId="10631"/>
    <cellStyle name="SAPBEXstdData 7 5" xfId="4708"/>
    <cellStyle name="SAPBEXstdData 7 6" xfId="4724"/>
    <cellStyle name="SAPBEXstdDataEmph" xfId="248"/>
    <cellStyle name="SAPBEXstdDataEmph 2" xfId="458"/>
    <cellStyle name="SAPBEXstdDataEmph 2 2" xfId="1189"/>
    <cellStyle name="SAPBEXstdDataEmph 2 2 2" xfId="2280"/>
    <cellStyle name="SAPBEXstdDataEmph 2 2 2 2" xfId="4475"/>
    <cellStyle name="SAPBEXstdDataEmph 2 2 2 2 2" xfId="8918"/>
    <cellStyle name="SAPBEXstdDataEmph 2 2 2 2 3" xfId="10569"/>
    <cellStyle name="SAPBEXstdDataEmph 2 2 2 2 4" xfId="10758"/>
    <cellStyle name="SAPBEXstdDataEmph 2 2 2 2 5" xfId="10859"/>
    <cellStyle name="SAPBEXstdDataEmph 2 2 2 3" xfId="6723"/>
    <cellStyle name="SAPBEXstdDataEmph 2 2 2 4" xfId="9686"/>
    <cellStyle name="SAPBEXstdDataEmph 2 2 2 5" xfId="9173"/>
    <cellStyle name="SAPBEXstdDataEmph 2 2 2 6" xfId="10513"/>
    <cellStyle name="SAPBEXstdDataEmph 2 2 3" xfId="3389"/>
    <cellStyle name="SAPBEXstdDataEmph 2 2 3 2" xfId="7832"/>
    <cellStyle name="SAPBEXstdDataEmph 2 2 3 3" xfId="10136"/>
    <cellStyle name="SAPBEXstdDataEmph 2 2 3 4" xfId="9550"/>
    <cellStyle name="SAPBEXstdDataEmph 2 2 3 5" xfId="10636"/>
    <cellStyle name="SAPBEXstdDataEmph 2 2 4" xfId="5635"/>
    <cellStyle name="SAPBEXstdDataEmph 2 2 5" xfId="10648"/>
    <cellStyle name="SAPBEXstdDataEmph 2 3" xfId="1203"/>
    <cellStyle name="SAPBEXstdDataEmph 2 3 2" xfId="2294"/>
    <cellStyle name="SAPBEXstdDataEmph 2 3 2 2" xfId="4489"/>
    <cellStyle name="SAPBEXstdDataEmph 2 3 2 2 2" xfId="8932"/>
    <cellStyle name="SAPBEXstdDataEmph 2 3 2 2 3" xfId="10583"/>
    <cellStyle name="SAPBEXstdDataEmph 2 3 2 2 4" xfId="10772"/>
    <cellStyle name="SAPBEXstdDataEmph 2 3 2 2 5" xfId="10873"/>
    <cellStyle name="SAPBEXstdDataEmph 2 3 2 3" xfId="6737"/>
    <cellStyle name="SAPBEXstdDataEmph 2 3 2 4" xfId="9700"/>
    <cellStyle name="SAPBEXstdDataEmph 2 3 2 5" xfId="10467"/>
    <cellStyle name="SAPBEXstdDataEmph 2 3 2 6" xfId="10002"/>
    <cellStyle name="SAPBEXstdDataEmph 2 3 3" xfId="3403"/>
    <cellStyle name="SAPBEXstdDataEmph 2 3 3 2" xfId="7846"/>
    <cellStyle name="SAPBEXstdDataEmph 2 3 3 3" xfId="10150"/>
    <cellStyle name="SAPBEXstdDataEmph 2 3 3 4" xfId="10027"/>
    <cellStyle name="SAPBEXstdDataEmph 2 3 3 5" xfId="9740"/>
    <cellStyle name="SAPBEXstdDataEmph 2 3 4" xfId="5649"/>
    <cellStyle name="SAPBEXstdDataEmph 2 3 5" xfId="10029"/>
    <cellStyle name="SAPBEXstdDataEmph 2 4" xfId="1549"/>
    <cellStyle name="SAPBEXstdDataEmph 2 4 2" xfId="3744"/>
    <cellStyle name="SAPBEXstdDataEmph 2 4 2 2" xfId="8187"/>
    <cellStyle name="SAPBEXstdDataEmph 2 4 2 3" xfId="10325"/>
    <cellStyle name="SAPBEXstdDataEmph 2 4 2 4" xfId="10340"/>
    <cellStyle name="SAPBEXstdDataEmph 2 4 2 5" xfId="9985"/>
    <cellStyle name="SAPBEXstdDataEmph 2 4 3" xfId="5992"/>
    <cellStyle name="SAPBEXstdDataEmph 2 4 4" xfId="9445"/>
    <cellStyle name="SAPBEXstdDataEmph 2 4 5" xfId="9160"/>
    <cellStyle name="SAPBEXstdDataEmph 2 4 6" xfId="9472"/>
    <cellStyle name="SAPBEXstdDataEmph 2 5" xfId="2658"/>
    <cellStyle name="SAPBEXstdDataEmph 2 5 2" xfId="7101"/>
    <cellStyle name="SAPBEXstdDataEmph 2 5 3" xfId="9875"/>
    <cellStyle name="SAPBEXstdDataEmph 2 5 4" xfId="10287"/>
    <cellStyle name="SAPBEXstdDataEmph 2 5 5" xfId="9169"/>
    <cellStyle name="SAPBEXstdDataEmph 2 6" xfId="4904"/>
    <cellStyle name="SAPBEXstdDataEmph 2 7" xfId="10666"/>
    <cellStyle name="SAPBEXstdDataEmph 3" xfId="1362"/>
    <cellStyle name="SAPBEXstdDataEmph 3 2" xfId="3557"/>
    <cellStyle name="SAPBEXstdDataEmph 3 2 2" xfId="8000"/>
    <cellStyle name="SAPBEXstdDataEmph 3 2 3" xfId="10236"/>
    <cellStyle name="SAPBEXstdDataEmph 3 2 4" xfId="9189"/>
    <cellStyle name="SAPBEXstdDataEmph 3 2 5" xfId="9180"/>
    <cellStyle name="SAPBEXstdDataEmph 3 3" xfId="5805"/>
    <cellStyle name="SAPBEXstdDataEmph 3 4" xfId="9358"/>
    <cellStyle name="SAPBEXstdDataEmph 3 5" xfId="9094"/>
    <cellStyle name="SAPBEXstdDataEmph 3 6" xfId="9390"/>
    <cellStyle name="SAPBEXstdDataEmph 4" xfId="2471"/>
    <cellStyle name="SAPBEXstdDataEmph 4 2" xfId="6914"/>
    <cellStyle name="SAPBEXstdDataEmph 4 3" xfId="9790"/>
    <cellStyle name="SAPBEXstdDataEmph 4 4" xfId="9170"/>
    <cellStyle name="SAPBEXstdDataEmph 4 5" xfId="10350"/>
    <cellStyle name="SAPBEXstdDataEmph 5" xfId="4709"/>
    <cellStyle name="SAPBEXstdDataEmph 6" xfId="10613"/>
    <cellStyle name="SAPBEXstdItem" xfId="249"/>
    <cellStyle name="SAPBEXstdItem 2" xfId="459"/>
    <cellStyle name="SAPBEXstdItem 2 2" xfId="1190"/>
    <cellStyle name="SAPBEXstdItem 2 2 2" xfId="2281"/>
    <cellStyle name="SAPBEXstdItem 2 2 2 2" xfId="4476"/>
    <cellStyle name="SAPBEXstdItem 2 2 2 2 2" xfId="8919"/>
    <cellStyle name="SAPBEXstdItem 2 2 2 2 3" xfId="10570"/>
    <cellStyle name="SAPBEXstdItem 2 2 2 2 4" xfId="10759"/>
    <cellStyle name="SAPBEXstdItem 2 2 2 2 5" xfId="10860"/>
    <cellStyle name="SAPBEXstdItem 2 2 2 3" xfId="6724"/>
    <cellStyle name="SAPBEXstdItem 2 2 2 4" xfId="9687"/>
    <cellStyle name="SAPBEXstdItem 2 2 2 5" xfId="10056"/>
    <cellStyle name="SAPBEXstdItem 2 2 2 6" xfId="10624"/>
    <cellStyle name="SAPBEXstdItem 2 2 3" xfId="3390"/>
    <cellStyle name="SAPBEXstdItem 2 2 3 2" xfId="7833"/>
    <cellStyle name="SAPBEXstdItem 2 2 3 3" xfId="10137"/>
    <cellStyle name="SAPBEXstdItem 2 2 3 4" xfId="9174"/>
    <cellStyle name="SAPBEXstdItem 2 2 3 5" xfId="9631"/>
    <cellStyle name="SAPBEXstdItem 2 2 4" xfId="5636"/>
    <cellStyle name="SAPBEXstdItem 2 2 5" xfId="10441"/>
    <cellStyle name="SAPBEXstdItem 2 3" xfId="1218"/>
    <cellStyle name="SAPBEXstdItem 2 3 2" xfId="2309"/>
    <cellStyle name="SAPBEXstdItem 2 3 2 2" xfId="4504"/>
    <cellStyle name="SAPBEXstdItem 2 3 2 2 2" xfId="8947"/>
    <cellStyle name="SAPBEXstdItem 2 3 2 2 3" xfId="10593"/>
    <cellStyle name="SAPBEXstdItem 2 3 2 2 4" xfId="10779"/>
    <cellStyle name="SAPBEXstdItem 2 3 2 2 5" xfId="10879"/>
    <cellStyle name="SAPBEXstdItem 2 3 2 3" xfId="6752"/>
    <cellStyle name="SAPBEXstdItem 2 3 2 4" xfId="9707"/>
    <cellStyle name="SAPBEXstdItem 2 3 2 5" xfId="9062"/>
    <cellStyle name="SAPBEXstdItem 2 3 2 6" xfId="10476"/>
    <cellStyle name="SAPBEXstdItem 2 3 3" xfId="3418"/>
    <cellStyle name="SAPBEXstdItem 2 3 3 2" xfId="7861"/>
    <cellStyle name="SAPBEXstdItem 2 3 3 3" xfId="10156"/>
    <cellStyle name="SAPBEXstdItem 2 3 3 4" xfId="9101"/>
    <cellStyle name="SAPBEXstdItem 2 3 3 5" xfId="9389"/>
    <cellStyle name="SAPBEXstdItem 2 3 4" xfId="5664"/>
    <cellStyle name="SAPBEXstdItem 2 3 5" xfId="9460"/>
    <cellStyle name="SAPBEXstdItem 2 4" xfId="1550"/>
    <cellStyle name="SAPBEXstdItem 2 4 2" xfId="3745"/>
    <cellStyle name="SAPBEXstdItem 2 4 2 2" xfId="8188"/>
    <cellStyle name="SAPBEXstdItem 2 4 2 3" xfId="10326"/>
    <cellStyle name="SAPBEXstdItem 2 4 2 4" xfId="9459"/>
    <cellStyle name="SAPBEXstdItem 2 4 2 5" xfId="4665"/>
    <cellStyle name="SAPBEXstdItem 2 4 3" xfId="5993"/>
    <cellStyle name="SAPBEXstdItem 2 4 4" xfId="9446"/>
    <cellStyle name="SAPBEXstdItem 2 4 5" xfId="10042"/>
    <cellStyle name="SAPBEXstdItem 2 4 6" xfId="9728"/>
    <cellStyle name="SAPBEXstdItem 2 5" xfId="2659"/>
    <cellStyle name="SAPBEXstdItem 2 5 2" xfId="7102"/>
    <cellStyle name="SAPBEXstdItem 2 5 3" xfId="9876"/>
    <cellStyle name="SAPBEXstdItem 2 5 4" xfId="9407"/>
    <cellStyle name="SAPBEXstdItem 2 5 5" xfId="9177"/>
    <cellStyle name="SAPBEXstdItem 2 6" xfId="4905"/>
    <cellStyle name="SAPBEXstdItem 2 7" xfId="9991"/>
    <cellStyle name="SAPBEXstdItem 3" xfId="1363"/>
    <cellStyle name="SAPBEXstdItem 3 2" xfId="3558"/>
    <cellStyle name="SAPBEXstdItem 3 2 2" xfId="8001"/>
    <cellStyle name="SAPBEXstdItem 3 2 3" xfId="10237"/>
    <cellStyle name="SAPBEXstdItem 3 2 4" xfId="10070"/>
    <cellStyle name="SAPBEXstdItem 3 2 5" xfId="9254"/>
    <cellStyle name="SAPBEXstdItem 3 3" xfId="5806"/>
    <cellStyle name="SAPBEXstdItem 3 4" xfId="9359"/>
    <cellStyle name="SAPBEXstdItem 3 5" xfId="9054"/>
    <cellStyle name="SAPBEXstdItem 3 6" xfId="9733"/>
    <cellStyle name="SAPBEXstdItem 4" xfId="2472"/>
    <cellStyle name="SAPBEXstdItem 4 2" xfId="6915"/>
    <cellStyle name="SAPBEXstdItem 4 3" xfId="9791"/>
    <cellStyle name="SAPBEXstdItem 4 4" xfId="10053"/>
    <cellStyle name="SAPBEXstdItem 4 5" xfId="10433"/>
    <cellStyle name="SAPBEXstdItem 5" xfId="4710"/>
    <cellStyle name="SAPBEXstdItem 6" xfId="9492"/>
    <cellStyle name="SAPBEXstdItemX" xfId="250"/>
    <cellStyle name="SAPBEXstdItemX 2" xfId="460"/>
    <cellStyle name="SAPBEXstdItemX 2 2" xfId="1191"/>
    <cellStyle name="SAPBEXstdItemX 2 2 2" xfId="2282"/>
    <cellStyle name="SAPBEXstdItemX 2 2 2 2" xfId="4477"/>
    <cellStyle name="SAPBEXstdItemX 2 2 2 2 2" xfId="8920"/>
    <cellStyle name="SAPBEXstdItemX 2 2 2 2 3" xfId="10571"/>
    <cellStyle name="SAPBEXstdItemX 2 2 2 2 4" xfId="10760"/>
    <cellStyle name="SAPBEXstdItemX 2 2 2 2 5" xfId="10861"/>
    <cellStyle name="SAPBEXstdItemX 2 2 2 3" xfId="6725"/>
    <cellStyle name="SAPBEXstdItemX 2 2 2 4" xfId="9688"/>
    <cellStyle name="SAPBEXstdItemX 2 2 2 5" xfId="10492"/>
    <cellStyle name="SAPBEXstdItemX 2 2 2 6" xfId="10353"/>
    <cellStyle name="SAPBEXstdItemX 2 2 3" xfId="3391"/>
    <cellStyle name="SAPBEXstdItemX 2 2 3 2" xfId="7834"/>
    <cellStyle name="SAPBEXstdItemX 2 2 3 3" xfId="10138"/>
    <cellStyle name="SAPBEXstdItemX 2 2 3 4" xfId="10057"/>
    <cellStyle name="SAPBEXstdItemX 2 2 3 5" xfId="9736"/>
    <cellStyle name="SAPBEXstdItemX 2 2 4" xfId="5637"/>
    <cellStyle name="SAPBEXstdItemX 2 2 5" xfId="10273"/>
    <cellStyle name="SAPBEXstdItemX 2 3" xfId="1230"/>
    <cellStyle name="SAPBEXstdItemX 2 3 2" xfId="2321"/>
    <cellStyle name="SAPBEXstdItemX 2 3 2 2" xfId="4516"/>
    <cellStyle name="SAPBEXstdItemX 2 3 2 2 2" xfId="8959"/>
    <cellStyle name="SAPBEXstdItemX 2 3 2 2 3" xfId="10605"/>
    <cellStyle name="SAPBEXstdItemX 2 3 2 2 4" xfId="10791"/>
    <cellStyle name="SAPBEXstdItemX 2 3 2 2 5" xfId="10891"/>
    <cellStyle name="SAPBEXstdItemX 2 3 2 3" xfId="6764"/>
    <cellStyle name="SAPBEXstdItemX 2 3 2 4" xfId="9719"/>
    <cellStyle name="SAPBEXstdItemX 2 3 2 5" xfId="9211"/>
    <cellStyle name="SAPBEXstdItemX 2 3 2 6" xfId="9820"/>
    <cellStyle name="SAPBEXstdItemX 2 3 3" xfId="3430"/>
    <cellStyle name="SAPBEXstdItemX 2 3 3 2" xfId="7873"/>
    <cellStyle name="SAPBEXstdItemX 2 3 3 3" xfId="10168"/>
    <cellStyle name="SAPBEXstdItemX 2 3 3 4" xfId="9577"/>
    <cellStyle name="SAPBEXstdItemX 2 3 3 5" xfId="10662"/>
    <cellStyle name="SAPBEXstdItemX 2 3 4" xfId="5676"/>
    <cellStyle name="SAPBEXstdItemX 2 3 5" xfId="10673"/>
    <cellStyle name="SAPBEXstdItemX 2 4" xfId="1551"/>
    <cellStyle name="SAPBEXstdItemX 2 4 2" xfId="3746"/>
    <cellStyle name="SAPBEXstdItemX 2 4 2 2" xfId="8189"/>
    <cellStyle name="SAPBEXstdItemX 2 4 2 3" xfId="10327"/>
    <cellStyle name="SAPBEXstdItemX 2 4 2 4" xfId="9977"/>
    <cellStyle name="SAPBEXstdItemX 2 4 2 5" xfId="9298"/>
    <cellStyle name="SAPBEXstdItemX 2 4 3" xfId="5994"/>
    <cellStyle name="SAPBEXstdItemX 2 4 4" xfId="9447"/>
    <cellStyle name="SAPBEXstdItemX 2 4 5" xfId="10483"/>
    <cellStyle name="SAPBEXstdItemX 2 4 6" xfId="9811"/>
    <cellStyle name="SAPBEXstdItemX 2 5" xfId="2660"/>
    <cellStyle name="SAPBEXstdItemX 2 5 2" xfId="7103"/>
    <cellStyle name="SAPBEXstdItemX 2 5 3" xfId="9877"/>
    <cellStyle name="SAPBEXstdItemX 2 5 4" xfId="9966"/>
    <cellStyle name="SAPBEXstdItemX 2 5 5" xfId="9232"/>
    <cellStyle name="SAPBEXstdItemX 2 6" xfId="4906"/>
    <cellStyle name="SAPBEXstdItemX 2 7" xfId="10079"/>
    <cellStyle name="SAPBEXstdItemX 3" xfId="1364"/>
    <cellStyle name="SAPBEXstdItemX 3 2" xfId="3559"/>
    <cellStyle name="SAPBEXstdItemX 3 2 2" xfId="8002"/>
    <cellStyle name="SAPBEXstdItemX 3 2 3" xfId="10238"/>
    <cellStyle name="SAPBEXstdItemX 3 2 4" xfId="10508"/>
    <cellStyle name="SAPBEXstdItemX 3 2 5" xfId="9317"/>
    <cellStyle name="SAPBEXstdItemX 3 3" xfId="5807"/>
    <cellStyle name="SAPBEXstdItemX 3 4" xfId="9360"/>
    <cellStyle name="SAPBEXstdItemX 3 5" xfId="4729"/>
    <cellStyle name="SAPBEXstdItemX 3 6" xfId="10378"/>
    <cellStyle name="SAPBEXstdItemX 4" xfId="2473"/>
    <cellStyle name="SAPBEXstdItemX 4 2" xfId="6916"/>
    <cellStyle name="SAPBEXstdItemX 4 3" xfId="9792"/>
    <cellStyle name="SAPBEXstdItemX 4 4" xfId="10490"/>
    <cellStyle name="SAPBEXstdItemX 4 5" xfId="9056"/>
    <cellStyle name="SAPBEXstdItemX 5" xfId="4711"/>
    <cellStyle name="SAPBEXstdItemX 6" xfId="10638"/>
    <cellStyle name="SAPBEXtitle" xfId="251"/>
    <cellStyle name="SAPBEXtitle 2" xfId="461"/>
    <cellStyle name="SAPBEXtitle 2 2" xfId="1192"/>
    <cellStyle name="SAPBEXtitle 2 2 2" xfId="2283"/>
    <cellStyle name="SAPBEXtitle 2 2 2 2" xfId="4478"/>
    <cellStyle name="SAPBEXtitle 2 2 2 2 2" xfId="8921"/>
    <cellStyle name="SAPBEXtitle 2 2 2 2 3" xfId="10572"/>
    <cellStyle name="SAPBEXtitle 2 2 2 2 4" xfId="10761"/>
    <cellStyle name="SAPBEXtitle 2 2 2 2 5" xfId="10862"/>
    <cellStyle name="SAPBEXtitle 2 2 2 3" xfId="6726"/>
    <cellStyle name="SAPBEXtitle 2 2 2 4" xfId="9689"/>
    <cellStyle name="SAPBEXtitle 2 2 2 5" xfId="9612"/>
    <cellStyle name="SAPBEXtitle 2 2 2 6" xfId="10688"/>
    <cellStyle name="SAPBEXtitle 2 2 3" xfId="3392"/>
    <cellStyle name="SAPBEXtitle 2 2 3 2" xfId="7835"/>
    <cellStyle name="SAPBEXtitle 2 2 3 3" xfId="10139"/>
    <cellStyle name="SAPBEXtitle 2 2 3 4" xfId="10493"/>
    <cellStyle name="SAPBEXtitle 2 2 3 5" xfId="9475"/>
    <cellStyle name="SAPBEXtitle 2 2 4" xfId="5638"/>
    <cellStyle name="SAPBEXtitle 2 2 5" xfId="9163"/>
    <cellStyle name="SAPBEXtitle 2 3" xfId="1151"/>
    <cellStyle name="SAPBEXtitle 2 3 2" xfId="2242"/>
    <cellStyle name="SAPBEXtitle 2 3 2 2" xfId="4437"/>
    <cellStyle name="SAPBEXtitle 2 3 2 2 2" xfId="8880"/>
    <cellStyle name="SAPBEXtitle 2 3 2 2 3" xfId="10531"/>
    <cellStyle name="SAPBEXtitle 2 3 2 2 4" xfId="10720"/>
    <cellStyle name="SAPBEXtitle 2 3 2 2 5" xfId="10821"/>
    <cellStyle name="SAPBEXtitle 2 3 2 3" xfId="6685"/>
    <cellStyle name="SAPBEXtitle 2 3 2 4" xfId="9648"/>
    <cellStyle name="SAPBEXtitle 2 3 2 5" xfId="9916"/>
    <cellStyle name="SAPBEXtitle 2 3 2 6" xfId="9191"/>
    <cellStyle name="SAPBEXtitle 2 3 3" xfId="3351"/>
    <cellStyle name="SAPBEXtitle 2 3 3 2" xfId="7794"/>
    <cellStyle name="SAPBEXtitle 2 3 3 3" xfId="10098"/>
    <cellStyle name="SAPBEXtitle 2 3 3 4" xfId="10354"/>
    <cellStyle name="SAPBEXtitle 2 3 3 5" xfId="10394"/>
    <cellStyle name="SAPBEXtitle 2 3 4" xfId="5597"/>
    <cellStyle name="SAPBEXtitle 2 3 5" xfId="10480"/>
    <cellStyle name="SAPBEXtitle 2 4" xfId="1552"/>
    <cellStyle name="SAPBEXtitle 2 4 2" xfId="3747"/>
    <cellStyle name="SAPBEXtitle 2 4 2 2" xfId="8190"/>
    <cellStyle name="SAPBEXtitle 2 4 2 3" xfId="10328"/>
    <cellStyle name="SAPBEXtitle 2 4 2 4" xfId="10415"/>
    <cellStyle name="SAPBEXtitle 2 4 2 5" xfId="9834"/>
    <cellStyle name="SAPBEXtitle 2 4 3" xfId="5995"/>
    <cellStyle name="SAPBEXtitle 2 4 4" xfId="9448"/>
    <cellStyle name="SAPBEXtitle 2 4 5" xfId="9602"/>
    <cellStyle name="SAPBEXtitle 2 4 6" xfId="10681"/>
    <cellStyle name="SAPBEXtitle 2 5" xfId="2661"/>
    <cellStyle name="SAPBEXtitle 2 5 2" xfId="7104"/>
    <cellStyle name="SAPBEXtitle 2 5 3" xfId="9878"/>
    <cellStyle name="SAPBEXtitle 2 5 4" xfId="10405"/>
    <cellStyle name="SAPBEXtitle 2 5 5" xfId="10345"/>
    <cellStyle name="SAPBEXtitle 2 6" xfId="4907"/>
    <cellStyle name="SAPBEXtitle 2 7" xfId="9893"/>
    <cellStyle name="SAPBEXtitle 3" xfId="1365"/>
    <cellStyle name="SAPBEXtitle 3 2" xfId="3560"/>
    <cellStyle name="SAPBEXtitle 3 2 2" xfId="8003"/>
    <cellStyle name="SAPBEXtitle 3 2 3" xfId="10239"/>
    <cellStyle name="SAPBEXtitle 3 2 4" xfId="9624"/>
    <cellStyle name="SAPBEXtitle 3 2 5" xfId="10696"/>
    <cellStyle name="SAPBEXtitle 3 3" xfId="5808"/>
    <cellStyle name="SAPBEXtitle 3 4" xfId="9361"/>
    <cellStyle name="SAPBEXtitle 3 5" xfId="9746"/>
    <cellStyle name="SAPBEXtitle 3 6" xfId="4629"/>
    <cellStyle name="SAPBEXtitle 4" xfId="2474"/>
    <cellStyle name="SAPBEXtitle 4 2" xfId="6917"/>
    <cellStyle name="SAPBEXtitle 4 3" xfId="9793"/>
    <cellStyle name="SAPBEXtitle 4 4" xfId="9610"/>
    <cellStyle name="SAPBEXtitle 4 5" xfId="10686"/>
    <cellStyle name="SAPBEXtitle 5" xfId="4712"/>
    <cellStyle name="SAPBEXtitle 6" xfId="9305"/>
    <cellStyle name="SAPBEXunassignedItem" xfId="252"/>
    <cellStyle name="SAPBEXunassignedItem 2" xfId="614"/>
    <cellStyle name="SAPBEXunassignedItem 2 2" xfId="1147"/>
    <cellStyle name="SAPBEXunassignedItem 2 2 2" xfId="2238"/>
    <cellStyle name="SAPBEXunassignedItem 2 2 2 2" xfId="4433"/>
    <cellStyle name="SAPBEXunassignedItem 2 2 2 2 2" xfId="8876"/>
    <cellStyle name="SAPBEXunassignedItem 2 2 2 2 3" xfId="10527"/>
    <cellStyle name="SAPBEXunassignedItem 2 2 2 2 4" xfId="10716"/>
    <cellStyle name="SAPBEXunassignedItem 2 2 2 2 5" xfId="10817"/>
    <cellStyle name="SAPBEXunassignedItem 2 2 2 3" xfId="6681"/>
    <cellStyle name="SAPBEXunassignedItem 2 2 2 4" xfId="9645"/>
    <cellStyle name="SAPBEXunassignedItem 2 2 2 5" xfId="4669"/>
    <cellStyle name="SAPBEXunassignedItem 2 2 2 6" xfId="4660"/>
    <cellStyle name="SAPBEXunassignedItem 2 2 3" xfId="3347"/>
    <cellStyle name="SAPBEXunassignedItem 2 2 3 2" xfId="7790"/>
    <cellStyle name="SAPBEXunassignedItem 2 2 3 3" xfId="10094"/>
    <cellStyle name="SAPBEXunassignedItem 2 2 3 4" xfId="9738"/>
    <cellStyle name="SAPBEXunassignedItem 2 2 3 5" xfId="10359"/>
    <cellStyle name="SAPBEXunassignedItem 2 2 4" xfId="5593"/>
    <cellStyle name="SAPBEXunassignedItem 2 2 5" xfId="9281"/>
    <cellStyle name="SAPBEXunassignedItem 2 2 6" xfId="9104"/>
    <cellStyle name="SAPBEXunassignedItem 2 2 7" xfId="9194"/>
    <cellStyle name="SAPBEXunassignedItem 2 3" xfId="1705"/>
    <cellStyle name="SAPBEXunassignedItem 2 3 2" xfId="3900"/>
    <cellStyle name="SAPBEXunassignedItem 2 3 2 2" xfId="8343"/>
    <cellStyle name="SAPBEXunassignedItem 2 3 2 3" xfId="10370"/>
    <cellStyle name="SAPBEXunassignedItem 2 3 2 4" xfId="9289"/>
    <cellStyle name="SAPBEXunassignedItem 2 3 2 5" xfId="10391"/>
    <cellStyle name="SAPBEXunassignedItem 2 3 3" xfId="6148"/>
    <cellStyle name="SAPBEXunassignedItem 2 3 4" xfId="9499"/>
    <cellStyle name="SAPBEXunassignedItem 2 3 5" xfId="9152"/>
    <cellStyle name="SAPBEXunassignedItem 2 3 6" xfId="9150"/>
    <cellStyle name="SAPBEXunassignedItem 2 4" xfId="2814"/>
    <cellStyle name="SAPBEXunassignedItem 2 4 2" xfId="7257"/>
    <cellStyle name="SAPBEXunassignedItem 2 4 3" xfId="9925"/>
    <cellStyle name="SAPBEXunassignedItem 2 4 4" xfId="9244"/>
    <cellStyle name="SAPBEXunassignedItem 2 4 5" xfId="9990"/>
    <cellStyle name="SAPBEXunassignedItem 2 5" xfId="5060"/>
    <cellStyle name="SAPBEXunassignedItem 2 6" xfId="9135"/>
    <cellStyle name="SAPBEXunassignedItem 2 7" xfId="9271"/>
    <cellStyle name="SAPBEXunassignedItem 2 8" xfId="9374"/>
    <cellStyle name="SAPBEXunassignedItem 3" xfId="1366"/>
    <cellStyle name="SAPBEXunassignedItem 3 2" xfId="3561"/>
    <cellStyle name="SAPBEXunassignedItem 3 2 2" xfId="8004"/>
    <cellStyle name="SAPBEXunassignedItem 3 2 3" xfId="10240"/>
    <cellStyle name="SAPBEXunassignedItem 3 2 4" xfId="9270"/>
    <cellStyle name="SAPBEXunassignedItem 3 2 5" xfId="9806"/>
    <cellStyle name="SAPBEXunassignedItem 3 3" xfId="5809"/>
    <cellStyle name="SAPBEXunassignedItem 3 4" xfId="9362"/>
    <cellStyle name="SAPBEXunassignedItem 3 5" xfId="10193"/>
    <cellStyle name="SAPBEXunassignedItem 3 6" xfId="9495"/>
    <cellStyle name="SAPBEXunassignedItem 4" xfId="2475"/>
    <cellStyle name="SAPBEXunassignedItem 4 2" xfId="6918"/>
    <cellStyle name="SAPBEXunassignedItem 4 3" xfId="9247"/>
    <cellStyle name="SAPBEXunassignedItem 4 4" xfId="10511"/>
    <cellStyle name="SAPBEXunassignedItem 5" xfId="4713"/>
    <cellStyle name="SAPBEXunassignedItem 6" xfId="10060"/>
    <cellStyle name="SAPBEXunassignedItem 7" xfId="9113"/>
    <cellStyle name="SAPBEXundefined" xfId="253"/>
    <cellStyle name="SAPBEXundefined 2" xfId="462"/>
    <cellStyle name="SAPBEXundefined 2 2" xfId="1193"/>
    <cellStyle name="SAPBEXundefined 2 2 2" xfId="2284"/>
    <cellStyle name="SAPBEXundefined 2 2 2 2" xfId="4479"/>
    <cellStyle name="SAPBEXundefined 2 2 2 2 2" xfId="8922"/>
    <cellStyle name="SAPBEXundefined 2 2 2 2 3" xfId="10573"/>
    <cellStyle name="SAPBEXundefined 2 2 2 2 4" xfId="10762"/>
    <cellStyle name="SAPBEXundefined 2 2 2 2 5" xfId="10863"/>
    <cellStyle name="SAPBEXundefined 2 2 2 3" xfId="6727"/>
    <cellStyle name="SAPBEXundefined 2 2 2 4" xfId="9690"/>
    <cellStyle name="SAPBEXundefined 2 2 2 5" xfId="9251"/>
    <cellStyle name="SAPBEXundefined 2 2 2 6" xfId="9372"/>
    <cellStyle name="SAPBEXundefined 2 2 3" xfId="3393"/>
    <cellStyle name="SAPBEXundefined 2 2 3 2" xfId="7836"/>
    <cellStyle name="SAPBEXundefined 2 2 3 3" xfId="10140"/>
    <cellStyle name="SAPBEXundefined 2 2 3 4" xfId="9613"/>
    <cellStyle name="SAPBEXundefined 2 2 3 5" xfId="10689"/>
    <cellStyle name="SAPBEXundefined 2 2 4" xfId="5639"/>
    <cellStyle name="SAPBEXundefined 2 2 5" xfId="10701"/>
    <cellStyle name="SAPBEXundefined 2 3" xfId="1223"/>
    <cellStyle name="SAPBEXundefined 2 3 2" xfId="2314"/>
    <cellStyle name="SAPBEXundefined 2 3 2 2" xfId="4509"/>
    <cellStyle name="SAPBEXundefined 2 3 2 2 2" xfId="8952"/>
    <cellStyle name="SAPBEXundefined 2 3 2 2 3" xfId="10598"/>
    <cellStyle name="SAPBEXundefined 2 3 2 2 4" xfId="10784"/>
    <cellStyle name="SAPBEXundefined 2 3 2 2 5" xfId="10884"/>
    <cellStyle name="SAPBEXundefined 2 3 2 3" xfId="6757"/>
    <cellStyle name="SAPBEXundefined 2 3 2 4" xfId="9712"/>
    <cellStyle name="SAPBEXundefined 2 3 2 5" xfId="9922"/>
    <cellStyle name="SAPBEXundefined 2 3 2 6" xfId="10444"/>
    <cellStyle name="SAPBEXundefined 2 3 3" xfId="3423"/>
    <cellStyle name="SAPBEXundefined 2 3 3 2" xfId="7866"/>
    <cellStyle name="SAPBEXundefined 2 3 3 3" xfId="10161"/>
    <cellStyle name="SAPBEXundefined 2 3 3 4" xfId="9369"/>
    <cellStyle name="SAPBEXundefined 2 3 3 5" xfId="9910"/>
    <cellStyle name="SAPBEXundefined 2 3 4" xfId="5669"/>
    <cellStyle name="SAPBEXundefined 2 3 5" xfId="9398"/>
    <cellStyle name="SAPBEXundefined 2 4" xfId="1553"/>
    <cellStyle name="SAPBEXundefined 2 4 2" xfId="3748"/>
    <cellStyle name="SAPBEXundefined 2 4 2 2" xfId="8191"/>
    <cellStyle name="SAPBEXundefined 2 4 2 3" xfId="10329"/>
    <cellStyle name="SAPBEXundefined 2 4 2 4" xfId="9553"/>
    <cellStyle name="SAPBEXundefined 2 4 2 5" xfId="10640"/>
    <cellStyle name="SAPBEXundefined 2 4 3" xfId="5996"/>
    <cellStyle name="SAPBEXundefined 2 4 4" xfId="9449"/>
    <cellStyle name="SAPBEXundefined 2 4 5" xfId="9238"/>
    <cellStyle name="SAPBEXundefined 2 4 6" xfId="9628"/>
    <cellStyle name="SAPBEXundefined 2 5" xfId="2662"/>
    <cellStyle name="SAPBEXundefined 2 5 2" xfId="7105"/>
    <cellStyle name="SAPBEXundefined 2 5 3" xfId="9879"/>
    <cellStyle name="SAPBEXundefined 2 5 4" xfId="9543"/>
    <cellStyle name="SAPBEXundefined 2 5 5" xfId="10630"/>
    <cellStyle name="SAPBEXundefined 2 6" xfId="4908"/>
    <cellStyle name="SAPBEXundefined 2 7" xfId="4658"/>
    <cellStyle name="SAPBEXundefined 3" xfId="1367"/>
    <cellStyle name="SAPBEXundefined 3 2" xfId="3562"/>
    <cellStyle name="SAPBEXundefined 3 2 2" xfId="8005"/>
    <cellStyle name="SAPBEXundefined 3 2 3" xfId="10241"/>
    <cellStyle name="SAPBEXundefined 3 2 4" xfId="9098"/>
    <cellStyle name="SAPBEXundefined 3 2 5" xfId="9106"/>
    <cellStyle name="SAPBEXundefined 3 3" xfId="5810"/>
    <cellStyle name="SAPBEXundefined 3 4" xfId="9363"/>
    <cellStyle name="SAPBEXundefined 3 5" xfId="9316"/>
    <cellStyle name="SAPBEXundefined 3 6" xfId="9505"/>
    <cellStyle name="SAPBEXundefined 4" xfId="2476"/>
    <cellStyle name="SAPBEXundefined 4 2" xfId="6919"/>
    <cellStyle name="SAPBEXundefined 4 3" xfId="9794"/>
    <cellStyle name="SAPBEXundefined 4 4" xfId="9077"/>
    <cellStyle name="SAPBEXundefined 4 5" xfId="10355"/>
    <cellStyle name="SAPBEXundefined 5" xfId="4714"/>
    <cellStyle name="SAPBEXundefined 6" xfId="9823"/>
    <cellStyle name="Sheet Title" xfId="254"/>
    <cellStyle name="강조색1 2" xfId="255"/>
    <cellStyle name="강조색2 2" xfId="256"/>
    <cellStyle name="강조색3 2" xfId="257"/>
    <cellStyle name="강조색4 2" xfId="258"/>
    <cellStyle name="강조색5 2" xfId="259"/>
    <cellStyle name="강조색6 2" xfId="260"/>
    <cellStyle name="경고문 2" xfId="261"/>
    <cellStyle name="계산 2" xfId="262"/>
    <cellStyle name="계산 2 2" xfId="463"/>
    <cellStyle name="계산 2 2 2" xfId="1194"/>
    <cellStyle name="계산 2 2 2 2" xfId="2285"/>
    <cellStyle name="계산 2 2 2 2 2" xfId="4480"/>
    <cellStyle name="계산 2 2 2 2 2 2" xfId="8923"/>
    <cellStyle name="계산 2 2 2 2 2 3" xfId="10574"/>
    <cellStyle name="계산 2 2 2 2 2 4" xfId="10763"/>
    <cellStyle name="계산 2 2 2 2 2 5" xfId="10864"/>
    <cellStyle name="계산 2 2 2 2 3" xfId="6728"/>
    <cellStyle name="계산 2 2 2 2 4" xfId="9691"/>
    <cellStyle name="계산 2 2 2 2 5" xfId="9084"/>
    <cellStyle name="계산 2 2 2 2 6" xfId="9825"/>
    <cellStyle name="계산 2 2 2 3" xfId="3394"/>
    <cellStyle name="계산 2 2 2 3 2" xfId="7837"/>
    <cellStyle name="계산 2 2 2 3 3" xfId="10141"/>
    <cellStyle name="계산 2 2 2 3 4" xfId="9252"/>
    <cellStyle name="계산 2 2 2 3 5" xfId="9930"/>
    <cellStyle name="계산 2 2 2 4" xfId="5640"/>
    <cellStyle name="계산 2 2 2 5" xfId="10416"/>
    <cellStyle name="계산 2 2 3" xfId="1215"/>
    <cellStyle name="계산 2 2 3 2" xfId="2306"/>
    <cellStyle name="계산 2 2 3 2 2" xfId="4501"/>
    <cellStyle name="계산 2 2 3 2 2 2" xfId="8944"/>
    <cellStyle name="계산 2 2 3 2 2 3" xfId="10590"/>
    <cellStyle name="계산 2 2 3 2 2 4" xfId="10776"/>
    <cellStyle name="계산 2 2 3 2 2 5" xfId="10876"/>
    <cellStyle name="계산 2 2 3 2 3" xfId="6749"/>
    <cellStyle name="계산 2 2 3 2 4" xfId="9704"/>
    <cellStyle name="계산 2 2 3 2 5" xfId="9626"/>
    <cellStyle name="계산 2 2 3 2 6" xfId="10698"/>
    <cellStyle name="계산 2 2 3 3" xfId="3415"/>
    <cellStyle name="계산 2 2 3 3 2" xfId="7858"/>
    <cellStyle name="계산 2 2 3 3 3" xfId="10153"/>
    <cellStyle name="계산 2 2 3 3 4" xfId="10510"/>
    <cellStyle name="계산 2 2 3 3 5" xfId="9123"/>
    <cellStyle name="계산 2 2 3 4" xfId="5661"/>
    <cellStyle name="계산 2 2 3 5" xfId="9197"/>
    <cellStyle name="계산 2 2 4" xfId="1554"/>
    <cellStyle name="계산 2 2 4 2" xfId="3749"/>
    <cellStyle name="계산 2 2 4 2 2" xfId="8192"/>
    <cellStyle name="계산 2 2 4 2 3" xfId="10330"/>
    <cellStyle name="계산 2 2 4 2 4" xfId="9178"/>
    <cellStyle name="계산 2 2 4 2 5" xfId="10435"/>
    <cellStyle name="계산 2 2 4 3" xfId="5997"/>
    <cellStyle name="계산 2 2 4 4" xfId="9450"/>
    <cellStyle name="계산 2 2 4 5" xfId="9070"/>
    <cellStyle name="계산 2 2 4 6" xfId="9503"/>
    <cellStyle name="계산 2 2 5" xfId="2663"/>
    <cellStyle name="계산 2 2 5 2" xfId="7106"/>
    <cellStyle name="계산 2 2 5 3" xfId="9880"/>
    <cellStyle name="계산 2 2 5 4" xfId="9168"/>
    <cellStyle name="계산 2 2 5 5" xfId="10471"/>
    <cellStyle name="계산 2 2 6" xfId="4909"/>
    <cellStyle name="계산 2 2 7" xfId="10176"/>
    <cellStyle name="계산 2 3" xfId="1368"/>
    <cellStyle name="계산 2 3 2" xfId="3563"/>
    <cellStyle name="계산 2 3 2 2" xfId="8006"/>
    <cellStyle name="계산 2 3 2 3" xfId="10242"/>
    <cellStyle name="계산 2 3 2 4" xfId="9061"/>
    <cellStyle name="계산 2 3 2 5" xfId="9527"/>
    <cellStyle name="계산 2 3 3" xfId="5811"/>
    <cellStyle name="계산 2 3 4" xfId="9364"/>
    <cellStyle name="계산 2 3 5" xfId="9914"/>
    <cellStyle name="계산 2 3 6" xfId="9589"/>
    <cellStyle name="계산 2 4" xfId="2477"/>
    <cellStyle name="계산 2 4 2" xfId="6920"/>
    <cellStyle name="계산 2 4 3" xfId="9795"/>
    <cellStyle name="계산 2 4 4" xfId="9815"/>
    <cellStyle name="계산 2 4 5" xfId="10062"/>
    <cellStyle name="계산 2 5" xfId="4718"/>
    <cellStyle name="계산 2 6" xfId="10478"/>
    <cellStyle name="고정소숫점" xfId="107"/>
    <cellStyle name="고정출력1" xfId="108"/>
    <cellStyle name="고정출력2" xfId="109"/>
    <cellStyle name="나쁨 2" xfId="263"/>
    <cellStyle name="날짜" xfId="110"/>
    <cellStyle name="달러" xfId="111"/>
    <cellStyle name="똿뗦먛귟 [0.00]_laroux" xfId="112"/>
    <cellStyle name="똿뗦먛귟_laroux" xfId="113"/>
    <cellStyle name="메모 2" xfId="264"/>
    <cellStyle name="메모 2 2" xfId="464"/>
    <cellStyle name="메모 2 2 2" xfId="1195"/>
    <cellStyle name="메모 2 2 2 2" xfId="2286"/>
    <cellStyle name="메모 2 2 2 2 2" xfId="4481"/>
    <cellStyle name="메모 2 2 2 2 2 2" xfId="8924"/>
    <cellStyle name="메모 2 2 2 2 2 3" xfId="10575"/>
    <cellStyle name="메모 2 2 2 2 2 4" xfId="10764"/>
    <cellStyle name="메모 2 2 2 2 2 5" xfId="10865"/>
    <cellStyle name="메모 2 2 2 2 3" xfId="6729"/>
    <cellStyle name="메모 2 2 2 2 4" xfId="9692"/>
    <cellStyle name="메모 2 2 2 2 5" xfId="9817"/>
    <cellStyle name="메모 2 2 2 2 6" xfId="9255"/>
    <cellStyle name="메모 2 2 2 3" xfId="3395"/>
    <cellStyle name="메모 2 2 2 3 2" xfId="7838"/>
    <cellStyle name="메모 2 2 2 3 3" xfId="10142"/>
    <cellStyle name="메모 2 2 2 3 4" xfId="9085"/>
    <cellStyle name="메모 2 2 2 3 5" xfId="10275"/>
    <cellStyle name="메모 2 2 2 4" xfId="5641"/>
    <cellStyle name="메모 2 2 2 5" xfId="9471"/>
    <cellStyle name="메모 2 2 3" xfId="1139"/>
    <cellStyle name="메모 2 2 3 2" xfId="2230"/>
    <cellStyle name="메모 2 2 3 2 2" xfId="4425"/>
    <cellStyle name="메모 2 2 3 2 2 2" xfId="8868"/>
    <cellStyle name="메모 2 2 3 2 2 3" xfId="10519"/>
    <cellStyle name="메모 2 2 3 2 2 4" xfId="10708"/>
    <cellStyle name="메모 2 2 3 2 2 5" xfId="10809"/>
    <cellStyle name="메모 2 2 3 2 3" xfId="6673"/>
    <cellStyle name="메모 2 2 3 2 4" xfId="9637"/>
    <cellStyle name="메모 2 2 3 2 5" xfId="9534"/>
    <cellStyle name="메모 2 2 3 2 6" xfId="4636"/>
    <cellStyle name="메모 2 2 3 3" xfId="3339"/>
    <cellStyle name="메모 2 2 3 3 2" xfId="7782"/>
    <cellStyle name="메모 2 2 3 3 3" xfId="10086"/>
    <cellStyle name="메모 2 2 3 3 4" xfId="9551"/>
    <cellStyle name="메모 2 2 3 3 5" xfId="10637"/>
    <cellStyle name="메모 2 2 3 4" xfId="5585"/>
    <cellStyle name="메모 2 2 3 5" xfId="9066"/>
    <cellStyle name="메모 2 2 4" xfId="1555"/>
    <cellStyle name="메모 2 2 4 2" xfId="3750"/>
    <cellStyle name="메모 2 2 4 2 2" xfId="8193"/>
    <cellStyle name="메모 2 2 4 2 3" xfId="10331"/>
    <cellStyle name="메모 2 2 4 2 4" xfId="10061"/>
    <cellStyle name="메모 2 2 4 2 5" xfId="10270"/>
    <cellStyle name="메모 2 2 4 3" xfId="5998"/>
    <cellStyle name="메모 2 2 4 4" xfId="9451"/>
    <cellStyle name="메모 2 2 4 5" xfId="4661"/>
    <cellStyle name="메모 2 2 4 6" xfId="10039"/>
    <cellStyle name="메모 2 2 5" xfId="2664"/>
    <cellStyle name="메모 2 2 5 2" xfId="7107"/>
    <cellStyle name="메모 2 2 5 3" xfId="9881"/>
    <cellStyle name="메모 2 2 5 4" xfId="10052"/>
    <cellStyle name="메모 2 2 5 5" xfId="10434"/>
    <cellStyle name="메모 2 2 6" xfId="4910"/>
    <cellStyle name="메모 2 2 7" xfId="10447"/>
    <cellStyle name="메모 2 3" xfId="1369"/>
    <cellStyle name="메모 2 3 2" xfId="3564"/>
    <cellStyle name="메모 2 3 2 2" xfId="8007"/>
    <cellStyle name="메모 2 3 2 3" xfId="10243"/>
    <cellStyle name="메모 2 3 2 4" xfId="9029"/>
    <cellStyle name="메모 2 3 2 5" xfId="4659"/>
    <cellStyle name="메모 2 3 3" xfId="5812"/>
    <cellStyle name="메모 2 3 4" xfId="9365"/>
    <cellStyle name="메모 2 3 5" xfId="10360"/>
    <cellStyle name="메모 2 3 6" xfId="10179"/>
    <cellStyle name="메모 2 4" xfId="2478"/>
    <cellStyle name="메모 2 4 2" xfId="6921"/>
    <cellStyle name="메모 2 4 3" xfId="9796"/>
    <cellStyle name="메모 2 4 4" xfId="10260"/>
    <cellStyle name="메모 2 4 5" xfId="9814"/>
    <cellStyle name="메모 2 5" xfId="4719"/>
    <cellStyle name="메모 2 6" xfId="9200"/>
    <cellStyle name="믅됞 [0.00]_laroux" xfId="114"/>
    <cellStyle name="믅됞_laroux" xfId="115"/>
    <cellStyle name="백분율" xfId="3" builtinId="5"/>
    <cellStyle name="백분율 11" xfId="45"/>
    <cellStyle name="백분율 2" xfId="85"/>
    <cellStyle name="백분율 2 2" xfId="46"/>
    <cellStyle name="백분율 2 3" xfId="56"/>
    <cellStyle name="백분율 2 4" xfId="67"/>
    <cellStyle name="백분율 2 5" xfId="66"/>
    <cellStyle name="백분율 2 6" xfId="10901"/>
    <cellStyle name="백분율 3" xfId="88"/>
    <cellStyle name="백분율 4" xfId="190"/>
    <cellStyle name="백분율 5" xfId="81"/>
    <cellStyle name="백분율 6" xfId="285"/>
    <cellStyle name="보통 2" xfId="265"/>
    <cellStyle name="뷭?_BOOKSHIP" xfId="116"/>
    <cellStyle name="셀 확인 2" xfId="266"/>
    <cellStyle name="숫자(R)" xfId="117"/>
    <cellStyle name="쉼표 [0]" xfId="1" builtinId="6"/>
    <cellStyle name="쉼표 [0] 10" xfId="47"/>
    <cellStyle name="쉼표 [0] 10 2" xfId="297"/>
    <cellStyle name="쉼표 [0] 10 2 2" xfId="483"/>
    <cellStyle name="쉼표 [0] 10 2 2 2" xfId="1067"/>
    <cellStyle name="쉼표 [0] 10 2 2 2 2" xfId="2158"/>
    <cellStyle name="쉼표 [0] 10 2 2 2 2 2" xfId="4353"/>
    <cellStyle name="쉼표 [0] 10 2 2 2 2 2 2" xfId="8796"/>
    <cellStyle name="쉼표 [0] 10 2 2 2 2 3" xfId="6601"/>
    <cellStyle name="쉼표 [0] 10 2 2 2 3" xfId="3267"/>
    <cellStyle name="쉼표 [0] 10 2 2 2 3 2" xfId="7710"/>
    <cellStyle name="쉼표 [0] 10 2 2 2 4" xfId="5513"/>
    <cellStyle name="쉼표 [0] 10 2 2 3" xfId="772"/>
    <cellStyle name="쉼표 [0] 10 2 2 3 2" xfId="1863"/>
    <cellStyle name="쉼표 [0] 10 2 2 3 2 2" xfId="4058"/>
    <cellStyle name="쉼표 [0] 10 2 2 3 2 2 2" xfId="8501"/>
    <cellStyle name="쉼표 [0] 10 2 2 3 2 3" xfId="6306"/>
    <cellStyle name="쉼표 [0] 10 2 2 3 3" xfId="2972"/>
    <cellStyle name="쉼표 [0] 10 2 2 3 3 2" xfId="7415"/>
    <cellStyle name="쉼표 [0] 10 2 2 3 4" xfId="5218"/>
    <cellStyle name="쉼표 [0] 10 2 2 4" xfId="1574"/>
    <cellStyle name="쉼표 [0] 10 2 2 4 2" xfId="3769"/>
    <cellStyle name="쉼표 [0] 10 2 2 4 2 2" xfId="8212"/>
    <cellStyle name="쉼표 [0] 10 2 2 4 3" xfId="6017"/>
    <cellStyle name="쉼표 [0] 10 2 2 5" xfId="2683"/>
    <cellStyle name="쉼표 [0] 10 2 2 5 2" xfId="7126"/>
    <cellStyle name="쉼표 [0] 10 2 2 6" xfId="4929"/>
    <cellStyle name="쉼표 [0] 10 2 3" xfId="925"/>
    <cellStyle name="쉼표 [0] 10 2 3 2" xfId="2016"/>
    <cellStyle name="쉼표 [0] 10 2 3 2 2" xfId="4211"/>
    <cellStyle name="쉼표 [0] 10 2 3 2 2 2" xfId="8654"/>
    <cellStyle name="쉼표 [0] 10 2 3 2 3" xfId="6459"/>
    <cellStyle name="쉼표 [0] 10 2 3 3" xfId="3125"/>
    <cellStyle name="쉼표 [0] 10 2 3 3 2" xfId="7568"/>
    <cellStyle name="쉼표 [0] 10 2 3 4" xfId="5371"/>
    <cellStyle name="쉼표 [0] 10 2 4" xfId="630"/>
    <cellStyle name="쉼표 [0] 10 2 4 2" xfId="1721"/>
    <cellStyle name="쉼표 [0] 10 2 4 2 2" xfId="3916"/>
    <cellStyle name="쉼표 [0] 10 2 4 2 2 2" xfId="8359"/>
    <cellStyle name="쉼표 [0] 10 2 4 2 3" xfId="6164"/>
    <cellStyle name="쉼표 [0] 10 2 4 3" xfId="2830"/>
    <cellStyle name="쉼표 [0] 10 2 4 3 2" xfId="7273"/>
    <cellStyle name="쉼표 [0] 10 2 4 4" xfId="5076"/>
    <cellStyle name="쉼표 [0] 10 2 5" xfId="1388"/>
    <cellStyle name="쉼표 [0] 10 2 5 2" xfId="3583"/>
    <cellStyle name="쉼표 [0] 10 2 5 2 2" xfId="8026"/>
    <cellStyle name="쉼표 [0] 10 2 5 3" xfId="5831"/>
    <cellStyle name="쉼표 [0] 10 2 6" xfId="2497"/>
    <cellStyle name="쉼표 [0] 10 2 6 2" xfId="6940"/>
    <cellStyle name="쉼표 [0] 10 2 7" xfId="4743"/>
    <cellStyle name="쉼표 [0] 10 3" xfId="389"/>
    <cellStyle name="쉼표 [0] 10 3 2" xfId="1017"/>
    <cellStyle name="쉼표 [0] 10 3 2 2" xfId="2108"/>
    <cellStyle name="쉼표 [0] 10 3 2 2 2" xfId="4303"/>
    <cellStyle name="쉼표 [0] 10 3 2 2 2 2" xfId="8746"/>
    <cellStyle name="쉼표 [0] 10 3 2 2 3" xfId="6551"/>
    <cellStyle name="쉼표 [0] 10 3 2 3" xfId="3217"/>
    <cellStyle name="쉼표 [0] 10 3 2 3 2" xfId="7660"/>
    <cellStyle name="쉼표 [0] 10 3 2 4" xfId="5463"/>
    <cellStyle name="쉼표 [0] 10 3 3" xfId="722"/>
    <cellStyle name="쉼표 [0] 10 3 3 2" xfId="1813"/>
    <cellStyle name="쉼표 [0] 10 3 3 2 2" xfId="4008"/>
    <cellStyle name="쉼표 [0] 10 3 3 2 2 2" xfId="8451"/>
    <cellStyle name="쉼표 [0] 10 3 3 2 3" xfId="6256"/>
    <cellStyle name="쉼표 [0] 10 3 3 3" xfId="2922"/>
    <cellStyle name="쉼표 [0] 10 3 3 3 2" xfId="7365"/>
    <cellStyle name="쉼표 [0] 10 3 3 4" xfId="5168"/>
    <cellStyle name="쉼표 [0] 10 3 4" xfId="1480"/>
    <cellStyle name="쉼표 [0] 10 3 4 2" xfId="3675"/>
    <cellStyle name="쉼표 [0] 10 3 4 2 2" xfId="8118"/>
    <cellStyle name="쉼표 [0] 10 3 4 3" xfId="5923"/>
    <cellStyle name="쉼표 [0] 10 3 5" xfId="2589"/>
    <cellStyle name="쉼표 [0] 10 3 5 2" xfId="7032"/>
    <cellStyle name="쉼표 [0] 10 3 6" xfId="4835"/>
    <cellStyle name="쉼표 [0] 10 4" xfId="875"/>
    <cellStyle name="쉼표 [0] 10 4 2" xfId="1966"/>
    <cellStyle name="쉼표 [0] 10 4 2 2" xfId="4161"/>
    <cellStyle name="쉼표 [0] 10 4 2 2 2" xfId="8604"/>
    <cellStyle name="쉼표 [0] 10 4 2 3" xfId="6409"/>
    <cellStyle name="쉼표 [0] 10 4 3" xfId="3075"/>
    <cellStyle name="쉼표 [0] 10 4 3 2" xfId="7518"/>
    <cellStyle name="쉼표 [0] 10 4 4" xfId="5321"/>
    <cellStyle name="쉼표 [0] 10 5" xfId="577"/>
    <cellStyle name="쉼표 [0] 10 5 2" xfId="1668"/>
    <cellStyle name="쉼표 [0] 10 5 2 2" xfId="3863"/>
    <cellStyle name="쉼표 [0] 10 5 2 2 2" xfId="8306"/>
    <cellStyle name="쉼표 [0] 10 5 2 3" xfId="6111"/>
    <cellStyle name="쉼표 [0] 10 5 3" xfId="2777"/>
    <cellStyle name="쉼표 [0] 10 5 3 2" xfId="7220"/>
    <cellStyle name="쉼표 [0] 10 5 4" xfId="5023"/>
    <cellStyle name="쉼표 [0] 10 6" xfId="1291"/>
    <cellStyle name="쉼표 [0] 10 6 2" xfId="3486"/>
    <cellStyle name="쉼표 [0] 10 6 2 2" xfId="7929"/>
    <cellStyle name="쉼표 [0] 10 6 3" xfId="5734"/>
    <cellStyle name="쉼표 [0] 10 7" xfId="2400"/>
    <cellStyle name="쉼표 [0] 10 7 2" xfId="6843"/>
    <cellStyle name="쉼표 [0] 10 8" xfId="4610"/>
    <cellStyle name="쉼표 [0] 11" xfId="42"/>
    <cellStyle name="쉼표 [0] 11 2" xfId="296"/>
    <cellStyle name="쉼표 [0] 11 2 2" xfId="482"/>
    <cellStyle name="쉼표 [0] 11 2 2 2" xfId="1066"/>
    <cellStyle name="쉼표 [0] 11 2 2 2 2" xfId="2157"/>
    <cellStyle name="쉼표 [0] 11 2 2 2 2 2" xfId="4352"/>
    <cellStyle name="쉼표 [0] 11 2 2 2 2 2 2" xfId="8795"/>
    <cellStyle name="쉼표 [0] 11 2 2 2 2 3" xfId="6600"/>
    <cellStyle name="쉼표 [0] 11 2 2 2 3" xfId="3266"/>
    <cellStyle name="쉼표 [0] 11 2 2 2 3 2" xfId="7709"/>
    <cellStyle name="쉼표 [0] 11 2 2 2 4" xfId="5512"/>
    <cellStyle name="쉼표 [0] 11 2 2 3" xfId="771"/>
    <cellStyle name="쉼표 [0] 11 2 2 3 2" xfId="1862"/>
    <cellStyle name="쉼표 [0] 11 2 2 3 2 2" xfId="4057"/>
    <cellStyle name="쉼표 [0] 11 2 2 3 2 2 2" xfId="8500"/>
    <cellStyle name="쉼표 [0] 11 2 2 3 2 3" xfId="6305"/>
    <cellStyle name="쉼표 [0] 11 2 2 3 3" xfId="2971"/>
    <cellStyle name="쉼표 [0] 11 2 2 3 3 2" xfId="7414"/>
    <cellStyle name="쉼표 [0] 11 2 2 3 4" xfId="5217"/>
    <cellStyle name="쉼표 [0] 11 2 2 4" xfId="1573"/>
    <cellStyle name="쉼표 [0] 11 2 2 4 2" xfId="3768"/>
    <cellStyle name="쉼표 [0] 11 2 2 4 2 2" xfId="8211"/>
    <cellStyle name="쉼표 [0] 11 2 2 4 3" xfId="6016"/>
    <cellStyle name="쉼표 [0] 11 2 2 5" xfId="2682"/>
    <cellStyle name="쉼표 [0] 11 2 2 5 2" xfId="7125"/>
    <cellStyle name="쉼표 [0] 11 2 2 6" xfId="4928"/>
    <cellStyle name="쉼표 [0] 11 2 3" xfId="924"/>
    <cellStyle name="쉼표 [0] 11 2 3 2" xfId="2015"/>
    <cellStyle name="쉼표 [0] 11 2 3 2 2" xfId="4210"/>
    <cellStyle name="쉼표 [0] 11 2 3 2 2 2" xfId="8653"/>
    <cellStyle name="쉼표 [0] 11 2 3 2 3" xfId="6458"/>
    <cellStyle name="쉼표 [0] 11 2 3 3" xfId="3124"/>
    <cellStyle name="쉼표 [0] 11 2 3 3 2" xfId="7567"/>
    <cellStyle name="쉼표 [0] 11 2 3 4" xfId="5370"/>
    <cellStyle name="쉼표 [0] 11 2 4" xfId="629"/>
    <cellStyle name="쉼표 [0] 11 2 4 2" xfId="1720"/>
    <cellStyle name="쉼표 [0] 11 2 4 2 2" xfId="3915"/>
    <cellStyle name="쉼표 [0] 11 2 4 2 2 2" xfId="8358"/>
    <cellStyle name="쉼표 [0] 11 2 4 2 3" xfId="6163"/>
    <cellStyle name="쉼표 [0] 11 2 4 3" xfId="2829"/>
    <cellStyle name="쉼표 [0] 11 2 4 3 2" xfId="7272"/>
    <cellStyle name="쉼표 [0] 11 2 4 4" xfId="5075"/>
    <cellStyle name="쉼표 [0] 11 2 5" xfId="1387"/>
    <cellStyle name="쉼표 [0] 11 2 5 2" xfId="3582"/>
    <cellStyle name="쉼표 [0] 11 2 5 2 2" xfId="8025"/>
    <cellStyle name="쉼표 [0] 11 2 5 3" xfId="5830"/>
    <cellStyle name="쉼표 [0] 11 2 6" xfId="2496"/>
    <cellStyle name="쉼표 [0] 11 2 6 2" xfId="6939"/>
    <cellStyle name="쉼표 [0] 11 2 7" xfId="4742"/>
    <cellStyle name="쉼표 [0] 11 3" xfId="388"/>
    <cellStyle name="쉼표 [0] 11 3 2" xfId="1016"/>
    <cellStyle name="쉼표 [0] 11 3 2 2" xfId="2107"/>
    <cellStyle name="쉼표 [0] 11 3 2 2 2" xfId="4302"/>
    <cellStyle name="쉼표 [0] 11 3 2 2 2 2" xfId="8745"/>
    <cellStyle name="쉼표 [0] 11 3 2 2 3" xfId="6550"/>
    <cellStyle name="쉼표 [0] 11 3 2 3" xfId="3216"/>
    <cellStyle name="쉼표 [0] 11 3 2 3 2" xfId="7659"/>
    <cellStyle name="쉼표 [0] 11 3 2 4" xfId="5462"/>
    <cellStyle name="쉼표 [0] 11 3 3" xfId="721"/>
    <cellStyle name="쉼표 [0] 11 3 3 2" xfId="1812"/>
    <cellStyle name="쉼표 [0] 11 3 3 2 2" xfId="4007"/>
    <cellStyle name="쉼표 [0] 11 3 3 2 2 2" xfId="8450"/>
    <cellStyle name="쉼표 [0] 11 3 3 2 3" xfId="6255"/>
    <cellStyle name="쉼표 [0] 11 3 3 3" xfId="2921"/>
    <cellStyle name="쉼표 [0] 11 3 3 3 2" xfId="7364"/>
    <cellStyle name="쉼표 [0] 11 3 3 4" xfId="5167"/>
    <cellStyle name="쉼표 [0] 11 3 4" xfId="1479"/>
    <cellStyle name="쉼표 [0] 11 3 4 2" xfId="3674"/>
    <cellStyle name="쉼표 [0] 11 3 4 2 2" xfId="8117"/>
    <cellStyle name="쉼표 [0] 11 3 4 3" xfId="5922"/>
    <cellStyle name="쉼표 [0] 11 3 5" xfId="2588"/>
    <cellStyle name="쉼표 [0] 11 3 5 2" xfId="7031"/>
    <cellStyle name="쉼표 [0] 11 3 6" xfId="4834"/>
    <cellStyle name="쉼표 [0] 11 4" xfId="873"/>
    <cellStyle name="쉼표 [0] 11 4 2" xfId="1964"/>
    <cellStyle name="쉼표 [0] 11 4 2 2" xfId="4159"/>
    <cellStyle name="쉼표 [0] 11 4 2 2 2" xfId="8602"/>
    <cellStyle name="쉼표 [0] 11 4 2 3" xfId="6407"/>
    <cellStyle name="쉼표 [0] 11 4 3" xfId="3073"/>
    <cellStyle name="쉼표 [0] 11 4 3 2" xfId="7516"/>
    <cellStyle name="쉼표 [0] 11 4 4" xfId="5319"/>
    <cellStyle name="쉼표 [0] 11 5" xfId="575"/>
    <cellStyle name="쉼표 [0] 11 5 2" xfId="1666"/>
    <cellStyle name="쉼표 [0] 11 5 2 2" xfId="3861"/>
    <cellStyle name="쉼표 [0] 11 5 2 2 2" xfId="8304"/>
    <cellStyle name="쉼표 [0] 11 5 2 3" xfId="6109"/>
    <cellStyle name="쉼표 [0] 11 5 3" xfId="2775"/>
    <cellStyle name="쉼표 [0] 11 5 3 2" xfId="7218"/>
    <cellStyle name="쉼표 [0] 11 5 4" xfId="5021"/>
    <cellStyle name="쉼표 [0] 11 6" xfId="1289"/>
    <cellStyle name="쉼표 [0] 11 6 2" xfId="3484"/>
    <cellStyle name="쉼표 [0] 11 6 2 2" xfId="7927"/>
    <cellStyle name="쉼표 [0] 11 6 3" xfId="5732"/>
    <cellStyle name="쉼표 [0] 11 7" xfId="2398"/>
    <cellStyle name="쉼표 [0] 11 7 2" xfId="6841"/>
    <cellStyle name="쉼표 [0] 11 8" xfId="4607"/>
    <cellStyle name="쉼표 [0] 12" xfId="40"/>
    <cellStyle name="쉼표 [0] 12 2" xfId="295"/>
    <cellStyle name="쉼표 [0] 12 2 2" xfId="481"/>
    <cellStyle name="쉼표 [0] 12 2 2 2" xfId="1065"/>
    <cellStyle name="쉼표 [0] 12 2 2 2 2" xfId="2156"/>
    <cellStyle name="쉼표 [0] 12 2 2 2 2 2" xfId="4351"/>
    <cellStyle name="쉼표 [0] 12 2 2 2 2 2 2" xfId="8794"/>
    <cellStyle name="쉼표 [0] 12 2 2 2 2 3" xfId="6599"/>
    <cellStyle name="쉼표 [0] 12 2 2 2 3" xfId="3265"/>
    <cellStyle name="쉼표 [0] 12 2 2 2 3 2" xfId="7708"/>
    <cellStyle name="쉼표 [0] 12 2 2 2 4" xfId="5511"/>
    <cellStyle name="쉼표 [0] 12 2 2 3" xfId="770"/>
    <cellStyle name="쉼표 [0] 12 2 2 3 2" xfId="1861"/>
    <cellStyle name="쉼표 [0] 12 2 2 3 2 2" xfId="4056"/>
    <cellStyle name="쉼표 [0] 12 2 2 3 2 2 2" xfId="8499"/>
    <cellStyle name="쉼표 [0] 12 2 2 3 2 3" xfId="6304"/>
    <cellStyle name="쉼표 [0] 12 2 2 3 3" xfId="2970"/>
    <cellStyle name="쉼표 [0] 12 2 2 3 3 2" xfId="7413"/>
    <cellStyle name="쉼표 [0] 12 2 2 3 4" xfId="5216"/>
    <cellStyle name="쉼표 [0] 12 2 2 4" xfId="1572"/>
    <cellStyle name="쉼표 [0] 12 2 2 4 2" xfId="3767"/>
    <cellStyle name="쉼표 [0] 12 2 2 4 2 2" xfId="8210"/>
    <cellStyle name="쉼표 [0] 12 2 2 4 3" xfId="6015"/>
    <cellStyle name="쉼표 [0] 12 2 2 5" xfId="2681"/>
    <cellStyle name="쉼표 [0] 12 2 2 5 2" xfId="7124"/>
    <cellStyle name="쉼표 [0] 12 2 2 6" xfId="4927"/>
    <cellStyle name="쉼표 [0] 12 2 3" xfId="923"/>
    <cellStyle name="쉼표 [0] 12 2 3 2" xfId="2014"/>
    <cellStyle name="쉼표 [0] 12 2 3 2 2" xfId="4209"/>
    <cellStyle name="쉼표 [0] 12 2 3 2 2 2" xfId="8652"/>
    <cellStyle name="쉼표 [0] 12 2 3 2 3" xfId="6457"/>
    <cellStyle name="쉼표 [0] 12 2 3 3" xfId="3123"/>
    <cellStyle name="쉼표 [0] 12 2 3 3 2" xfId="7566"/>
    <cellStyle name="쉼표 [0] 12 2 3 4" xfId="5369"/>
    <cellStyle name="쉼표 [0] 12 2 4" xfId="628"/>
    <cellStyle name="쉼표 [0] 12 2 4 2" xfId="1719"/>
    <cellStyle name="쉼표 [0] 12 2 4 2 2" xfId="3914"/>
    <cellStyle name="쉼표 [0] 12 2 4 2 2 2" xfId="8357"/>
    <cellStyle name="쉼표 [0] 12 2 4 2 3" xfId="6162"/>
    <cellStyle name="쉼표 [0] 12 2 4 3" xfId="2828"/>
    <cellStyle name="쉼표 [0] 12 2 4 3 2" xfId="7271"/>
    <cellStyle name="쉼표 [0] 12 2 4 4" xfId="5074"/>
    <cellStyle name="쉼표 [0] 12 2 5" xfId="1386"/>
    <cellStyle name="쉼표 [0] 12 2 5 2" xfId="3581"/>
    <cellStyle name="쉼표 [0] 12 2 5 2 2" xfId="8024"/>
    <cellStyle name="쉼표 [0] 12 2 5 3" xfId="5829"/>
    <cellStyle name="쉼표 [0] 12 2 6" xfId="2495"/>
    <cellStyle name="쉼표 [0] 12 2 6 2" xfId="6938"/>
    <cellStyle name="쉼표 [0] 12 2 7" xfId="4741"/>
    <cellStyle name="쉼표 [0] 12 3" xfId="387"/>
    <cellStyle name="쉼표 [0] 12 3 2" xfId="1015"/>
    <cellStyle name="쉼표 [0] 12 3 2 2" xfId="2106"/>
    <cellStyle name="쉼표 [0] 12 3 2 2 2" xfId="4301"/>
    <cellStyle name="쉼표 [0] 12 3 2 2 2 2" xfId="8744"/>
    <cellStyle name="쉼표 [0] 12 3 2 2 3" xfId="6549"/>
    <cellStyle name="쉼표 [0] 12 3 2 3" xfId="3215"/>
    <cellStyle name="쉼표 [0] 12 3 2 3 2" xfId="7658"/>
    <cellStyle name="쉼표 [0] 12 3 2 4" xfId="5461"/>
    <cellStyle name="쉼표 [0] 12 3 3" xfId="720"/>
    <cellStyle name="쉼표 [0] 12 3 3 2" xfId="1811"/>
    <cellStyle name="쉼표 [0] 12 3 3 2 2" xfId="4006"/>
    <cellStyle name="쉼표 [0] 12 3 3 2 2 2" xfId="8449"/>
    <cellStyle name="쉼표 [0] 12 3 3 2 3" xfId="6254"/>
    <cellStyle name="쉼표 [0] 12 3 3 3" xfId="2920"/>
    <cellStyle name="쉼표 [0] 12 3 3 3 2" xfId="7363"/>
    <cellStyle name="쉼표 [0] 12 3 3 4" xfId="5166"/>
    <cellStyle name="쉼표 [0] 12 3 4" xfId="1478"/>
    <cellStyle name="쉼표 [0] 12 3 4 2" xfId="3673"/>
    <cellStyle name="쉼표 [0] 12 3 4 2 2" xfId="8116"/>
    <cellStyle name="쉼표 [0] 12 3 4 3" xfId="5921"/>
    <cellStyle name="쉼표 [0] 12 3 5" xfId="2587"/>
    <cellStyle name="쉼표 [0] 12 3 5 2" xfId="7030"/>
    <cellStyle name="쉼표 [0] 12 3 6" xfId="4833"/>
    <cellStyle name="쉼표 [0] 12 4" xfId="872"/>
    <cellStyle name="쉼표 [0] 12 4 2" xfId="1963"/>
    <cellStyle name="쉼표 [0] 12 4 2 2" xfId="4158"/>
    <cellStyle name="쉼표 [0] 12 4 2 2 2" xfId="8601"/>
    <cellStyle name="쉼표 [0] 12 4 2 3" xfId="6406"/>
    <cellStyle name="쉼표 [0] 12 4 3" xfId="3072"/>
    <cellStyle name="쉼표 [0] 12 4 3 2" xfId="7515"/>
    <cellStyle name="쉼표 [0] 12 4 4" xfId="5318"/>
    <cellStyle name="쉼표 [0] 12 5" xfId="574"/>
    <cellStyle name="쉼표 [0] 12 5 2" xfId="1665"/>
    <cellStyle name="쉼표 [0] 12 5 2 2" xfId="3860"/>
    <cellStyle name="쉼표 [0] 12 5 2 2 2" xfId="8303"/>
    <cellStyle name="쉼표 [0] 12 5 2 3" xfId="6108"/>
    <cellStyle name="쉼표 [0] 12 5 3" xfId="2774"/>
    <cellStyle name="쉼표 [0] 12 5 3 2" xfId="7217"/>
    <cellStyle name="쉼표 [0] 12 5 4" xfId="5020"/>
    <cellStyle name="쉼표 [0] 12 6" xfId="1288"/>
    <cellStyle name="쉼표 [0] 12 6 2" xfId="3483"/>
    <cellStyle name="쉼표 [0] 12 6 2 2" xfId="7926"/>
    <cellStyle name="쉼표 [0] 12 6 3" xfId="5731"/>
    <cellStyle name="쉼표 [0] 12 7" xfId="2397"/>
    <cellStyle name="쉼표 [0] 12 7 2" xfId="6840"/>
    <cellStyle name="쉼표 [0] 12 8" xfId="4606"/>
    <cellStyle name="쉼표 [0] 13" xfId="48"/>
    <cellStyle name="쉼표 [0] 13 2" xfId="298"/>
    <cellStyle name="쉼표 [0] 13 2 2" xfId="484"/>
    <cellStyle name="쉼표 [0] 13 2 2 2" xfId="1068"/>
    <cellStyle name="쉼표 [0] 13 2 2 2 2" xfId="2159"/>
    <cellStyle name="쉼표 [0] 13 2 2 2 2 2" xfId="4354"/>
    <cellStyle name="쉼표 [0] 13 2 2 2 2 2 2" xfId="8797"/>
    <cellStyle name="쉼표 [0] 13 2 2 2 2 3" xfId="6602"/>
    <cellStyle name="쉼표 [0] 13 2 2 2 3" xfId="3268"/>
    <cellStyle name="쉼표 [0] 13 2 2 2 3 2" xfId="7711"/>
    <cellStyle name="쉼표 [0] 13 2 2 2 4" xfId="5514"/>
    <cellStyle name="쉼표 [0] 13 2 2 3" xfId="773"/>
    <cellStyle name="쉼표 [0] 13 2 2 3 2" xfId="1864"/>
    <cellStyle name="쉼표 [0] 13 2 2 3 2 2" xfId="4059"/>
    <cellStyle name="쉼표 [0] 13 2 2 3 2 2 2" xfId="8502"/>
    <cellStyle name="쉼표 [0] 13 2 2 3 2 3" xfId="6307"/>
    <cellStyle name="쉼표 [0] 13 2 2 3 3" xfId="2973"/>
    <cellStyle name="쉼표 [0] 13 2 2 3 3 2" xfId="7416"/>
    <cellStyle name="쉼표 [0] 13 2 2 3 4" xfId="5219"/>
    <cellStyle name="쉼표 [0] 13 2 2 4" xfId="1575"/>
    <cellStyle name="쉼표 [0] 13 2 2 4 2" xfId="3770"/>
    <cellStyle name="쉼표 [0] 13 2 2 4 2 2" xfId="8213"/>
    <cellStyle name="쉼표 [0] 13 2 2 4 3" xfId="6018"/>
    <cellStyle name="쉼표 [0] 13 2 2 5" xfId="2684"/>
    <cellStyle name="쉼표 [0] 13 2 2 5 2" xfId="7127"/>
    <cellStyle name="쉼표 [0] 13 2 2 6" xfId="4930"/>
    <cellStyle name="쉼표 [0] 13 2 3" xfId="926"/>
    <cellStyle name="쉼표 [0] 13 2 3 2" xfId="2017"/>
    <cellStyle name="쉼표 [0] 13 2 3 2 2" xfId="4212"/>
    <cellStyle name="쉼표 [0] 13 2 3 2 2 2" xfId="8655"/>
    <cellStyle name="쉼표 [0] 13 2 3 2 3" xfId="6460"/>
    <cellStyle name="쉼표 [0] 13 2 3 3" xfId="3126"/>
    <cellStyle name="쉼표 [0] 13 2 3 3 2" xfId="7569"/>
    <cellStyle name="쉼표 [0] 13 2 3 4" xfId="5372"/>
    <cellStyle name="쉼표 [0] 13 2 4" xfId="631"/>
    <cellStyle name="쉼표 [0] 13 2 4 2" xfId="1722"/>
    <cellStyle name="쉼표 [0] 13 2 4 2 2" xfId="3917"/>
    <cellStyle name="쉼표 [0] 13 2 4 2 2 2" xfId="8360"/>
    <cellStyle name="쉼표 [0] 13 2 4 2 3" xfId="6165"/>
    <cellStyle name="쉼표 [0] 13 2 4 3" xfId="2831"/>
    <cellStyle name="쉼표 [0] 13 2 4 3 2" xfId="7274"/>
    <cellStyle name="쉼표 [0] 13 2 4 4" xfId="5077"/>
    <cellStyle name="쉼표 [0] 13 2 5" xfId="1389"/>
    <cellStyle name="쉼표 [0] 13 2 5 2" xfId="3584"/>
    <cellStyle name="쉼표 [0] 13 2 5 2 2" xfId="8027"/>
    <cellStyle name="쉼표 [0] 13 2 5 3" xfId="5832"/>
    <cellStyle name="쉼표 [0] 13 2 6" xfId="2498"/>
    <cellStyle name="쉼표 [0] 13 2 6 2" xfId="6941"/>
    <cellStyle name="쉼표 [0] 13 2 7" xfId="4744"/>
    <cellStyle name="쉼표 [0] 13 3" xfId="390"/>
    <cellStyle name="쉼표 [0] 13 3 2" xfId="1018"/>
    <cellStyle name="쉼표 [0] 13 3 2 2" xfId="2109"/>
    <cellStyle name="쉼표 [0] 13 3 2 2 2" xfId="4304"/>
    <cellStyle name="쉼표 [0] 13 3 2 2 2 2" xfId="8747"/>
    <cellStyle name="쉼표 [0] 13 3 2 2 3" xfId="6552"/>
    <cellStyle name="쉼표 [0] 13 3 2 3" xfId="3218"/>
    <cellStyle name="쉼표 [0] 13 3 2 3 2" xfId="7661"/>
    <cellStyle name="쉼표 [0] 13 3 2 4" xfId="5464"/>
    <cellStyle name="쉼표 [0] 13 3 3" xfId="723"/>
    <cellStyle name="쉼표 [0] 13 3 3 2" xfId="1814"/>
    <cellStyle name="쉼표 [0] 13 3 3 2 2" xfId="4009"/>
    <cellStyle name="쉼표 [0] 13 3 3 2 2 2" xfId="8452"/>
    <cellStyle name="쉼표 [0] 13 3 3 2 3" xfId="6257"/>
    <cellStyle name="쉼표 [0] 13 3 3 3" xfId="2923"/>
    <cellStyle name="쉼표 [0] 13 3 3 3 2" xfId="7366"/>
    <cellStyle name="쉼표 [0] 13 3 3 4" xfId="5169"/>
    <cellStyle name="쉼표 [0] 13 3 4" xfId="1481"/>
    <cellStyle name="쉼표 [0] 13 3 4 2" xfId="3676"/>
    <cellStyle name="쉼표 [0] 13 3 4 2 2" xfId="8119"/>
    <cellStyle name="쉼표 [0] 13 3 4 3" xfId="5924"/>
    <cellStyle name="쉼표 [0] 13 3 5" xfId="2590"/>
    <cellStyle name="쉼표 [0] 13 3 5 2" xfId="7033"/>
    <cellStyle name="쉼표 [0] 13 3 6" xfId="4836"/>
    <cellStyle name="쉼표 [0] 13 4" xfId="876"/>
    <cellStyle name="쉼표 [0] 13 4 2" xfId="1967"/>
    <cellStyle name="쉼표 [0] 13 4 2 2" xfId="4162"/>
    <cellStyle name="쉼표 [0] 13 4 2 2 2" xfId="8605"/>
    <cellStyle name="쉼표 [0] 13 4 2 3" xfId="6410"/>
    <cellStyle name="쉼표 [0] 13 4 3" xfId="3076"/>
    <cellStyle name="쉼표 [0] 13 4 3 2" xfId="7519"/>
    <cellStyle name="쉼표 [0] 13 4 4" xfId="5322"/>
    <cellStyle name="쉼표 [0] 13 5" xfId="578"/>
    <cellStyle name="쉼표 [0] 13 5 2" xfId="1669"/>
    <cellStyle name="쉼표 [0] 13 5 2 2" xfId="3864"/>
    <cellStyle name="쉼표 [0] 13 5 2 2 2" xfId="8307"/>
    <cellStyle name="쉼표 [0] 13 5 2 3" xfId="6112"/>
    <cellStyle name="쉼표 [0] 13 5 3" xfId="2778"/>
    <cellStyle name="쉼표 [0] 13 5 3 2" xfId="7221"/>
    <cellStyle name="쉼표 [0] 13 5 4" xfId="5024"/>
    <cellStyle name="쉼표 [0] 13 6" xfId="1292"/>
    <cellStyle name="쉼표 [0] 13 6 2" xfId="3487"/>
    <cellStyle name="쉼표 [0] 13 6 2 2" xfId="7930"/>
    <cellStyle name="쉼표 [0] 13 6 3" xfId="5735"/>
    <cellStyle name="쉼표 [0] 13 7" xfId="2401"/>
    <cellStyle name="쉼표 [0] 13 7 2" xfId="6844"/>
    <cellStyle name="쉼표 [0] 13 8" xfId="4611"/>
    <cellStyle name="쉼표 [0] 14" xfId="189"/>
    <cellStyle name="쉼표 [0] 14 2" xfId="329"/>
    <cellStyle name="쉼표 [0] 14 2 2" xfId="515"/>
    <cellStyle name="쉼표 [0] 14 2 2 2" xfId="1099"/>
    <cellStyle name="쉼표 [0] 14 2 2 2 2" xfId="2190"/>
    <cellStyle name="쉼표 [0] 14 2 2 2 2 2" xfId="4385"/>
    <cellStyle name="쉼표 [0] 14 2 2 2 2 2 2" xfId="8828"/>
    <cellStyle name="쉼표 [0] 14 2 2 2 2 3" xfId="6633"/>
    <cellStyle name="쉼표 [0] 14 2 2 2 3" xfId="3299"/>
    <cellStyle name="쉼표 [0] 14 2 2 2 3 2" xfId="7742"/>
    <cellStyle name="쉼표 [0] 14 2 2 2 4" xfId="5545"/>
    <cellStyle name="쉼표 [0] 14 2 2 3" xfId="804"/>
    <cellStyle name="쉼표 [0] 14 2 2 3 2" xfId="1895"/>
    <cellStyle name="쉼표 [0] 14 2 2 3 2 2" xfId="4090"/>
    <cellStyle name="쉼표 [0] 14 2 2 3 2 2 2" xfId="8533"/>
    <cellStyle name="쉼표 [0] 14 2 2 3 2 3" xfId="6338"/>
    <cellStyle name="쉼표 [0] 14 2 2 3 3" xfId="3004"/>
    <cellStyle name="쉼표 [0] 14 2 2 3 3 2" xfId="7447"/>
    <cellStyle name="쉼표 [0] 14 2 2 3 4" xfId="5250"/>
    <cellStyle name="쉼표 [0] 14 2 2 4" xfId="1606"/>
    <cellStyle name="쉼표 [0] 14 2 2 4 2" xfId="3801"/>
    <cellStyle name="쉼표 [0] 14 2 2 4 2 2" xfId="8244"/>
    <cellStyle name="쉼표 [0] 14 2 2 4 3" xfId="6049"/>
    <cellStyle name="쉼표 [0] 14 2 2 5" xfId="2715"/>
    <cellStyle name="쉼표 [0] 14 2 2 5 2" xfId="7158"/>
    <cellStyle name="쉼표 [0] 14 2 2 6" xfId="4961"/>
    <cellStyle name="쉼표 [0] 14 2 3" xfId="957"/>
    <cellStyle name="쉼표 [0] 14 2 3 2" xfId="2048"/>
    <cellStyle name="쉼표 [0] 14 2 3 2 2" xfId="4243"/>
    <cellStyle name="쉼표 [0] 14 2 3 2 2 2" xfId="8686"/>
    <cellStyle name="쉼표 [0] 14 2 3 2 3" xfId="6491"/>
    <cellStyle name="쉼표 [0] 14 2 3 3" xfId="3157"/>
    <cellStyle name="쉼표 [0] 14 2 3 3 2" xfId="7600"/>
    <cellStyle name="쉼표 [0] 14 2 3 4" xfId="5403"/>
    <cellStyle name="쉼표 [0] 14 2 4" xfId="662"/>
    <cellStyle name="쉼표 [0] 14 2 4 2" xfId="1753"/>
    <cellStyle name="쉼표 [0] 14 2 4 2 2" xfId="3948"/>
    <cellStyle name="쉼표 [0] 14 2 4 2 2 2" xfId="8391"/>
    <cellStyle name="쉼표 [0] 14 2 4 2 3" xfId="6196"/>
    <cellStyle name="쉼표 [0] 14 2 4 3" xfId="2862"/>
    <cellStyle name="쉼표 [0] 14 2 4 3 2" xfId="7305"/>
    <cellStyle name="쉼표 [0] 14 2 4 4" xfId="5108"/>
    <cellStyle name="쉼표 [0] 14 2 5" xfId="1420"/>
    <cellStyle name="쉼표 [0] 14 2 5 2" xfId="3615"/>
    <cellStyle name="쉼표 [0] 14 2 5 2 2" xfId="8058"/>
    <cellStyle name="쉼표 [0] 14 2 5 3" xfId="5863"/>
    <cellStyle name="쉼표 [0] 14 2 6" xfId="2529"/>
    <cellStyle name="쉼표 [0] 14 2 6 2" xfId="6972"/>
    <cellStyle name="쉼표 [0] 14 2 7" xfId="4775"/>
    <cellStyle name="쉼표 [0] 14 3" xfId="423"/>
    <cellStyle name="쉼표 [0] 14 3 2" xfId="1051"/>
    <cellStyle name="쉼표 [0] 14 3 2 2" xfId="2142"/>
    <cellStyle name="쉼표 [0] 14 3 2 2 2" xfId="4337"/>
    <cellStyle name="쉼표 [0] 14 3 2 2 2 2" xfId="8780"/>
    <cellStyle name="쉼표 [0] 14 3 2 2 3" xfId="6585"/>
    <cellStyle name="쉼표 [0] 14 3 2 3" xfId="3251"/>
    <cellStyle name="쉼표 [0] 14 3 2 3 2" xfId="7694"/>
    <cellStyle name="쉼표 [0] 14 3 2 4" xfId="5497"/>
    <cellStyle name="쉼표 [0] 14 3 3" xfId="756"/>
    <cellStyle name="쉼표 [0] 14 3 3 2" xfId="1847"/>
    <cellStyle name="쉼표 [0] 14 3 3 2 2" xfId="4042"/>
    <cellStyle name="쉼표 [0] 14 3 3 2 2 2" xfId="8485"/>
    <cellStyle name="쉼표 [0] 14 3 3 2 3" xfId="6290"/>
    <cellStyle name="쉼표 [0] 14 3 3 3" xfId="2956"/>
    <cellStyle name="쉼표 [0] 14 3 3 3 2" xfId="7399"/>
    <cellStyle name="쉼표 [0] 14 3 3 4" xfId="5202"/>
    <cellStyle name="쉼표 [0] 14 3 4" xfId="1514"/>
    <cellStyle name="쉼표 [0] 14 3 4 2" xfId="3709"/>
    <cellStyle name="쉼표 [0] 14 3 4 2 2" xfId="8152"/>
    <cellStyle name="쉼표 [0] 14 3 4 3" xfId="5957"/>
    <cellStyle name="쉼표 [0] 14 3 5" xfId="2623"/>
    <cellStyle name="쉼표 [0] 14 3 5 2" xfId="7066"/>
    <cellStyle name="쉼표 [0] 14 3 6" xfId="4869"/>
    <cellStyle name="쉼표 [0] 14 4" xfId="909"/>
    <cellStyle name="쉼표 [0] 14 4 2" xfId="2000"/>
    <cellStyle name="쉼표 [0] 14 4 2 2" xfId="4195"/>
    <cellStyle name="쉼표 [0] 14 4 2 2 2" xfId="8638"/>
    <cellStyle name="쉼표 [0] 14 4 2 3" xfId="6443"/>
    <cellStyle name="쉼표 [0] 14 4 3" xfId="3109"/>
    <cellStyle name="쉼표 [0] 14 4 3 2" xfId="7552"/>
    <cellStyle name="쉼표 [0] 14 4 4" xfId="5355"/>
    <cellStyle name="쉼표 [0] 14 5" xfId="612"/>
    <cellStyle name="쉼표 [0] 14 5 2" xfId="1703"/>
    <cellStyle name="쉼표 [0] 14 5 2 2" xfId="3898"/>
    <cellStyle name="쉼표 [0] 14 5 2 2 2" xfId="8341"/>
    <cellStyle name="쉼표 [0] 14 5 2 3" xfId="6146"/>
    <cellStyle name="쉼표 [0] 14 5 3" xfId="2812"/>
    <cellStyle name="쉼표 [0] 14 5 3 2" xfId="7255"/>
    <cellStyle name="쉼표 [0] 14 5 4" xfId="5058"/>
    <cellStyle name="쉼표 [0] 14 6" xfId="1326"/>
    <cellStyle name="쉼표 [0] 14 6 2" xfId="3521"/>
    <cellStyle name="쉼표 [0] 14 6 2 2" xfId="7964"/>
    <cellStyle name="쉼표 [0] 14 6 3" xfId="5769"/>
    <cellStyle name="쉼표 [0] 14 7" xfId="2435"/>
    <cellStyle name="쉼표 [0] 14 7 2" xfId="6878"/>
    <cellStyle name="쉼표 [0] 14 8" xfId="4671"/>
    <cellStyle name="쉼표 [0] 15" xfId="58"/>
    <cellStyle name="쉼표 [0] 15 2" xfId="302"/>
    <cellStyle name="쉼표 [0] 15 2 2" xfId="488"/>
    <cellStyle name="쉼표 [0] 15 2 2 2" xfId="1072"/>
    <cellStyle name="쉼표 [0] 15 2 2 2 2" xfId="2163"/>
    <cellStyle name="쉼표 [0] 15 2 2 2 2 2" xfId="4358"/>
    <cellStyle name="쉼표 [0] 15 2 2 2 2 2 2" xfId="8801"/>
    <cellStyle name="쉼표 [0] 15 2 2 2 2 3" xfId="6606"/>
    <cellStyle name="쉼표 [0] 15 2 2 2 3" xfId="3272"/>
    <cellStyle name="쉼표 [0] 15 2 2 2 3 2" xfId="7715"/>
    <cellStyle name="쉼표 [0] 15 2 2 2 4" xfId="5518"/>
    <cellStyle name="쉼표 [0] 15 2 2 3" xfId="777"/>
    <cellStyle name="쉼표 [0] 15 2 2 3 2" xfId="1868"/>
    <cellStyle name="쉼표 [0] 15 2 2 3 2 2" xfId="4063"/>
    <cellStyle name="쉼표 [0] 15 2 2 3 2 2 2" xfId="8506"/>
    <cellStyle name="쉼표 [0] 15 2 2 3 2 3" xfId="6311"/>
    <cellStyle name="쉼표 [0] 15 2 2 3 3" xfId="2977"/>
    <cellStyle name="쉼표 [0] 15 2 2 3 3 2" xfId="7420"/>
    <cellStyle name="쉼표 [0] 15 2 2 3 4" xfId="5223"/>
    <cellStyle name="쉼표 [0] 15 2 2 4" xfId="1579"/>
    <cellStyle name="쉼표 [0] 15 2 2 4 2" xfId="3774"/>
    <cellStyle name="쉼표 [0] 15 2 2 4 2 2" xfId="8217"/>
    <cellStyle name="쉼표 [0] 15 2 2 4 3" xfId="6022"/>
    <cellStyle name="쉼표 [0] 15 2 2 5" xfId="2688"/>
    <cellStyle name="쉼표 [0] 15 2 2 5 2" xfId="7131"/>
    <cellStyle name="쉼표 [0] 15 2 2 6" xfId="4934"/>
    <cellStyle name="쉼표 [0] 15 2 3" xfId="930"/>
    <cellStyle name="쉼표 [0] 15 2 3 2" xfId="2021"/>
    <cellStyle name="쉼표 [0] 15 2 3 2 2" xfId="4216"/>
    <cellStyle name="쉼표 [0] 15 2 3 2 2 2" xfId="8659"/>
    <cellStyle name="쉼표 [0] 15 2 3 2 3" xfId="6464"/>
    <cellStyle name="쉼표 [0] 15 2 3 3" xfId="3130"/>
    <cellStyle name="쉼표 [0] 15 2 3 3 2" xfId="7573"/>
    <cellStyle name="쉼표 [0] 15 2 3 4" xfId="5376"/>
    <cellStyle name="쉼표 [0] 15 2 4" xfId="635"/>
    <cellStyle name="쉼표 [0] 15 2 4 2" xfId="1726"/>
    <cellStyle name="쉼표 [0] 15 2 4 2 2" xfId="3921"/>
    <cellStyle name="쉼표 [0] 15 2 4 2 2 2" xfId="8364"/>
    <cellStyle name="쉼표 [0] 15 2 4 2 3" xfId="6169"/>
    <cellStyle name="쉼표 [0] 15 2 4 3" xfId="2835"/>
    <cellStyle name="쉼표 [0] 15 2 4 3 2" xfId="7278"/>
    <cellStyle name="쉼표 [0] 15 2 4 4" xfId="5081"/>
    <cellStyle name="쉼표 [0] 15 2 5" xfId="1393"/>
    <cellStyle name="쉼표 [0] 15 2 5 2" xfId="3588"/>
    <cellStyle name="쉼표 [0] 15 2 5 2 2" xfId="8031"/>
    <cellStyle name="쉼표 [0] 15 2 5 3" xfId="5836"/>
    <cellStyle name="쉼표 [0] 15 2 6" xfId="2502"/>
    <cellStyle name="쉼표 [0] 15 2 6 2" xfId="6945"/>
    <cellStyle name="쉼표 [0] 15 2 7" xfId="4748"/>
    <cellStyle name="쉼표 [0] 15 3" xfId="394"/>
    <cellStyle name="쉼표 [0] 15 3 2" xfId="1022"/>
    <cellStyle name="쉼표 [0] 15 3 2 2" xfId="2113"/>
    <cellStyle name="쉼표 [0] 15 3 2 2 2" xfId="4308"/>
    <cellStyle name="쉼표 [0] 15 3 2 2 2 2" xfId="8751"/>
    <cellStyle name="쉼표 [0] 15 3 2 2 3" xfId="6556"/>
    <cellStyle name="쉼표 [0] 15 3 2 3" xfId="3222"/>
    <cellStyle name="쉼표 [0] 15 3 2 3 2" xfId="7665"/>
    <cellStyle name="쉼표 [0] 15 3 2 4" xfId="5468"/>
    <cellStyle name="쉼표 [0] 15 3 3" xfId="727"/>
    <cellStyle name="쉼표 [0] 15 3 3 2" xfId="1818"/>
    <cellStyle name="쉼표 [0] 15 3 3 2 2" xfId="4013"/>
    <cellStyle name="쉼표 [0] 15 3 3 2 2 2" xfId="8456"/>
    <cellStyle name="쉼표 [0] 15 3 3 2 3" xfId="6261"/>
    <cellStyle name="쉼표 [0] 15 3 3 3" xfId="2927"/>
    <cellStyle name="쉼표 [0] 15 3 3 3 2" xfId="7370"/>
    <cellStyle name="쉼표 [0] 15 3 3 4" xfId="5173"/>
    <cellStyle name="쉼표 [0] 15 3 4" xfId="1485"/>
    <cellStyle name="쉼표 [0] 15 3 4 2" xfId="3680"/>
    <cellStyle name="쉼표 [0] 15 3 4 2 2" xfId="8123"/>
    <cellStyle name="쉼표 [0] 15 3 4 3" xfId="5928"/>
    <cellStyle name="쉼표 [0] 15 3 5" xfId="2594"/>
    <cellStyle name="쉼표 [0] 15 3 5 2" xfId="7037"/>
    <cellStyle name="쉼표 [0] 15 3 6" xfId="4840"/>
    <cellStyle name="쉼표 [0] 15 4" xfId="880"/>
    <cellStyle name="쉼표 [0] 15 4 2" xfId="1971"/>
    <cellStyle name="쉼표 [0] 15 4 2 2" xfId="4166"/>
    <cellStyle name="쉼표 [0] 15 4 2 2 2" xfId="8609"/>
    <cellStyle name="쉼표 [0] 15 4 2 3" xfId="6414"/>
    <cellStyle name="쉼표 [0] 15 4 3" xfId="3080"/>
    <cellStyle name="쉼표 [0] 15 4 3 2" xfId="7523"/>
    <cellStyle name="쉼표 [0] 15 4 4" xfId="5326"/>
    <cellStyle name="쉼표 [0] 15 5" xfId="582"/>
    <cellStyle name="쉼표 [0] 15 5 2" xfId="1673"/>
    <cellStyle name="쉼표 [0] 15 5 2 2" xfId="3868"/>
    <cellStyle name="쉼표 [0] 15 5 2 2 2" xfId="8311"/>
    <cellStyle name="쉼표 [0] 15 5 2 3" xfId="6116"/>
    <cellStyle name="쉼표 [0] 15 5 3" xfId="2782"/>
    <cellStyle name="쉼표 [0] 15 5 3 2" xfId="7225"/>
    <cellStyle name="쉼표 [0] 15 5 4" xfId="5028"/>
    <cellStyle name="쉼표 [0] 15 6" xfId="1296"/>
    <cellStyle name="쉼표 [0] 15 6 2" xfId="3491"/>
    <cellStyle name="쉼표 [0] 15 6 2 2" xfId="7934"/>
    <cellStyle name="쉼표 [0] 15 6 3" xfId="5739"/>
    <cellStyle name="쉼표 [0] 15 7" xfId="2405"/>
    <cellStyle name="쉼표 [0] 15 7 2" xfId="6848"/>
    <cellStyle name="쉼표 [0] 15 8" xfId="4617"/>
    <cellStyle name="쉼표 [0] 16" xfId="276"/>
    <cellStyle name="쉼표 [0] 16 2" xfId="330"/>
    <cellStyle name="쉼표 [0] 16 2 2" xfId="516"/>
    <cellStyle name="쉼표 [0] 16 2 2 2" xfId="1100"/>
    <cellStyle name="쉼표 [0] 16 2 2 2 2" xfId="2191"/>
    <cellStyle name="쉼표 [0] 16 2 2 2 2 2" xfId="4386"/>
    <cellStyle name="쉼표 [0] 16 2 2 2 2 2 2" xfId="8829"/>
    <cellStyle name="쉼표 [0] 16 2 2 2 2 3" xfId="6634"/>
    <cellStyle name="쉼표 [0] 16 2 2 2 3" xfId="3300"/>
    <cellStyle name="쉼표 [0] 16 2 2 2 3 2" xfId="7743"/>
    <cellStyle name="쉼표 [0] 16 2 2 2 4" xfId="5546"/>
    <cellStyle name="쉼표 [0] 16 2 2 3" xfId="805"/>
    <cellStyle name="쉼표 [0] 16 2 2 3 2" xfId="1896"/>
    <cellStyle name="쉼표 [0] 16 2 2 3 2 2" xfId="4091"/>
    <cellStyle name="쉼표 [0] 16 2 2 3 2 2 2" xfId="8534"/>
    <cellStyle name="쉼표 [0] 16 2 2 3 2 3" xfId="6339"/>
    <cellStyle name="쉼표 [0] 16 2 2 3 3" xfId="3005"/>
    <cellStyle name="쉼표 [0] 16 2 2 3 3 2" xfId="7448"/>
    <cellStyle name="쉼표 [0] 16 2 2 3 4" xfId="5251"/>
    <cellStyle name="쉼표 [0] 16 2 2 4" xfId="1607"/>
    <cellStyle name="쉼표 [0] 16 2 2 4 2" xfId="3802"/>
    <cellStyle name="쉼표 [0] 16 2 2 4 2 2" xfId="8245"/>
    <cellStyle name="쉼표 [0] 16 2 2 4 3" xfId="6050"/>
    <cellStyle name="쉼표 [0] 16 2 2 5" xfId="2716"/>
    <cellStyle name="쉼표 [0] 16 2 2 5 2" xfId="7159"/>
    <cellStyle name="쉼표 [0] 16 2 2 6" xfId="4962"/>
    <cellStyle name="쉼표 [0] 16 2 3" xfId="958"/>
    <cellStyle name="쉼표 [0] 16 2 3 2" xfId="2049"/>
    <cellStyle name="쉼표 [0] 16 2 3 2 2" xfId="4244"/>
    <cellStyle name="쉼표 [0] 16 2 3 2 2 2" xfId="8687"/>
    <cellStyle name="쉼표 [0] 16 2 3 2 3" xfId="6492"/>
    <cellStyle name="쉼표 [0] 16 2 3 3" xfId="3158"/>
    <cellStyle name="쉼표 [0] 16 2 3 3 2" xfId="7601"/>
    <cellStyle name="쉼표 [0] 16 2 3 4" xfId="5404"/>
    <cellStyle name="쉼표 [0] 16 2 4" xfId="663"/>
    <cellStyle name="쉼표 [0] 16 2 4 2" xfId="1754"/>
    <cellStyle name="쉼표 [0] 16 2 4 2 2" xfId="3949"/>
    <cellStyle name="쉼표 [0] 16 2 4 2 2 2" xfId="8392"/>
    <cellStyle name="쉼표 [0] 16 2 4 2 3" xfId="6197"/>
    <cellStyle name="쉼표 [0] 16 2 4 3" xfId="2863"/>
    <cellStyle name="쉼표 [0] 16 2 4 3 2" xfId="7306"/>
    <cellStyle name="쉼표 [0] 16 2 4 4" xfId="5109"/>
    <cellStyle name="쉼표 [0] 16 2 5" xfId="1421"/>
    <cellStyle name="쉼표 [0] 16 2 5 2" xfId="3616"/>
    <cellStyle name="쉼표 [0] 16 2 5 2 2" xfId="8059"/>
    <cellStyle name="쉼표 [0] 16 2 5 3" xfId="5864"/>
    <cellStyle name="쉼표 [0] 16 2 6" xfId="2530"/>
    <cellStyle name="쉼표 [0] 16 2 6 2" xfId="6973"/>
    <cellStyle name="쉼표 [0] 16 2 7" xfId="4776"/>
    <cellStyle name="쉼표 [0] 16 3" xfId="468"/>
    <cellStyle name="쉼표 [0] 16 3 2" xfId="1052"/>
    <cellStyle name="쉼표 [0] 16 3 2 2" xfId="2143"/>
    <cellStyle name="쉼표 [0] 16 3 2 2 2" xfId="4338"/>
    <cellStyle name="쉼표 [0] 16 3 2 2 2 2" xfId="8781"/>
    <cellStyle name="쉼표 [0] 16 3 2 2 3" xfId="6586"/>
    <cellStyle name="쉼표 [0] 16 3 2 3" xfId="3252"/>
    <cellStyle name="쉼표 [0] 16 3 2 3 2" xfId="7695"/>
    <cellStyle name="쉼표 [0] 16 3 2 4" xfId="5498"/>
    <cellStyle name="쉼표 [0] 16 3 3" xfId="757"/>
    <cellStyle name="쉼표 [0] 16 3 3 2" xfId="1848"/>
    <cellStyle name="쉼표 [0] 16 3 3 2 2" xfId="4043"/>
    <cellStyle name="쉼표 [0] 16 3 3 2 2 2" xfId="8486"/>
    <cellStyle name="쉼표 [0] 16 3 3 2 3" xfId="6291"/>
    <cellStyle name="쉼표 [0] 16 3 3 3" xfId="2957"/>
    <cellStyle name="쉼표 [0] 16 3 3 3 2" xfId="7400"/>
    <cellStyle name="쉼표 [0] 16 3 3 4" xfId="5203"/>
    <cellStyle name="쉼표 [0] 16 3 4" xfId="1559"/>
    <cellStyle name="쉼표 [0] 16 3 4 2" xfId="3754"/>
    <cellStyle name="쉼표 [0] 16 3 4 2 2" xfId="8197"/>
    <cellStyle name="쉼표 [0] 16 3 4 3" xfId="6002"/>
    <cellStyle name="쉼표 [0] 16 3 5" xfId="2668"/>
    <cellStyle name="쉼표 [0] 16 3 5 2" xfId="7111"/>
    <cellStyle name="쉼표 [0] 16 3 6" xfId="4914"/>
    <cellStyle name="쉼표 [0] 16 4" xfId="910"/>
    <cellStyle name="쉼표 [0] 16 4 2" xfId="2001"/>
    <cellStyle name="쉼표 [0] 16 4 2 2" xfId="4196"/>
    <cellStyle name="쉼표 [0] 16 4 2 2 2" xfId="8639"/>
    <cellStyle name="쉼표 [0] 16 4 2 3" xfId="6444"/>
    <cellStyle name="쉼표 [0] 16 4 3" xfId="3110"/>
    <cellStyle name="쉼표 [0] 16 4 3 2" xfId="7553"/>
    <cellStyle name="쉼표 [0] 16 4 4" xfId="5356"/>
    <cellStyle name="쉼표 [0] 16 5" xfId="615"/>
    <cellStyle name="쉼표 [0] 16 5 2" xfId="1706"/>
    <cellStyle name="쉼표 [0] 16 5 2 2" xfId="3901"/>
    <cellStyle name="쉼표 [0] 16 5 2 2 2" xfId="8344"/>
    <cellStyle name="쉼표 [0] 16 5 2 3" xfId="6149"/>
    <cellStyle name="쉼표 [0] 16 5 3" xfId="2815"/>
    <cellStyle name="쉼표 [0] 16 5 3 2" xfId="7258"/>
    <cellStyle name="쉼표 [0] 16 5 4" xfId="5061"/>
    <cellStyle name="쉼표 [0] 16 6" xfId="1373"/>
    <cellStyle name="쉼표 [0] 16 6 2" xfId="3568"/>
    <cellStyle name="쉼표 [0] 16 6 2 2" xfId="8011"/>
    <cellStyle name="쉼표 [0] 16 6 3" xfId="5816"/>
    <cellStyle name="쉼표 [0] 16 7" xfId="2482"/>
    <cellStyle name="쉼표 [0] 16 7 2" xfId="6925"/>
    <cellStyle name="쉼표 [0] 16 8" xfId="4726"/>
    <cellStyle name="쉼표 [0] 17" xfId="284"/>
    <cellStyle name="쉼표 [0] 17 2" xfId="333"/>
    <cellStyle name="쉼표 [0] 17 2 2" xfId="519"/>
    <cellStyle name="쉼표 [0] 17 2 2 2" xfId="1103"/>
    <cellStyle name="쉼표 [0] 17 2 2 2 2" xfId="2194"/>
    <cellStyle name="쉼표 [0] 17 2 2 2 2 2" xfId="4389"/>
    <cellStyle name="쉼표 [0] 17 2 2 2 2 2 2" xfId="8832"/>
    <cellStyle name="쉼표 [0] 17 2 2 2 2 3" xfId="6637"/>
    <cellStyle name="쉼표 [0] 17 2 2 2 3" xfId="3303"/>
    <cellStyle name="쉼표 [0] 17 2 2 2 3 2" xfId="7746"/>
    <cellStyle name="쉼표 [0] 17 2 2 2 4" xfId="5549"/>
    <cellStyle name="쉼표 [0] 17 2 2 3" xfId="808"/>
    <cellStyle name="쉼표 [0] 17 2 2 3 2" xfId="1899"/>
    <cellStyle name="쉼표 [0] 17 2 2 3 2 2" xfId="4094"/>
    <cellStyle name="쉼표 [0] 17 2 2 3 2 2 2" xfId="8537"/>
    <cellStyle name="쉼표 [0] 17 2 2 3 2 3" xfId="6342"/>
    <cellStyle name="쉼표 [0] 17 2 2 3 3" xfId="3008"/>
    <cellStyle name="쉼표 [0] 17 2 2 3 3 2" xfId="7451"/>
    <cellStyle name="쉼표 [0] 17 2 2 3 4" xfId="5254"/>
    <cellStyle name="쉼표 [0] 17 2 2 4" xfId="1610"/>
    <cellStyle name="쉼표 [0] 17 2 2 4 2" xfId="3805"/>
    <cellStyle name="쉼표 [0] 17 2 2 4 2 2" xfId="8248"/>
    <cellStyle name="쉼표 [0] 17 2 2 4 3" xfId="6053"/>
    <cellStyle name="쉼표 [0] 17 2 2 5" xfId="2719"/>
    <cellStyle name="쉼표 [0] 17 2 2 5 2" xfId="7162"/>
    <cellStyle name="쉼표 [0] 17 2 2 6" xfId="4965"/>
    <cellStyle name="쉼표 [0] 17 2 3" xfId="961"/>
    <cellStyle name="쉼표 [0] 17 2 3 2" xfId="2052"/>
    <cellStyle name="쉼표 [0] 17 2 3 2 2" xfId="4247"/>
    <cellStyle name="쉼표 [0] 17 2 3 2 2 2" xfId="8690"/>
    <cellStyle name="쉼표 [0] 17 2 3 2 3" xfId="6495"/>
    <cellStyle name="쉼표 [0] 17 2 3 3" xfId="3161"/>
    <cellStyle name="쉼표 [0] 17 2 3 3 2" xfId="7604"/>
    <cellStyle name="쉼표 [0] 17 2 3 4" xfId="5407"/>
    <cellStyle name="쉼표 [0] 17 2 4" xfId="666"/>
    <cellStyle name="쉼표 [0] 17 2 4 2" xfId="1757"/>
    <cellStyle name="쉼표 [0] 17 2 4 2 2" xfId="3952"/>
    <cellStyle name="쉼표 [0] 17 2 4 2 2 2" xfId="8395"/>
    <cellStyle name="쉼표 [0] 17 2 4 2 3" xfId="6200"/>
    <cellStyle name="쉼표 [0] 17 2 4 3" xfId="2866"/>
    <cellStyle name="쉼표 [0] 17 2 4 3 2" xfId="7309"/>
    <cellStyle name="쉼표 [0] 17 2 4 4" xfId="5112"/>
    <cellStyle name="쉼표 [0] 17 2 5" xfId="1424"/>
    <cellStyle name="쉼표 [0] 17 2 5 2" xfId="3619"/>
    <cellStyle name="쉼표 [0] 17 2 5 2 2" xfId="8062"/>
    <cellStyle name="쉼표 [0] 17 2 5 3" xfId="5867"/>
    <cellStyle name="쉼표 [0] 17 2 6" xfId="2533"/>
    <cellStyle name="쉼표 [0] 17 2 6 2" xfId="6976"/>
    <cellStyle name="쉼표 [0] 17 2 7" xfId="4779"/>
    <cellStyle name="쉼표 [0] 17 3" xfId="471"/>
    <cellStyle name="쉼표 [0] 17 3 2" xfId="1055"/>
    <cellStyle name="쉼표 [0] 17 3 2 2" xfId="2146"/>
    <cellStyle name="쉼표 [0] 17 3 2 2 2" xfId="4341"/>
    <cellStyle name="쉼표 [0] 17 3 2 2 2 2" xfId="8784"/>
    <cellStyle name="쉼표 [0] 17 3 2 2 3" xfId="6589"/>
    <cellStyle name="쉼표 [0] 17 3 2 3" xfId="3255"/>
    <cellStyle name="쉼표 [0] 17 3 2 3 2" xfId="7698"/>
    <cellStyle name="쉼표 [0] 17 3 2 4" xfId="5501"/>
    <cellStyle name="쉼표 [0] 17 3 3" xfId="760"/>
    <cellStyle name="쉼표 [0] 17 3 3 2" xfId="1851"/>
    <cellStyle name="쉼표 [0] 17 3 3 2 2" xfId="4046"/>
    <cellStyle name="쉼표 [0] 17 3 3 2 2 2" xfId="8489"/>
    <cellStyle name="쉼표 [0] 17 3 3 2 3" xfId="6294"/>
    <cellStyle name="쉼표 [0] 17 3 3 3" xfId="2960"/>
    <cellStyle name="쉼표 [0] 17 3 3 3 2" xfId="7403"/>
    <cellStyle name="쉼표 [0] 17 3 3 4" xfId="5206"/>
    <cellStyle name="쉼표 [0] 17 3 4" xfId="1562"/>
    <cellStyle name="쉼표 [0] 17 3 4 2" xfId="3757"/>
    <cellStyle name="쉼표 [0] 17 3 4 2 2" xfId="8200"/>
    <cellStyle name="쉼표 [0] 17 3 4 3" xfId="6005"/>
    <cellStyle name="쉼표 [0] 17 3 5" xfId="2671"/>
    <cellStyle name="쉼표 [0] 17 3 5 2" xfId="7114"/>
    <cellStyle name="쉼표 [0] 17 3 6" xfId="4917"/>
    <cellStyle name="쉼표 [0] 17 4" xfId="913"/>
    <cellStyle name="쉼표 [0] 17 4 2" xfId="2004"/>
    <cellStyle name="쉼표 [0] 17 4 2 2" xfId="4199"/>
    <cellStyle name="쉼표 [0] 17 4 2 2 2" xfId="8642"/>
    <cellStyle name="쉼표 [0] 17 4 2 3" xfId="6447"/>
    <cellStyle name="쉼표 [0] 17 4 3" xfId="3113"/>
    <cellStyle name="쉼표 [0] 17 4 3 2" xfId="7556"/>
    <cellStyle name="쉼표 [0] 17 4 4" xfId="5359"/>
    <cellStyle name="쉼표 [0] 17 5" xfId="618"/>
    <cellStyle name="쉼표 [0] 17 5 2" xfId="1709"/>
    <cellStyle name="쉼표 [0] 17 5 2 2" xfId="3904"/>
    <cellStyle name="쉼표 [0] 17 5 2 2 2" xfId="8347"/>
    <cellStyle name="쉼표 [0] 17 5 2 3" xfId="6152"/>
    <cellStyle name="쉼표 [0] 17 5 3" xfId="2818"/>
    <cellStyle name="쉼표 [0] 17 5 3 2" xfId="7261"/>
    <cellStyle name="쉼표 [0] 17 5 4" xfId="5064"/>
    <cellStyle name="쉼표 [0] 17 6" xfId="1376"/>
    <cellStyle name="쉼표 [0] 17 6 2" xfId="3571"/>
    <cellStyle name="쉼표 [0] 17 6 2 2" xfId="8014"/>
    <cellStyle name="쉼표 [0] 17 6 3" xfId="5819"/>
    <cellStyle name="쉼표 [0] 17 7" xfId="2485"/>
    <cellStyle name="쉼표 [0] 17 7 2" xfId="6928"/>
    <cellStyle name="쉼표 [0] 17 8" xfId="4730"/>
    <cellStyle name="쉼표 [0] 18" xfId="23"/>
    <cellStyle name="쉼표 [0] 18 2" xfId="378"/>
    <cellStyle name="쉼표 [0] 18 2 2" xfId="1006"/>
    <cellStyle name="쉼표 [0] 18 2 2 2" xfId="2097"/>
    <cellStyle name="쉼표 [0] 18 2 2 2 2" xfId="4292"/>
    <cellStyle name="쉼표 [0] 18 2 2 2 2 2" xfId="8735"/>
    <cellStyle name="쉼표 [0] 18 2 2 2 3" xfId="6540"/>
    <cellStyle name="쉼표 [0] 18 2 2 2 4" xfId="2373"/>
    <cellStyle name="쉼표 [0] 18 2 2 2 4 2" xfId="4568"/>
    <cellStyle name="쉼표 [0] 18 2 2 2 4 2 2" xfId="9011"/>
    <cellStyle name="쉼표 [0] 18 2 2 2 4 3" xfId="6816"/>
    <cellStyle name="쉼표 [0] 18 2 2 3" xfId="3206"/>
    <cellStyle name="쉼표 [0] 18 2 2 3 2" xfId="7649"/>
    <cellStyle name="쉼표 [0] 18 2 2 4" xfId="5452"/>
    <cellStyle name="쉼표 [0] 18 2 3" xfId="711"/>
    <cellStyle name="쉼표 [0] 18 2 3 2" xfId="1802"/>
    <cellStyle name="쉼표 [0] 18 2 3 2 2" xfId="3997"/>
    <cellStyle name="쉼표 [0] 18 2 3 2 2 2" xfId="8440"/>
    <cellStyle name="쉼표 [0] 18 2 3 2 3" xfId="6245"/>
    <cellStyle name="쉼표 [0] 18 2 3 3" xfId="2911"/>
    <cellStyle name="쉼표 [0] 18 2 3 3 2" xfId="7354"/>
    <cellStyle name="쉼표 [0] 18 2 3 4" xfId="5157"/>
    <cellStyle name="쉼표 [0] 18 2 4" xfId="1469"/>
    <cellStyle name="쉼표 [0] 18 2 4 2" xfId="3664"/>
    <cellStyle name="쉼표 [0] 18 2 4 2 2" xfId="8107"/>
    <cellStyle name="쉼표 [0] 18 2 4 3" xfId="5912"/>
    <cellStyle name="쉼표 [0] 18 2 5" xfId="2578"/>
    <cellStyle name="쉼표 [0] 18 2 5 2" xfId="7021"/>
    <cellStyle name="쉼표 [0] 18 2 6" xfId="4824"/>
    <cellStyle name="쉼표 [0] 18 3" xfId="863"/>
    <cellStyle name="쉼표 [0] 18 3 2" xfId="1954"/>
    <cellStyle name="쉼표 [0] 18 3 2 2" xfId="4149"/>
    <cellStyle name="쉼표 [0] 18 3 2 2 2" xfId="8592"/>
    <cellStyle name="쉼표 [0] 18 3 2 3" xfId="6397"/>
    <cellStyle name="쉼표 [0] 18 3 3" xfId="3063"/>
    <cellStyle name="쉼표 [0] 18 3 3 2" xfId="7506"/>
    <cellStyle name="쉼표 [0] 18 3 4" xfId="5309"/>
    <cellStyle name="쉼표 [0] 18 4" xfId="565"/>
    <cellStyle name="쉼표 [0] 18 4 2" xfId="1656"/>
    <cellStyle name="쉼표 [0] 18 4 2 2" xfId="3851"/>
    <cellStyle name="쉼표 [0] 18 4 2 2 2" xfId="8294"/>
    <cellStyle name="쉼표 [0] 18 4 2 3" xfId="6099"/>
    <cellStyle name="쉼표 [0] 18 4 3" xfId="2765"/>
    <cellStyle name="쉼표 [0] 18 4 3 2" xfId="7208"/>
    <cellStyle name="쉼표 [0] 18 4 4" xfId="5011"/>
    <cellStyle name="쉼표 [0] 18 5" xfId="1277"/>
    <cellStyle name="쉼표 [0] 18 5 2" xfId="3474"/>
    <cellStyle name="쉼표 [0] 18 5 2 2" xfId="7917"/>
    <cellStyle name="쉼표 [0] 18 5 3" xfId="5721"/>
    <cellStyle name="쉼표 [0] 18 6" xfId="2388"/>
    <cellStyle name="쉼표 [0] 18 6 2" xfId="6831"/>
    <cellStyle name="쉼표 [0] 18 7" xfId="4597"/>
    <cellStyle name="쉼표 [0] 19" xfId="286"/>
    <cellStyle name="쉼표 [0] 19 2" xfId="472"/>
    <cellStyle name="쉼표 [0] 19 2 2" xfId="1056"/>
    <cellStyle name="쉼표 [0] 19 2 2 2" xfId="2147"/>
    <cellStyle name="쉼표 [0] 19 2 2 2 2" xfId="4342"/>
    <cellStyle name="쉼표 [0] 19 2 2 2 2 2" xfId="8785"/>
    <cellStyle name="쉼표 [0] 19 2 2 2 3" xfId="6590"/>
    <cellStyle name="쉼표 [0] 19 2 2 3" xfId="3256"/>
    <cellStyle name="쉼표 [0] 19 2 2 3 2" xfId="7699"/>
    <cellStyle name="쉼표 [0] 19 2 2 4" xfId="5502"/>
    <cellStyle name="쉼표 [0] 19 2 3" xfId="761"/>
    <cellStyle name="쉼표 [0] 19 2 3 2" xfId="1852"/>
    <cellStyle name="쉼표 [0] 19 2 3 2 2" xfId="4047"/>
    <cellStyle name="쉼표 [0] 19 2 3 2 2 2" xfId="8490"/>
    <cellStyle name="쉼표 [0] 19 2 3 2 3" xfId="6295"/>
    <cellStyle name="쉼표 [0] 19 2 3 3" xfId="2961"/>
    <cellStyle name="쉼표 [0] 19 2 3 3 2" xfId="7404"/>
    <cellStyle name="쉼표 [0] 19 2 3 4" xfId="5207"/>
    <cellStyle name="쉼표 [0] 19 2 4" xfId="1563"/>
    <cellStyle name="쉼표 [0] 19 2 4 2" xfId="3758"/>
    <cellStyle name="쉼표 [0] 19 2 4 2 2" xfId="8201"/>
    <cellStyle name="쉼표 [0] 19 2 4 3" xfId="6006"/>
    <cellStyle name="쉼표 [0] 19 2 5" xfId="2672"/>
    <cellStyle name="쉼표 [0] 19 2 5 2" xfId="7115"/>
    <cellStyle name="쉼표 [0] 19 2 6" xfId="4918"/>
    <cellStyle name="쉼표 [0] 19 3" xfId="914"/>
    <cellStyle name="쉼표 [0] 19 3 2" xfId="2005"/>
    <cellStyle name="쉼표 [0] 19 3 2 2" xfId="4200"/>
    <cellStyle name="쉼표 [0] 19 3 2 2 2" xfId="8643"/>
    <cellStyle name="쉼표 [0] 19 3 2 3" xfId="6448"/>
    <cellStyle name="쉼표 [0] 19 3 3" xfId="3114"/>
    <cellStyle name="쉼표 [0] 19 3 3 2" xfId="7557"/>
    <cellStyle name="쉼표 [0] 19 3 4" xfId="5360"/>
    <cellStyle name="쉼표 [0] 19 4" xfId="619"/>
    <cellStyle name="쉼표 [0] 19 4 2" xfId="1710"/>
    <cellStyle name="쉼표 [0] 19 4 2 2" xfId="3905"/>
    <cellStyle name="쉼표 [0] 19 4 2 2 2" xfId="8348"/>
    <cellStyle name="쉼표 [0] 19 4 2 3" xfId="6153"/>
    <cellStyle name="쉼표 [0] 19 4 3" xfId="2819"/>
    <cellStyle name="쉼표 [0] 19 4 3 2" xfId="7262"/>
    <cellStyle name="쉼표 [0] 19 4 4" xfId="5065"/>
    <cellStyle name="쉼표 [0] 19 5" xfId="1377"/>
    <cellStyle name="쉼표 [0] 19 5 2" xfId="3572"/>
    <cellStyle name="쉼표 [0] 19 5 2 2" xfId="8015"/>
    <cellStyle name="쉼표 [0] 19 5 3" xfId="5820"/>
    <cellStyle name="쉼표 [0] 19 6" xfId="2486"/>
    <cellStyle name="쉼표 [0] 19 6 2" xfId="6929"/>
    <cellStyle name="쉼표 [0] 19 7" xfId="4732"/>
    <cellStyle name="쉼표 [0] 2" xfId="5"/>
    <cellStyle name="쉼표 [0] 2 10" xfId="12"/>
    <cellStyle name="쉼표 [0] 2 10 10" xfId="4586"/>
    <cellStyle name="쉼표 [0] 2 10 2" xfId="70"/>
    <cellStyle name="쉼표 [0] 2 10 2 2" xfId="402"/>
    <cellStyle name="쉼표 [0] 2 10 2 2 2" xfId="1030"/>
    <cellStyle name="쉼표 [0] 2 10 2 2 2 2" xfId="2121"/>
    <cellStyle name="쉼표 [0] 2 10 2 2 2 2 2" xfId="4316"/>
    <cellStyle name="쉼표 [0] 2 10 2 2 2 2 2 2" xfId="8759"/>
    <cellStyle name="쉼표 [0] 2 10 2 2 2 2 3" xfId="6564"/>
    <cellStyle name="쉼표 [0] 2 10 2 2 2 3" xfId="3230"/>
    <cellStyle name="쉼표 [0] 2 10 2 2 2 3 2" xfId="7673"/>
    <cellStyle name="쉼표 [0] 2 10 2 2 2 4" xfId="5476"/>
    <cellStyle name="쉼표 [0] 2 10 2 2 3" xfId="735"/>
    <cellStyle name="쉼표 [0] 2 10 2 2 3 2" xfId="1826"/>
    <cellStyle name="쉼표 [0] 2 10 2 2 3 2 2" xfId="4021"/>
    <cellStyle name="쉼표 [0] 2 10 2 2 3 2 2 2" xfId="8464"/>
    <cellStyle name="쉼표 [0] 2 10 2 2 3 2 3" xfId="6269"/>
    <cellStyle name="쉼표 [0] 2 10 2 2 3 3" xfId="2935"/>
    <cellStyle name="쉼표 [0] 2 10 2 2 3 3 2" xfId="7378"/>
    <cellStyle name="쉼표 [0] 2 10 2 2 3 4" xfId="5181"/>
    <cellStyle name="쉼표 [0] 2 10 2 2 4" xfId="1493"/>
    <cellStyle name="쉼표 [0] 2 10 2 2 4 2" xfId="3688"/>
    <cellStyle name="쉼표 [0] 2 10 2 2 4 2 2" xfId="8131"/>
    <cellStyle name="쉼표 [0] 2 10 2 2 4 3" xfId="5936"/>
    <cellStyle name="쉼표 [0] 2 10 2 2 5" xfId="2602"/>
    <cellStyle name="쉼표 [0] 2 10 2 2 5 2" xfId="7045"/>
    <cellStyle name="쉼표 [0] 2 10 2 2 6" xfId="4848"/>
    <cellStyle name="쉼표 [0] 2 10 2 3" xfId="888"/>
    <cellStyle name="쉼표 [0] 2 10 2 3 2" xfId="1979"/>
    <cellStyle name="쉼표 [0] 2 10 2 3 2 2" xfId="4174"/>
    <cellStyle name="쉼표 [0] 2 10 2 3 2 2 2" xfId="8617"/>
    <cellStyle name="쉼표 [0] 2 10 2 3 2 3" xfId="6422"/>
    <cellStyle name="쉼표 [0] 2 10 2 3 3" xfId="3088"/>
    <cellStyle name="쉼표 [0] 2 10 2 3 3 2" xfId="7531"/>
    <cellStyle name="쉼표 [0] 2 10 2 3 4" xfId="5334"/>
    <cellStyle name="쉼표 [0] 2 10 2 4" xfId="590"/>
    <cellStyle name="쉼표 [0] 2 10 2 4 2" xfId="1681"/>
    <cellStyle name="쉼표 [0] 2 10 2 4 2 2" xfId="3876"/>
    <cellStyle name="쉼표 [0] 2 10 2 4 2 2 2" xfId="8319"/>
    <cellStyle name="쉼표 [0] 2 10 2 4 2 3" xfId="6124"/>
    <cellStyle name="쉼표 [0] 2 10 2 4 3" xfId="2790"/>
    <cellStyle name="쉼표 [0] 2 10 2 4 3 2" xfId="7233"/>
    <cellStyle name="쉼표 [0] 2 10 2 4 4" xfId="5036"/>
    <cellStyle name="쉼표 [0] 2 10 2 5" xfId="1304"/>
    <cellStyle name="쉼표 [0] 2 10 2 5 2" xfId="3499"/>
    <cellStyle name="쉼표 [0] 2 10 2 5 2 2" xfId="7942"/>
    <cellStyle name="쉼표 [0] 2 10 2 5 3" xfId="5747"/>
    <cellStyle name="쉼표 [0] 2 10 2 6" xfId="2413"/>
    <cellStyle name="쉼표 [0] 2 10 2 6 2" xfId="6856"/>
    <cellStyle name="쉼표 [0] 2 10 2 7" xfId="4626"/>
    <cellStyle name="쉼표 [0] 2 10 3" xfId="310"/>
    <cellStyle name="쉼표 [0] 2 10 3 2" xfId="496"/>
    <cellStyle name="쉼표 [0] 2 10 3 2 2" xfId="1080"/>
    <cellStyle name="쉼표 [0] 2 10 3 2 2 2" xfId="2171"/>
    <cellStyle name="쉼표 [0] 2 10 3 2 2 2 2" xfId="4366"/>
    <cellStyle name="쉼표 [0] 2 10 3 2 2 2 2 2" xfId="8809"/>
    <cellStyle name="쉼표 [0] 2 10 3 2 2 2 3" xfId="6614"/>
    <cellStyle name="쉼표 [0] 2 10 3 2 2 3" xfId="3280"/>
    <cellStyle name="쉼표 [0] 2 10 3 2 2 3 2" xfId="7723"/>
    <cellStyle name="쉼표 [0] 2 10 3 2 2 4" xfId="5526"/>
    <cellStyle name="쉼표 [0] 2 10 3 2 3" xfId="785"/>
    <cellStyle name="쉼표 [0] 2 10 3 2 3 2" xfId="1876"/>
    <cellStyle name="쉼표 [0] 2 10 3 2 3 2 2" xfId="4071"/>
    <cellStyle name="쉼표 [0] 2 10 3 2 3 2 2 2" xfId="8514"/>
    <cellStyle name="쉼표 [0] 2 10 3 2 3 2 3" xfId="6319"/>
    <cellStyle name="쉼표 [0] 2 10 3 2 3 3" xfId="2985"/>
    <cellStyle name="쉼표 [0] 2 10 3 2 3 3 2" xfId="7428"/>
    <cellStyle name="쉼표 [0] 2 10 3 2 3 4" xfId="5231"/>
    <cellStyle name="쉼표 [0] 2 10 3 2 4" xfId="1587"/>
    <cellStyle name="쉼표 [0] 2 10 3 2 4 2" xfId="3782"/>
    <cellStyle name="쉼표 [0] 2 10 3 2 4 2 2" xfId="8225"/>
    <cellStyle name="쉼표 [0] 2 10 3 2 4 3" xfId="6030"/>
    <cellStyle name="쉼표 [0] 2 10 3 2 5" xfId="2696"/>
    <cellStyle name="쉼표 [0] 2 10 3 2 5 2" xfId="7139"/>
    <cellStyle name="쉼표 [0] 2 10 3 2 6" xfId="4942"/>
    <cellStyle name="쉼표 [0] 2 10 3 3" xfId="938"/>
    <cellStyle name="쉼표 [0] 2 10 3 3 2" xfId="2029"/>
    <cellStyle name="쉼표 [0] 2 10 3 3 2 2" xfId="4224"/>
    <cellStyle name="쉼표 [0] 2 10 3 3 2 2 2" xfId="8667"/>
    <cellStyle name="쉼표 [0] 2 10 3 3 2 3" xfId="6472"/>
    <cellStyle name="쉼표 [0] 2 10 3 3 3" xfId="3138"/>
    <cellStyle name="쉼표 [0] 2 10 3 3 3 2" xfId="7581"/>
    <cellStyle name="쉼표 [0] 2 10 3 3 4" xfId="5384"/>
    <cellStyle name="쉼표 [0] 2 10 3 4" xfId="643"/>
    <cellStyle name="쉼표 [0] 2 10 3 4 2" xfId="1734"/>
    <cellStyle name="쉼표 [0] 2 10 3 4 2 2" xfId="3929"/>
    <cellStyle name="쉼표 [0] 2 10 3 4 2 2 2" xfId="8372"/>
    <cellStyle name="쉼표 [0] 2 10 3 4 2 3" xfId="6177"/>
    <cellStyle name="쉼표 [0] 2 10 3 4 3" xfId="2843"/>
    <cellStyle name="쉼표 [0] 2 10 3 4 3 2" xfId="7286"/>
    <cellStyle name="쉼표 [0] 2 10 3 4 4" xfId="5089"/>
    <cellStyle name="쉼표 [0] 2 10 3 5" xfId="1401"/>
    <cellStyle name="쉼표 [0] 2 10 3 5 2" xfId="3596"/>
    <cellStyle name="쉼표 [0] 2 10 3 5 2 2" xfId="8039"/>
    <cellStyle name="쉼표 [0] 2 10 3 5 3" xfId="5844"/>
    <cellStyle name="쉼표 [0] 2 10 3 6" xfId="2510"/>
    <cellStyle name="쉼표 [0] 2 10 3 6 2" xfId="6953"/>
    <cellStyle name="쉼표 [0] 2 10 3 7" xfId="4756"/>
    <cellStyle name="쉼표 [0] 2 10 4" xfId="367"/>
    <cellStyle name="쉼표 [0] 2 10 4 2" xfId="995"/>
    <cellStyle name="쉼표 [0] 2 10 4 2 2" xfId="2086"/>
    <cellStyle name="쉼표 [0] 2 10 4 2 2 2" xfId="4281"/>
    <cellStyle name="쉼표 [0] 2 10 4 2 2 2 2" xfId="8724"/>
    <cellStyle name="쉼표 [0] 2 10 4 2 2 3" xfId="6529"/>
    <cellStyle name="쉼표 [0] 2 10 4 2 3" xfId="3195"/>
    <cellStyle name="쉼표 [0] 2 10 4 2 3 2" xfId="7638"/>
    <cellStyle name="쉼표 [0] 2 10 4 2 4" xfId="5441"/>
    <cellStyle name="쉼표 [0] 2 10 4 3" xfId="700"/>
    <cellStyle name="쉼표 [0] 2 10 4 3 2" xfId="1791"/>
    <cellStyle name="쉼표 [0] 2 10 4 3 2 2" xfId="3986"/>
    <cellStyle name="쉼표 [0] 2 10 4 3 2 2 2" xfId="8429"/>
    <cellStyle name="쉼표 [0] 2 10 4 3 2 3" xfId="6234"/>
    <cellStyle name="쉼표 [0] 2 10 4 3 3" xfId="2900"/>
    <cellStyle name="쉼표 [0] 2 10 4 3 3 2" xfId="7343"/>
    <cellStyle name="쉼표 [0] 2 10 4 3 4" xfId="5146"/>
    <cellStyle name="쉼표 [0] 2 10 4 4" xfId="1458"/>
    <cellStyle name="쉼표 [0] 2 10 4 4 2" xfId="3653"/>
    <cellStyle name="쉼표 [0] 2 10 4 4 2 2" xfId="8096"/>
    <cellStyle name="쉼표 [0] 2 10 4 4 3" xfId="5901"/>
    <cellStyle name="쉼표 [0] 2 10 4 5" xfId="2567"/>
    <cellStyle name="쉼표 [0] 2 10 4 5 2" xfId="7010"/>
    <cellStyle name="쉼표 [0] 2 10 4 6" xfId="4813"/>
    <cellStyle name="쉼표 [0] 2 10 5" xfId="852"/>
    <cellStyle name="쉼표 [0] 2 10 5 2" xfId="1943"/>
    <cellStyle name="쉼표 [0] 2 10 5 2 2" xfId="4138"/>
    <cellStyle name="쉼표 [0] 2 10 5 2 2 2" xfId="8581"/>
    <cellStyle name="쉼표 [0] 2 10 5 2 3" xfId="6386"/>
    <cellStyle name="쉼표 [0] 2 10 5 3" xfId="3052"/>
    <cellStyle name="쉼표 [0] 2 10 5 3 2" xfId="7495"/>
    <cellStyle name="쉼표 [0] 2 10 5 4" xfId="5298"/>
    <cellStyle name="쉼표 [0] 2 10 6" xfId="554"/>
    <cellStyle name="쉼표 [0] 2 10 6 2" xfId="1645"/>
    <cellStyle name="쉼표 [0] 2 10 6 2 2" xfId="3840"/>
    <cellStyle name="쉼표 [0] 2 10 6 2 2 2" xfId="8283"/>
    <cellStyle name="쉼표 [0] 2 10 6 2 3" xfId="6088"/>
    <cellStyle name="쉼표 [0] 2 10 6 3" xfId="2754"/>
    <cellStyle name="쉼표 [0] 2 10 6 3 2" xfId="7197"/>
    <cellStyle name="쉼표 [0] 2 10 6 4" xfId="5000"/>
    <cellStyle name="쉼표 [0] 2 10 7" xfId="1266"/>
    <cellStyle name="쉼표 [0] 2 10 7 2" xfId="3463"/>
    <cellStyle name="쉼표 [0] 2 10 7 2 2" xfId="7906"/>
    <cellStyle name="쉼표 [0] 2 10 7 3" xfId="5710"/>
    <cellStyle name="쉼표 [0] 2 10 8" xfId="2377"/>
    <cellStyle name="쉼표 [0] 2 10 8 2" xfId="6820"/>
    <cellStyle name="쉼표 [0] 2 10 9" xfId="4575"/>
    <cellStyle name="쉼표 [0] 2 10 9 2" xfId="9018"/>
    <cellStyle name="쉼표 [0] 2 11" xfId="74"/>
    <cellStyle name="쉼표 [0] 2 11 2" xfId="312"/>
    <cellStyle name="쉼표 [0] 2 11 2 2" xfId="498"/>
    <cellStyle name="쉼표 [0] 2 11 2 2 2" xfId="1082"/>
    <cellStyle name="쉼표 [0] 2 11 2 2 2 2" xfId="2173"/>
    <cellStyle name="쉼표 [0] 2 11 2 2 2 2 2" xfId="4368"/>
    <cellStyle name="쉼표 [0] 2 11 2 2 2 2 2 2" xfId="8811"/>
    <cellStyle name="쉼표 [0] 2 11 2 2 2 2 3" xfId="6616"/>
    <cellStyle name="쉼표 [0] 2 11 2 2 2 3" xfId="3282"/>
    <cellStyle name="쉼표 [0] 2 11 2 2 2 3 2" xfId="7725"/>
    <cellStyle name="쉼표 [0] 2 11 2 2 2 4" xfId="5528"/>
    <cellStyle name="쉼표 [0] 2 11 2 2 3" xfId="787"/>
    <cellStyle name="쉼표 [0] 2 11 2 2 3 2" xfId="1878"/>
    <cellStyle name="쉼표 [0] 2 11 2 2 3 2 2" xfId="4073"/>
    <cellStyle name="쉼표 [0] 2 11 2 2 3 2 2 2" xfId="8516"/>
    <cellStyle name="쉼표 [0] 2 11 2 2 3 2 3" xfId="6321"/>
    <cellStyle name="쉼표 [0] 2 11 2 2 3 3" xfId="2987"/>
    <cellStyle name="쉼표 [0] 2 11 2 2 3 3 2" xfId="7430"/>
    <cellStyle name="쉼표 [0] 2 11 2 2 3 4" xfId="5233"/>
    <cellStyle name="쉼표 [0] 2 11 2 2 4" xfId="1589"/>
    <cellStyle name="쉼표 [0] 2 11 2 2 4 2" xfId="3784"/>
    <cellStyle name="쉼표 [0] 2 11 2 2 4 2 2" xfId="8227"/>
    <cellStyle name="쉼표 [0] 2 11 2 2 4 3" xfId="6032"/>
    <cellStyle name="쉼표 [0] 2 11 2 2 5" xfId="2698"/>
    <cellStyle name="쉼표 [0] 2 11 2 2 5 2" xfId="7141"/>
    <cellStyle name="쉼표 [0] 2 11 2 2 6" xfId="4944"/>
    <cellStyle name="쉼표 [0] 2 11 2 3" xfId="940"/>
    <cellStyle name="쉼표 [0] 2 11 2 3 2" xfId="2031"/>
    <cellStyle name="쉼표 [0] 2 11 2 3 2 2" xfId="4226"/>
    <cellStyle name="쉼표 [0] 2 11 2 3 2 2 2" xfId="8669"/>
    <cellStyle name="쉼표 [0] 2 11 2 3 2 3" xfId="6474"/>
    <cellStyle name="쉼표 [0] 2 11 2 3 3" xfId="3140"/>
    <cellStyle name="쉼표 [0] 2 11 2 3 3 2" xfId="7583"/>
    <cellStyle name="쉼표 [0] 2 11 2 3 4" xfId="5386"/>
    <cellStyle name="쉼표 [0] 2 11 2 4" xfId="645"/>
    <cellStyle name="쉼표 [0] 2 11 2 4 2" xfId="1736"/>
    <cellStyle name="쉼표 [0] 2 11 2 4 2 2" xfId="3931"/>
    <cellStyle name="쉼표 [0] 2 11 2 4 2 2 2" xfId="8374"/>
    <cellStyle name="쉼표 [0] 2 11 2 4 2 3" xfId="6179"/>
    <cellStyle name="쉼표 [0] 2 11 2 4 3" xfId="2845"/>
    <cellStyle name="쉼표 [0] 2 11 2 4 3 2" xfId="7288"/>
    <cellStyle name="쉼표 [0] 2 11 2 4 4" xfId="5091"/>
    <cellStyle name="쉼표 [0] 2 11 2 5" xfId="1403"/>
    <cellStyle name="쉼표 [0] 2 11 2 5 2" xfId="3598"/>
    <cellStyle name="쉼표 [0] 2 11 2 5 2 2" xfId="8041"/>
    <cellStyle name="쉼표 [0] 2 11 2 5 3" xfId="5846"/>
    <cellStyle name="쉼표 [0] 2 11 2 6" xfId="2512"/>
    <cellStyle name="쉼표 [0] 2 11 2 6 2" xfId="6955"/>
    <cellStyle name="쉼표 [0] 2 11 2 7" xfId="4758"/>
    <cellStyle name="쉼표 [0] 2 11 3" xfId="404"/>
    <cellStyle name="쉼표 [0] 2 11 3 2" xfId="1032"/>
    <cellStyle name="쉼표 [0] 2 11 3 2 2" xfId="2123"/>
    <cellStyle name="쉼표 [0] 2 11 3 2 2 2" xfId="4318"/>
    <cellStyle name="쉼표 [0] 2 11 3 2 2 2 2" xfId="8761"/>
    <cellStyle name="쉼표 [0] 2 11 3 2 2 3" xfId="6566"/>
    <cellStyle name="쉼표 [0] 2 11 3 2 3" xfId="3232"/>
    <cellStyle name="쉼표 [0] 2 11 3 2 3 2" xfId="7675"/>
    <cellStyle name="쉼표 [0] 2 11 3 2 4" xfId="5478"/>
    <cellStyle name="쉼표 [0] 2 11 3 3" xfId="737"/>
    <cellStyle name="쉼표 [0] 2 11 3 3 2" xfId="1828"/>
    <cellStyle name="쉼표 [0] 2 11 3 3 2 2" xfId="4023"/>
    <cellStyle name="쉼표 [0] 2 11 3 3 2 2 2" xfId="8466"/>
    <cellStyle name="쉼표 [0] 2 11 3 3 2 3" xfId="6271"/>
    <cellStyle name="쉼표 [0] 2 11 3 3 3" xfId="2937"/>
    <cellStyle name="쉼표 [0] 2 11 3 3 3 2" xfId="7380"/>
    <cellStyle name="쉼표 [0] 2 11 3 3 4" xfId="5183"/>
    <cellStyle name="쉼표 [0] 2 11 3 4" xfId="1495"/>
    <cellStyle name="쉼표 [0] 2 11 3 4 2" xfId="3690"/>
    <cellStyle name="쉼표 [0] 2 11 3 4 2 2" xfId="8133"/>
    <cellStyle name="쉼표 [0] 2 11 3 4 3" xfId="5938"/>
    <cellStyle name="쉼표 [0] 2 11 3 5" xfId="2604"/>
    <cellStyle name="쉼표 [0] 2 11 3 5 2" xfId="7047"/>
    <cellStyle name="쉼표 [0] 2 11 3 6" xfId="4850"/>
    <cellStyle name="쉼표 [0] 2 11 4" xfId="890"/>
    <cellStyle name="쉼표 [0] 2 11 4 2" xfId="1981"/>
    <cellStyle name="쉼표 [0] 2 11 4 2 2" xfId="4176"/>
    <cellStyle name="쉼표 [0] 2 11 4 2 2 2" xfId="8619"/>
    <cellStyle name="쉼표 [0] 2 11 4 2 3" xfId="6424"/>
    <cellStyle name="쉼표 [0] 2 11 4 3" xfId="3090"/>
    <cellStyle name="쉼표 [0] 2 11 4 3 2" xfId="7533"/>
    <cellStyle name="쉼표 [0] 2 11 4 4" xfId="5336"/>
    <cellStyle name="쉼표 [0] 2 11 5" xfId="592"/>
    <cellStyle name="쉼표 [0] 2 11 5 2" xfId="1683"/>
    <cellStyle name="쉼표 [0] 2 11 5 2 2" xfId="3878"/>
    <cellStyle name="쉼표 [0] 2 11 5 2 2 2" xfId="8321"/>
    <cellStyle name="쉼표 [0] 2 11 5 2 3" xfId="6126"/>
    <cellStyle name="쉼표 [0] 2 11 5 3" xfId="2792"/>
    <cellStyle name="쉼표 [0] 2 11 5 3 2" xfId="7235"/>
    <cellStyle name="쉼표 [0] 2 11 5 4" xfId="5038"/>
    <cellStyle name="쉼표 [0] 2 11 6" xfId="1306"/>
    <cellStyle name="쉼표 [0] 2 11 6 2" xfId="3501"/>
    <cellStyle name="쉼표 [0] 2 11 6 2 2" xfId="7944"/>
    <cellStyle name="쉼표 [0] 2 11 6 3" xfId="5749"/>
    <cellStyle name="쉼표 [0] 2 11 7" xfId="2415"/>
    <cellStyle name="쉼표 [0] 2 11 7 2" xfId="6858"/>
    <cellStyle name="쉼표 [0] 2 11 8" xfId="4628"/>
    <cellStyle name="쉼표 [0] 2 12" xfId="78"/>
    <cellStyle name="쉼표 [0] 2 12 2" xfId="313"/>
    <cellStyle name="쉼표 [0] 2 12 2 2" xfId="499"/>
    <cellStyle name="쉼표 [0] 2 12 2 2 2" xfId="1083"/>
    <cellStyle name="쉼표 [0] 2 12 2 2 2 2" xfId="2174"/>
    <cellStyle name="쉼표 [0] 2 12 2 2 2 2 2" xfId="4369"/>
    <cellStyle name="쉼표 [0] 2 12 2 2 2 2 2 2" xfId="8812"/>
    <cellStyle name="쉼표 [0] 2 12 2 2 2 2 3" xfId="6617"/>
    <cellStyle name="쉼표 [0] 2 12 2 2 2 3" xfId="3283"/>
    <cellStyle name="쉼표 [0] 2 12 2 2 2 3 2" xfId="7726"/>
    <cellStyle name="쉼표 [0] 2 12 2 2 2 4" xfId="5529"/>
    <cellStyle name="쉼표 [0] 2 12 2 2 3" xfId="788"/>
    <cellStyle name="쉼표 [0] 2 12 2 2 3 2" xfId="1879"/>
    <cellStyle name="쉼표 [0] 2 12 2 2 3 2 2" xfId="4074"/>
    <cellStyle name="쉼표 [0] 2 12 2 2 3 2 2 2" xfId="8517"/>
    <cellStyle name="쉼표 [0] 2 12 2 2 3 2 3" xfId="6322"/>
    <cellStyle name="쉼표 [0] 2 12 2 2 3 3" xfId="2988"/>
    <cellStyle name="쉼표 [0] 2 12 2 2 3 3 2" xfId="7431"/>
    <cellStyle name="쉼표 [0] 2 12 2 2 3 4" xfId="5234"/>
    <cellStyle name="쉼표 [0] 2 12 2 2 4" xfId="1590"/>
    <cellStyle name="쉼표 [0] 2 12 2 2 4 2" xfId="3785"/>
    <cellStyle name="쉼표 [0] 2 12 2 2 4 2 2" xfId="8228"/>
    <cellStyle name="쉼표 [0] 2 12 2 2 4 3" xfId="6033"/>
    <cellStyle name="쉼표 [0] 2 12 2 2 5" xfId="2699"/>
    <cellStyle name="쉼표 [0] 2 12 2 2 5 2" xfId="7142"/>
    <cellStyle name="쉼표 [0] 2 12 2 2 6" xfId="4945"/>
    <cellStyle name="쉼표 [0] 2 12 2 3" xfId="941"/>
    <cellStyle name="쉼표 [0] 2 12 2 3 2" xfId="2032"/>
    <cellStyle name="쉼표 [0] 2 12 2 3 2 2" xfId="4227"/>
    <cellStyle name="쉼표 [0] 2 12 2 3 2 2 2" xfId="8670"/>
    <cellStyle name="쉼표 [0] 2 12 2 3 2 3" xfId="6475"/>
    <cellStyle name="쉼표 [0] 2 12 2 3 3" xfId="3141"/>
    <cellStyle name="쉼표 [0] 2 12 2 3 3 2" xfId="7584"/>
    <cellStyle name="쉼표 [0] 2 12 2 3 4" xfId="5387"/>
    <cellStyle name="쉼표 [0] 2 12 2 4" xfId="646"/>
    <cellStyle name="쉼표 [0] 2 12 2 4 2" xfId="1737"/>
    <cellStyle name="쉼표 [0] 2 12 2 4 2 2" xfId="3932"/>
    <cellStyle name="쉼표 [0] 2 12 2 4 2 2 2" xfId="8375"/>
    <cellStyle name="쉼표 [0] 2 12 2 4 2 3" xfId="6180"/>
    <cellStyle name="쉼표 [0] 2 12 2 4 3" xfId="2846"/>
    <cellStyle name="쉼표 [0] 2 12 2 4 3 2" xfId="7289"/>
    <cellStyle name="쉼표 [0] 2 12 2 4 4" xfId="5092"/>
    <cellStyle name="쉼표 [0] 2 12 2 5" xfId="1404"/>
    <cellStyle name="쉼표 [0] 2 12 2 5 2" xfId="3599"/>
    <cellStyle name="쉼표 [0] 2 12 2 5 2 2" xfId="8042"/>
    <cellStyle name="쉼표 [0] 2 12 2 5 3" xfId="5847"/>
    <cellStyle name="쉼표 [0] 2 12 2 6" xfId="2513"/>
    <cellStyle name="쉼표 [0] 2 12 2 6 2" xfId="6956"/>
    <cellStyle name="쉼표 [0] 2 12 2 7" xfId="4759"/>
    <cellStyle name="쉼표 [0] 2 12 3" xfId="405"/>
    <cellStyle name="쉼표 [0] 2 12 3 2" xfId="1033"/>
    <cellStyle name="쉼표 [0] 2 12 3 2 2" xfId="2124"/>
    <cellStyle name="쉼표 [0] 2 12 3 2 2 2" xfId="4319"/>
    <cellStyle name="쉼표 [0] 2 12 3 2 2 2 2" xfId="8762"/>
    <cellStyle name="쉼표 [0] 2 12 3 2 2 3" xfId="6567"/>
    <cellStyle name="쉼표 [0] 2 12 3 2 3" xfId="3233"/>
    <cellStyle name="쉼표 [0] 2 12 3 2 3 2" xfId="7676"/>
    <cellStyle name="쉼표 [0] 2 12 3 2 4" xfId="5479"/>
    <cellStyle name="쉼표 [0] 2 12 3 3" xfId="738"/>
    <cellStyle name="쉼표 [0] 2 12 3 3 2" xfId="1829"/>
    <cellStyle name="쉼표 [0] 2 12 3 3 2 2" xfId="4024"/>
    <cellStyle name="쉼표 [0] 2 12 3 3 2 2 2" xfId="8467"/>
    <cellStyle name="쉼표 [0] 2 12 3 3 2 3" xfId="6272"/>
    <cellStyle name="쉼표 [0] 2 12 3 3 3" xfId="2938"/>
    <cellStyle name="쉼표 [0] 2 12 3 3 3 2" xfId="7381"/>
    <cellStyle name="쉼표 [0] 2 12 3 3 4" xfId="5184"/>
    <cellStyle name="쉼표 [0] 2 12 3 4" xfId="1496"/>
    <cellStyle name="쉼표 [0] 2 12 3 4 2" xfId="3691"/>
    <cellStyle name="쉼표 [0] 2 12 3 4 2 2" xfId="8134"/>
    <cellStyle name="쉼표 [0] 2 12 3 4 3" xfId="5939"/>
    <cellStyle name="쉼표 [0] 2 12 3 5" xfId="2605"/>
    <cellStyle name="쉼표 [0] 2 12 3 5 2" xfId="7048"/>
    <cellStyle name="쉼표 [0] 2 12 3 6" xfId="4851"/>
    <cellStyle name="쉼표 [0] 2 12 4" xfId="891"/>
    <cellStyle name="쉼표 [0] 2 12 4 2" xfId="1982"/>
    <cellStyle name="쉼표 [0] 2 12 4 2 2" xfId="4177"/>
    <cellStyle name="쉼표 [0] 2 12 4 2 2 2" xfId="8620"/>
    <cellStyle name="쉼표 [0] 2 12 4 2 3" xfId="6425"/>
    <cellStyle name="쉼표 [0] 2 12 4 3" xfId="3091"/>
    <cellStyle name="쉼표 [0] 2 12 4 3 2" xfId="7534"/>
    <cellStyle name="쉼표 [0] 2 12 4 4" xfId="5337"/>
    <cellStyle name="쉼표 [0] 2 12 5" xfId="593"/>
    <cellStyle name="쉼표 [0] 2 12 5 2" xfId="1684"/>
    <cellStyle name="쉼표 [0] 2 12 5 2 2" xfId="3879"/>
    <cellStyle name="쉼표 [0] 2 12 5 2 2 2" xfId="8322"/>
    <cellStyle name="쉼표 [0] 2 12 5 2 3" xfId="6127"/>
    <cellStyle name="쉼표 [0] 2 12 5 3" xfId="2793"/>
    <cellStyle name="쉼표 [0] 2 12 5 3 2" xfId="7236"/>
    <cellStyle name="쉼표 [0] 2 12 5 4" xfId="5039"/>
    <cellStyle name="쉼표 [0] 2 12 6" xfId="1307"/>
    <cellStyle name="쉼표 [0] 2 12 6 2" xfId="3502"/>
    <cellStyle name="쉼표 [0] 2 12 6 2 2" xfId="7945"/>
    <cellStyle name="쉼표 [0] 2 12 6 3" xfId="5750"/>
    <cellStyle name="쉼표 [0] 2 12 7" xfId="2416"/>
    <cellStyle name="쉼표 [0] 2 12 7 2" xfId="6859"/>
    <cellStyle name="쉼표 [0] 2 12 8" xfId="4630"/>
    <cellStyle name="쉼표 [0] 2 13" xfId="83"/>
    <cellStyle name="쉼표 [0] 2 13 2" xfId="314"/>
    <cellStyle name="쉼표 [0] 2 13 2 2" xfId="500"/>
    <cellStyle name="쉼표 [0] 2 13 2 2 2" xfId="1084"/>
    <cellStyle name="쉼표 [0] 2 13 2 2 2 2" xfId="2175"/>
    <cellStyle name="쉼표 [0] 2 13 2 2 2 2 2" xfId="4370"/>
    <cellStyle name="쉼표 [0] 2 13 2 2 2 2 2 2" xfId="8813"/>
    <cellStyle name="쉼표 [0] 2 13 2 2 2 2 3" xfId="6618"/>
    <cellStyle name="쉼표 [0] 2 13 2 2 2 3" xfId="3284"/>
    <cellStyle name="쉼표 [0] 2 13 2 2 2 3 2" xfId="7727"/>
    <cellStyle name="쉼표 [0] 2 13 2 2 2 4" xfId="5530"/>
    <cellStyle name="쉼표 [0] 2 13 2 2 3" xfId="789"/>
    <cellStyle name="쉼표 [0] 2 13 2 2 3 2" xfId="1880"/>
    <cellStyle name="쉼표 [0] 2 13 2 2 3 2 2" xfId="4075"/>
    <cellStyle name="쉼표 [0] 2 13 2 2 3 2 2 2" xfId="8518"/>
    <cellStyle name="쉼표 [0] 2 13 2 2 3 2 3" xfId="6323"/>
    <cellStyle name="쉼표 [0] 2 13 2 2 3 3" xfId="2989"/>
    <cellStyle name="쉼표 [0] 2 13 2 2 3 3 2" xfId="7432"/>
    <cellStyle name="쉼표 [0] 2 13 2 2 3 4" xfId="5235"/>
    <cellStyle name="쉼표 [0] 2 13 2 2 4" xfId="1591"/>
    <cellStyle name="쉼표 [0] 2 13 2 2 4 2" xfId="3786"/>
    <cellStyle name="쉼표 [0] 2 13 2 2 4 2 2" xfId="8229"/>
    <cellStyle name="쉼표 [0] 2 13 2 2 4 3" xfId="6034"/>
    <cellStyle name="쉼표 [0] 2 13 2 2 5" xfId="2700"/>
    <cellStyle name="쉼표 [0] 2 13 2 2 5 2" xfId="7143"/>
    <cellStyle name="쉼표 [0] 2 13 2 2 6" xfId="4946"/>
    <cellStyle name="쉼표 [0] 2 13 2 3" xfId="942"/>
    <cellStyle name="쉼표 [0] 2 13 2 3 2" xfId="2033"/>
    <cellStyle name="쉼표 [0] 2 13 2 3 2 2" xfId="4228"/>
    <cellStyle name="쉼표 [0] 2 13 2 3 2 2 2" xfId="8671"/>
    <cellStyle name="쉼표 [0] 2 13 2 3 2 3" xfId="6476"/>
    <cellStyle name="쉼표 [0] 2 13 2 3 3" xfId="3142"/>
    <cellStyle name="쉼표 [0] 2 13 2 3 3 2" xfId="7585"/>
    <cellStyle name="쉼표 [0] 2 13 2 3 4" xfId="5388"/>
    <cellStyle name="쉼표 [0] 2 13 2 4" xfId="647"/>
    <cellStyle name="쉼표 [0] 2 13 2 4 2" xfId="1738"/>
    <cellStyle name="쉼표 [0] 2 13 2 4 2 2" xfId="3933"/>
    <cellStyle name="쉼표 [0] 2 13 2 4 2 2 2" xfId="8376"/>
    <cellStyle name="쉼표 [0] 2 13 2 4 2 3" xfId="6181"/>
    <cellStyle name="쉼표 [0] 2 13 2 4 3" xfId="2847"/>
    <cellStyle name="쉼표 [0] 2 13 2 4 3 2" xfId="7290"/>
    <cellStyle name="쉼표 [0] 2 13 2 4 4" xfId="5093"/>
    <cellStyle name="쉼표 [0] 2 13 2 5" xfId="1405"/>
    <cellStyle name="쉼표 [0] 2 13 2 5 2" xfId="3600"/>
    <cellStyle name="쉼표 [0] 2 13 2 5 2 2" xfId="8043"/>
    <cellStyle name="쉼표 [0] 2 13 2 5 3" xfId="5848"/>
    <cellStyle name="쉼표 [0] 2 13 2 6" xfId="2514"/>
    <cellStyle name="쉼표 [0] 2 13 2 6 2" xfId="6957"/>
    <cellStyle name="쉼표 [0] 2 13 2 7" xfId="4760"/>
    <cellStyle name="쉼표 [0] 2 13 3" xfId="407"/>
    <cellStyle name="쉼표 [0] 2 13 3 2" xfId="1035"/>
    <cellStyle name="쉼표 [0] 2 13 3 2 2" xfId="2126"/>
    <cellStyle name="쉼표 [0] 2 13 3 2 2 2" xfId="4321"/>
    <cellStyle name="쉼표 [0] 2 13 3 2 2 2 2" xfId="8764"/>
    <cellStyle name="쉼표 [0] 2 13 3 2 2 3" xfId="6569"/>
    <cellStyle name="쉼표 [0] 2 13 3 2 3" xfId="3235"/>
    <cellStyle name="쉼표 [0] 2 13 3 2 3 2" xfId="7678"/>
    <cellStyle name="쉼표 [0] 2 13 3 2 4" xfId="5481"/>
    <cellStyle name="쉼표 [0] 2 13 3 3" xfId="740"/>
    <cellStyle name="쉼표 [0] 2 13 3 3 2" xfId="1831"/>
    <cellStyle name="쉼표 [0] 2 13 3 3 2 2" xfId="4026"/>
    <cellStyle name="쉼표 [0] 2 13 3 3 2 2 2" xfId="8469"/>
    <cellStyle name="쉼표 [0] 2 13 3 3 2 3" xfId="6274"/>
    <cellStyle name="쉼표 [0] 2 13 3 3 3" xfId="2940"/>
    <cellStyle name="쉼표 [0] 2 13 3 3 3 2" xfId="7383"/>
    <cellStyle name="쉼표 [0] 2 13 3 3 4" xfId="5186"/>
    <cellStyle name="쉼표 [0] 2 13 3 4" xfId="1498"/>
    <cellStyle name="쉼표 [0] 2 13 3 4 2" xfId="3693"/>
    <cellStyle name="쉼표 [0] 2 13 3 4 2 2" xfId="8136"/>
    <cellStyle name="쉼표 [0] 2 13 3 4 3" xfId="5941"/>
    <cellStyle name="쉼표 [0] 2 13 3 5" xfId="2607"/>
    <cellStyle name="쉼표 [0] 2 13 3 5 2" xfId="7050"/>
    <cellStyle name="쉼표 [0] 2 13 3 6" xfId="4853"/>
    <cellStyle name="쉼표 [0] 2 13 4" xfId="893"/>
    <cellStyle name="쉼표 [0] 2 13 4 2" xfId="1984"/>
    <cellStyle name="쉼표 [0] 2 13 4 2 2" xfId="4179"/>
    <cellStyle name="쉼표 [0] 2 13 4 2 2 2" xfId="8622"/>
    <cellStyle name="쉼표 [0] 2 13 4 2 3" xfId="6427"/>
    <cellStyle name="쉼표 [0] 2 13 4 3" xfId="3093"/>
    <cellStyle name="쉼표 [0] 2 13 4 3 2" xfId="7536"/>
    <cellStyle name="쉼표 [0] 2 13 4 4" xfId="5339"/>
    <cellStyle name="쉼표 [0] 2 13 5" xfId="595"/>
    <cellStyle name="쉼표 [0] 2 13 5 2" xfId="1686"/>
    <cellStyle name="쉼표 [0] 2 13 5 2 2" xfId="3881"/>
    <cellStyle name="쉼표 [0] 2 13 5 2 2 2" xfId="8324"/>
    <cellStyle name="쉼표 [0] 2 13 5 2 3" xfId="6129"/>
    <cellStyle name="쉼표 [0] 2 13 5 3" xfId="2795"/>
    <cellStyle name="쉼표 [0] 2 13 5 3 2" xfId="7238"/>
    <cellStyle name="쉼표 [0] 2 13 5 4" xfId="5041"/>
    <cellStyle name="쉼표 [0] 2 13 6" xfId="1309"/>
    <cellStyle name="쉼표 [0] 2 13 6 2" xfId="3504"/>
    <cellStyle name="쉼표 [0] 2 13 6 2 2" xfId="7947"/>
    <cellStyle name="쉼표 [0] 2 13 6 3" xfId="5752"/>
    <cellStyle name="쉼표 [0] 2 13 7" xfId="2418"/>
    <cellStyle name="쉼표 [0] 2 13 7 2" xfId="6861"/>
    <cellStyle name="쉼표 [0] 2 13 8" xfId="4633"/>
    <cellStyle name="쉼표 [0] 2 14" xfId="118"/>
    <cellStyle name="쉼표 [0] 2 14 2" xfId="315"/>
    <cellStyle name="쉼표 [0] 2 14 2 2" xfId="501"/>
    <cellStyle name="쉼표 [0] 2 14 2 2 2" xfId="1085"/>
    <cellStyle name="쉼표 [0] 2 14 2 2 2 2" xfId="2176"/>
    <cellStyle name="쉼표 [0] 2 14 2 2 2 2 2" xfId="4371"/>
    <cellStyle name="쉼표 [0] 2 14 2 2 2 2 2 2" xfId="8814"/>
    <cellStyle name="쉼표 [0] 2 14 2 2 2 2 3" xfId="6619"/>
    <cellStyle name="쉼표 [0] 2 14 2 2 2 3" xfId="3285"/>
    <cellStyle name="쉼표 [0] 2 14 2 2 2 3 2" xfId="7728"/>
    <cellStyle name="쉼표 [0] 2 14 2 2 2 4" xfId="5531"/>
    <cellStyle name="쉼표 [0] 2 14 2 2 3" xfId="790"/>
    <cellStyle name="쉼표 [0] 2 14 2 2 3 2" xfId="1881"/>
    <cellStyle name="쉼표 [0] 2 14 2 2 3 2 2" xfId="4076"/>
    <cellStyle name="쉼표 [0] 2 14 2 2 3 2 2 2" xfId="8519"/>
    <cellStyle name="쉼표 [0] 2 14 2 2 3 2 3" xfId="6324"/>
    <cellStyle name="쉼표 [0] 2 14 2 2 3 3" xfId="2990"/>
    <cellStyle name="쉼표 [0] 2 14 2 2 3 3 2" xfId="7433"/>
    <cellStyle name="쉼표 [0] 2 14 2 2 3 4" xfId="5236"/>
    <cellStyle name="쉼표 [0] 2 14 2 2 4" xfId="1592"/>
    <cellStyle name="쉼표 [0] 2 14 2 2 4 2" xfId="3787"/>
    <cellStyle name="쉼표 [0] 2 14 2 2 4 2 2" xfId="8230"/>
    <cellStyle name="쉼표 [0] 2 14 2 2 4 3" xfId="6035"/>
    <cellStyle name="쉼표 [0] 2 14 2 2 5" xfId="2701"/>
    <cellStyle name="쉼표 [0] 2 14 2 2 5 2" xfId="7144"/>
    <cellStyle name="쉼표 [0] 2 14 2 2 6" xfId="4947"/>
    <cellStyle name="쉼표 [0] 2 14 2 3" xfId="943"/>
    <cellStyle name="쉼표 [0] 2 14 2 3 2" xfId="2034"/>
    <cellStyle name="쉼표 [0] 2 14 2 3 2 2" xfId="4229"/>
    <cellStyle name="쉼표 [0] 2 14 2 3 2 2 2" xfId="8672"/>
    <cellStyle name="쉼표 [0] 2 14 2 3 2 3" xfId="6477"/>
    <cellStyle name="쉼표 [0] 2 14 2 3 3" xfId="3143"/>
    <cellStyle name="쉼표 [0] 2 14 2 3 3 2" xfId="7586"/>
    <cellStyle name="쉼표 [0] 2 14 2 3 4" xfId="5389"/>
    <cellStyle name="쉼표 [0] 2 14 2 4" xfId="648"/>
    <cellStyle name="쉼표 [0] 2 14 2 4 2" xfId="1739"/>
    <cellStyle name="쉼표 [0] 2 14 2 4 2 2" xfId="3934"/>
    <cellStyle name="쉼표 [0] 2 14 2 4 2 2 2" xfId="8377"/>
    <cellStyle name="쉼표 [0] 2 14 2 4 2 3" xfId="6182"/>
    <cellStyle name="쉼표 [0] 2 14 2 4 3" xfId="2848"/>
    <cellStyle name="쉼표 [0] 2 14 2 4 3 2" xfId="7291"/>
    <cellStyle name="쉼표 [0] 2 14 2 4 4" xfId="5094"/>
    <cellStyle name="쉼표 [0] 2 14 2 5" xfId="1406"/>
    <cellStyle name="쉼표 [0] 2 14 2 5 2" xfId="3601"/>
    <cellStyle name="쉼표 [0] 2 14 2 5 2 2" xfId="8044"/>
    <cellStyle name="쉼표 [0] 2 14 2 5 3" xfId="5849"/>
    <cellStyle name="쉼표 [0] 2 14 2 6" xfId="2515"/>
    <cellStyle name="쉼표 [0] 2 14 2 6 2" xfId="6958"/>
    <cellStyle name="쉼표 [0] 2 14 2 7" xfId="4761"/>
    <cellStyle name="쉼표 [0] 2 14 3" xfId="409"/>
    <cellStyle name="쉼표 [0] 2 14 3 2" xfId="1037"/>
    <cellStyle name="쉼표 [0] 2 14 3 2 2" xfId="2128"/>
    <cellStyle name="쉼표 [0] 2 14 3 2 2 2" xfId="4323"/>
    <cellStyle name="쉼표 [0] 2 14 3 2 2 2 2" xfId="8766"/>
    <cellStyle name="쉼표 [0] 2 14 3 2 2 3" xfId="6571"/>
    <cellStyle name="쉼표 [0] 2 14 3 2 3" xfId="3237"/>
    <cellStyle name="쉼표 [0] 2 14 3 2 3 2" xfId="7680"/>
    <cellStyle name="쉼표 [0] 2 14 3 2 4" xfId="5483"/>
    <cellStyle name="쉼표 [0] 2 14 3 3" xfId="742"/>
    <cellStyle name="쉼표 [0] 2 14 3 3 2" xfId="1833"/>
    <cellStyle name="쉼표 [0] 2 14 3 3 2 2" xfId="4028"/>
    <cellStyle name="쉼표 [0] 2 14 3 3 2 2 2" xfId="8471"/>
    <cellStyle name="쉼표 [0] 2 14 3 3 2 3" xfId="6276"/>
    <cellStyle name="쉼표 [0] 2 14 3 3 3" xfId="2942"/>
    <cellStyle name="쉼표 [0] 2 14 3 3 3 2" xfId="7385"/>
    <cellStyle name="쉼표 [0] 2 14 3 3 4" xfId="5188"/>
    <cellStyle name="쉼표 [0] 2 14 3 4" xfId="1500"/>
    <cellStyle name="쉼표 [0] 2 14 3 4 2" xfId="3695"/>
    <cellStyle name="쉼표 [0] 2 14 3 4 2 2" xfId="8138"/>
    <cellStyle name="쉼표 [0] 2 14 3 4 3" xfId="5943"/>
    <cellStyle name="쉼표 [0] 2 14 3 5" xfId="2609"/>
    <cellStyle name="쉼표 [0] 2 14 3 5 2" xfId="7052"/>
    <cellStyle name="쉼표 [0] 2 14 3 6" xfId="4855"/>
    <cellStyle name="쉼표 [0] 2 14 4" xfId="895"/>
    <cellStyle name="쉼표 [0] 2 14 4 2" xfId="1986"/>
    <cellStyle name="쉼표 [0] 2 14 4 2 2" xfId="4181"/>
    <cellStyle name="쉼표 [0] 2 14 4 2 2 2" xfId="8624"/>
    <cellStyle name="쉼표 [0] 2 14 4 2 3" xfId="6429"/>
    <cellStyle name="쉼표 [0] 2 14 4 3" xfId="3095"/>
    <cellStyle name="쉼표 [0] 2 14 4 3 2" xfId="7538"/>
    <cellStyle name="쉼표 [0] 2 14 4 4" xfId="5341"/>
    <cellStyle name="쉼표 [0] 2 14 5" xfId="598"/>
    <cellStyle name="쉼표 [0] 2 14 5 2" xfId="1689"/>
    <cellStyle name="쉼표 [0] 2 14 5 2 2" xfId="3884"/>
    <cellStyle name="쉼표 [0] 2 14 5 2 2 2" xfId="8327"/>
    <cellStyle name="쉼표 [0] 2 14 5 2 3" xfId="6132"/>
    <cellStyle name="쉼표 [0] 2 14 5 3" xfId="2798"/>
    <cellStyle name="쉼표 [0] 2 14 5 3 2" xfId="7241"/>
    <cellStyle name="쉼표 [0] 2 14 5 4" xfId="5044"/>
    <cellStyle name="쉼표 [0] 2 14 6" xfId="1312"/>
    <cellStyle name="쉼표 [0] 2 14 6 2" xfId="3507"/>
    <cellStyle name="쉼표 [0] 2 14 6 2 2" xfId="7950"/>
    <cellStyle name="쉼표 [0] 2 14 6 3" xfId="5755"/>
    <cellStyle name="쉼표 [0] 2 14 7" xfId="2421"/>
    <cellStyle name="쉼표 [0] 2 14 7 2" xfId="6864"/>
    <cellStyle name="쉼표 [0] 2 14 8" xfId="4642"/>
    <cellStyle name="쉼표 [0] 2 15" xfId="119"/>
    <cellStyle name="쉼표 [0] 2 15 2" xfId="316"/>
    <cellStyle name="쉼표 [0] 2 15 2 2" xfId="502"/>
    <cellStyle name="쉼표 [0] 2 15 2 2 2" xfId="1086"/>
    <cellStyle name="쉼표 [0] 2 15 2 2 2 2" xfId="2177"/>
    <cellStyle name="쉼표 [0] 2 15 2 2 2 2 2" xfId="4372"/>
    <cellStyle name="쉼표 [0] 2 15 2 2 2 2 2 2" xfId="8815"/>
    <cellStyle name="쉼표 [0] 2 15 2 2 2 2 3" xfId="6620"/>
    <cellStyle name="쉼표 [0] 2 15 2 2 2 3" xfId="3286"/>
    <cellStyle name="쉼표 [0] 2 15 2 2 2 3 2" xfId="7729"/>
    <cellStyle name="쉼표 [0] 2 15 2 2 2 4" xfId="5532"/>
    <cellStyle name="쉼표 [0] 2 15 2 2 3" xfId="791"/>
    <cellStyle name="쉼표 [0] 2 15 2 2 3 2" xfId="1882"/>
    <cellStyle name="쉼표 [0] 2 15 2 2 3 2 2" xfId="4077"/>
    <cellStyle name="쉼표 [0] 2 15 2 2 3 2 2 2" xfId="8520"/>
    <cellStyle name="쉼표 [0] 2 15 2 2 3 2 3" xfId="6325"/>
    <cellStyle name="쉼표 [0] 2 15 2 2 3 3" xfId="2991"/>
    <cellStyle name="쉼표 [0] 2 15 2 2 3 3 2" xfId="7434"/>
    <cellStyle name="쉼표 [0] 2 15 2 2 3 4" xfId="5237"/>
    <cellStyle name="쉼표 [0] 2 15 2 2 4" xfId="1593"/>
    <cellStyle name="쉼표 [0] 2 15 2 2 4 2" xfId="3788"/>
    <cellStyle name="쉼표 [0] 2 15 2 2 4 2 2" xfId="8231"/>
    <cellStyle name="쉼표 [0] 2 15 2 2 4 3" xfId="6036"/>
    <cellStyle name="쉼표 [0] 2 15 2 2 5" xfId="2702"/>
    <cellStyle name="쉼표 [0] 2 15 2 2 5 2" xfId="7145"/>
    <cellStyle name="쉼표 [0] 2 15 2 2 6" xfId="4948"/>
    <cellStyle name="쉼표 [0] 2 15 2 3" xfId="944"/>
    <cellStyle name="쉼표 [0] 2 15 2 3 2" xfId="2035"/>
    <cellStyle name="쉼표 [0] 2 15 2 3 2 2" xfId="4230"/>
    <cellStyle name="쉼표 [0] 2 15 2 3 2 2 2" xfId="8673"/>
    <cellStyle name="쉼표 [0] 2 15 2 3 2 3" xfId="6478"/>
    <cellStyle name="쉼표 [0] 2 15 2 3 3" xfId="3144"/>
    <cellStyle name="쉼표 [0] 2 15 2 3 3 2" xfId="7587"/>
    <cellStyle name="쉼표 [0] 2 15 2 3 4" xfId="5390"/>
    <cellStyle name="쉼표 [0] 2 15 2 4" xfId="649"/>
    <cellStyle name="쉼표 [0] 2 15 2 4 2" xfId="1740"/>
    <cellStyle name="쉼표 [0] 2 15 2 4 2 2" xfId="3935"/>
    <cellStyle name="쉼표 [0] 2 15 2 4 2 2 2" xfId="8378"/>
    <cellStyle name="쉼표 [0] 2 15 2 4 2 3" xfId="6183"/>
    <cellStyle name="쉼표 [0] 2 15 2 4 3" xfId="2849"/>
    <cellStyle name="쉼표 [0] 2 15 2 4 3 2" xfId="7292"/>
    <cellStyle name="쉼표 [0] 2 15 2 4 4" xfId="5095"/>
    <cellStyle name="쉼표 [0] 2 15 2 5" xfId="1407"/>
    <cellStyle name="쉼표 [0] 2 15 2 5 2" xfId="3602"/>
    <cellStyle name="쉼표 [0] 2 15 2 5 2 2" xfId="8045"/>
    <cellStyle name="쉼표 [0] 2 15 2 5 3" xfId="5850"/>
    <cellStyle name="쉼표 [0] 2 15 2 6" xfId="2516"/>
    <cellStyle name="쉼표 [0] 2 15 2 6 2" xfId="6959"/>
    <cellStyle name="쉼표 [0] 2 15 2 7" xfId="4762"/>
    <cellStyle name="쉼표 [0] 2 15 3" xfId="410"/>
    <cellStyle name="쉼표 [0] 2 15 3 2" xfId="1038"/>
    <cellStyle name="쉼표 [0] 2 15 3 2 2" xfId="2129"/>
    <cellStyle name="쉼표 [0] 2 15 3 2 2 2" xfId="4324"/>
    <cellStyle name="쉼표 [0] 2 15 3 2 2 2 2" xfId="8767"/>
    <cellStyle name="쉼표 [0] 2 15 3 2 2 3" xfId="6572"/>
    <cellStyle name="쉼표 [0] 2 15 3 2 3" xfId="3238"/>
    <cellStyle name="쉼표 [0] 2 15 3 2 3 2" xfId="7681"/>
    <cellStyle name="쉼표 [0] 2 15 3 2 4" xfId="5484"/>
    <cellStyle name="쉼표 [0] 2 15 3 3" xfId="743"/>
    <cellStyle name="쉼표 [0] 2 15 3 3 2" xfId="1834"/>
    <cellStyle name="쉼표 [0] 2 15 3 3 2 2" xfId="4029"/>
    <cellStyle name="쉼표 [0] 2 15 3 3 2 2 2" xfId="8472"/>
    <cellStyle name="쉼표 [0] 2 15 3 3 2 3" xfId="6277"/>
    <cellStyle name="쉼표 [0] 2 15 3 3 3" xfId="2943"/>
    <cellStyle name="쉼표 [0] 2 15 3 3 3 2" xfId="7386"/>
    <cellStyle name="쉼표 [0] 2 15 3 3 4" xfId="5189"/>
    <cellStyle name="쉼표 [0] 2 15 3 4" xfId="1501"/>
    <cellStyle name="쉼표 [0] 2 15 3 4 2" xfId="3696"/>
    <cellStyle name="쉼표 [0] 2 15 3 4 2 2" xfId="8139"/>
    <cellStyle name="쉼표 [0] 2 15 3 4 3" xfId="5944"/>
    <cellStyle name="쉼표 [0] 2 15 3 5" xfId="2610"/>
    <cellStyle name="쉼표 [0] 2 15 3 5 2" xfId="7053"/>
    <cellStyle name="쉼표 [0] 2 15 3 6" xfId="4856"/>
    <cellStyle name="쉼표 [0] 2 15 4" xfId="896"/>
    <cellStyle name="쉼표 [0] 2 15 4 2" xfId="1987"/>
    <cellStyle name="쉼표 [0] 2 15 4 2 2" xfId="4182"/>
    <cellStyle name="쉼표 [0] 2 15 4 2 2 2" xfId="8625"/>
    <cellStyle name="쉼표 [0] 2 15 4 2 3" xfId="6430"/>
    <cellStyle name="쉼표 [0] 2 15 4 3" xfId="3096"/>
    <cellStyle name="쉼표 [0] 2 15 4 3 2" xfId="7539"/>
    <cellStyle name="쉼표 [0] 2 15 4 4" xfId="5342"/>
    <cellStyle name="쉼표 [0] 2 15 5" xfId="599"/>
    <cellStyle name="쉼표 [0] 2 15 5 2" xfId="1690"/>
    <cellStyle name="쉼표 [0] 2 15 5 2 2" xfId="3885"/>
    <cellStyle name="쉼표 [0] 2 15 5 2 2 2" xfId="8328"/>
    <cellStyle name="쉼표 [0] 2 15 5 2 3" xfId="6133"/>
    <cellStyle name="쉼표 [0] 2 15 5 3" xfId="2799"/>
    <cellStyle name="쉼표 [0] 2 15 5 3 2" xfId="7242"/>
    <cellStyle name="쉼표 [0] 2 15 5 4" xfId="5045"/>
    <cellStyle name="쉼표 [0] 2 15 6" xfId="1313"/>
    <cellStyle name="쉼표 [0] 2 15 6 2" xfId="3508"/>
    <cellStyle name="쉼표 [0] 2 15 6 2 2" xfId="7951"/>
    <cellStyle name="쉼표 [0] 2 15 6 3" xfId="5756"/>
    <cellStyle name="쉼표 [0] 2 15 7" xfId="2422"/>
    <cellStyle name="쉼표 [0] 2 15 7 2" xfId="6865"/>
    <cellStyle name="쉼표 [0] 2 15 8" xfId="4643"/>
    <cellStyle name="쉼표 [0] 2 16" xfId="120"/>
    <cellStyle name="쉼표 [0] 2 16 2" xfId="317"/>
    <cellStyle name="쉼표 [0] 2 16 2 2" xfId="503"/>
    <cellStyle name="쉼표 [0] 2 16 2 2 2" xfId="1087"/>
    <cellStyle name="쉼표 [0] 2 16 2 2 2 2" xfId="2178"/>
    <cellStyle name="쉼표 [0] 2 16 2 2 2 2 2" xfId="4373"/>
    <cellStyle name="쉼표 [0] 2 16 2 2 2 2 2 2" xfId="8816"/>
    <cellStyle name="쉼표 [0] 2 16 2 2 2 2 3" xfId="6621"/>
    <cellStyle name="쉼표 [0] 2 16 2 2 2 3" xfId="3287"/>
    <cellStyle name="쉼표 [0] 2 16 2 2 2 3 2" xfId="7730"/>
    <cellStyle name="쉼표 [0] 2 16 2 2 2 4" xfId="5533"/>
    <cellStyle name="쉼표 [0] 2 16 2 2 3" xfId="792"/>
    <cellStyle name="쉼표 [0] 2 16 2 2 3 2" xfId="1883"/>
    <cellStyle name="쉼표 [0] 2 16 2 2 3 2 2" xfId="4078"/>
    <cellStyle name="쉼표 [0] 2 16 2 2 3 2 2 2" xfId="8521"/>
    <cellStyle name="쉼표 [0] 2 16 2 2 3 2 3" xfId="6326"/>
    <cellStyle name="쉼표 [0] 2 16 2 2 3 3" xfId="2992"/>
    <cellStyle name="쉼표 [0] 2 16 2 2 3 3 2" xfId="7435"/>
    <cellStyle name="쉼표 [0] 2 16 2 2 3 4" xfId="5238"/>
    <cellStyle name="쉼표 [0] 2 16 2 2 4" xfId="1594"/>
    <cellStyle name="쉼표 [0] 2 16 2 2 4 2" xfId="3789"/>
    <cellStyle name="쉼표 [0] 2 16 2 2 4 2 2" xfId="8232"/>
    <cellStyle name="쉼표 [0] 2 16 2 2 4 3" xfId="6037"/>
    <cellStyle name="쉼표 [0] 2 16 2 2 5" xfId="2703"/>
    <cellStyle name="쉼표 [0] 2 16 2 2 5 2" xfId="7146"/>
    <cellStyle name="쉼표 [0] 2 16 2 2 6" xfId="4949"/>
    <cellStyle name="쉼표 [0] 2 16 2 3" xfId="945"/>
    <cellStyle name="쉼표 [0] 2 16 2 3 2" xfId="2036"/>
    <cellStyle name="쉼표 [0] 2 16 2 3 2 2" xfId="4231"/>
    <cellStyle name="쉼표 [0] 2 16 2 3 2 2 2" xfId="8674"/>
    <cellStyle name="쉼표 [0] 2 16 2 3 2 3" xfId="6479"/>
    <cellStyle name="쉼표 [0] 2 16 2 3 3" xfId="3145"/>
    <cellStyle name="쉼표 [0] 2 16 2 3 3 2" xfId="7588"/>
    <cellStyle name="쉼표 [0] 2 16 2 3 4" xfId="5391"/>
    <cellStyle name="쉼표 [0] 2 16 2 4" xfId="650"/>
    <cellStyle name="쉼표 [0] 2 16 2 4 2" xfId="1741"/>
    <cellStyle name="쉼표 [0] 2 16 2 4 2 2" xfId="3936"/>
    <cellStyle name="쉼표 [0] 2 16 2 4 2 2 2" xfId="8379"/>
    <cellStyle name="쉼표 [0] 2 16 2 4 2 3" xfId="6184"/>
    <cellStyle name="쉼표 [0] 2 16 2 4 3" xfId="2850"/>
    <cellStyle name="쉼표 [0] 2 16 2 4 3 2" xfId="7293"/>
    <cellStyle name="쉼표 [0] 2 16 2 4 4" xfId="5096"/>
    <cellStyle name="쉼표 [0] 2 16 2 5" xfId="1408"/>
    <cellStyle name="쉼표 [0] 2 16 2 5 2" xfId="3603"/>
    <cellStyle name="쉼표 [0] 2 16 2 5 2 2" xfId="8046"/>
    <cellStyle name="쉼표 [0] 2 16 2 5 3" xfId="5851"/>
    <cellStyle name="쉼표 [0] 2 16 2 6" xfId="2517"/>
    <cellStyle name="쉼표 [0] 2 16 2 6 2" xfId="6960"/>
    <cellStyle name="쉼표 [0] 2 16 2 7" xfId="4763"/>
    <cellStyle name="쉼표 [0] 2 16 3" xfId="411"/>
    <cellStyle name="쉼표 [0] 2 16 3 2" xfId="1039"/>
    <cellStyle name="쉼표 [0] 2 16 3 2 2" xfId="2130"/>
    <cellStyle name="쉼표 [0] 2 16 3 2 2 2" xfId="4325"/>
    <cellStyle name="쉼표 [0] 2 16 3 2 2 2 2" xfId="8768"/>
    <cellStyle name="쉼표 [0] 2 16 3 2 2 3" xfId="6573"/>
    <cellStyle name="쉼표 [0] 2 16 3 2 3" xfId="3239"/>
    <cellStyle name="쉼표 [0] 2 16 3 2 3 2" xfId="7682"/>
    <cellStyle name="쉼표 [0] 2 16 3 2 4" xfId="5485"/>
    <cellStyle name="쉼표 [0] 2 16 3 3" xfId="744"/>
    <cellStyle name="쉼표 [0] 2 16 3 3 2" xfId="1835"/>
    <cellStyle name="쉼표 [0] 2 16 3 3 2 2" xfId="4030"/>
    <cellStyle name="쉼표 [0] 2 16 3 3 2 2 2" xfId="8473"/>
    <cellStyle name="쉼표 [0] 2 16 3 3 2 3" xfId="6278"/>
    <cellStyle name="쉼표 [0] 2 16 3 3 3" xfId="2944"/>
    <cellStyle name="쉼표 [0] 2 16 3 3 3 2" xfId="7387"/>
    <cellStyle name="쉼표 [0] 2 16 3 3 4" xfId="5190"/>
    <cellStyle name="쉼표 [0] 2 16 3 4" xfId="1502"/>
    <cellStyle name="쉼표 [0] 2 16 3 4 2" xfId="3697"/>
    <cellStyle name="쉼표 [0] 2 16 3 4 2 2" xfId="8140"/>
    <cellStyle name="쉼표 [0] 2 16 3 4 3" xfId="5945"/>
    <cellStyle name="쉼표 [0] 2 16 3 5" xfId="2611"/>
    <cellStyle name="쉼표 [0] 2 16 3 5 2" xfId="7054"/>
    <cellStyle name="쉼표 [0] 2 16 3 6" xfId="4857"/>
    <cellStyle name="쉼표 [0] 2 16 4" xfId="897"/>
    <cellStyle name="쉼표 [0] 2 16 4 2" xfId="1988"/>
    <cellStyle name="쉼표 [0] 2 16 4 2 2" xfId="4183"/>
    <cellStyle name="쉼표 [0] 2 16 4 2 2 2" xfId="8626"/>
    <cellStyle name="쉼표 [0] 2 16 4 2 3" xfId="6431"/>
    <cellStyle name="쉼표 [0] 2 16 4 3" xfId="3097"/>
    <cellStyle name="쉼표 [0] 2 16 4 3 2" xfId="7540"/>
    <cellStyle name="쉼표 [0] 2 16 4 4" xfId="5343"/>
    <cellStyle name="쉼표 [0] 2 16 5" xfId="600"/>
    <cellStyle name="쉼표 [0] 2 16 5 2" xfId="1691"/>
    <cellStyle name="쉼표 [0] 2 16 5 2 2" xfId="3886"/>
    <cellStyle name="쉼표 [0] 2 16 5 2 2 2" xfId="8329"/>
    <cellStyle name="쉼표 [0] 2 16 5 2 3" xfId="6134"/>
    <cellStyle name="쉼표 [0] 2 16 5 3" xfId="2800"/>
    <cellStyle name="쉼표 [0] 2 16 5 3 2" xfId="7243"/>
    <cellStyle name="쉼표 [0] 2 16 5 4" xfId="5046"/>
    <cellStyle name="쉼표 [0] 2 16 6" xfId="1314"/>
    <cellStyle name="쉼표 [0] 2 16 6 2" xfId="3509"/>
    <cellStyle name="쉼표 [0] 2 16 6 2 2" xfId="7952"/>
    <cellStyle name="쉼표 [0] 2 16 6 3" xfId="5757"/>
    <cellStyle name="쉼표 [0] 2 16 7" xfId="2423"/>
    <cellStyle name="쉼표 [0] 2 16 7 2" xfId="6866"/>
    <cellStyle name="쉼표 [0] 2 16 8" xfId="4644"/>
    <cellStyle name="쉼표 [0] 2 17" xfId="121"/>
    <cellStyle name="쉼표 [0] 2 17 2" xfId="318"/>
    <cellStyle name="쉼표 [0] 2 17 2 2" xfId="504"/>
    <cellStyle name="쉼표 [0] 2 17 2 2 2" xfId="1088"/>
    <cellStyle name="쉼표 [0] 2 17 2 2 2 2" xfId="2179"/>
    <cellStyle name="쉼표 [0] 2 17 2 2 2 2 2" xfId="4374"/>
    <cellStyle name="쉼표 [0] 2 17 2 2 2 2 2 2" xfId="8817"/>
    <cellStyle name="쉼표 [0] 2 17 2 2 2 2 3" xfId="6622"/>
    <cellStyle name="쉼표 [0] 2 17 2 2 2 3" xfId="3288"/>
    <cellStyle name="쉼표 [0] 2 17 2 2 2 3 2" xfId="7731"/>
    <cellStyle name="쉼표 [0] 2 17 2 2 2 4" xfId="5534"/>
    <cellStyle name="쉼표 [0] 2 17 2 2 3" xfId="793"/>
    <cellStyle name="쉼표 [0] 2 17 2 2 3 2" xfId="1884"/>
    <cellStyle name="쉼표 [0] 2 17 2 2 3 2 2" xfId="4079"/>
    <cellStyle name="쉼표 [0] 2 17 2 2 3 2 2 2" xfId="8522"/>
    <cellStyle name="쉼표 [0] 2 17 2 2 3 2 3" xfId="6327"/>
    <cellStyle name="쉼표 [0] 2 17 2 2 3 3" xfId="2993"/>
    <cellStyle name="쉼표 [0] 2 17 2 2 3 3 2" xfId="7436"/>
    <cellStyle name="쉼표 [0] 2 17 2 2 3 4" xfId="5239"/>
    <cellStyle name="쉼표 [0] 2 17 2 2 4" xfId="1595"/>
    <cellStyle name="쉼표 [0] 2 17 2 2 4 2" xfId="3790"/>
    <cellStyle name="쉼표 [0] 2 17 2 2 4 2 2" xfId="8233"/>
    <cellStyle name="쉼표 [0] 2 17 2 2 4 3" xfId="6038"/>
    <cellStyle name="쉼표 [0] 2 17 2 2 5" xfId="2704"/>
    <cellStyle name="쉼표 [0] 2 17 2 2 5 2" xfId="7147"/>
    <cellStyle name="쉼표 [0] 2 17 2 2 6" xfId="4950"/>
    <cellStyle name="쉼표 [0] 2 17 2 3" xfId="946"/>
    <cellStyle name="쉼표 [0] 2 17 2 3 2" xfId="2037"/>
    <cellStyle name="쉼표 [0] 2 17 2 3 2 2" xfId="4232"/>
    <cellStyle name="쉼표 [0] 2 17 2 3 2 2 2" xfId="8675"/>
    <cellStyle name="쉼표 [0] 2 17 2 3 2 3" xfId="6480"/>
    <cellStyle name="쉼표 [0] 2 17 2 3 3" xfId="3146"/>
    <cellStyle name="쉼표 [0] 2 17 2 3 3 2" xfId="7589"/>
    <cellStyle name="쉼표 [0] 2 17 2 3 4" xfId="5392"/>
    <cellStyle name="쉼표 [0] 2 17 2 4" xfId="651"/>
    <cellStyle name="쉼표 [0] 2 17 2 4 2" xfId="1742"/>
    <cellStyle name="쉼표 [0] 2 17 2 4 2 2" xfId="3937"/>
    <cellStyle name="쉼표 [0] 2 17 2 4 2 2 2" xfId="8380"/>
    <cellStyle name="쉼표 [0] 2 17 2 4 2 3" xfId="6185"/>
    <cellStyle name="쉼표 [0] 2 17 2 4 3" xfId="2851"/>
    <cellStyle name="쉼표 [0] 2 17 2 4 3 2" xfId="7294"/>
    <cellStyle name="쉼표 [0] 2 17 2 4 4" xfId="5097"/>
    <cellStyle name="쉼표 [0] 2 17 2 5" xfId="1409"/>
    <cellStyle name="쉼표 [0] 2 17 2 5 2" xfId="3604"/>
    <cellStyle name="쉼표 [0] 2 17 2 5 2 2" xfId="8047"/>
    <cellStyle name="쉼표 [0] 2 17 2 5 3" xfId="5852"/>
    <cellStyle name="쉼표 [0] 2 17 2 6" xfId="2518"/>
    <cellStyle name="쉼표 [0] 2 17 2 6 2" xfId="6961"/>
    <cellStyle name="쉼표 [0] 2 17 2 7" xfId="4764"/>
    <cellStyle name="쉼표 [0] 2 17 3" xfId="412"/>
    <cellStyle name="쉼표 [0] 2 17 3 2" xfId="1040"/>
    <cellStyle name="쉼표 [0] 2 17 3 2 2" xfId="2131"/>
    <cellStyle name="쉼표 [0] 2 17 3 2 2 2" xfId="4326"/>
    <cellStyle name="쉼표 [0] 2 17 3 2 2 2 2" xfId="8769"/>
    <cellStyle name="쉼표 [0] 2 17 3 2 2 3" xfId="6574"/>
    <cellStyle name="쉼표 [0] 2 17 3 2 3" xfId="3240"/>
    <cellStyle name="쉼표 [0] 2 17 3 2 3 2" xfId="7683"/>
    <cellStyle name="쉼표 [0] 2 17 3 2 4" xfId="5486"/>
    <cellStyle name="쉼표 [0] 2 17 3 3" xfId="745"/>
    <cellStyle name="쉼표 [0] 2 17 3 3 2" xfId="1836"/>
    <cellStyle name="쉼표 [0] 2 17 3 3 2 2" xfId="4031"/>
    <cellStyle name="쉼표 [0] 2 17 3 3 2 2 2" xfId="8474"/>
    <cellStyle name="쉼표 [0] 2 17 3 3 2 3" xfId="6279"/>
    <cellStyle name="쉼표 [0] 2 17 3 3 3" xfId="2945"/>
    <cellStyle name="쉼표 [0] 2 17 3 3 3 2" xfId="7388"/>
    <cellStyle name="쉼표 [0] 2 17 3 3 4" xfId="5191"/>
    <cellStyle name="쉼표 [0] 2 17 3 4" xfId="1503"/>
    <cellStyle name="쉼표 [0] 2 17 3 4 2" xfId="3698"/>
    <cellStyle name="쉼표 [0] 2 17 3 4 2 2" xfId="8141"/>
    <cellStyle name="쉼표 [0] 2 17 3 4 3" xfId="5946"/>
    <cellStyle name="쉼표 [0] 2 17 3 5" xfId="2612"/>
    <cellStyle name="쉼표 [0] 2 17 3 5 2" xfId="7055"/>
    <cellStyle name="쉼표 [0] 2 17 3 6" xfId="4858"/>
    <cellStyle name="쉼표 [0] 2 17 4" xfId="898"/>
    <cellStyle name="쉼표 [0] 2 17 4 2" xfId="1989"/>
    <cellStyle name="쉼표 [0] 2 17 4 2 2" xfId="4184"/>
    <cellStyle name="쉼표 [0] 2 17 4 2 2 2" xfId="8627"/>
    <cellStyle name="쉼표 [0] 2 17 4 2 3" xfId="6432"/>
    <cellStyle name="쉼표 [0] 2 17 4 3" xfId="3098"/>
    <cellStyle name="쉼표 [0] 2 17 4 3 2" xfId="7541"/>
    <cellStyle name="쉼표 [0] 2 17 4 4" xfId="5344"/>
    <cellStyle name="쉼표 [0] 2 17 5" xfId="601"/>
    <cellStyle name="쉼표 [0] 2 17 5 2" xfId="1692"/>
    <cellStyle name="쉼표 [0] 2 17 5 2 2" xfId="3887"/>
    <cellStyle name="쉼표 [0] 2 17 5 2 2 2" xfId="8330"/>
    <cellStyle name="쉼표 [0] 2 17 5 2 3" xfId="6135"/>
    <cellStyle name="쉼표 [0] 2 17 5 3" xfId="2801"/>
    <cellStyle name="쉼표 [0] 2 17 5 3 2" xfId="7244"/>
    <cellStyle name="쉼표 [0] 2 17 5 4" xfId="5047"/>
    <cellStyle name="쉼표 [0] 2 17 6" xfId="1315"/>
    <cellStyle name="쉼표 [0] 2 17 6 2" xfId="3510"/>
    <cellStyle name="쉼표 [0] 2 17 6 2 2" xfId="7953"/>
    <cellStyle name="쉼표 [0] 2 17 6 3" xfId="5758"/>
    <cellStyle name="쉼표 [0] 2 17 7" xfId="2424"/>
    <cellStyle name="쉼표 [0] 2 17 7 2" xfId="6867"/>
    <cellStyle name="쉼표 [0] 2 17 8" xfId="4645"/>
    <cellStyle name="쉼표 [0] 2 18" xfId="11"/>
    <cellStyle name="쉼표 [0] 2 18 2" xfId="122"/>
    <cellStyle name="쉼표 [0] 2 18 2 2" xfId="413"/>
    <cellStyle name="쉼표 [0] 2 18 2 2 2" xfId="1041"/>
    <cellStyle name="쉼표 [0] 2 18 2 2 2 2" xfId="2132"/>
    <cellStyle name="쉼표 [0] 2 18 2 2 2 2 2" xfId="4327"/>
    <cellStyle name="쉼표 [0] 2 18 2 2 2 2 2 2" xfId="8770"/>
    <cellStyle name="쉼표 [0] 2 18 2 2 2 2 3" xfId="6575"/>
    <cellStyle name="쉼표 [0] 2 18 2 2 2 3" xfId="3241"/>
    <cellStyle name="쉼표 [0] 2 18 2 2 2 3 2" xfId="7684"/>
    <cellStyle name="쉼표 [0] 2 18 2 2 2 4" xfId="5487"/>
    <cellStyle name="쉼표 [0] 2 18 2 2 3" xfId="746"/>
    <cellStyle name="쉼표 [0] 2 18 2 2 3 2" xfId="1837"/>
    <cellStyle name="쉼표 [0] 2 18 2 2 3 2 2" xfId="4032"/>
    <cellStyle name="쉼표 [0] 2 18 2 2 3 2 2 2" xfId="8475"/>
    <cellStyle name="쉼표 [0] 2 18 2 2 3 2 3" xfId="6280"/>
    <cellStyle name="쉼표 [0] 2 18 2 2 3 3" xfId="2946"/>
    <cellStyle name="쉼표 [0] 2 18 2 2 3 3 2" xfId="7389"/>
    <cellStyle name="쉼표 [0] 2 18 2 2 3 4" xfId="5192"/>
    <cellStyle name="쉼표 [0] 2 18 2 2 4" xfId="1504"/>
    <cellStyle name="쉼표 [0] 2 18 2 2 4 2" xfId="3699"/>
    <cellStyle name="쉼표 [0] 2 18 2 2 4 2 2" xfId="8142"/>
    <cellStyle name="쉼표 [0] 2 18 2 2 4 3" xfId="5947"/>
    <cellStyle name="쉼표 [0] 2 18 2 2 5" xfId="2613"/>
    <cellStyle name="쉼표 [0] 2 18 2 2 5 2" xfId="7056"/>
    <cellStyle name="쉼표 [0] 2 18 2 2 6" xfId="4859"/>
    <cellStyle name="쉼표 [0] 2 18 2 3" xfId="899"/>
    <cellStyle name="쉼표 [0] 2 18 2 3 2" xfId="1990"/>
    <cellStyle name="쉼표 [0] 2 18 2 3 2 2" xfId="4185"/>
    <cellStyle name="쉼표 [0] 2 18 2 3 2 2 2" xfId="8628"/>
    <cellStyle name="쉼표 [0] 2 18 2 3 2 3" xfId="6433"/>
    <cellStyle name="쉼표 [0] 2 18 2 3 3" xfId="3099"/>
    <cellStyle name="쉼표 [0] 2 18 2 3 3 2" xfId="7542"/>
    <cellStyle name="쉼표 [0] 2 18 2 3 4" xfId="5345"/>
    <cellStyle name="쉼표 [0] 2 18 2 4" xfId="602"/>
    <cellStyle name="쉼표 [0] 2 18 2 4 2" xfId="1693"/>
    <cellStyle name="쉼표 [0] 2 18 2 4 2 2" xfId="3888"/>
    <cellStyle name="쉼표 [0] 2 18 2 4 2 2 2" xfId="8331"/>
    <cellStyle name="쉼표 [0] 2 18 2 4 2 3" xfId="6136"/>
    <cellStyle name="쉼표 [0] 2 18 2 4 3" xfId="2802"/>
    <cellStyle name="쉼표 [0] 2 18 2 4 3 2" xfId="7245"/>
    <cellStyle name="쉼표 [0] 2 18 2 4 4" xfId="5048"/>
    <cellStyle name="쉼표 [0] 2 18 2 5" xfId="1316"/>
    <cellStyle name="쉼표 [0] 2 18 2 5 2" xfId="3511"/>
    <cellStyle name="쉼표 [0] 2 18 2 5 2 2" xfId="7954"/>
    <cellStyle name="쉼표 [0] 2 18 2 5 3" xfId="5759"/>
    <cellStyle name="쉼표 [0] 2 18 2 6" xfId="2425"/>
    <cellStyle name="쉼표 [0] 2 18 2 6 2" xfId="6868"/>
    <cellStyle name="쉼표 [0] 2 18 2 7" xfId="4646"/>
    <cellStyle name="쉼표 [0] 2 18 3" xfId="319"/>
    <cellStyle name="쉼표 [0] 2 18 3 2" xfId="505"/>
    <cellStyle name="쉼표 [0] 2 18 3 2 2" xfId="1089"/>
    <cellStyle name="쉼표 [0] 2 18 3 2 2 2" xfId="2180"/>
    <cellStyle name="쉼표 [0] 2 18 3 2 2 2 2" xfId="4375"/>
    <cellStyle name="쉼표 [0] 2 18 3 2 2 2 2 2" xfId="8818"/>
    <cellStyle name="쉼표 [0] 2 18 3 2 2 2 3" xfId="6623"/>
    <cellStyle name="쉼표 [0] 2 18 3 2 2 3" xfId="3289"/>
    <cellStyle name="쉼표 [0] 2 18 3 2 2 3 2" xfId="7732"/>
    <cellStyle name="쉼표 [0] 2 18 3 2 2 4" xfId="5535"/>
    <cellStyle name="쉼표 [0] 2 18 3 2 3" xfId="794"/>
    <cellStyle name="쉼표 [0] 2 18 3 2 3 2" xfId="1885"/>
    <cellStyle name="쉼표 [0] 2 18 3 2 3 2 2" xfId="4080"/>
    <cellStyle name="쉼표 [0] 2 18 3 2 3 2 2 2" xfId="8523"/>
    <cellStyle name="쉼표 [0] 2 18 3 2 3 2 3" xfId="6328"/>
    <cellStyle name="쉼표 [0] 2 18 3 2 3 3" xfId="2994"/>
    <cellStyle name="쉼표 [0] 2 18 3 2 3 3 2" xfId="7437"/>
    <cellStyle name="쉼표 [0] 2 18 3 2 3 4" xfId="5240"/>
    <cellStyle name="쉼표 [0] 2 18 3 2 4" xfId="1596"/>
    <cellStyle name="쉼표 [0] 2 18 3 2 4 2" xfId="3791"/>
    <cellStyle name="쉼표 [0] 2 18 3 2 4 2 2" xfId="8234"/>
    <cellStyle name="쉼표 [0] 2 18 3 2 4 3" xfId="6039"/>
    <cellStyle name="쉼표 [0] 2 18 3 2 5" xfId="2705"/>
    <cellStyle name="쉼표 [0] 2 18 3 2 5 2" xfId="7148"/>
    <cellStyle name="쉼표 [0] 2 18 3 2 6" xfId="4951"/>
    <cellStyle name="쉼표 [0] 2 18 3 3" xfId="947"/>
    <cellStyle name="쉼표 [0] 2 18 3 3 2" xfId="2038"/>
    <cellStyle name="쉼표 [0] 2 18 3 3 2 2" xfId="4233"/>
    <cellStyle name="쉼표 [0] 2 18 3 3 2 2 2" xfId="8676"/>
    <cellStyle name="쉼표 [0] 2 18 3 3 2 3" xfId="6481"/>
    <cellStyle name="쉼표 [0] 2 18 3 3 3" xfId="3147"/>
    <cellStyle name="쉼표 [0] 2 18 3 3 3 2" xfId="7590"/>
    <cellStyle name="쉼표 [0] 2 18 3 3 4" xfId="5393"/>
    <cellStyle name="쉼표 [0] 2 18 3 4" xfId="652"/>
    <cellStyle name="쉼표 [0] 2 18 3 4 2" xfId="1743"/>
    <cellStyle name="쉼표 [0] 2 18 3 4 2 2" xfId="3938"/>
    <cellStyle name="쉼표 [0] 2 18 3 4 2 2 2" xfId="8381"/>
    <cellStyle name="쉼표 [0] 2 18 3 4 2 3" xfId="6186"/>
    <cellStyle name="쉼표 [0] 2 18 3 4 3" xfId="2852"/>
    <cellStyle name="쉼표 [0] 2 18 3 4 3 2" xfId="7295"/>
    <cellStyle name="쉼표 [0] 2 18 3 4 4" xfId="5098"/>
    <cellStyle name="쉼표 [0] 2 18 3 5" xfId="1410"/>
    <cellStyle name="쉼표 [0] 2 18 3 5 2" xfId="3605"/>
    <cellStyle name="쉼표 [0] 2 18 3 5 2 2" xfId="8048"/>
    <cellStyle name="쉼표 [0] 2 18 3 5 3" xfId="5853"/>
    <cellStyle name="쉼표 [0] 2 18 3 6" xfId="2519"/>
    <cellStyle name="쉼표 [0] 2 18 3 6 2" xfId="6962"/>
    <cellStyle name="쉼표 [0] 2 18 3 7" xfId="4765"/>
    <cellStyle name="쉼표 [0] 2 18 4" xfId="366"/>
    <cellStyle name="쉼표 [0] 2 18 4 2" xfId="994"/>
    <cellStyle name="쉼표 [0] 2 18 4 2 2" xfId="2085"/>
    <cellStyle name="쉼표 [0] 2 18 4 2 2 2" xfId="4280"/>
    <cellStyle name="쉼표 [0] 2 18 4 2 2 2 2" xfId="8723"/>
    <cellStyle name="쉼표 [0] 2 18 4 2 2 3" xfId="6528"/>
    <cellStyle name="쉼표 [0] 2 18 4 2 3" xfId="3194"/>
    <cellStyle name="쉼표 [0] 2 18 4 2 3 2" xfId="7637"/>
    <cellStyle name="쉼표 [0] 2 18 4 2 4" xfId="5440"/>
    <cellStyle name="쉼표 [0] 2 18 4 3" xfId="699"/>
    <cellStyle name="쉼표 [0] 2 18 4 3 2" xfId="1790"/>
    <cellStyle name="쉼표 [0] 2 18 4 3 2 2" xfId="3985"/>
    <cellStyle name="쉼표 [0] 2 18 4 3 2 2 2" xfId="8428"/>
    <cellStyle name="쉼표 [0] 2 18 4 3 2 3" xfId="6233"/>
    <cellStyle name="쉼표 [0] 2 18 4 3 3" xfId="2899"/>
    <cellStyle name="쉼표 [0] 2 18 4 3 3 2" xfId="7342"/>
    <cellStyle name="쉼표 [0] 2 18 4 3 4" xfId="5145"/>
    <cellStyle name="쉼표 [0] 2 18 4 4" xfId="1457"/>
    <cellStyle name="쉼표 [0] 2 18 4 4 2" xfId="3652"/>
    <cellStyle name="쉼표 [0] 2 18 4 4 2 2" xfId="8095"/>
    <cellStyle name="쉼표 [0] 2 18 4 4 3" xfId="5900"/>
    <cellStyle name="쉼표 [0] 2 18 4 5" xfId="2566"/>
    <cellStyle name="쉼표 [0] 2 18 4 5 2" xfId="7009"/>
    <cellStyle name="쉼표 [0] 2 18 4 6" xfId="4812"/>
    <cellStyle name="쉼표 [0] 2 18 5" xfId="851"/>
    <cellStyle name="쉼표 [0] 2 18 5 2" xfId="1942"/>
    <cellStyle name="쉼표 [0] 2 18 5 2 2" xfId="4137"/>
    <cellStyle name="쉼표 [0] 2 18 5 2 2 2" xfId="8580"/>
    <cellStyle name="쉼표 [0] 2 18 5 2 3" xfId="6385"/>
    <cellStyle name="쉼표 [0] 2 18 5 3" xfId="3051"/>
    <cellStyle name="쉼표 [0] 2 18 5 3 2" xfId="7494"/>
    <cellStyle name="쉼표 [0] 2 18 5 4" xfId="5297"/>
    <cellStyle name="쉼표 [0] 2 18 6" xfId="553"/>
    <cellStyle name="쉼표 [0] 2 18 6 2" xfId="1644"/>
    <cellStyle name="쉼표 [0] 2 18 6 2 2" xfId="3839"/>
    <cellStyle name="쉼표 [0] 2 18 6 2 2 2" xfId="8282"/>
    <cellStyle name="쉼표 [0] 2 18 6 2 3" xfId="6087"/>
    <cellStyle name="쉼표 [0] 2 18 6 3" xfId="2753"/>
    <cellStyle name="쉼표 [0] 2 18 6 3 2" xfId="7196"/>
    <cellStyle name="쉼표 [0] 2 18 6 4" xfId="4999"/>
    <cellStyle name="쉼표 [0] 2 18 7" xfId="1265"/>
    <cellStyle name="쉼표 [0] 2 18 7 2" xfId="3462"/>
    <cellStyle name="쉼표 [0] 2 18 7 2 2" xfId="7905"/>
    <cellStyle name="쉼표 [0] 2 18 7 3" xfId="5709"/>
    <cellStyle name="쉼표 [0] 2 18 8" xfId="2376"/>
    <cellStyle name="쉼표 [0] 2 18 8 2" xfId="6819"/>
    <cellStyle name="쉼표 [0] 2 18 9" xfId="4585"/>
    <cellStyle name="쉼표 [0] 2 19" xfId="123"/>
    <cellStyle name="쉼표 [0] 2 19 2" xfId="320"/>
    <cellStyle name="쉼표 [0] 2 19 2 2" xfId="506"/>
    <cellStyle name="쉼표 [0] 2 19 2 2 2" xfId="1090"/>
    <cellStyle name="쉼표 [0] 2 19 2 2 2 2" xfId="2181"/>
    <cellStyle name="쉼표 [0] 2 19 2 2 2 2 2" xfId="4376"/>
    <cellStyle name="쉼표 [0] 2 19 2 2 2 2 2 2" xfId="8819"/>
    <cellStyle name="쉼표 [0] 2 19 2 2 2 2 3" xfId="6624"/>
    <cellStyle name="쉼표 [0] 2 19 2 2 2 3" xfId="3290"/>
    <cellStyle name="쉼표 [0] 2 19 2 2 2 3 2" xfId="7733"/>
    <cellStyle name="쉼표 [0] 2 19 2 2 2 4" xfId="5536"/>
    <cellStyle name="쉼표 [0] 2 19 2 2 3" xfId="795"/>
    <cellStyle name="쉼표 [0] 2 19 2 2 3 2" xfId="1886"/>
    <cellStyle name="쉼표 [0] 2 19 2 2 3 2 2" xfId="4081"/>
    <cellStyle name="쉼표 [0] 2 19 2 2 3 2 2 2" xfId="8524"/>
    <cellStyle name="쉼표 [0] 2 19 2 2 3 2 3" xfId="6329"/>
    <cellStyle name="쉼표 [0] 2 19 2 2 3 3" xfId="2995"/>
    <cellStyle name="쉼표 [0] 2 19 2 2 3 3 2" xfId="7438"/>
    <cellStyle name="쉼표 [0] 2 19 2 2 3 4" xfId="5241"/>
    <cellStyle name="쉼표 [0] 2 19 2 2 4" xfId="1597"/>
    <cellStyle name="쉼표 [0] 2 19 2 2 4 2" xfId="3792"/>
    <cellStyle name="쉼표 [0] 2 19 2 2 4 2 2" xfId="8235"/>
    <cellStyle name="쉼표 [0] 2 19 2 2 4 3" xfId="6040"/>
    <cellStyle name="쉼표 [0] 2 19 2 2 5" xfId="2706"/>
    <cellStyle name="쉼표 [0] 2 19 2 2 5 2" xfId="7149"/>
    <cellStyle name="쉼표 [0] 2 19 2 2 6" xfId="4952"/>
    <cellStyle name="쉼표 [0] 2 19 2 3" xfId="948"/>
    <cellStyle name="쉼표 [0] 2 19 2 3 2" xfId="2039"/>
    <cellStyle name="쉼표 [0] 2 19 2 3 2 2" xfId="4234"/>
    <cellStyle name="쉼표 [0] 2 19 2 3 2 2 2" xfId="8677"/>
    <cellStyle name="쉼표 [0] 2 19 2 3 2 3" xfId="6482"/>
    <cellStyle name="쉼표 [0] 2 19 2 3 3" xfId="3148"/>
    <cellStyle name="쉼표 [0] 2 19 2 3 3 2" xfId="7591"/>
    <cellStyle name="쉼표 [0] 2 19 2 3 4" xfId="5394"/>
    <cellStyle name="쉼표 [0] 2 19 2 4" xfId="653"/>
    <cellStyle name="쉼표 [0] 2 19 2 4 2" xfId="1744"/>
    <cellStyle name="쉼표 [0] 2 19 2 4 2 2" xfId="3939"/>
    <cellStyle name="쉼표 [0] 2 19 2 4 2 2 2" xfId="8382"/>
    <cellStyle name="쉼표 [0] 2 19 2 4 2 3" xfId="6187"/>
    <cellStyle name="쉼표 [0] 2 19 2 4 3" xfId="2853"/>
    <cellStyle name="쉼표 [0] 2 19 2 4 3 2" xfId="7296"/>
    <cellStyle name="쉼표 [0] 2 19 2 4 4" xfId="5099"/>
    <cellStyle name="쉼표 [0] 2 19 2 5" xfId="1411"/>
    <cellStyle name="쉼표 [0] 2 19 2 5 2" xfId="3606"/>
    <cellStyle name="쉼표 [0] 2 19 2 5 2 2" xfId="8049"/>
    <cellStyle name="쉼표 [0] 2 19 2 5 3" xfId="5854"/>
    <cellStyle name="쉼표 [0] 2 19 2 6" xfId="2520"/>
    <cellStyle name="쉼표 [0] 2 19 2 6 2" xfId="6963"/>
    <cellStyle name="쉼표 [0] 2 19 2 7" xfId="4766"/>
    <cellStyle name="쉼표 [0] 2 19 3" xfId="414"/>
    <cellStyle name="쉼표 [0] 2 19 3 2" xfId="1042"/>
    <cellStyle name="쉼표 [0] 2 19 3 2 2" xfId="2133"/>
    <cellStyle name="쉼표 [0] 2 19 3 2 2 2" xfId="4328"/>
    <cellStyle name="쉼표 [0] 2 19 3 2 2 2 2" xfId="8771"/>
    <cellStyle name="쉼표 [0] 2 19 3 2 2 3" xfId="6576"/>
    <cellStyle name="쉼표 [0] 2 19 3 2 3" xfId="3242"/>
    <cellStyle name="쉼표 [0] 2 19 3 2 3 2" xfId="7685"/>
    <cellStyle name="쉼표 [0] 2 19 3 2 4" xfId="5488"/>
    <cellStyle name="쉼표 [0] 2 19 3 3" xfId="747"/>
    <cellStyle name="쉼표 [0] 2 19 3 3 2" xfId="1838"/>
    <cellStyle name="쉼표 [0] 2 19 3 3 2 2" xfId="4033"/>
    <cellStyle name="쉼표 [0] 2 19 3 3 2 2 2" xfId="8476"/>
    <cellStyle name="쉼표 [0] 2 19 3 3 2 3" xfId="6281"/>
    <cellStyle name="쉼표 [0] 2 19 3 3 3" xfId="2947"/>
    <cellStyle name="쉼표 [0] 2 19 3 3 3 2" xfId="7390"/>
    <cellStyle name="쉼표 [0] 2 19 3 3 4" xfId="5193"/>
    <cellStyle name="쉼표 [0] 2 19 3 4" xfId="1505"/>
    <cellStyle name="쉼표 [0] 2 19 3 4 2" xfId="3700"/>
    <cellStyle name="쉼표 [0] 2 19 3 4 2 2" xfId="8143"/>
    <cellStyle name="쉼표 [0] 2 19 3 4 3" xfId="5948"/>
    <cellStyle name="쉼표 [0] 2 19 3 5" xfId="2614"/>
    <cellStyle name="쉼표 [0] 2 19 3 5 2" xfId="7057"/>
    <cellStyle name="쉼표 [0] 2 19 3 6" xfId="4860"/>
    <cellStyle name="쉼표 [0] 2 19 4" xfId="900"/>
    <cellStyle name="쉼표 [0] 2 19 4 2" xfId="1991"/>
    <cellStyle name="쉼표 [0] 2 19 4 2 2" xfId="4186"/>
    <cellStyle name="쉼표 [0] 2 19 4 2 2 2" xfId="8629"/>
    <cellStyle name="쉼표 [0] 2 19 4 2 3" xfId="6434"/>
    <cellStyle name="쉼표 [0] 2 19 4 3" xfId="3100"/>
    <cellStyle name="쉼표 [0] 2 19 4 3 2" xfId="7543"/>
    <cellStyle name="쉼표 [0] 2 19 4 4" xfId="5346"/>
    <cellStyle name="쉼표 [0] 2 19 5" xfId="603"/>
    <cellStyle name="쉼표 [0] 2 19 5 2" xfId="1694"/>
    <cellStyle name="쉼표 [0] 2 19 5 2 2" xfId="3889"/>
    <cellStyle name="쉼표 [0] 2 19 5 2 2 2" xfId="8332"/>
    <cellStyle name="쉼표 [0] 2 19 5 2 3" xfId="6137"/>
    <cellStyle name="쉼표 [0] 2 19 5 3" xfId="2803"/>
    <cellStyle name="쉼표 [0] 2 19 5 3 2" xfId="7246"/>
    <cellStyle name="쉼표 [0] 2 19 5 4" xfId="5049"/>
    <cellStyle name="쉼표 [0] 2 19 6" xfId="1317"/>
    <cellStyle name="쉼표 [0] 2 19 6 2" xfId="3512"/>
    <cellStyle name="쉼표 [0] 2 19 6 2 2" xfId="7955"/>
    <cellStyle name="쉼표 [0] 2 19 6 3" xfId="5760"/>
    <cellStyle name="쉼표 [0] 2 19 7" xfId="2426"/>
    <cellStyle name="쉼표 [0] 2 19 7 2" xfId="6869"/>
    <cellStyle name="쉼표 [0] 2 19 8" xfId="4647"/>
    <cellStyle name="쉼표 [0] 2 2" xfId="14"/>
    <cellStyle name="쉼표 [0] 2 2 10" xfId="1257"/>
    <cellStyle name="쉼표 [0] 2 2 10 2" xfId="2346"/>
    <cellStyle name="쉼표 [0] 2 2 10 2 2" xfId="4541"/>
    <cellStyle name="쉼표 [0] 2 2 10 2 2 2" xfId="8984"/>
    <cellStyle name="쉼표 [0] 2 2 10 2 3" xfId="6789"/>
    <cellStyle name="쉼표 [0] 2 2 10 3" xfId="3455"/>
    <cellStyle name="쉼표 [0] 2 2 10 3 2" xfId="7898"/>
    <cellStyle name="쉼표 [0] 2 2 10 4" xfId="5701"/>
    <cellStyle name="쉼표 [0] 2 2 11" xfId="2350"/>
    <cellStyle name="쉼표 [0] 2 2 11 2" xfId="4545"/>
    <cellStyle name="쉼표 [0] 2 2 11 2 2" xfId="8988"/>
    <cellStyle name="쉼표 [0] 2 2 11 3" xfId="6793"/>
    <cellStyle name="쉼표 [0] 2 2 12" xfId="1268"/>
    <cellStyle name="쉼표 [0] 2 2 12 2" xfId="3465"/>
    <cellStyle name="쉼표 [0] 2 2 12 2 2" xfId="7908"/>
    <cellStyle name="쉼표 [0] 2 2 12 3" xfId="5712"/>
    <cellStyle name="쉼표 [0] 2 2 13" xfId="1261"/>
    <cellStyle name="쉼표 [0] 2 2 13 2" xfId="3459"/>
    <cellStyle name="쉼표 [0] 2 2 13 2 2" xfId="7902"/>
    <cellStyle name="쉼표 [0] 2 2 13 3" xfId="5705"/>
    <cellStyle name="쉼표 [0] 2 2 14" xfId="2354"/>
    <cellStyle name="쉼표 [0] 2 2 14 2" xfId="4549"/>
    <cellStyle name="쉼표 [0] 2 2 14 2 2" xfId="8992"/>
    <cellStyle name="쉼표 [0] 2 2 14 3" xfId="6797"/>
    <cellStyle name="쉼표 [0] 2 2 15" xfId="2358"/>
    <cellStyle name="쉼표 [0] 2 2 15 2" xfId="4553"/>
    <cellStyle name="쉼표 [0] 2 2 15 2 2" xfId="8996"/>
    <cellStyle name="쉼표 [0] 2 2 15 3" xfId="6801"/>
    <cellStyle name="쉼표 [0] 2 2 16" xfId="2362"/>
    <cellStyle name="쉼표 [0] 2 2 16 2" xfId="4557"/>
    <cellStyle name="쉼표 [0] 2 2 16 2 2" xfId="9000"/>
    <cellStyle name="쉼표 [0] 2 2 16 3" xfId="6805"/>
    <cellStyle name="쉼표 [0] 2 2 17" xfId="2379"/>
    <cellStyle name="쉼표 [0] 2 2 17 2" xfId="6822"/>
    <cellStyle name="쉼표 [0] 2 2 18" xfId="4582"/>
    <cellStyle name="쉼표 [0] 2 2 18 2" xfId="9025"/>
    <cellStyle name="쉼표 [0] 2 2 19" xfId="4588"/>
    <cellStyle name="쉼표 [0] 2 2 2" xfId="4"/>
    <cellStyle name="쉼표 [0] 2 2 2 2" xfId="379"/>
    <cellStyle name="쉼표 [0] 2 2 2 2 2" xfId="1007"/>
    <cellStyle name="쉼표 [0] 2 2 2 2 2 2" xfId="2098"/>
    <cellStyle name="쉼표 [0] 2 2 2 2 2 2 2" xfId="4293"/>
    <cellStyle name="쉼표 [0] 2 2 2 2 2 2 2 2" xfId="8736"/>
    <cellStyle name="쉼표 [0] 2 2 2 2 2 2 3" xfId="6541"/>
    <cellStyle name="쉼표 [0] 2 2 2 2 2 3" xfId="3207"/>
    <cellStyle name="쉼표 [0] 2 2 2 2 2 3 2" xfId="7650"/>
    <cellStyle name="쉼표 [0] 2 2 2 2 2 4" xfId="5453"/>
    <cellStyle name="쉼표 [0] 2 2 2 2 3" xfId="712"/>
    <cellStyle name="쉼표 [0] 2 2 2 2 3 2" xfId="1803"/>
    <cellStyle name="쉼표 [0] 2 2 2 2 3 2 2" xfId="3998"/>
    <cellStyle name="쉼표 [0] 2 2 2 2 3 2 2 2" xfId="8441"/>
    <cellStyle name="쉼표 [0] 2 2 2 2 3 2 3" xfId="6246"/>
    <cellStyle name="쉼표 [0] 2 2 2 2 3 3" xfId="2912"/>
    <cellStyle name="쉼표 [0] 2 2 2 2 3 3 2" xfId="7355"/>
    <cellStyle name="쉼표 [0] 2 2 2 2 3 4" xfId="5158"/>
    <cellStyle name="쉼표 [0] 2 2 2 2 4" xfId="1470"/>
    <cellStyle name="쉼표 [0] 2 2 2 2 4 2" xfId="3665"/>
    <cellStyle name="쉼표 [0] 2 2 2 2 4 2 2" xfId="8108"/>
    <cellStyle name="쉼표 [0] 2 2 2 2 4 3" xfId="5913"/>
    <cellStyle name="쉼표 [0] 2 2 2 2 5" xfId="2579"/>
    <cellStyle name="쉼표 [0] 2 2 2 2 5 2" xfId="7022"/>
    <cellStyle name="쉼표 [0] 2 2 2 2 6" xfId="4825"/>
    <cellStyle name="쉼표 [0] 2 2 2 3" xfId="864"/>
    <cellStyle name="쉼표 [0] 2 2 2 3 2" xfId="1955"/>
    <cellStyle name="쉼표 [0] 2 2 2 3 2 2" xfId="4150"/>
    <cellStyle name="쉼표 [0] 2 2 2 3 2 2 2" xfId="8593"/>
    <cellStyle name="쉼표 [0] 2 2 2 3 2 3" xfId="6398"/>
    <cellStyle name="쉼표 [0] 2 2 2 3 3" xfId="3064"/>
    <cellStyle name="쉼표 [0] 2 2 2 3 3 2" xfId="7507"/>
    <cellStyle name="쉼표 [0] 2 2 2 3 4" xfId="5310"/>
    <cellStyle name="쉼표 [0] 2 2 2 4" xfId="566"/>
    <cellStyle name="쉼표 [0] 2 2 2 4 2" xfId="1657"/>
    <cellStyle name="쉼표 [0] 2 2 2 4 2 2" xfId="3852"/>
    <cellStyle name="쉼표 [0] 2 2 2 4 2 2 2" xfId="8295"/>
    <cellStyle name="쉼표 [0] 2 2 2 4 2 3" xfId="6100"/>
    <cellStyle name="쉼표 [0] 2 2 2 4 3" xfId="2766"/>
    <cellStyle name="쉼표 [0] 2 2 2 4 3 2" xfId="7209"/>
    <cellStyle name="쉼표 [0] 2 2 2 4 4" xfId="5012"/>
    <cellStyle name="쉼표 [0] 2 2 2 5" xfId="1279"/>
    <cellStyle name="쉼표 [0] 2 2 2 5 2" xfId="3475"/>
    <cellStyle name="쉼표 [0] 2 2 2 5 2 2" xfId="7918"/>
    <cellStyle name="쉼표 [0] 2 2 2 5 3" xfId="5723"/>
    <cellStyle name="쉼표 [0] 2 2 2 6" xfId="2389"/>
    <cellStyle name="쉼표 [0] 2 2 2 6 2" xfId="6832"/>
    <cellStyle name="쉼표 [0] 2 2 2 7" xfId="4598"/>
    <cellStyle name="쉼표 [0] 2 2 2 8" xfId="28"/>
    <cellStyle name="쉼표 [0] 2 2 20" xfId="10903"/>
    <cellStyle name="쉼표 [0] 2 2 3" xfId="288"/>
    <cellStyle name="쉼표 [0] 2 2 3 2" xfId="474"/>
    <cellStyle name="쉼표 [0] 2 2 3 2 2" xfId="1058"/>
    <cellStyle name="쉼표 [0] 2 2 3 2 2 2" xfId="2149"/>
    <cellStyle name="쉼표 [0] 2 2 3 2 2 2 2" xfId="4344"/>
    <cellStyle name="쉼표 [0] 2 2 3 2 2 2 2 2" xfId="8787"/>
    <cellStyle name="쉼표 [0] 2 2 3 2 2 2 3" xfId="6592"/>
    <cellStyle name="쉼표 [0] 2 2 3 2 2 3" xfId="3258"/>
    <cellStyle name="쉼표 [0] 2 2 3 2 2 3 2" xfId="7701"/>
    <cellStyle name="쉼표 [0] 2 2 3 2 2 4" xfId="5504"/>
    <cellStyle name="쉼표 [0] 2 2 3 2 3" xfId="763"/>
    <cellStyle name="쉼표 [0] 2 2 3 2 3 2" xfId="1854"/>
    <cellStyle name="쉼표 [0] 2 2 3 2 3 2 2" xfId="4049"/>
    <cellStyle name="쉼표 [0] 2 2 3 2 3 2 2 2" xfId="8492"/>
    <cellStyle name="쉼표 [0] 2 2 3 2 3 2 3" xfId="6297"/>
    <cellStyle name="쉼표 [0] 2 2 3 2 3 3" xfId="2963"/>
    <cellStyle name="쉼표 [0] 2 2 3 2 3 3 2" xfId="7406"/>
    <cellStyle name="쉼표 [0] 2 2 3 2 3 4" xfId="5209"/>
    <cellStyle name="쉼표 [0] 2 2 3 2 4" xfId="1565"/>
    <cellStyle name="쉼표 [0] 2 2 3 2 4 2" xfId="3760"/>
    <cellStyle name="쉼표 [0] 2 2 3 2 4 2 2" xfId="8203"/>
    <cellStyle name="쉼표 [0] 2 2 3 2 4 3" xfId="6008"/>
    <cellStyle name="쉼표 [0] 2 2 3 2 5" xfId="2674"/>
    <cellStyle name="쉼표 [0] 2 2 3 2 5 2" xfId="7117"/>
    <cellStyle name="쉼표 [0] 2 2 3 2 6" xfId="4920"/>
    <cellStyle name="쉼표 [0] 2 2 3 3" xfId="916"/>
    <cellStyle name="쉼표 [0] 2 2 3 3 2" xfId="2007"/>
    <cellStyle name="쉼표 [0] 2 2 3 3 2 2" xfId="4202"/>
    <cellStyle name="쉼표 [0] 2 2 3 3 2 2 2" xfId="8645"/>
    <cellStyle name="쉼표 [0] 2 2 3 3 2 3" xfId="6450"/>
    <cellStyle name="쉼표 [0] 2 2 3 3 3" xfId="3116"/>
    <cellStyle name="쉼표 [0] 2 2 3 3 3 2" xfId="7559"/>
    <cellStyle name="쉼표 [0] 2 2 3 3 4" xfId="5362"/>
    <cellStyle name="쉼표 [0] 2 2 3 4" xfId="621"/>
    <cellStyle name="쉼표 [0] 2 2 3 4 2" xfId="1712"/>
    <cellStyle name="쉼표 [0] 2 2 3 4 2 2" xfId="3907"/>
    <cellStyle name="쉼표 [0] 2 2 3 4 2 2 2" xfId="8350"/>
    <cellStyle name="쉼표 [0] 2 2 3 4 2 3" xfId="6155"/>
    <cellStyle name="쉼표 [0] 2 2 3 4 3" xfId="2821"/>
    <cellStyle name="쉼표 [0] 2 2 3 4 3 2" xfId="7264"/>
    <cellStyle name="쉼표 [0] 2 2 3 4 4" xfId="5067"/>
    <cellStyle name="쉼표 [0] 2 2 3 5" xfId="1379"/>
    <cellStyle name="쉼표 [0] 2 2 3 5 2" xfId="3574"/>
    <cellStyle name="쉼표 [0] 2 2 3 5 2 2" xfId="8017"/>
    <cellStyle name="쉼표 [0] 2 2 3 5 3" xfId="5822"/>
    <cellStyle name="쉼표 [0] 2 2 3 6" xfId="2488"/>
    <cellStyle name="쉼표 [0] 2 2 3 6 2" xfId="6931"/>
    <cellStyle name="쉼표 [0] 2 2 3 7" xfId="4734"/>
    <cellStyle name="쉼표 [0] 2 2 4" xfId="369"/>
    <cellStyle name="쉼표 [0] 2 2 4 2" xfId="997"/>
    <cellStyle name="쉼표 [0] 2 2 4 2 2" xfId="2088"/>
    <cellStyle name="쉼표 [0] 2 2 4 2 2 2" xfId="4283"/>
    <cellStyle name="쉼표 [0] 2 2 4 2 2 2 2" xfId="8726"/>
    <cellStyle name="쉼표 [0] 2 2 4 2 2 3" xfId="6531"/>
    <cellStyle name="쉼표 [0] 2 2 4 2 3" xfId="3197"/>
    <cellStyle name="쉼표 [0] 2 2 4 2 3 2" xfId="7640"/>
    <cellStyle name="쉼표 [0] 2 2 4 2 4" xfId="5443"/>
    <cellStyle name="쉼표 [0] 2 2 4 3" xfId="702"/>
    <cellStyle name="쉼표 [0] 2 2 4 3 2" xfId="1793"/>
    <cellStyle name="쉼표 [0] 2 2 4 3 2 2" xfId="3988"/>
    <cellStyle name="쉼표 [0] 2 2 4 3 2 2 2" xfId="8431"/>
    <cellStyle name="쉼표 [0] 2 2 4 3 2 3" xfId="6236"/>
    <cellStyle name="쉼표 [0] 2 2 4 3 3" xfId="2902"/>
    <cellStyle name="쉼표 [0] 2 2 4 3 3 2" xfId="7345"/>
    <cellStyle name="쉼표 [0] 2 2 4 3 4" xfId="5148"/>
    <cellStyle name="쉼표 [0] 2 2 4 4" xfId="1460"/>
    <cellStyle name="쉼표 [0] 2 2 4 4 2" xfId="3655"/>
    <cellStyle name="쉼표 [0] 2 2 4 4 2 2" xfId="8098"/>
    <cellStyle name="쉼표 [0] 2 2 4 4 3" xfId="5903"/>
    <cellStyle name="쉼표 [0] 2 2 4 5" xfId="2569"/>
    <cellStyle name="쉼표 [0] 2 2 4 5 2" xfId="7012"/>
    <cellStyle name="쉼표 [0] 2 2 4 6" xfId="4815"/>
    <cellStyle name="쉼표 [0] 2 2 5" xfId="854"/>
    <cellStyle name="쉼표 [0] 2 2 5 2" xfId="1945"/>
    <cellStyle name="쉼표 [0] 2 2 5 2 2" xfId="4140"/>
    <cellStyle name="쉼표 [0] 2 2 5 2 2 2" xfId="8583"/>
    <cellStyle name="쉼표 [0] 2 2 5 2 3" xfId="6388"/>
    <cellStyle name="쉼표 [0] 2 2 5 3" xfId="3054"/>
    <cellStyle name="쉼표 [0] 2 2 5 3 2" xfId="7497"/>
    <cellStyle name="쉼표 [0] 2 2 5 4" xfId="5300"/>
    <cellStyle name="쉼표 [0] 2 2 6" xfId="556"/>
    <cellStyle name="쉼표 [0] 2 2 6 2" xfId="1647"/>
    <cellStyle name="쉼표 [0] 2 2 6 2 2" xfId="3842"/>
    <cellStyle name="쉼표 [0] 2 2 6 2 2 2" xfId="8285"/>
    <cellStyle name="쉼표 [0] 2 2 6 2 3" xfId="6090"/>
    <cellStyle name="쉼표 [0] 2 2 6 3" xfId="2756"/>
    <cellStyle name="쉼표 [0] 2 2 6 3 2" xfId="7199"/>
    <cellStyle name="쉼표 [0] 2 2 6 4" xfId="5002"/>
    <cellStyle name="쉼표 [0] 2 2 7" xfId="1244"/>
    <cellStyle name="쉼표 [0] 2 2 7 2" xfId="2334"/>
    <cellStyle name="쉼표 [0] 2 2 7 2 2" xfId="4529"/>
    <cellStyle name="쉼표 [0] 2 2 7 2 2 2" xfId="8972"/>
    <cellStyle name="쉼표 [0] 2 2 7 2 3" xfId="6777"/>
    <cellStyle name="쉼표 [0] 2 2 7 3" xfId="3443"/>
    <cellStyle name="쉼표 [0] 2 2 7 3 2" xfId="7886"/>
    <cellStyle name="쉼표 [0] 2 2 7 4" xfId="5689"/>
    <cellStyle name="쉼표 [0] 2 2 8" xfId="1249"/>
    <cellStyle name="쉼표 [0] 2 2 8 2" xfId="2338"/>
    <cellStyle name="쉼표 [0] 2 2 8 2 2" xfId="4533"/>
    <cellStyle name="쉼표 [0] 2 2 8 2 2 2" xfId="8976"/>
    <cellStyle name="쉼표 [0] 2 2 8 2 3" xfId="6781"/>
    <cellStyle name="쉼표 [0] 2 2 8 3" xfId="3447"/>
    <cellStyle name="쉼표 [0] 2 2 8 3 2" xfId="7890"/>
    <cellStyle name="쉼표 [0] 2 2 8 4" xfId="5693"/>
    <cellStyle name="쉼표 [0] 2 2 9" xfId="1253"/>
    <cellStyle name="쉼표 [0] 2 2 9 2" xfId="2342"/>
    <cellStyle name="쉼표 [0] 2 2 9 2 2" xfId="4537"/>
    <cellStyle name="쉼표 [0] 2 2 9 2 2 2" xfId="8980"/>
    <cellStyle name="쉼표 [0] 2 2 9 2 3" xfId="6785"/>
    <cellStyle name="쉼표 [0] 2 2 9 3" xfId="3451"/>
    <cellStyle name="쉼표 [0] 2 2 9 3 2" xfId="7894"/>
    <cellStyle name="쉼표 [0] 2 2 9 4" xfId="5697"/>
    <cellStyle name="쉼표 [0] 2 20" xfId="124"/>
    <cellStyle name="쉼표 [0] 2 20 2" xfId="321"/>
    <cellStyle name="쉼표 [0] 2 20 2 2" xfId="507"/>
    <cellStyle name="쉼표 [0] 2 20 2 2 2" xfId="1091"/>
    <cellStyle name="쉼표 [0] 2 20 2 2 2 2" xfId="2182"/>
    <cellStyle name="쉼표 [0] 2 20 2 2 2 2 2" xfId="4377"/>
    <cellStyle name="쉼표 [0] 2 20 2 2 2 2 2 2" xfId="8820"/>
    <cellStyle name="쉼표 [0] 2 20 2 2 2 2 3" xfId="6625"/>
    <cellStyle name="쉼표 [0] 2 20 2 2 2 3" xfId="3291"/>
    <cellStyle name="쉼표 [0] 2 20 2 2 2 3 2" xfId="7734"/>
    <cellStyle name="쉼표 [0] 2 20 2 2 2 4" xfId="5537"/>
    <cellStyle name="쉼표 [0] 2 20 2 2 3" xfId="796"/>
    <cellStyle name="쉼표 [0] 2 20 2 2 3 2" xfId="1887"/>
    <cellStyle name="쉼표 [0] 2 20 2 2 3 2 2" xfId="4082"/>
    <cellStyle name="쉼표 [0] 2 20 2 2 3 2 2 2" xfId="8525"/>
    <cellStyle name="쉼표 [0] 2 20 2 2 3 2 3" xfId="6330"/>
    <cellStyle name="쉼표 [0] 2 20 2 2 3 3" xfId="2996"/>
    <cellStyle name="쉼표 [0] 2 20 2 2 3 3 2" xfId="7439"/>
    <cellStyle name="쉼표 [0] 2 20 2 2 3 4" xfId="5242"/>
    <cellStyle name="쉼표 [0] 2 20 2 2 4" xfId="1598"/>
    <cellStyle name="쉼표 [0] 2 20 2 2 4 2" xfId="3793"/>
    <cellStyle name="쉼표 [0] 2 20 2 2 4 2 2" xfId="8236"/>
    <cellStyle name="쉼표 [0] 2 20 2 2 4 3" xfId="6041"/>
    <cellStyle name="쉼표 [0] 2 20 2 2 5" xfId="2707"/>
    <cellStyle name="쉼표 [0] 2 20 2 2 5 2" xfId="7150"/>
    <cellStyle name="쉼표 [0] 2 20 2 2 6" xfId="4953"/>
    <cellStyle name="쉼표 [0] 2 20 2 3" xfId="949"/>
    <cellStyle name="쉼표 [0] 2 20 2 3 2" xfId="2040"/>
    <cellStyle name="쉼표 [0] 2 20 2 3 2 2" xfId="4235"/>
    <cellStyle name="쉼표 [0] 2 20 2 3 2 2 2" xfId="8678"/>
    <cellStyle name="쉼표 [0] 2 20 2 3 2 3" xfId="6483"/>
    <cellStyle name="쉼표 [0] 2 20 2 3 3" xfId="3149"/>
    <cellStyle name="쉼표 [0] 2 20 2 3 3 2" xfId="7592"/>
    <cellStyle name="쉼표 [0] 2 20 2 3 4" xfId="5395"/>
    <cellStyle name="쉼표 [0] 2 20 2 4" xfId="654"/>
    <cellStyle name="쉼표 [0] 2 20 2 4 2" xfId="1745"/>
    <cellStyle name="쉼표 [0] 2 20 2 4 2 2" xfId="3940"/>
    <cellStyle name="쉼표 [0] 2 20 2 4 2 2 2" xfId="8383"/>
    <cellStyle name="쉼표 [0] 2 20 2 4 2 3" xfId="6188"/>
    <cellStyle name="쉼표 [0] 2 20 2 4 3" xfId="2854"/>
    <cellStyle name="쉼표 [0] 2 20 2 4 3 2" xfId="7297"/>
    <cellStyle name="쉼표 [0] 2 20 2 4 4" xfId="5100"/>
    <cellStyle name="쉼표 [0] 2 20 2 5" xfId="1412"/>
    <cellStyle name="쉼표 [0] 2 20 2 5 2" xfId="3607"/>
    <cellStyle name="쉼표 [0] 2 20 2 5 2 2" xfId="8050"/>
    <cellStyle name="쉼표 [0] 2 20 2 5 3" xfId="5855"/>
    <cellStyle name="쉼표 [0] 2 20 2 6" xfId="2521"/>
    <cellStyle name="쉼표 [0] 2 20 2 6 2" xfId="6964"/>
    <cellStyle name="쉼표 [0] 2 20 2 7" xfId="4767"/>
    <cellStyle name="쉼표 [0] 2 20 3" xfId="415"/>
    <cellStyle name="쉼표 [0] 2 20 3 2" xfId="1043"/>
    <cellStyle name="쉼표 [0] 2 20 3 2 2" xfId="2134"/>
    <cellStyle name="쉼표 [0] 2 20 3 2 2 2" xfId="4329"/>
    <cellStyle name="쉼표 [0] 2 20 3 2 2 2 2" xfId="8772"/>
    <cellStyle name="쉼표 [0] 2 20 3 2 2 3" xfId="6577"/>
    <cellStyle name="쉼표 [0] 2 20 3 2 3" xfId="3243"/>
    <cellStyle name="쉼표 [0] 2 20 3 2 3 2" xfId="7686"/>
    <cellStyle name="쉼표 [0] 2 20 3 2 4" xfId="5489"/>
    <cellStyle name="쉼표 [0] 2 20 3 3" xfId="748"/>
    <cellStyle name="쉼표 [0] 2 20 3 3 2" xfId="1839"/>
    <cellStyle name="쉼표 [0] 2 20 3 3 2 2" xfId="4034"/>
    <cellStyle name="쉼표 [0] 2 20 3 3 2 2 2" xfId="8477"/>
    <cellStyle name="쉼표 [0] 2 20 3 3 2 3" xfId="6282"/>
    <cellStyle name="쉼표 [0] 2 20 3 3 3" xfId="2948"/>
    <cellStyle name="쉼표 [0] 2 20 3 3 3 2" xfId="7391"/>
    <cellStyle name="쉼표 [0] 2 20 3 3 4" xfId="5194"/>
    <cellStyle name="쉼표 [0] 2 20 3 4" xfId="1506"/>
    <cellStyle name="쉼표 [0] 2 20 3 4 2" xfId="3701"/>
    <cellStyle name="쉼표 [0] 2 20 3 4 2 2" xfId="8144"/>
    <cellStyle name="쉼표 [0] 2 20 3 4 3" xfId="5949"/>
    <cellStyle name="쉼표 [0] 2 20 3 5" xfId="2615"/>
    <cellStyle name="쉼표 [0] 2 20 3 5 2" xfId="7058"/>
    <cellStyle name="쉼표 [0] 2 20 3 6" xfId="4861"/>
    <cellStyle name="쉼표 [0] 2 20 4" xfId="901"/>
    <cellStyle name="쉼표 [0] 2 20 4 2" xfId="1992"/>
    <cellStyle name="쉼표 [0] 2 20 4 2 2" xfId="4187"/>
    <cellStyle name="쉼표 [0] 2 20 4 2 2 2" xfId="8630"/>
    <cellStyle name="쉼표 [0] 2 20 4 2 3" xfId="6435"/>
    <cellStyle name="쉼표 [0] 2 20 4 3" xfId="3101"/>
    <cellStyle name="쉼표 [0] 2 20 4 3 2" xfId="7544"/>
    <cellStyle name="쉼표 [0] 2 20 4 4" xfId="5347"/>
    <cellStyle name="쉼표 [0] 2 20 5" xfId="604"/>
    <cellStyle name="쉼표 [0] 2 20 5 2" xfId="1695"/>
    <cellStyle name="쉼표 [0] 2 20 5 2 2" xfId="3890"/>
    <cellStyle name="쉼표 [0] 2 20 5 2 2 2" xfId="8333"/>
    <cellStyle name="쉼표 [0] 2 20 5 2 3" xfId="6138"/>
    <cellStyle name="쉼표 [0] 2 20 5 3" xfId="2804"/>
    <cellStyle name="쉼표 [0] 2 20 5 3 2" xfId="7247"/>
    <cellStyle name="쉼표 [0] 2 20 5 4" xfId="5050"/>
    <cellStyle name="쉼표 [0] 2 20 6" xfId="1318"/>
    <cellStyle name="쉼표 [0] 2 20 6 2" xfId="3513"/>
    <cellStyle name="쉼표 [0] 2 20 6 2 2" xfId="7956"/>
    <cellStyle name="쉼표 [0] 2 20 6 3" xfId="5761"/>
    <cellStyle name="쉼표 [0] 2 20 7" xfId="2427"/>
    <cellStyle name="쉼표 [0] 2 20 7 2" xfId="6870"/>
    <cellStyle name="쉼표 [0] 2 20 8" xfId="4648"/>
    <cellStyle name="쉼표 [0] 2 21" xfId="125"/>
    <cellStyle name="쉼표 [0] 2 21 2" xfId="322"/>
    <cellStyle name="쉼표 [0] 2 21 2 2" xfId="508"/>
    <cellStyle name="쉼표 [0] 2 21 2 2 2" xfId="1092"/>
    <cellStyle name="쉼표 [0] 2 21 2 2 2 2" xfId="2183"/>
    <cellStyle name="쉼표 [0] 2 21 2 2 2 2 2" xfId="4378"/>
    <cellStyle name="쉼표 [0] 2 21 2 2 2 2 2 2" xfId="8821"/>
    <cellStyle name="쉼표 [0] 2 21 2 2 2 2 3" xfId="6626"/>
    <cellStyle name="쉼표 [0] 2 21 2 2 2 3" xfId="3292"/>
    <cellStyle name="쉼표 [0] 2 21 2 2 2 3 2" xfId="7735"/>
    <cellStyle name="쉼표 [0] 2 21 2 2 2 4" xfId="5538"/>
    <cellStyle name="쉼표 [0] 2 21 2 2 3" xfId="797"/>
    <cellStyle name="쉼표 [0] 2 21 2 2 3 2" xfId="1888"/>
    <cellStyle name="쉼표 [0] 2 21 2 2 3 2 2" xfId="4083"/>
    <cellStyle name="쉼표 [0] 2 21 2 2 3 2 2 2" xfId="8526"/>
    <cellStyle name="쉼표 [0] 2 21 2 2 3 2 3" xfId="6331"/>
    <cellStyle name="쉼표 [0] 2 21 2 2 3 3" xfId="2997"/>
    <cellStyle name="쉼표 [0] 2 21 2 2 3 3 2" xfId="7440"/>
    <cellStyle name="쉼표 [0] 2 21 2 2 3 4" xfId="5243"/>
    <cellStyle name="쉼표 [0] 2 21 2 2 4" xfId="1599"/>
    <cellStyle name="쉼표 [0] 2 21 2 2 4 2" xfId="3794"/>
    <cellStyle name="쉼표 [0] 2 21 2 2 4 2 2" xfId="8237"/>
    <cellStyle name="쉼표 [0] 2 21 2 2 4 3" xfId="6042"/>
    <cellStyle name="쉼표 [0] 2 21 2 2 5" xfId="2708"/>
    <cellStyle name="쉼표 [0] 2 21 2 2 5 2" xfId="7151"/>
    <cellStyle name="쉼표 [0] 2 21 2 2 6" xfId="4954"/>
    <cellStyle name="쉼표 [0] 2 21 2 3" xfId="950"/>
    <cellStyle name="쉼표 [0] 2 21 2 3 2" xfId="2041"/>
    <cellStyle name="쉼표 [0] 2 21 2 3 2 2" xfId="4236"/>
    <cellStyle name="쉼표 [0] 2 21 2 3 2 2 2" xfId="8679"/>
    <cellStyle name="쉼표 [0] 2 21 2 3 2 3" xfId="6484"/>
    <cellStyle name="쉼표 [0] 2 21 2 3 3" xfId="3150"/>
    <cellStyle name="쉼표 [0] 2 21 2 3 3 2" xfId="7593"/>
    <cellStyle name="쉼표 [0] 2 21 2 3 4" xfId="5396"/>
    <cellStyle name="쉼표 [0] 2 21 2 4" xfId="655"/>
    <cellStyle name="쉼표 [0] 2 21 2 4 2" xfId="1746"/>
    <cellStyle name="쉼표 [0] 2 21 2 4 2 2" xfId="3941"/>
    <cellStyle name="쉼표 [0] 2 21 2 4 2 2 2" xfId="8384"/>
    <cellStyle name="쉼표 [0] 2 21 2 4 2 3" xfId="6189"/>
    <cellStyle name="쉼표 [0] 2 21 2 4 3" xfId="2855"/>
    <cellStyle name="쉼표 [0] 2 21 2 4 3 2" xfId="7298"/>
    <cellStyle name="쉼표 [0] 2 21 2 4 4" xfId="5101"/>
    <cellStyle name="쉼표 [0] 2 21 2 5" xfId="1413"/>
    <cellStyle name="쉼표 [0] 2 21 2 5 2" xfId="3608"/>
    <cellStyle name="쉼표 [0] 2 21 2 5 2 2" xfId="8051"/>
    <cellStyle name="쉼표 [0] 2 21 2 5 3" xfId="5856"/>
    <cellStyle name="쉼표 [0] 2 21 2 6" xfId="2522"/>
    <cellStyle name="쉼표 [0] 2 21 2 6 2" xfId="6965"/>
    <cellStyle name="쉼표 [0] 2 21 2 7" xfId="4768"/>
    <cellStyle name="쉼표 [0] 2 21 3" xfId="416"/>
    <cellStyle name="쉼표 [0] 2 21 3 2" xfId="1044"/>
    <cellStyle name="쉼표 [0] 2 21 3 2 2" xfId="2135"/>
    <cellStyle name="쉼표 [0] 2 21 3 2 2 2" xfId="4330"/>
    <cellStyle name="쉼표 [0] 2 21 3 2 2 2 2" xfId="8773"/>
    <cellStyle name="쉼표 [0] 2 21 3 2 2 3" xfId="6578"/>
    <cellStyle name="쉼표 [0] 2 21 3 2 3" xfId="3244"/>
    <cellStyle name="쉼표 [0] 2 21 3 2 3 2" xfId="7687"/>
    <cellStyle name="쉼표 [0] 2 21 3 2 4" xfId="5490"/>
    <cellStyle name="쉼표 [0] 2 21 3 3" xfId="749"/>
    <cellStyle name="쉼표 [0] 2 21 3 3 2" xfId="1840"/>
    <cellStyle name="쉼표 [0] 2 21 3 3 2 2" xfId="4035"/>
    <cellStyle name="쉼표 [0] 2 21 3 3 2 2 2" xfId="8478"/>
    <cellStyle name="쉼표 [0] 2 21 3 3 2 3" xfId="6283"/>
    <cellStyle name="쉼표 [0] 2 21 3 3 3" xfId="2949"/>
    <cellStyle name="쉼표 [0] 2 21 3 3 3 2" xfId="7392"/>
    <cellStyle name="쉼표 [0] 2 21 3 3 4" xfId="5195"/>
    <cellStyle name="쉼표 [0] 2 21 3 4" xfId="1507"/>
    <cellStyle name="쉼표 [0] 2 21 3 4 2" xfId="3702"/>
    <cellStyle name="쉼표 [0] 2 21 3 4 2 2" xfId="8145"/>
    <cellStyle name="쉼표 [0] 2 21 3 4 3" xfId="5950"/>
    <cellStyle name="쉼표 [0] 2 21 3 5" xfId="2616"/>
    <cellStyle name="쉼표 [0] 2 21 3 5 2" xfId="7059"/>
    <cellStyle name="쉼표 [0] 2 21 3 6" xfId="4862"/>
    <cellStyle name="쉼표 [0] 2 21 4" xfId="902"/>
    <cellStyle name="쉼표 [0] 2 21 4 2" xfId="1993"/>
    <cellStyle name="쉼표 [0] 2 21 4 2 2" xfId="4188"/>
    <cellStyle name="쉼표 [0] 2 21 4 2 2 2" xfId="8631"/>
    <cellStyle name="쉼표 [0] 2 21 4 2 3" xfId="6436"/>
    <cellStyle name="쉼표 [0] 2 21 4 3" xfId="3102"/>
    <cellStyle name="쉼표 [0] 2 21 4 3 2" xfId="7545"/>
    <cellStyle name="쉼표 [0] 2 21 4 4" xfId="5348"/>
    <cellStyle name="쉼표 [0] 2 21 5" xfId="605"/>
    <cellStyle name="쉼표 [0] 2 21 5 2" xfId="1696"/>
    <cellStyle name="쉼표 [0] 2 21 5 2 2" xfId="3891"/>
    <cellStyle name="쉼표 [0] 2 21 5 2 2 2" xfId="8334"/>
    <cellStyle name="쉼표 [0] 2 21 5 2 3" xfId="6139"/>
    <cellStyle name="쉼표 [0] 2 21 5 3" xfId="2805"/>
    <cellStyle name="쉼표 [0] 2 21 5 3 2" xfId="7248"/>
    <cellStyle name="쉼표 [0] 2 21 5 4" xfId="5051"/>
    <cellStyle name="쉼표 [0] 2 21 6" xfId="1319"/>
    <cellStyle name="쉼표 [0] 2 21 6 2" xfId="3514"/>
    <cellStyle name="쉼표 [0] 2 21 6 2 2" xfId="7957"/>
    <cellStyle name="쉼표 [0] 2 21 6 3" xfId="5762"/>
    <cellStyle name="쉼표 [0] 2 21 7" xfId="2428"/>
    <cellStyle name="쉼표 [0] 2 21 7 2" xfId="6871"/>
    <cellStyle name="쉼표 [0] 2 21 8" xfId="4649"/>
    <cellStyle name="쉼표 [0] 2 22" xfId="126"/>
    <cellStyle name="쉼표 [0] 2 22 2" xfId="323"/>
    <cellStyle name="쉼표 [0] 2 22 2 2" xfId="509"/>
    <cellStyle name="쉼표 [0] 2 22 2 2 2" xfId="1093"/>
    <cellStyle name="쉼표 [0] 2 22 2 2 2 2" xfId="2184"/>
    <cellStyle name="쉼표 [0] 2 22 2 2 2 2 2" xfId="4379"/>
    <cellStyle name="쉼표 [0] 2 22 2 2 2 2 2 2" xfId="8822"/>
    <cellStyle name="쉼표 [0] 2 22 2 2 2 2 3" xfId="6627"/>
    <cellStyle name="쉼표 [0] 2 22 2 2 2 3" xfId="3293"/>
    <cellStyle name="쉼표 [0] 2 22 2 2 2 3 2" xfId="7736"/>
    <cellStyle name="쉼표 [0] 2 22 2 2 2 4" xfId="5539"/>
    <cellStyle name="쉼표 [0] 2 22 2 2 3" xfId="798"/>
    <cellStyle name="쉼표 [0] 2 22 2 2 3 2" xfId="1889"/>
    <cellStyle name="쉼표 [0] 2 22 2 2 3 2 2" xfId="4084"/>
    <cellStyle name="쉼표 [0] 2 22 2 2 3 2 2 2" xfId="8527"/>
    <cellStyle name="쉼표 [0] 2 22 2 2 3 2 3" xfId="6332"/>
    <cellStyle name="쉼표 [0] 2 22 2 2 3 3" xfId="2998"/>
    <cellStyle name="쉼표 [0] 2 22 2 2 3 3 2" xfId="7441"/>
    <cellStyle name="쉼표 [0] 2 22 2 2 3 4" xfId="5244"/>
    <cellStyle name="쉼표 [0] 2 22 2 2 4" xfId="1600"/>
    <cellStyle name="쉼표 [0] 2 22 2 2 4 2" xfId="3795"/>
    <cellStyle name="쉼표 [0] 2 22 2 2 4 2 2" xfId="8238"/>
    <cellStyle name="쉼표 [0] 2 22 2 2 4 3" xfId="6043"/>
    <cellStyle name="쉼표 [0] 2 22 2 2 5" xfId="2709"/>
    <cellStyle name="쉼표 [0] 2 22 2 2 5 2" xfId="7152"/>
    <cellStyle name="쉼표 [0] 2 22 2 2 6" xfId="4955"/>
    <cellStyle name="쉼표 [0] 2 22 2 3" xfId="951"/>
    <cellStyle name="쉼표 [0] 2 22 2 3 2" xfId="2042"/>
    <cellStyle name="쉼표 [0] 2 22 2 3 2 2" xfId="4237"/>
    <cellStyle name="쉼표 [0] 2 22 2 3 2 2 2" xfId="8680"/>
    <cellStyle name="쉼표 [0] 2 22 2 3 2 3" xfId="6485"/>
    <cellStyle name="쉼표 [0] 2 22 2 3 3" xfId="3151"/>
    <cellStyle name="쉼표 [0] 2 22 2 3 3 2" xfId="7594"/>
    <cellStyle name="쉼표 [0] 2 22 2 3 4" xfId="5397"/>
    <cellStyle name="쉼표 [0] 2 22 2 4" xfId="656"/>
    <cellStyle name="쉼표 [0] 2 22 2 4 2" xfId="1747"/>
    <cellStyle name="쉼표 [0] 2 22 2 4 2 2" xfId="3942"/>
    <cellStyle name="쉼표 [0] 2 22 2 4 2 2 2" xfId="8385"/>
    <cellStyle name="쉼표 [0] 2 22 2 4 2 3" xfId="6190"/>
    <cellStyle name="쉼표 [0] 2 22 2 4 3" xfId="2856"/>
    <cellStyle name="쉼표 [0] 2 22 2 4 3 2" xfId="7299"/>
    <cellStyle name="쉼표 [0] 2 22 2 4 4" xfId="5102"/>
    <cellStyle name="쉼표 [0] 2 22 2 5" xfId="1414"/>
    <cellStyle name="쉼표 [0] 2 22 2 5 2" xfId="3609"/>
    <cellStyle name="쉼표 [0] 2 22 2 5 2 2" xfId="8052"/>
    <cellStyle name="쉼표 [0] 2 22 2 5 3" xfId="5857"/>
    <cellStyle name="쉼표 [0] 2 22 2 6" xfId="2523"/>
    <cellStyle name="쉼표 [0] 2 22 2 6 2" xfId="6966"/>
    <cellStyle name="쉼표 [0] 2 22 2 7" xfId="4769"/>
    <cellStyle name="쉼표 [0] 2 22 3" xfId="417"/>
    <cellStyle name="쉼표 [0] 2 22 3 2" xfId="1045"/>
    <cellStyle name="쉼표 [0] 2 22 3 2 2" xfId="2136"/>
    <cellStyle name="쉼표 [0] 2 22 3 2 2 2" xfId="4331"/>
    <cellStyle name="쉼표 [0] 2 22 3 2 2 2 2" xfId="8774"/>
    <cellStyle name="쉼표 [0] 2 22 3 2 2 3" xfId="6579"/>
    <cellStyle name="쉼표 [0] 2 22 3 2 3" xfId="3245"/>
    <cellStyle name="쉼표 [0] 2 22 3 2 3 2" xfId="7688"/>
    <cellStyle name="쉼표 [0] 2 22 3 2 4" xfId="5491"/>
    <cellStyle name="쉼표 [0] 2 22 3 3" xfId="750"/>
    <cellStyle name="쉼표 [0] 2 22 3 3 2" xfId="1841"/>
    <cellStyle name="쉼표 [0] 2 22 3 3 2 2" xfId="4036"/>
    <cellStyle name="쉼표 [0] 2 22 3 3 2 2 2" xfId="8479"/>
    <cellStyle name="쉼표 [0] 2 22 3 3 2 3" xfId="6284"/>
    <cellStyle name="쉼표 [0] 2 22 3 3 3" xfId="2950"/>
    <cellStyle name="쉼표 [0] 2 22 3 3 3 2" xfId="7393"/>
    <cellStyle name="쉼표 [0] 2 22 3 3 4" xfId="5196"/>
    <cellStyle name="쉼표 [0] 2 22 3 4" xfId="1508"/>
    <cellStyle name="쉼표 [0] 2 22 3 4 2" xfId="3703"/>
    <cellStyle name="쉼표 [0] 2 22 3 4 2 2" xfId="8146"/>
    <cellStyle name="쉼표 [0] 2 22 3 4 3" xfId="5951"/>
    <cellStyle name="쉼표 [0] 2 22 3 5" xfId="2617"/>
    <cellStyle name="쉼표 [0] 2 22 3 5 2" xfId="7060"/>
    <cellStyle name="쉼표 [0] 2 22 3 6" xfId="4863"/>
    <cellStyle name="쉼표 [0] 2 22 4" xfId="903"/>
    <cellStyle name="쉼표 [0] 2 22 4 2" xfId="1994"/>
    <cellStyle name="쉼표 [0] 2 22 4 2 2" xfId="4189"/>
    <cellStyle name="쉼표 [0] 2 22 4 2 2 2" xfId="8632"/>
    <cellStyle name="쉼표 [0] 2 22 4 2 3" xfId="6437"/>
    <cellStyle name="쉼표 [0] 2 22 4 3" xfId="3103"/>
    <cellStyle name="쉼표 [0] 2 22 4 3 2" xfId="7546"/>
    <cellStyle name="쉼표 [0] 2 22 4 4" xfId="5349"/>
    <cellStyle name="쉼표 [0] 2 22 5" xfId="606"/>
    <cellStyle name="쉼표 [0] 2 22 5 2" xfId="1697"/>
    <cellStyle name="쉼표 [0] 2 22 5 2 2" xfId="3892"/>
    <cellStyle name="쉼표 [0] 2 22 5 2 2 2" xfId="8335"/>
    <cellStyle name="쉼표 [0] 2 22 5 2 3" xfId="6140"/>
    <cellStyle name="쉼표 [0] 2 22 5 3" xfId="2806"/>
    <cellStyle name="쉼표 [0] 2 22 5 3 2" xfId="7249"/>
    <cellStyle name="쉼표 [0] 2 22 5 4" xfId="5052"/>
    <cellStyle name="쉼표 [0] 2 22 6" xfId="1320"/>
    <cellStyle name="쉼표 [0] 2 22 6 2" xfId="3515"/>
    <cellStyle name="쉼표 [0] 2 22 6 2 2" xfId="7958"/>
    <cellStyle name="쉼표 [0] 2 22 6 3" xfId="5763"/>
    <cellStyle name="쉼표 [0] 2 22 7" xfId="2429"/>
    <cellStyle name="쉼표 [0] 2 22 7 2" xfId="6872"/>
    <cellStyle name="쉼표 [0] 2 22 8" xfId="4650"/>
    <cellStyle name="쉼표 [0] 2 23" xfId="127"/>
    <cellStyle name="쉼표 [0] 2 23 2" xfId="324"/>
    <cellStyle name="쉼표 [0] 2 23 2 2" xfId="510"/>
    <cellStyle name="쉼표 [0] 2 23 2 2 2" xfId="1094"/>
    <cellStyle name="쉼표 [0] 2 23 2 2 2 2" xfId="2185"/>
    <cellStyle name="쉼표 [0] 2 23 2 2 2 2 2" xfId="4380"/>
    <cellStyle name="쉼표 [0] 2 23 2 2 2 2 2 2" xfId="8823"/>
    <cellStyle name="쉼표 [0] 2 23 2 2 2 2 3" xfId="6628"/>
    <cellStyle name="쉼표 [0] 2 23 2 2 2 3" xfId="3294"/>
    <cellStyle name="쉼표 [0] 2 23 2 2 2 3 2" xfId="7737"/>
    <cellStyle name="쉼표 [0] 2 23 2 2 2 4" xfId="5540"/>
    <cellStyle name="쉼표 [0] 2 23 2 2 3" xfId="799"/>
    <cellStyle name="쉼표 [0] 2 23 2 2 3 2" xfId="1890"/>
    <cellStyle name="쉼표 [0] 2 23 2 2 3 2 2" xfId="4085"/>
    <cellStyle name="쉼표 [0] 2 23 2 2 3 2 2 2" xfId="8528"/>
    <cellStyle name="쉼표 [0] 2 23 2 2 3 2 3" xfId="6333"/>
    <cellStyle name="쉼표 [0] 2 23 2 2 3 3" xfId="2999"/>
    <cellStyle name="쉼표 [0] 2 23 2 2 3 3 2" xfId="7442"/>
    <cellStyle name="쉼표 [0] 2 23 2 2 3 4" xfId="5245"/>
    <cellStyle name="쉼표 [0] 2 23 2 2 4" xfId="1601"/>
    <cellStyle name="쉼표 [0] 2 23 2 2 4 2" xfId="3796"/>
    <cellStyle name="쉼표 [0] 2 23 2 2 4 2 2" xfId="8239"/>
    <cellStyle name="쉼표 [0] 2 23 2 2 4 3" xfId="6044"/>
    <cellStyle name="쉼표 [0] 2 23 2 2 5" xfId="2710"/>
    <cellStyle name="쉼표 [0] 2 23 2 2 5 2" xfId="7153"/>
    <cellStyle name="쉼표 [0] 2 23 2 2 6" xfId="4956"/>
    <cellStyle name="쉼표 [0] 2 23 2 3" xfId="952"/>
    <cellStyle name="쉼표 [0] 2 23 2 3 2" xfId="2043"/>
    <cellStyle name="쉼표 [0] 2 23 2 3 2 2" xfId="4238"/>
    <cellStyle name="쉼표 [0] 2 23 2 3 2 2 2" xfId="8681"/>
    <cellStyle name="쉼표 [0] 2 23 2 3 2 3" xfId="6486"/>
    <cellStyle name="쉼표 [0] 2 23 2 3 3" xfId="3152"/>
    <cellStyle name="쉼표 [0] 2 23 2 3 3 2" xfId="7595"/>
    <cellStyle name="쉼표 [0] 2 23 2 3 4" xfId="5398"/>
    <cellStyle name="쉼표 [0] 2 23 2 4" xfId="657"/>
    <cellStyle name="쉼표 [0] 2 23 2 4 2" xfId="1748"/>
    <cellStyle name="쉼표 [0] 2 23 2 4 2 2" xfId="3943"/>
    <cellStyle name="쉼표 [0] 2 23 2 4 2 2 2" xfId="8386"/>
    <cellStyle name="쉼표 [0] 2 23 2 4 2 3" xfId="6191"/>
    <cellStyle name="쉼표 [0] 2 23 2 4 3" xfId="2857"/>
    <cellStyle name="쉼표 [0] 2 23 2 4 3 2" xfId="7300"/>
    <cellStyle name="쉼표 [0] 2 23 2 4 4" xfId="5103"/>
    <cellStyle name="쉼표 [0] 2 23 2 5" xfId="1415"/>
    <cellStyle name="쉼표 [0] 2 23 2 5 2" xfId="3610"/>
    <cellStyle name="쉼표 [0] 2 23 2 5 2 2" xfId="8053"/>
    <cellStyle name="쉼표 [0] 2 23 2 5 3" xfId="5858"/>
    <cellStyle name="쉼표 [0] 2 23 2 6" xfId="2524"/>
    <cellStyle name="쉼표 [0] 2 23 2 6 2" xfId="6967"/>
    <cellStyle name="쉼표 [0] 2 23 2 7" xfId="4770"/>
    <cellStyle name="쉼표 [0] 2 23 3" xfId="418"/>
    <cellStyle name="쉼표 [0] 2 23 3 2" xfId="1046"/>
    <cellStyle name="쉼표 [0] 2 23 3 2 2" xfId="2137"/>
    <cellStyle name="쉼표 [0] 2 23 3 2 2 2" xfId="4332"/>
    <cellStyle name="쉼표 [0] 2 23 3 2 2 2 2" xfId="8775"/>
    <cellStyle name="쉼표 [0] 2 23 3 2 2 3" xfId="6580"/>
    <cellStyle name="쉼표 [0] 2 23 3 2 3" xfId="3246"/>
    <cellStyle name="쉼표 [0] 2 23 3 2 3 2" xfId="7689"/>
    <cellStyle name="쉼표 [0] 2 23 3 2 4" xfId="5492"/>
    <cellStyle name="쉼표 [0] 2 23 3 3" xfId="751"/>
    <cellStyle name="쉼표 [0] 2 23 3 3 2" xfId="1842"/>
    <cellStyle name="쉼표 [0] 2 23 3 3 2 2" xfId="4037"/>
    <cellStyle name="쉼표 [0] 2 23 3 3 2 2 2" xfId="8480"/>
    <cellStyle name="쉼표 [0] 2 23 3 3 2 3" xfId="6285"/>
    <cellStyle name="쉼표 [0] 2 23 3 3 3" xfId="2951"/>
    <cellStyle name="쉼표 [0] 2 23 3 3 3 2" xfId="7394"/>
    <cellStyle name="쉼표 [0] 2 23 3 3 4" xfId="5197"/>
    <cellStyle name="쉼표 [0] 2 23 3 4" xfId="1509"/>
    <cellStyle name="쉼표 [0] 2 23 3 4 2" xfId="3704"/>
    <cellStyle name="쉼표 [0] 2 23 3 4 2 2" xfId="8147"/>
    <cellStyle name="쉼표 [0] 2 23 3 4 3" xfId="5952"/>
    <cellStyle name="쉼표 [0] 2 23 3 5" xfId="2618"/>
    <cellStyle name="쉼표 [0] 2 23 3 5 2" xfId="7061"/>
    <cellStyle name="쉼표 [0] 2 23 3 6" xfId="4864"/>
    <cellStyle name="쉼표 [0] 2 23 4" xfId="904"/>
    <cellStyle name="쉼표 [0] 2 23 4 2" xfId="1995"/>
    <cellStyle name="쉼표 [0] 2 23 4 2 2" xfId="4190"/>
    <cellStyle name="쉼표 [0] 2 23 4 2 2 2" xfId="8633"/>
    <cellStyle name="쉼표 [0] 2 23 4 2 3" xfId="6438"/>
    <cellStyle name="쉼표 [0] 2 23 4 3" xfId="3104"/>
    <cellStyle name="쉼표 [0] 2 23 4 3 2" xfId="7547"/>
    <cellStyle name="쉼표 [0] 2 23 4 4" xfId="5350"/>
    <cellStyle name="쉼표 [0] 2 23 5" xfId="607"/>
    <cellStyle name="쉼표 [0] 2 23 5 2" xfId="1698"/>
    <cellStyle name="쉼표 [0] 2 23 5 2 2" xfId="3893"/>
    <cellStyle name="쉼표 [0] 2 23 5 2 2 2" xfId="8336"/>
    <cellStyle name="쉼표 [0] 2 23 5 2 3" xfId="6141"/>
    <cellStyle name="쉼표 [0] 2 23 5 3" xfId="2807"/>
    <cellStyle name="쉼표 [0] 2 23 5 3 2" xfId="7250"/>
    <cellStyle name="쉼표 [0] 2 23 5 4" xfId="5053"/>
    <cellStyle name="쉼표 [0] 2 23 6" xfId="1321"/>
    <cellStyle name="쉼표 [0] 2 23 6 2" xfId="3516"/>
    <cellStyle name="쉼표 [0] 2 23 6 2 2" xfId="7959"/>
    <cellStyle name="쉼표 [0] 2 23 6 3" xfId="5764"/>
    <cellStyle name="쉼표 [0] 2 23 7" xfId="2430"/>
    <cellStyle name="쉼표 [0] 2 23 7 2" xfId="6873"/>
    <cellStyle name="쉼표 [0] 2 23 8" xfId="4651"/>
    <cellStyle name="쉼표 [0] 2 24" xfId="128"/>
    <cellStyle name="쉼표 [0] 2 24 2" xfId="325"/>
    <cellStyle name="쉼표 [0] 2 24 2 2" xfId="511"/>
    <cellStyle name="쉼표 [0] 2 24 2 2 2" xfId="1095"/>
    <cellStyle name="쉼표 [0] 2 24 2 2 2 2" xfId="2186"/>
    <cellStyle name="쉼표 [0] 2 24 2 2 2 2 2" xfId="4381"/>
    <cellStyle name="쉼표 [0] 2 24 2 2 2 2 2 2" xfId="8824"/>
    <cellStyle name="쉼표 [0] 2 24 2 2 2 2 3" xfId="6629"/>
    <cellStyle name="쉼표 [0] 2 24 2 2 2 3" xfId="3295"/>
    <cellStyle name="쉼표 [0] 2 24 2 2 2 3 2" xfId="7738"/>
    <cellStyle name="쉼표 [0] 2 24 2 2 2 4" xfId="5541"/>
    <cellStyle name="쉼표 [0] 2 24 2 2 3" xfId="800"/>
    <cellStyle name="쉼표 [0] 2 24 2 2 3 2" xfId="1891"/>
    <cellStyle name="쉼표 [0] 2 24 2 2 3 2 2" xfId="4086"/>
    <cellStyle name="쉼표 [0] 2 24 2 2 3 2 2 2" xfId="8529"/>
    <cellStyle name="쉼표 [0] 2 24 2 2 3 2 3" xfId="6334"/>
    <cellStyle name="쉼표 [0] 2 24 2 2 3 3" xfId="3000"/>
    <cellStyle name="쉼표 [0] 2 24 2 2 3 3 2" xfId="7443"/>
    <cellStyle name="쉼표 [0] 2 24 2 2 3 4" xfId="5246"/>
    <cellStyle name="쉼표 [0] 2 24 2 2 4" xfId="1602"/>
    <cellStyle name="쉼표 [0] 2 24 2 2 4 2" xfId="3797"/>
    <cellStyle name="쉼표 [0] 2 24 2 2 4 2 2" xfId="8240"/>
    <cellStyle name="쉼표 [0] 2 24 2 2 4 3" xfId="6045"/>
    <cellStyle name="쉼표 [0] 2 24 2 2 5" xfId="2711"/>
    <cellStyle name="쉼표 [0] 2 24 2 2 5 2" xfId="7154"/>
    <cellStyle name="쉼표 [0] 2 24 2 2 6" xfId="4957"/>
    <cellStyle name="쉼표 [0] 2 24 2 3" xfId="953"/>
    <cellStyle name="쉼표 [0] 2 24 2 3 2" xfId="2044"/>
    <cellStyle name="쉼표 [0] 2 24 2 3 2 2" xfId="4239"/>
    <cellStyle name="쉼표 [0] 2 24 2 3 2 2 2" xfId="8682"/>
    <cellStyle name="쉼표 [0] 2 24 2 3 2 3" xfId="6487"/>
    <cellStyle name="쉼표 [0] 2 24 2 3 3" xfId="3153"/>
    <cellStyle name="쉼표 [0] 2 24 2 3 3 2" xfId="7596"/>
    <cellStyle name="쉼표 [0] 2 24 2 3 4" xfId="5399"/>
    <cellStyle name="쉼표 [0] 2 24 2 4" xfId="658"/>
    <cellStyle name="쉼표 [0] 2 24 2 4 2" xfId="1749"/>
    <cellStyle name="쉼표 [0] 2 24 2 4 2 2" xfId="3944"/>
    <cellStyle name="쉼표 [0] 2 24 2 4 2 2 2" xfId="8387"/>
    <cellStyle name="쉼표 [0] 2 24 2 4 2 3" xfId="6192"/>
    <cellStyle name="쉼표 [0] 2 24 2 4 3" xfId="2858"/>
    <cellStyle name="쉼표 [0] 2 24 2 4 3 2" xfId="7301"/>
    <cellStyle name="쉼표 [0] 2 24 2 4 4" xfId="5104"/>
    <cellStyle name="쉼표 [0] 2 24 2 5" xfId="1416"/>
    <cellStyle name="쉼표 [0] 2 24 2 5 2" xfId="3611"/>
    <cellStyle name="쉼표 [0] 2 24 2 5 2 2" xfId="8054"/>
    <cellStyle name="쉼표 [0] 2 24 2 5 3" xfId="5859"/>
    <cellStyle name="쉼표 [0] 2 24 2 6" xfId="2525"/>
    <cellStyle name="쉼표 [0] 2 24 2 6 2" xfId="6968"/>
    <cellStyle name="쉼표 [0] 2 24 2 7" xfId="4771"/>
    <cellStyle name="쉼표 [0] 2 24 3" xfId="419"/>
    <cellStyle name="쉼표 [0] 2 24 3 2" xfId="1047"/>
    <cellStyle name="쉼표 [0] 2 24 3 2 2" xfId="2138"/>
    <cellStyle name="쉼표 [0] 2 24 3 2 2 2" xfId="4333"/>
    <cellStyle name="쉼표 [0] 2 24 3 2 2 2 2" xfId="8776"/>
    <cellStyle name="쉼표 [0] 2 24 3 2 2 3" xfId="6581"/>
    <cellStyle name="쉼표 [0] 2 24 3 2 3" xfId="3247"/>
    <cellStyle name="쉼표 [0] 2 24 3 2 3 2" xfId="7690"/>
    <cellStyle name="쉼표 [0] 2 24 3 2 4" xfId="5493"/>
    <cellStyle name="쉼표 [0] 2 24 3 3" xfId="752"/>
    <cellStyle name="쉼표 [0] 2 24 3 3 2" xfId="1843"/>
    <cellStyle name="쉼표 [0] 2 24 3 3 2 2" xfId="4038"/>
    <cellStyle name="쉼표 [0] 2 24 3 3 2 2 2" xfId="8481"/>
    <cellStyle name="쉼표 [0] 2 24 3 3 2 3" xfId="6286"/>
    <cellStyle name="쉼표 [0] 2 24 3 3 3" xfId="2952"/>
    <cellStyle name="쉼표 [0] 2 24 3 3 3 2" xfId="7395"/>
    <cellStyle name="쉼표 [0] 2 24 3 3 4" xfId="5198"/>
    <cellStyle name="쉼표 [0] 2 24 3 4" xfId="1510"/>
    <cellStyle name="쉼표 [0] 2 24 3 4 2" xfId="3705"/>
    <cellStyle name="쉼표 [0] 2 24 3 4 2 2" xfId="8148"/>
    <cellStyle name="쉼표 [0] 2 24 3 4 3" xfId="5953"/>
    <cellStyle name="쉼표 [0] 2 24 3 5" xfId="2619"/>
    <cellStyle name="쉼표 [0] 2 24 3 5 2" xfId="7062"/>
    <cellStyle name="쉼표 [0] 2 24 3 6" xfId="4865"/>
    <cellStyle name="쉼표 [0] 2 24 4" xfId="905"/>
    <cellStyle name="쉼표 [0] 2 24 4 2" xfId="1996"/>
    <cellStyle name="쉼표 [0] 2 24 4 2 2" xfId="4191"/>
    <cellStyle name="쉼표 [0] 2 24 4 2 2 2" xfId="8634"/>
    <cellStyle name="쉼표 [0] 2 24 4 2 3" xfId="6439"/>
    <cellStyle name="쉼표 [0] 2 24 4 3" xfId="3105"/>
    <cellStyle name="쉼표 [0] 2 24 4 3 2" xfId="7548"/>
    <cellStyle name="쉼표 [0] 2 24 4 4" xfId="5351"/>
    <cellStyle name="쉼표 [0] 2 24 5" xfId="608"/>
    <cellStyle name="쉼표 [0] 2 24 5 2" xfId="1699"/>
    <cellStyle name="쉼표 [0] 2 24 5 2 2" xfId="3894"/>
    <cellStyle name="쉼표 [0] 2 24 5 2 2 2" xfId="8337"/>
    <cellStyle name="쉼표 [0] 2 24 5 2 3" xfId="6142"/>
    <cellStyle name="쉼표 [0] 2 24 5 3" xfId="2808"/>
    <cellStyle name="쉼표 [0] 2 24 5 3 2" xfId="7251"/>
    <cellStyle name="쉼표 [0] 2 24 5 4" xfId="5054"/>
    <cellStyle name="쉼표 [0] 2 24 6" xfId="1322"/>
    <cellStyle name="쉼표 [0] 2 24 6 2" xfId="3517"/>
    <cellStyle name="쉼표 [0] 2 24 6 2 2" xfId="7960"/>
    <cellStyle name="쉼표 [0] 2 24 6 3" xfId="5765"/>
    <cellStyle name="쉼표 [0] 2 24 7" xfId="2431"/>
    <cellStyle name="쉼표 [0] 2 24 7 2" xfId="6874"/>
    <cellStyle name="쉼표 [0] 2 24 8" xfId="4652"/>
    <cellStyle name="쉼표 [0] 2 25" xfId="129"/>
    <cellStyle name="쉼표 [0] 2 25 2" xfId="326"/>
    <cellStyle name="쉼표 [0] 2 25 2 2" xfId="512"/>
    <cellStyle name="쉼표 [0] 2 25 2 2 2" xfId="1096"/>
    <cellStyle name="쉼표 [0] 2 25 2 2 2 2" xfId="2187"/>
    <cellStyle name="쉼표 [0] 2 25 2 2 2 2 2" xfId="4382"/>
    <cellStyle name="쉼표 [0] 2 25 2 2 2 2 2 2" xfId="8825"/>
    <cellStyle name="쉼표 [0] 2 25 2 2 2 2 3" xfId="6630"/>
    <cellStyle name="쉼표 [0] 2 25 2 2 2 3" xfId="3296"/>
    <cellStyle name="쉼표 [0] 2 25 2 2 2 3 2" xfId="7739"/>
    <cellStyle name="쉼표 [0] 2 25 2 2 2 4" xfId="5542"/>
    <cellStyle name="쉼표 [0] 2 25 2 2 3" xfId="801"/>
    <cellStyle name="쉼표 [0] 2 25 2 2 3 2" xfId="1892"/>
    <cellStyle name="쉼표 [0] 2 25 2 2 3 2 2" xfId="4087"/>
    <cellStyle name="쉼표 [0] 2 25 2 2 3 2 2 2" xfId="8530"/>
    <cellStyle name="쉼표 [0] 2 25 2 2 3 2 3" xfId="6335"/>
    <cellStyle name="쉼표 [0] 2 25 2 2 3 3" xfId="3001"/>
    <cellStyle name="쉼표 [0] 2 25 2 2 3 3 2" xfId="7444"/>
    <cellStyle name="쉼표 [0] 2 25 2 2 3 4" xfId="5247"/>
    <cellStyle name="쉼표 [0] 2 25 2 2 4" xfId="1603"/>
    <cellStyle name="쉼표 [0] 2 25 2 2 4 2" xfId="3798"/>
    <cellStyle name="쉼표 [0] 2 25 2 2 4 2 2" xfId="8241"/>
    <cellStyle name="쉼표 [0] 2 25 2 2 4 3" xfId="6046"/>
    <cellStyle name="쉼표 [0] 2 25 2 2 5" xfId="2712"/>
    <cellStyle name="쉼표 [0] 2 25 2 2 5 2" xfId="7155"/>
    <cellStyle name="쉼표 [0] 2 25 2 2 6" xfId="4958"/>
    <cellStyle name="쉼표 [0] 2 25 2 3" xfId="954"/>
    <cellStyle name="쉼표 [0] 2 25 2 3 2" xfId="2045"/>
    <cellStyle name="쉼표 [0] 2 25 2 3 2 2" xfId="4240"/>
    <cellStyle name="쉼표 [0] 2 25 2 3 2 2 2" xfId="8683"/>
    <cellStyle name="쉼표 [0] 2 25 2 3 2 3" xfId="6488"/>
    <cellStyle name="쉼표 [0] 2 25 2 3 3" xfId="3154"/>
    <cellStyle name="쉼표 [0] 2 25 2 3 3 2" xfId="7597"/>
    <cellStyle name="쉼표 [0] 2 25 2 3 4" xfId="5400"/>
    <cellStyle name="쉼표 [0] 2 25 2 4" xfId="659"/>
    <cellStyle name="쉼표 [0] 2 25 2 4 2" xfId="1750"/>
    <cellStyle name="쉼표 [0] 2 25 2 4 2 2" xfId="3945"/>
    <cellStyle name="쉼표 [0] 2 25 2 4 2 2 2" xfId="8388"/>
    <cellStyle name="쉼표 [0] 2 25 2 4 2 3" xfId="6193"/>
    <cellStyle name="쉼표 [0] 2 25 2 4 3" xfId="2859"/>
    <cellStyle name="쉼표 [0] 2 25 2 4 3 2" xfId="7302"/>
    <cellStyle name="쉼표 [0] 2 25 2 4 4" xfId="5105"/>
    <cellStyle name="쉼표 [0] 2 25 2 5" xfId="1417"/>
    <cellStyle name="쉼표 [0] 2 25 2 5 2" xfId="3612"/>
    <cellStyle name="쉼표 [0] 2 25 2 5 2 2" xfId="8055"/>
    <cellStyle name="쉼표 [0] 2 25 2 5 3" xfId="5860"/>
    <cellStyle name="쉼표 [0] 2 25 2 6" xfId="2526"/>
    <cellStyle name="쉼표 [0] 2 25 2 6 2" xfId="6969"/>
    <cellStyle name="쉼표 [0] 2 25 2 7" xfId="4772"/>
    <cellStyle name="쉼표 [0] 2 25 3" xfId="420"/>
    <cellStyle name="쉼표 [0] 2 25 3 2" xfId="1048"/>
    <cellStyle name="쉼표 [0] 2 25 3 2 2" xfId="2139"/>
    <cellStyle name="쉼표 [0] 2 25 3 2 2 2" xfId="4334"/>
    <cellStyle name="쉼표 [0] 2 25 3 2 2 2 2" xfId="8777"/>
    <cellStyle name="쉼표 [0] 2 25 3 2 2 3" xfId="6582"/>
    <cellStyle name="쉼표 [0] 2 25 3 2 3" xfId="3248"/>
    <cellStyle name="쉼표 [0] 2 25 3 2 3 2" xfId="7691"/>
    <cellStyle name="쉼표 [0] 2 25 3 2 4" xfId="5494"/>
    <cellStyle name="쉼표 [0] 2 25 3 3" xfId="753"/>
    <cellStyle name="쉼표 [0] 2 25 3 3 2" xfId="1844"/>
    <cellStyle name="쉼표 [0] 2 25 3 3 2 2" xfId="4039"/>
    <cellStyle name="쉼표 [0] 2 25 3 3 2 2 2" xfId="8482"/>
    <cellStyle name="쉼표 [0] 2 25 3 3 2 3" xfId="6287"/>
    <cellStyle name="쉼표 [0] 2 25 3 3 3" xfId="2953"/>
    <cellStyle name="쉼표 [0] 2 25 3 3 3 2" xfId="7396"/>
    <cellStyle name="쉼표 [0] 2 25 3 3 4" xfId="5199"/>
    <cellStyle name="쉼표 [0] 2 25 3 4" xfId="1511"/>
    <cellStyle name="쉼표 [0] 2 25 3 4 2" xfId="3706"/>
    <cellStyle name="쉼표 [0] 2 25 3 4 2 2" xfId="8149"/>
    <cellStyle name="쉼표 [0] 2 25 3 4 3" xfId="5954"/>
    <cellStyle name="쉼표 [0] 2 25 3 5" xfId="2620"/>
    <cellStyle name="쉼표 [0] 2 25 3 5 2" xfId="7063"/>
    <cellStyle name="쉼표 [0] 2 25 3 6" xfId="4866"/>
    <cellStyle name="쉼표 [0] 2 25 4" xfId="906"/>
    <cellStyle name="쉼표 [0] 2 25 4 2" xfId="1997"/>
    <cellStyle name="쉼표 [0] 2 25 4 2 2" xfId="4192"/>
    <cellStyle name="쉼표 [0] 2 25 4 2 2 2" xfId="8635"/>
    <cellStyle name="쉼표 [0] 2 25 4 2 3" xfId="6440"/>
    <cellStyle name="쉼표 [0] 2 25 4 3" xfId="3106"/>
    <cellStyle name="쉼표 [0] 2 25 4 3 2" xfId="7549"/>
    <cellStyle name="쉼표 [0] 2 25 4 4" xfId="5352"/>
    <cellStyle name="쉼표 [0] 2 25 5" xfId="609"/>
    <cellStyle name="쉼표 [0] 2 25 5 2" xfId="1700"/>
    <cellStyle name="쉼표 [0] 2 25 5 2 2" xfId="3895"/>
    <cellStyle name="쉼표 [0] 2 25 5 2 2 2" xfId="8338"/>
    <cellStyle name="쉼표 [0] 2 25 5 2 3" xfId="6143"/>
    <cellStyle name="쉼표 [0] 2 25 5 3" xfId="2809"/>
    <cellStyle name="쉼표 [0] 2 25 5 3 2" xfId="7252"/>
    <cellStyle name="쉼표 [0] 2 25 5 4" xfId="5055"/>
    <cellStyle name="쉼표 [0] 2 25 6" xfId="1323"/>
    <cellStyle name="쉼표 [0] 2 25 6 2" xfId="3518"/>
    <cellStyle name="쉼표 [0] 2 25 6 2 2" xfId="7961"/>
    <cellStyle name="쉼표 [0] 2 25 6 3" xfId="5766"/>
    <cellStyle name="쉼표 [0] 2 25 7" xfId="2432"/>
    <cellStyle name="쉼표 [0] 2 25 7 2" xfId="6875"/>
    <cellStyle name="쉼표 [0] 2 25 8" xfId="4653"/>
    <cellStyle name="쉼표 [0] 2 26" xfId="130"/>
    <cellStyle name="쉼표 [0] 2 26 2" xfId="327"/>
    <cellStyle name="쉼표 [0] 2 26 2 2" xfId="513"/>
    <cellStyle name="쉼표 [0] 2 26 2 2 2" xfId="1097"/>
    <cellStyle name="쉼표 [0] 2 26 2 2 2 2" xfId="2188"/>
    <cellStyle name="쉼표 [0] 2 26 2 2 2 2 2" xfId="4383"/>
    <cellStyle name="쉼표 [0] 2 26 2 2 2 2 2 2" xfId="8826"/>
    <cellStyle name="쉼표 [0] 2 26 2 2 2 2 3" xfId="6631"/>
    <cellStyle name="쉼표 [0] 2 26 2 2 2 3" xfId="3297"/>
    <cellStyle name="쉼표 [0] 2 26 2 2 2 3 2" xfId="7740"/>
    <cellStyle name="쉼표 [0] 2 26 2 2 2 4" xfId="5543"/>
    <cellStyle name="쉼표 [0] 2 26 2 2 3" xfId="802"/>
    <cellStyle name="쉼표 [0] 2 26 2 2 3 2" xfId="1893"/>
    <cellStyle name="쉼표 [0] 2 26 2 2 3 2 2" xfId="4088"/>
    <cellStyle name="쉼표 [0] 2 26 2 2 3 2 2 2" xfId="8531"/>
    <cellStyle name="쉼표 [0] 2 26 2 2 3 2 3" xfId="6336"/>
    <cellStyle name="쉼표 [0] 2 26 2 2 3 3" xfId="3002"/>
    <cellStyle name="쉼표 [0] 2 26 2 2 3 3 2" xfId="7445"/>
    <cellStyle name="쉼표 [0] 2 26 2 2 3 4" xfId="5248"/>
    <cellStyle name="쉼표 [0] 2 26 2 2 4" xfId="1604"/>
    <cellStyle name="쉼표 [0] 2 26 2 2 4 2" xfId="3799"/>
    <cellStyle name="쉼표 [0] 2 26 2 2 4 2 2" xfId="8242"/>
    <cellStyle name="쉼표 [0] 2 26 2 2 4 3" xfId="6047"/>
    <cellStyle name="쉼표 [0] 2 26 2 2 5" xfId="2713"/>
    <cellStyle name="쉼표 [0] 2 26 2 2 5 2" xfId="7156"/>
    <cellStyle name="쉼표 [0] 2 26 2 2 6" xfId="4959"/>
    <cellStyle name="쉼표 [0] 2 26 2 3" xfId="955"/>
    <cellStyle name="쉼표 [0] 2 26 2 3 2" xfId="2046"/>
    <cellStyle name="쉼표 [0] 2 26 2 3 2 2" xfId="4241"/>
    <cellStyle name="쉼표 [0] 2 26 2 3 2 2 2" xfId="8684"/>
    <cellStyle name="쉼표 [0] 2 26 2 3 2 3" xfId="6489"/>
    <cellStyle name="쉼표 [0] 2 26 2 3 3" xfId="3155"/>
    <cellStyle name="쉼표 [0] 2 26 2 3 3 2" xfId="7598"/>
    <cellStyle name="쉼표 [0] 2 26 2 3 4" xfId="5401"/>
    <cellStyle name="쉼표 [0] 2 26 2 4" xfId="660"/>
    <cellStyle name="쉼표 [0] 2 26 2 4 2" xfId="1751"/>
    <cellStyle name="쉼표 [0] 2 26 2 4 2 2" xfId="3946"/>
    <cellStyle name="쉼표 [0] 2 26 2 4 2 2 2" xfId="8389"/>
    <cellStyle name="쉼표 [0] 2 26 2 4 2 3" xfId="6194"/>
    <cellStyle name="쉼표 [0] 2 26 2 4 3" xfId="2860"/>
    <cellStyle name="쉼표 [0] 2 26 2 4 3 2" xfId="7303"/>
    <cellStyle name="쉼표 [0] 2 26 2 4 4" xfId="5106"/>
    <cellStyle name="쉼표 [0] 2 26 2 5" xfId="1418"/>
    <cellStyle name="쉼표 [0] 2 26 2 5 2" xfId="3613"/>
    <cellStyle name="쉼표 [0] 2 26 2 5 2 2" xfId="8056"/>
    <cellStyle name="쉼표 [0] 2 26 2 5 3" xfId="5861"/>
    <cellStyle name="쉼표 [0] 2 26 2 6" xfId="2527"/>
    <cellStyle name="쉼표 [0] 2 26 2 6 2" xfId="6970"/>
    <cellStyle name="쉼표 [0] 2 26 2 7" xfId="4773"/>
    <cellStyle name="쉼표 [0] 2 26 3" xfId="421"/>
    <cellStyle name="쉼표 [0] 2 26 3 2" xfId="1049"/>
    <cellStyle name="쉼표 [0] 2 26 3 2 2" xfId="2140"/>
    <cellStyle name="쉼표 [0] 2 26 3 2 2 2" xfId="4335"/>
    <cellStyle name="쉼표 [0] 2 26 3 2 2 2 2" xfId="8778"/>
    <cellStyle name="쉼표 [0] 2 26 3 2 2 3" xfId="6583"/>
    <cellStyle name="쉼표 [0] 2 26 3 2 3" xfId="3249"/>
    <cellStyle name="쉼표 [0] 2 26 3 2 3 2" xfId="7692"/>
    <cellStyle name="쉼표 [0] 2 26 3 2 4" xfId="5495"/>
    <cellStyle name="쉼표 [0] 2 26 3 3" xfId="754"/>
    <cellStyle name="쉼표 [0] 2 26 3 3 2" xfId="1845"/>
    <cellStyle name="쉼표 [0] 2 26 3 3 2 2" xfId="4040"/>
    <cellStyle name="쉼표 [0] 2 26 3 3 2 2 2" xfId="8483"/>
    <cellStyle name="쉼표 [0] 2 26 3 3 2 3" xfId="6288"/>
    <cellStyle name="쉼표 [0] 2 26 3 3 3" xfId="2954"/>
    <cellStyle name="쉼표 [0] 2 26 3 3 3 2" xfId="7397"/>
    <cellStyle name="쉼표 [0] 2 26 3 3 4" xfId="5200"/>
    <cellStyle name="쉼표 [0] 2 26 3 4" xfId="1512"/>
    <cellStyle name="쉼표 [0] 2 26 3 4 2" xfId="3707"/>
    <cellStyle name="쉼표 [0] 2 26 3 4 2 2" xfId="8150"/>
    <cellStyle name="쉼표 [0] 2 26 3 4 3" xfId="5955"/>
    <cellStyle name="쉼표 [0] 2 26 3 5" xfId="2621"/>
    <cellStyle name="쉼표 [0] 2 26 3 5 2" xfId="7064"/>
    <cellStyle name="쉼표 [0] 2 26 3 6" xfId="4867"/>
    <cellStyle name="쉼표 [0] 2 26 4" xfId="907"/>
    <cellStyle name="쉼표 [0] 2 26 4 2" xfId="1998"/>
    <cellStyle name="쉼표 [0] 2 26 4 2 2" xfId="4193"/>
    <cellStyle name="쉼표 [0] 2 26 4 2 2 2" xfId="8636"/>
    <cellStyle name="쉼표 [0] 2 26 4 2 3" xfId="6441"/>
    <cellStyle name="쉼표 [0] 2 26 4 3" xfId="3107"/>
    <cellStyle name="쉼표 [0] 2 26 4 3 2" xfId="7550"/>
    <cellStyle name="쉼표 [0] 2 26 4 4" xfId="5353"/>
    <cellStyle name="쉼표 [0] 2 26 5" xfId="610"/>
    <cellStyle name="쉼표 [0] 2 26 5 2" xfId="1701"/>
    <cellStyle name="쉼표 [0] 2 26 5 2 2" xfId="3896"/>
    <cellStyle name="쉼표 [0] 2 26 5 2 2 2" xfId="8339"/>
    <cellStyle name="쉼표 [0] 2 26 5 2 3" xfId="6144"/>
    <cellStyle name="쉼표 [0] 2 26 5 3" xfId="2810"/>
    <cellStyle name="쉼표 [0] 2 26 5 3 2" xfId="7253"/>
    <cellStyle name="쉼표 [0] 2 26 5 4" xfId="5056"/>
    <cellStyle name="쉼표 [0] 2 26 6" xfId="1324"/>
    <cellStyle name="쉼표 [0] 2 26 6 2" xfId="3519"/>
    <cellStyle name="쉼표 [0] 2 26 6 2 2" xfId="7962"/>
    <cellStyle name="쉼표 [0] 2 26 6 3" xfId="5767"/>
    <cellStyle name="쉼표 [0] 2 26 7" xfId="2433"/>
    <cellStyle name="쉼표 [0] 2 26 7 2" xfId="6876"/>
    <cellStyle name="쉼표 [0] 2 26 8" xfId="4654"/>
    <cellStyle name="쉼표 [0] 2 27" xfId="131"/>
    <cellStyle name="쉼표 [0] 2 27 2" xfId="328"/>
    <cellStyle name="쉼표 [0] 2 27 2 2" xfId="514"/>
    <cellStyle name="쉼표 [0] 2 27 2 2 2" xfId="1098"/>
    <cellStyle name="쉼표 [0] 2 27 2 2 2 2" xfId="2189"/>
    <cellStyle name="쉼표 [0] 2 27 2 2 2 2 2" xfId="4384"/>
    <cellStyle name="쉼표 [0] 2 27 2 2 2 2 2 2" xfId="8827"/>
    <cellStyle name="쉼표 [0] 2 27 2 2 2 2 3" xfId="6632"/>
    <cellStyle name="쉼표 [0] 2 27 2 2 2 3" xfId="3298"/>
    <cellStyle name="쉼표 [0] 2 27 2 2 2 3 2" xfId="7741"/>
    <cellStyle name="쉼표 [0] 2 27 2 2 2 4" xfId="5544"/>
    <cellStyle name="쉼표 [0] 2 27 2 2 3" xfId="803"/>
    <cellStyle name="쉼표 [0] 2 27 2 2 3 2" xfId="1894"/>
    <cellStyle name="쉼표 [0] 2 27 2 2 3 2 2" xfId="4089"/>
    <cellStyle name="쉼표 [0] 2 27 2 2 3 2 2 2" xfId="8532"/>
    <cellStyle name="쉼표 [0] 2 27 2 2 3 2 3" xfId="6337"/>
    <cellStyle name="쉼표 [0] 2 27 2 2 3 3" xfId="3003"/>
    <cellStyle name="쉼표 [0] 2 27 2 2 3 3 2" xfId="7446"/>
    <cellStyle name="쉼표 [0] 2 27 2 2 3 4" xfId="5249"/>
    <cellStyle name="쉼표 [0] 2 27 2 2 4" xfId="1605"/>
    <cellStyle name="쉼표 [0] 2 27 2 2 4 2" xfId="3800"/>
    <cellStyle name="쉼표 [0] 2 27 2 2 4 2 2" xfId="8243"/>
    <cellStyle name="쉼표 [0] 2 27 2 2 4 3" xfId="6048"/>
    <cellStyle name="쉼표 [0] 2 27 2 2 5" xfId="2714"/>
    <cellStyle name="쉼표 [0] 2 27 2 2 5 2" xfId="7157"/>
    <cellStyle name="쉼표 [0] 2 27 2 2 6" xfId="4960"/>
    <cellStyle name="쉼표 [0] 2 27 2 3" xfId="956"/>
    <cellStyle name="쉼표 [0] 2 27 2 3 2" xfId="2047"/>
    <cellStyle name="쉼표 [0] 2 27 2 3 2 2" xfId="4242"/>
    <cellStyle name="쉼표 [0] 2 27 2 3 2 2 2" xfId="8685"/>
    <cellStyle name="쉼표 [0] 2 27 2 3 2 3" xfId="6490"/>
    <cellStyle name="쉼표 [0] 2 27 2 3 3" xfId="3156"/>
    <cellStyle name="쉼표 [0] 2 27 2 3 3 2" xfId="7599"/>
    <cellStyle name="쉼표 [0] 2 27 2 3 4" xfId="5402"/>
    <cellStyle name="쉼표 [0] 2 27 2 4" xfId="661"/>
    <cellStyle name="쉼표 [0] 2 27 2 4 2" xfId="1752"/>
    <cellStyle name="쉼표 [0] 2 27 2 4 2 2" xfId="3947"/>
    <cellStyle name="쉼표 [0] 2 27 2 4 2 2 2" xfId="8390"/>
    <cellStyle name="쉼표 [0] 2 27 2 4 2 3" xfId="6195"/>
    <cellStyle name="쉼표 [0] 2 27 2 4 3" xfId="2861"/>
    <cellStyle name="쉼표 [0] 2 27 2 4 3 2" xfId="7304"/>
    <cellStyle name="쉼표 [0] 2 27 2 4 4" xfId="5107"/>
    <cellStyle name="쉼표 [0] 2 27 2 5" xfId="1419"/>
    <cellStyle name="쉼표 [0] 2 27 2 5 2" xfId="3614"/>
    <cellStyle name="쉼표 [0] 2 27 2 5 2 2" xfId="8057"/>
    <cellStyle name="쉼표 [0] 2 27 2 5 3" xfId="5862"/>
    <cellStyle name="쉼표 [0] 2 27 2 6" xfId="2528"/>
    <cellStyle name="쉼표 [0] 2 27 2 6 2" xfId="6971"/>
    <cellStyle name="쉼표 [0] 2 27 2 7" xfId="4774"/>
    <cellStyle name="쉼표 [0] 2 27 3" xfId="422"/>
    <cellStyle name="쉼표 [0] 2 27 3 2" xfId="1050"/>
    <cellStyle name="쉼표 [0] 2 27 3 2 2" xfId="2141"/>
    <cellStyle name="쉼표 [0] 2 27 3 2 2 2" xfId="4336"/>
    <cellStyle name="쉼표 [0] 2 27 3 2 2 2 2" xfId="8779"/>
    <cellStyle name="쉼표 [0] 2 27 3 2 2 3" xfId="6584"/>
    <cellStyle name="쉼표 [0] 2 27 3 2 3" xfId="3250"/>
    <cellStyle name="쉼표 [0] 2 27 3 2 3 2" xfId="7693"/>
    <cellStyle name="쉼표 [0] 2 27 3 2 4" xfId="5496"/>
    <cellStyle name="쉼표 [0] 2 27 3 3" xfId="755"/>
    <cellStyle name="쉼표 [0] 2 27 3 3 2" xfId="1846"/>
    <cellStyle name="쉼표 [0] 2 27 3 3 2 2" xfId="4041"/>
    <cellStyle name="쉼표 [0] 2 27 3 3 2 2 2" xfId="8484"/>
    <cellStyle name="쉼표 [0] 2 27 3 3 2 3" xfId="6289"/>
    <cellStyle name="쉼표 [0] 2 27 3 3 3" xfId="2955"/>
    <cellStyle name="쉼표 [0] 2 27 3 3 3 2" xfId="7398"/>
    <cellStyle name="쉼표 [0] 2 27 3 3 4" xfId="5201"/>
    <cellStyle name="쉼표 [0] 2 27 3 4" xfId="1513"/>
    <cellStyle name="쉼표 [0] 2 27 3 4 2" xfId="3708"/>
    <cellStyle name="쉼표 [0] 2 27 3 4 2 2" xfId="8151"/>
    <cellStyle name="쉼표 [0] 2 27 3 4 3" xfId="5956"/>
    <cellStyle name="쉼표 [0] 2 27 3 5" xfId="2622"/>
    <cellStyle name="쉼표 [0] 2 27 3 5 2" xfId="7065"/>
    <cellStyle name="쉼표 [0] 2 27 3 6" xfId="4868"/>
    <cellStyle name="쉼표 [0] 2 27 4" xfId="908"/>
    <cellStyle name="쉼표 [0] 2 27 4 2" xfId="1999"/>
    <cellStyle name="쉼표 [0] 2 27 4 2 2" xfId="4194"/>
    <cellStyle name="쉼표 [0] 2 27 4 2 2 2" xfId="8637"/>
    <cellStyle name="쉼표 [0] 2 27 4 2 3" xfId="6442"/>
    <cellStyle name="쉼표 [0] 2 27 4 3" xfId="3108"/>
    <cellStyle name="쉼표 [0] 2 27 4 3 2" xfId="7551"/>
    <cellStyle name="쉼표 [0] 2 27 4 4" xfId="5354"/>
    <cellStyle name="쉼표 [0] 2 27 5" xfId="611"/>
    <cellStyle name="쉼표 [0] 2 27 5 2" xfId="1702"/>
    <cellStyle name="쉼표 [0] 2 27 5 2 2" xfId="3897"/>
    <cellStyle name="쉼표 [0] 2 27 5 2 2 2" xfId="8340"/>
    <cellStyle name="쉼표 [0] 2 27 5 2 3" xfId="6145"/>
    <cellStyle name="쉼표 [0] 2 27 5 3" xfId="2811"/>
    <cellStyle name="쉼표 [0] 2 27 5 3 2" xfId="7254"/>
    <cellStyle name="쉼표 [0] 2 27 5 4" xfId="5057"/>
    <cellStyle name="쉼표 [0] 2 27 6" xfId="1325"/>
    <cellStyle name="쉼표 [0] 2 27 6 2" xfId="3520"/>
    <cellStyle name="쉼표 [0] 2 27 6 2 2" xfId="7963"/>
    <cellStyle name="쉼표 [0] 2 27 6 3" xfId="5768"/>
    <cellStyle name="쉼표 [0] 2 27 7" xfId="2434"/>
    <cellStyle name="쉼표 [0] 2 27 7 2" xfId="6877"/>
    <cellStyle name="쉼표 [0] 2 27 8" xfId="4655"/>
    <cellStyle name="쉼표 [0] 2 28" xfId="278"/>
    <cellStyle name="쉼표 [0] 2 28 2" xfId="332"/>
    <cellStyle name="쉼표 [0] 2 28 2 2" xfId="518"/>
    <cellStyle name="쉼표 [0] 2 28 2 2 2" xfId="1102"/>
    <cellStyle name="쉼표 [0] 2 28 2 2 2 2" xfId="2193"/>
    <cellStyle name="쉼표 [0] 2 28 2 2 2 2 2" xfId="4388"/>
    <cellStyle name="쉼표 [0] 2 28 2 2 2 2 2 2" xfId="8831"/>
    <cellStyle name="쉼표 [0] 2 28 2 2 2 2 3" xfId="6636"/>
    <cellStyle name="쉼표 [0] 2 28 2 2 2 3" xfId="3302"/>
    <cellStyle name="쉼표 [0] 2 28 2 2 2 3 2" xfId="7745"/>
    <cellStyle name="쉼표 [0] 2 28 2 2 2 4" xfId="5548"/>
    <cellStyle name="쉼표 [0] 2 28 2 2 3" xfId="807"/>
    <cellStyle name="쉼표 [0] 2 28 2 2 3 2" xfId="1898"/>
    <cellStyle name="쉼표 [0] 2 28 2 2 3 2 2" xfId="4093"/>
    <cellStyle name="쉼표 [0] 2 28 2 2 3 2 2 2" xfId="8536"/>
    <cellStyle name="쉼표 [0] 2 28 2 2 3 2 3" xfId="6341"/>
    <cellStyle name="쉼표 [0] 2 28 2 2 3 3" xfId="3007"/>
    <cellStyle name="쉼표 [0] 2 28 2 2 3 3 2" xfId="7450"/>
    <cellStyle name="쉼표 [0] 2 28 2 2 3 4" xfId="5253"/>
    <cellStyle name="쉼표 [0] 2 28 2 2 4" xfId="1609"/>
    <cellStyle name="쉼표 [0] 2 28 2 2 4 2" xfId="3804"/>
    <cellStyle name="쉼표 [0] 2 28 2 2 4 2 2" xfId="8247"/>
    <cellStyle name="쉼표 [0] 2 28 2 2 4 3" xfId="6052"/>
    <cellStyle name="쉼표 [0] 2 28 2 2 5" xfId="2718"/>
    <cellStyle name="쉼표 [0] 2 28 2 2 5 2" xfId="7161"/>
    <cellStyle name="쉼표 [0] 2 28 2 2 6" xfId="4964"/>
    <cellStyle name="쉼표 [0] 2 28 2 3" xfId="960"/>
    <cellStyle name="쉼표 [0] 2 28 2 3 2" xfId="2051"/>
    <cellStyle name="쉼표 [0] 2 28 2 3 2 2" xfId="4246"/>
    <cellStyle name="쉼표 [0] 2 28 2 3 2 2 2" xfId="8689"/>
    <cellStyle name="쉼표 [0] 2 28 2 3 2 3" xfId="6494"/>
    <cellStyle name="쉼표 [0] 2 28 2 3 3" xfId="3160"/>
    <cellStyle name="쉼표 [0] 2 28 2 3 3 2" xfId="7603"/>
    <cellStyle name="쉼표 [0] 2 28 2 3 4" xfId="5406"/>
    <cellStyle name="쉼표 [0] 2 28 2 4" xfId="665"/>
    <cellStyle name="쉼표 [0] 2 28 2 4 2" xfId="1756"/>
    <cellStyle name="쉼표 [0] 2 28 2 4 2 2" xfId="3951"/>
    <cellStyle name="쉼표 [0] 2 28 2 4 2 2 2" xfId="8394"/>
    <cellStyle name="쉼표 [0] 2 28 2 4 2 3" xfId="6199"/>
    <cellStyle name="쉼표 [0] 2 28 2 4 3" xfId="2865"/>
    <cellStyle name="쉼표 [0] 2 28 2 4 3 2" xfId="7308"/>
    <cellStyle name="쉼표 [0] 2 28 2 4 4" xfId="5111"/>
    <cellStyle name="쉼표 [0] 2 28 2 5" xfId="1423"/>
    <cellStyle name="쉼표 [0] 2 28 2 5 2" xfId="3618"/>
    <cellStyle name="쉼표 [0] 2 28 2 5 2 2" xfId="8061"/>
    <cellStyle name="쉼표 [0] 2 28 2 5 3" xfId="5866"/>
    <cellStyle name="쉼표 [0] 2 28 2 6" xfId="2532"/>
    <cellStyle name="쉼표 [0] 2 28 2 6 2" xfId="6975"/>
    <cellStyle name="쉼표 [0] 2 28 2 7" xfId="4778"/>
    <cellStyle name="쉼표 [0] 2 28 3" xfId="470"/>
    <cellStyle name="쉼표 [0] 2 28 3 2" xfId="1054"/>
    <cellStyle name="쉼표 [0] 2 28 3 2 2" xfId="2145"/>
    <cellStyle name="쉼표 [0] 2 28 3 2 2 2" xfId="4340"/>
    <cellStyle name="쉼표 [0] 2 28 3 2 2 2 2" xfId="8783"/>
    <cellStyle name="쉼표 [0] 2 28 3 2 2 3" xfId="6588"/>
    <cellStyle name="쉼표 [0] 2 28 3 2 3" xfId="3254"/>
    <cellStyle name="쉼표 [0] 2 28 3 2 3 2" xfId="7697"/>
    <cellStyle name="쉼표 [0] 2 28 3 2 4" xfId="5500"/>
    <cellStyle name="쉼표 [0] 2 28 3 3" xfId="759"/>
    <cellStyle name="쉼표 [0] 2 28 3 3 2" xfId="1850"/>
    <cellStyle name="쉼표 [0] 2 28 3 3 2 2" xfId="4045"/>
    <cellStyle name="쉼표 [0] 2 28 3 3 2 2 2" xfId="8488"/>
    <cellStyle name="쉼표 [0] 2 28 3 3 2 3" xfId="6293"/>
    <cellStyle name="쉼표 [0] 2 28 3 3 3" xfId="2959"/>
    <cellStyle name="쉼표 [0] 2 28 3 3 3 2" xfId="7402"/>
    <cellStyle name="쉼표 [0] 2 28 3 3 4" xfId="5205"/>
    <cellStyle name="쉼표 [0] 2 28 3 4" xfId="1561"/>
    <cellStyle name="쉼표 [0] 2 28 3 4 2" xfId="3756"/>
    <cellStyle name="쉼표 [0] 2 28 3 4 2 2" xfId="8199"/>
    <cellStyle name="쉼표 [0] 2 28 3 4 3" xfId="6004"/>
    <cellStyle name="쉼표 [0] 2 28 3 5" xfId="2670"/>
    <cellStyle name="쉼표 [0] 2 28 3 5 2" xfId="7113"/>
    <cellStyle name="쉼표 [0] 2 28 3 6" xfId="4916"/>
    <cellStyle name="쉼표 [0] 2 28 4" xfId="912"/>
    <cellStyle name="쉼표 [0] 2 28 4 2" xfId="2003"/>
    <cellStyle name="쉼표 [0] 2 28 4 2 2" xfId="4198"/>
    <cellStyle name="쉼표 [0] 2 28 4 2 2 2" xfId="8641"/>
    <cellStyle name="쉼표 [0] 2 28 4 2 3" xfId="6446"/>
    <cellStyle name="쉼표 [0] 2 28 4 3" xfId="3112"/>
    <cellStyle name="쉼표 [0] 2 28 4 3 2" xfId="7555"/>
    <cellStyle name="쉼표 [0] 2 28 4 4" xfId="5358"/>
    <cellStyle name="쉼표 [0] 2 28 5" xfId="617"/>
    <cellStyle name="쉼표 [0] 2 28 5 2" xfId="1708"/>
    <cellStyle name="쉼표 [0] 2 28 5 2 2" xfId="3903"/>
    <cellStyle name="쉼표 [0] 2 28 5 2 2 2" xfId="8346"/>
    <cellStyle name="쉼표 [0] 2 28 5 2 3" xfId="6151"/>
    <cellStyle name="쉼표 [0] 2 28 5 3" xfId="2817"/>
    <cellStyle name="쉼표 [0] 2 28 5 3 2" xfId="7260"/>
    <cellStyle name="쉼표 [0] 2 28 5 4" xfId="5063"/>
    <cellStyle name="쉼표 [0] 2 28 6" xfId="1375"/>
    <cellStyle name="쉼표 [0] 2 28 6 2" xfId="3570"/>
    <cellStyle name="쉼표 [0] 2 28 6 2 2" xfId="8013"/>
    <cellStyle name="쉼표 [0] 2 28 6 3" xfId="5818"/>
    <cellStyle name="쉼표 [0] 2 28 7" xfId="2484"/>
    <cellStyle name="쉼표 [0] 2 28 7 2" xfId="6927"/>
    <cellStyle name="쉼표 [0] 2 28 8" xfId="4728"/>
    <cellStyle name="쉼표 [0] 2 29" xfId="84"/>
    <cellStyle name="쉼표 [0] 2 29 2" xfId="408"/>
    <cellStyle name="쉼표 [0] 2 29 2 2" xfId="1036"/>
    <cellStyle name="쉼표 [0] 2 29 2 2 2" xfId="2127"/>
    <cellStyle name="쉼표 [0] 2 29 2 2 2 2" xfId="4322"/>
    <cellStyle name="쉼표 [0] 2 29 2 2 2 2 2" xfId="8765"/>
    <cellStyle name="쉼표 [0] 2 29 2 2 2 3" xfId="6570"/>
    <cellStyle name="쉼표 [0] 2 29 2 2 3" xfId="3236"/>
    <cellStyle name="쉼표 [0] 2 29 2 2 3 2" xfId="7679"/>
    <cellStyle name="쉼표 [0] 2 29 2 2 4" xfId="5482"/>
    <cellStyle name="쉼표 [0] 2 29 2 3" xfId="741"/>
    <cellStyle name="쉼표 [0] 2 29 2 3 2" xfId="1832"/>
    <cellStyle name="쉼표 [0] 2 29 2 3 2 2" xfId="4027"/>
    <cellStyle name="쉼표 [0] 2 29 2 3 2 2 2" xfId="8470"/>
    <cellStyle name="쉼표 [0] 2 29 2 3 2 3" xfId="6275"/>
    <cellStyle name="쉼표 [0] 2 29 2 3 3" xfId="2941"/>
    <cellStyle name="쉼표 [0] 2 29 2 3 3 2" xfId="7384"/>
    <cellStyle name="쉼표 [0] 2 29 2 3 4" xfId="5187"/>
    <cellStyle name="쉼표 [0] 2 29 2 4" xfId="1499"/>
    <cellStyle name="쉼표 [0] 2 29 2 4 2" xfId="3694"/>
    <cellStyle name="쉼표 [0] 2 29 2 4 2 2" xfId="8137"/>
    <cellStyle name="쉼표 [0] 2 29 2 4 3" xfId="5942"/>
    <cellStyle name="쉼표 [0] 2 29 2 5" xfId="2608"/>
    <cellStyle name="쉼표 [0] 2 29 2 5 2" xfId="7051"/>
    <cellStyle name="쉼표 [0] 2 29 2 6" xfId="4854"/>
    <cellStyle name="쉼표 [0] 2 29 3" xfId="894"/>
    <cellStyle name="쉼표 [0] 2 29 3 2" xfId="1985"/>
    <cellStyle name="쉼표 [0] 2 29 3 2 2" xfId="4180"/>
    <cellStyle name="쉼표 [0] 2 29 3 2 2 2" xfId="8623"/>
    <cellStyle name="쉼표 [0] 2 29 3 2 3" xfId="6428"/>
    <cellStyle name="쉼표 [0] 2 29 3 3" xfId="3094"/>
    <cellStyle name="쉼표 [0] 2 29 3 3 2" xfId="7537"/>
    <cellStyle name="쉼표 [0] 2 29 3 4" xfId="5340"/>
    <cellStyle name="쉼표 [0] 2 29 4" xfId="596"/>
    <cellStyle name="쉼표 [0] 2 29 4 2" xfId="1687"/>
    <cellStyle name="쉼표 [0] 2 29 4 2 2" xfId="3882"/>
    <cellStyle name="쉼표 [0] 2 29 4 2 2 2" xfId="8325"/>
    <cellStyle name="쉼표 [0] 2 29 4 2 3" xfId="6130"/>
    <cellStyle name="쉼표 [0] 2 29 4 3" xfId="2796"/>
    <cellStyle name="쉼표 [0] 2 29 4 3 2" xfId="7239"/>
    <cellStyle name="쉼표 [0] 2 29 4 4" xfId="5042"/>
    <cellStyle name="쉼표 [0] 2 29 5" xfId="1310"/>
    <cellStyle name="쉼표 [0] 2 29 5 2" xfId="3505"/>
    <cellStyle name="쉼표 [0] 2 29 5 2 2" xfId="7948"/>
    <cellStyle name="쉼표 [0] 2 29 5 3" xfId="5753"/>
    <cellStyle name="쉼표 [0] 2 29 6" xfId="2419"/>
    <cellStyle name="쉼표 [0] 2 29 6 2" xfId="6862"/>
    <cellStyle name="쉼표 [0] 2 29 7" xfId="4634"/>
    <cellStyle name="쉼표 [0] 2 3" xfId="16"/>
    <cellStyle name="쉼표 [0] 2 3 2" xfId="53"/>
    <cellStyle name="쉼표 [0] 2 3 2 2" xfId="391"/>
    <cellStyle name="쉼표 [0] 2 3 2 2 2" xfId="1019"/>
    <cellStyle name="쉼표 [0] 2 3 2 2 2 2" xfId="2110"/>
    <cellStyle name="쉼표 [0] 2 3 2 2 2 2 2" xfId="4305"/>
    <cellStyle name="쉼표 [0] 2 3 2 2 2 2 2 2" xfId="8748"/>
    <cellStyle name="쉼표 [0] 2 3 2 2 2 2 3" xfId="6553"/>
    <cellStyle name="쉼표 [0] 2 3 2 2 2 3" xfId="3219"/>
    <cellStyle name="쉼표 [0] 2 3 2 2 2 3 2" xfId="7662"/>
    <cellStyle name="쉼표 [0] 2 3 2 2 2 4" xfId="5465"/>
    <cellStyle name="쉼표 [0] 2 3 2 2 3" xfId="724"/>
    <cellStyle name="쉼표 [0] 2 3 2 2 3 2" xfId="1815"/>
    <cellStyle name="쉼표 [0] 2 3 2 2 3 2 2" xfId="4010"/>
    <cellStyle name="쉼표 [0] 2 3 2 2 3 2 2 2" xfId="8453"/>
    <cellStyle name="쉼표 [0] 2 3 2 2 3 2 3" xfId="6258"/>
    <cellStyle name="쉼표 [0] 2 3 2 2 3 3" xfId="2924"/>
    <cellStyle name="쉼표 [0] 2 3 2 2 3 3 2" xfId="7367"/>
    <cellStyle name="쉼표 [0] 2 3 2 2 3 4" xfId="5170"/>
    <cellStyle name="쉼표 [0] 2 3 2 2 4" xfId="1482"/>
    <cellStyle name="쉼표 [0] 2 3 2 2 4 2" xfId="3677"/>
    <cellStyle name="쉼표 [0] 2 3 2 2 4 2 2" xfId="8120"/>
    <cellStyle name="쉼표 [0] 2 3 2 2 4 3" xfId="5925"/>
    <cellStyle name="쉼표 [0] 2 3 2 2 5" xfId="2591"/>
    <cellStyle name="쉼표 [0] 2 3 2 2 5 2" xfId="7034"/>
    <cellStyle name="쉼표 [0] 2 3 2 2 6" xfId="4837"/>
    <cellStyle name="쉼표 [0] 2 3 2 3" xfId="877"/>
    <cellStyle name="쉼표 [0] 2 3 2 3 2" xfId="1968"/>
    <cellStyle name="쉼표 [0] 2 3 2 3 2 2" xfId="4163"/>
    <cellStyle name="쉼표 [0] 2 3 2 3 2 2 2" xfId="8606"/>
    <cellStyle name="쉼표 [0] 2 3 2 3 2 3" xfId="6411"/>
    <cellStyle name="쉼표 [0] 2 3 2 3 3" xfId="3077"/>
    <cellStyle name="쉼표 [0] 2 3 2 3 3 2" xfId="7520"/>
    <cellStyle name="쉼표 [0] 2 3 2 3 4" xfId="5323"/>
    <cellStyle name="쉼표 [0] 2 3 2 4" xfId="579"/>
    <cellStyle name="쉼표 [0] 2 3 2 4 2" xfId="1670"/>
    <cellStyle name="쉼표 [0] 2 3 2 4 2 2" xfId="3865"/>
    <cellStyle name="쉼표 [0] 2 3 2 4 2 2 2" xfId="8308"/>
    <cellStyle name="쉼표 [0] 2 3 2 4 2 3" xfId="6113"/>
    <cellStyle name="쉼표 [0] 2 3 2 4 3" xfId="2779"/>
    <cellStyle name="쉼표 [0] 2 3 2 4 3 2" xfId="7222"/>
    <cellStyle name="쉼표 [0] 2 3 2 4 4" xfId="5025"/>
    <cellStyle name="쉼표 [0] 2 3 2 5" xfId="1293"/>
    <cellStyle name="쉼표 [0] 2 3 2 5 2" xfId="3488"/>
    <cellStyle name="쉼표 [0] 2 3 2 5 2 2" xfId="7931"/>
    <cellStyle name="쉼표 [0] 2 3 2 5 3" xfId="5736"/>
    <cellStyle name="쉼표 [0] 2 3 2 6" xfId="2402"/>
    <cellStyle name="쉼표 [0] 2 3 2 6 2" xfId="6845"/>
    <cellStyle name="쉼표 [0] 2 3 2 7" xfId="4613"/>
    <cellStyle name="쉼표 [0] 2 3 3" xfId="299"/>
    <cellStyle name="쉼표 [0] 2 3 3 2" xfId="485"/>
    <cellStyle name="쉼표 [0] 2 3 3 2 2" xfId="1069"/>
    <cellStyle name="쉼표 [0] 2 3 3 2 2 2" xfId="2160"/>
    <cellStyle name="쉼표 [0] 2 3 3 2 2 2 2" xfId="4355"/>
    <cellStyle name="쉼표 [0] 2 3 3 2 2 2 2 2" xfId="8798"/>
    <cellStyle name="쉼표 [0] 2 3 3 2 2 2 3" xfId="6603"/>
    <cellStyle name="쉼표 [0] 2 3 3 2 2 3" xfId="3269"/>
    <cellStyle name="쉼표 [0] 2 3 3 2 2 3 2" xfId="7712"/>
    <cellStyle name="쉼표 [0] 2 3 3 2 2 4" xfId="5515"/>
    <cellStyle name="쉼표 [0] 2 3 3 2 3" xfId="774"/>
    <cellStyle name="쉼표 [0] 2 3 3 2 3 2" xfId="1865"/>
    <cellStyle name="쉼표 [0] 2 3 3 2 3 2 2" xfId="4060"/>
    <cellStyle name="쉼표 [0] 2 3 3 2 3 2 2 2" xfId="8503"/>
    <cellStyle name="쉼표 [0] 2 3 3 2 3 2 3" xfId="6308"/>
    <cellStyle name="쉼표 [0] 2 3 3 2 3 3" xfId="2974"/>
    <cellStyle name="쉼표 [0] 2 3 3 2 3 3 2" xfId="7417"/>
    <cellStyle name="쉼표 [0] 2 3 3 2 3 4" xfId="5220"/>
    <cellStyle name="쉼표 [0] 2 3 3 2 4" xfId="1576"/>
    <cellStyle name="쉼표 [0] 2 3 3 2 4 2" xfId="3771"/>
    <cellStyle name="쉼표 [0] 2 3 3 2 4 2 2" xfId="8214"/>
    <cellStyle name="쉼표 [0] 2 3 3 2 4 3" xfId="6019"/>
    <cellStyle name="쉼표 [0] 2 3 3 2 5" xfId="2685"/>
    <cellStyle name="쉼표 [0] 2 3 3 2 5 2" xfId="7128"/>
    <cellStyle name="쉼표 [0] 2 3 3 2 6" xfId="4931"/>
    <cellStyle name="쉼표 [0] 2 3 3 3" xfId="927"/>
    <cellStyle name="쉼표 [0] 2 3 3 3 2" xfId="2018"/>
    <cellStyle name="쉼표 [0] 2 3 3 3 2 2" xfId="4213"/>
    <cellStyle name="쉼표 [0] 2 3 3 3 2 2 2" xfId="8656"/>
    <cellStyle name="쉼표 [0] 2 3 3 3 2 3" xfId="6461"/>
    <cellStyle name="쉼표 [0] 2 3 3 3 3" xfId="3127"/>
    <cellStyle name="쉼표 [0] 2 3 3 3 3 2" xfId="7570"/>
    <cellStyle name="쉼표 [0] 2 3 3 3 4" xfId="5373"/>
    <cellStyle name="쉼표 [0] 2 3 3 4" xfId="632"/>
    <cellStyle name="쉼표 [0] 2 3 3 4 2" xfId="1723"/>
    <cellStyle name="쉼표 [0] 2 3 3 4 2 2" xfId="3918"/>
    <cellStyle name="쉼표 [0] 2 3 3 4 2 2 2" xfId="8361"/>
    <cellStyle name="쉼표 [0] 2 3 3 4 2 3" xfId="6166"/>
    <cellStyle name="쉼표 [0] 2 3 3 4 3" xfId="2832"/>
    <cellStyle name="쉼표 [0] 2 3 3 4 3 2" xfId="7275"/>
    <cellStyle name="쉼표 [0] 2 3 3 4 4" xfId="5078"/>
    <cellStyle name="쉼표 [0] 2 3 3 5" xfId="1390"/>
    <cellStyle name="쉼표 [0] 2 3 3 5 2" xfId="3585"/>
    <cellStyle name="쉼표 [0] 2 3 3 5 2 2" xfId="8028"/>
    <cellStyle name="쉼표 [0] 2 3 3 5 3" xfId="5833"/>
    <cellStyle name="쉼표 [0] 2 3 3 6" xfId="2499"/>
    <cellStyle name="쉼표 [0] 2 3 3 6 2" xfId="6942"/>
    <cellStyle name="쉼표 [0] 2 3 3 7" xfId="4745"/>
    <cellStyle name="쉼표 [0] 2 3 4" xfId="371"/>
    <cellStyle name="쉼표 [0] 2 3 4 2" xfId="999"/>
    <cellStyle name="쉼표 [0] 2 3 4 2 2" xfId="2090"/>
    <cellStyle name="쉼표 [0] 2 3 4 2 2 2" xfId="4285"/>
    <cellStyle name="쉼표 [0] 2 3 4 2 2 2 2" xfId="8728"/>
    <cellStyle name="쉼표 [0] 2 3 4 2 2 3" xfId="6533"/>
    <cellStyle name="쉼표 [0] 2 3 4 2 3" xfId="3199"/>
    <cellStyle name="쉼표 [0] 2 3 4 2 3 2" xfId="7642"/>
    <cellStyle name="쉼표 [0] 2 3 4 2 4" xfId="5445"/>
    <cellStyle name="쉼표 [0] 2 3 4 3" xfId="704"/>
    <cellStyle name="쉼표 [0] 2 3 4 3 2" xfId="1795"/>
    <cellStyle name="쉼표 [0] 2 3 4 3 2 2" xfId="3990"/>
    <cellStyle name="쉼표 [0] 2 3 4 3 2 2 2" xfId="8433"/>
    <cellStyle name="쉼표 [0] 2 3 4 3 2 3" xfId="6238"/>
    <cellStyle name="쉼표 [0] 2 3 4 3 3" xfId="2904"/>
    <cellStyle name="쉼표 [0] 2 3 4 3 3 2" xfId="7347"/>
    <cellStyle name="쉼표 [0] 2 3 4 3 4" xfId="5150"/>
    <cellStyle name="쉼표 [0] 2 3 4 4" xfId="1462"/>
    <cellStyle name="쉼표 [0] 2 3 4 4 2" xfId="3657"/>
    <cellStyle name="쉼표 [0] 2 3 4 4 2 2" xfId="8100"/>
    <cellStyle name="쉼표 [0] 2 3 4 4 3" xfId="5905"/>
    <cellStyle name="쉼표 [0] 2 3 4 5" xfId="2571"/>
    <cellStyle name="쉼표 [0] 2 3 4 5 2" xfId="7014"/>
    <cellStyle name="쉼표 [0] 2 3 4 6" xfId="4817"/>
    <cellStyle name="쉼표 [0] 2 3 5" xfId="856"/>
    <cellStyle name="쉼표 [0] 2 3 5 2" xfId="1947"/>
    <cellStyle name="쉼표 [0] 2 3 5 2 2" xfId="4142"/>
    <cellStyle name="쉼표 [0] 2 3 5 2 2 2" xfId="8585"/>
    <cellStyle name="쉼표 [0] 2 3 5 2 3" xfId="6390"/>
    <cellStyle name="쉼표 [0] 2 3 5 3" xfId="3056"/>
    <cellStyle name="쉼표 [0] 2 3 5 3 2" xfId="7499"/>
    <cellStyle name="쉼표 [0] 2 3 5 4" xfId="5302"/>
    <cellStyle name="쉼표 [0] 2 3 6" xfId="558"/>
    <cellStyle name="쉼표 [0] 2 3 6 2" xfId="1649"/>
    <cellStyle name="쉼표 [0] 2 3 6 2 2" xfId="3844"/>
    <cellStyle name="쉼표 [0] 2 3 6 2 2 2" xfId="8287"/>
    <cellStyle name="쉼표 [0] 2 3 6 2 3" xfId="6092"/>
    <cellStyle name="쉼표 [0] 2 3 6 3" xfId="2758"/>
    <cellStyle name="쉼표 [0] 2 3 6 3 2" xfId="7201"/>
    <cellStyle name="쉼표 [0] 2 3 6 4" xfId="5004"/>
    <cellStyle name="쉼표 [0] 2 3 7" xfId="1270"/>
    <cellStyle name="쉼표 [0] 2 3 7 2" xfId="3467"/>
    <cellStyle name="쉼표 [0] 2 3 7 2 2" xfId="7910"/>
    <cellStyle name="쉼표 [0] 2 3 7 3" xfId="5714"/>
    <cellStyle name="쉼표 [0] 2 3 8" xfId="2381"/>
    <cellStyle name="쉼표 [0] 2 3 8 2" xfId="6824"/>
    <cellStyle name="쉼표 [0] 2 3 9" xfId="4590"/>
    <cellStyle name="쉼표 [0] 2 30" xfId="287"/>
    <cellStyle name="쉼표 [0] 2 30 2" xfId="473"/>
    <cellStyle name="쉼표 [0] 2 30 2 2" xfId="1057"/>
    <cellStyle name="쉼표 [0] 2 30 2 2 2" xfId="2148"/>
    <cellStyle name="쉼표 [0] 2 30 2 2 2 2" xfId="4343"/>
    <cellStyle name="쉼표 [0] 2 30 2 2 2 2 2" xfId="8786"/>
    <cellStyle name="쉼표 [0] 2 30 2 2 2 3" xfId="6591"/>
    <cellStyle name="쉼표 [0] 2 30 2 2 3" xfId="3257"/>
    <cellStyle name="쉼표 [0] 2 30 2 2 3 2" xfId="7700"/>
    <cellStyle name="쉼표 [0] 2 30 2 2 4" xfId="5503"/>
    <cellStyle name="쉼표 [0] 2 30 2 3" xfId="762"/>
    <cellStyle name="쉼표 [0] 2 30 2 3 2" xfId="1853"/>
    <cellStyle name="쉼표 [0] 2 30 2 3 2 2" xfId="4048"/>
    <cellStyle name="쉼표 [0] 2 30 2 3 2 2 2" xfId="8491"/>
    <cellStyle name="쉼표 [0] 2 30 2 3 2 3" xfId="6296"/>
    <cellStyle name="쉼표 [0] 2 30 2 3 3" xfId="2962"/>
    <cellStyle name="쉼표 [0] 2 30 2 3 3 2" xfId="7405"/>
    <cellStyle name="쉼표 [0] 2 30 2 3 4" xfId="5208"/>
    <cellStyle name="쉼표 [0] 2 30 2 4" xfId="1564"/>
    <cellStyle name="쉼표 [0] 2 30 2 4 2" xfId="3759"/>
    <cellStyle name="쉼표 [0] 2 30 2 4 2 2" xfId="8202"/>
    <cellStyle name="쉼표 [0] 2 30 2 4 3" xfId="6007"/>
    <cellStyle name="쉼표 [0] 2 30 2 5" xfId="2673"/>
    <cellStyle name="쉼표 [0] 2 30 2 5 2" xfId="7116"/>
    <cellStyle name="쉼표 [0] 2 30 2 6" xfId="4919"/>
    <cellStyle name="쉼표 [0] 2 30 3" xfId="915"/>
    <cellStyle name="쉼표 [0] 2 30 3 2" xfId="2006"/>
    <cellStyle name="쉼표 [0] 2 30 3 2 2" xfId="4201"/>
    <cellStyle name="쉼표 [0] 2 30 3 2 2 2" xfId="8644"/>
    <cellStyle name="쉼표 [0] 2 30 3 2 3" xfId="6449"/>
    <cellStyle name="쉼표 [0] 2 30 3 3" xfId="3115"/>
    <cellStyle name="쉼표 [0] 2 30 3 3 2" xfId="7558"/>
    <cellStyle name="쉼표 [0] 2 30 3 4" xfId="5361"/>
    <cellStyle name="쉼표 [0] 2 30 4" xfId="620"/>
    <cellStyle name="쉼표 [0] 2 30 4 2" xfId="1711"/>
    <cellStyle name="쉼표 [0] 2 30 4 2 2" xfId="3906"/>
    <cellStyle name="쉼표 [0] 2 30 4 2 2 2" xfId="8349"/>
    <cellStyle name="쉼표 [0] 2 30 4 2 3" xfId="6154"/>
    <cellStyle name="쉼표 [0] 2 30 4 3" xfId="2820"/>
    <cellStyle name="쉼표 [0] 2 30 4 3 2" xfId="7263"/>
    <cellStyle name="쉼표 [0] 2 30 4 4" xfId="5066"/>
    <cellStyle name="쉼표 [0] 2 30 5" xfId="1378"/>
    <cellStyle name="쉼표 [0] 2 30 5 2" xfId="3573"/>
    <cellStyle name="쉼표 [0] 2 30 5 2 2" xfId="8016"/>
    <cellStyle name="쉼표 [0] 2 30 5 3" xfId="5821"/>
    <cellStyle name="쉼표 [0] 2 30 6" xfId="2487"/>
    <cellStyle name="쉼표 [0] 2 30 6 2" xfId="6930"/>
    <cellStyle name="쉼표 [0] 2 30 7" xfId="4733"/>
    <cellStyle name="쉼표 [0] 2 31" xfId="335"/>
    <cellStyle name="쉼표 [0] 2 31 2" xfId="521"/>
    <cellStyle name="쉼표 [0] 2 31 2 2" xfId="1105"/>
    <cellStyle name="쉼표 [0] 2 31 2 2 2" xfId="2196"/>
    <cellStyle name="쉼표 [0] 2 31 2 2 2 2" xfId="4391"/>
    <cellStyle name="쉼표 [0] 2 31 2 2 2 2 2" xfId="8834"/>
    <cellStyle name="쉼표 [0] 2 31 2 2 2 3" xfId="6639"/>
    <cellStyle name="쉼표 [0] 2 31 2 2 3" xfId="3305"/>
    <cellStyle name="쉼표 [0] 2 31 2 2 3 2" xfId="7748"/>
    <cellStyle name="쉼표 [0] 2 31 2 2 4" xfId="5551"/>
    <cellStyle name="쉼표 [0] 2 31 2 3" xfId="810"/>
    <cellStyle name="쉼표 [0] 2 31 2 3 2" xfId="1901"/>
    <cellStyle name="쉼표 [0] 2 31 2 3 2 2" xfId="4096"/>
    <cellStyle name="쉼표 [0] 2 31 2 3 2 2 2" xfId="8539"/>
    <cellStyle name="쉼표 [0] 2 31 2 3 2 3" xfId="6344"/>
    <cellStyle name="쉼표 [0] 2 31 2 3 3" xfId="3010"/>
    <cellStyle name="쉼표 [0] 2 31 2 3 3 2" xfId="7453"/>
    <cellStyle name="쉼표 [0] 2 31 2 3 4" xfId="5256"/>
    <cellStyle name="쉼표 [0] 2 31 2 4" xfId="1612"/>
    <cellStyle name="쉼표 [0] 2 31 2 4 2" xfId="3807"/>
    <cellStyle name="쉼표 [0] 2 31 2 4 2 2" xfId="8250"/>
    <cellStyle name="쉼표 [0] 2 31 2 4 3" xfId="6055"/>
    <cellStyle name="쉼표 [0] 2 31 2 5" xfId="2721"/>
    <cellStyle name="쉼표 [0] 2 31 2 5 2" xfId="7164"/>
    <cellStyle name="쉼표 [0] 2 31 2 6" xfId="4967"/>
    <cellStyle name="쉼표 [0] 2 31 3" xfId="963"/>
    <cellStyle name="쉼표 [0] 2 31 3 2" xfId="2054"/>
    <cellStyle name="쉼표 [0] 2 31 3 2 2" xfId="4249"/>
    <cellStyle name="쉼표 [0] 2 31 3 2 2 2" xfId="8692"/>
    <cellStyle name="쉼표 [0] 2 31 3 2 3" xfId="6497"/>
    <cellStyle name="쉼표 [0] 2 31 3 3" xfId="3163"/>
    <cellStyle name="쉼표 [0] 2 31 3 3 2" xfId="7606"/>
    <cellStyle name="쉼표 [0] 2 31 3 4" xfId="5409"/>
    <cellStyle name="쉼표 [0] 2 31 4" xfId="668"/>
    <cellStyle name="쉼표 [0] 2 31 4 2" xfId="1759"/>
    <cellStyle name="쉼표 [0] 2 31 4 2 2" xfId="3954"/>
    <cellStyle name="쉼표 [0] 2 31 4 2 2 2" xfId="8397"/>
    <cellStyle name="쉼표 [0] 2 31 4 2 3" xfId="6202"/>
    <cellStyle name="쉼표 [0] 2 31 4 3" xfId="2868"/>
    <cellStyle name="쉼표 [0] 2 31 4 3 2" xfId="7311"/>
    <cellStyle name="쉼표 [0] 2 31 4 4" xfId="5114"/>
    <cellStyle name="쉼표 [0] 2 31 5" xfId="1426"/>
    <cellStyle name="쉼표 [0] 2 31 5 2" xfId="3621"/>
    <cellStyle name="쉼표 [0] 2 31 5 2 2" xfId="8064"/>
    <cellStyle name="쉼표 [0] 2 31 5 3" xfId="5869"/>
    <cellStyle name="쉼표 [0] 2 31 6" xfId="2535"/>
    <cellStyle name="쉼표 [0] 2 31 6 2" xfId="6978"/>
    <cellStyle name="쉼표 [0] 2 31 7" xfId="4781"/>
    <cellStyle name="쉼표 [0] 2 32" xfId="337"/>
    <cellStyle name="쉼표 [0] 2 32 2" xfId="523"/>
    <cellStyle name="쉼표 [0] 2 32 2 2" xfId="1107"/>
    <cellStyle name="쉼표 [0] 2 32 2 2 2" xfId="2198"/>
    <cellStyle name="쉼표 [0] 2 32 2 2 2 2" xfId="4393"/>
    <cellStyle name="쉼표 [0] 2 32 2 2 2 2 2" xfId="8836"/>
    <cellStyle name="쉼표 [0] 2 32 2 2 2 3" xfId="6641"/>
    <cellStyle name="쉼표 [0] 2 32 2 2 3" xfId="3307"/>
    <cellStyle name="쉼표 [0] 2 32 2 2 3 2" xfId="7750"/>
    <cellStyle name="쉼표 [0] 2 32 2 2 4" xfId="5553"/>
    <cellStyle name="쉼표 [0] 2 32 2 3" xfId="812"/>
    <cellStyle name="쉼표 [0] 2 32 2 3 2" xfId="1903"/>
    <cellStyle name="쉼표 [0] 2 32 2 3 2 2" xfId="4098"/>
    <cellStyle name="쉼표 [0] 2 32 2 3 2 2 2" xfId="8541"/>
    <cellStyle name="쉼표 [0] 2 32 2 3 2 3" xfId="6346"/>
    <cellStyle name="쉼표 [0] 2 32 2 3 3" xfId="3012"/>
    <cellStyle name="쉼표 [0] 2 32 2 3 3 2" xfId="7455"/>
    <cellStyle name="쉼표 [0] 2 32 2 3 4" xfId="5258"/>
    <cellStyle name="쉼표 [0] 2 32 2 4" xfId="1614"/>
    <cellStyle name="쉼표 [0] 2 32 2 4 2" xfId="3809"/>
    <cellStyle name="쉼표 [0] 2 32 2 4 2 2" xfId="8252"/>
    <cellStyle name="쉼표 [0] 2 32 2 4 3" xfId="6057"/>
    <cellStyle name="쉼표 [0] 2 32 2 5" xfId="2723"/>
    <cellStyle name="쉼표 [0] 2 32 2 5 2" xfId="7166"/>
    <cellStyle name="쉼표 [0] 2 32 2 6" xfId="4969"/>
    <cellStyle name="쉼표 [0] 2 32 3" xfId="965"/>
    <cellStyle name="쉼표 [0] 2 32 3 2" xfId="2056"/>
    <cellStyle name="쉼표 [0] 2 32 3 2 2" xfId="4251"/>
    <cellStyle name="쉼표 [0] 2 32 3 2 2 2" xfId="8694"/>
    <cellStyle name="쉼표 [0] 2 32 3 2 3" xfId="6499"/>
    <cellStyle name="쉼표 [0] 2 32 3 3" xfId="3165"/>
    <cellStyle name="쉼표 [0] 2 32 3 3 2" xfId="7608"/>
    <cellStyle name="쉼표 [0] 2 32 3 4" xfId="5411"/>
    <cellStyle name="쉼표 [0] 2 32 4" xfId="670"/>
    <cellStyle name="쉼표 [0] 2 32 4 2" xfId="1761"/>
    <cellStyle name="쉼표 [0] 2 32 4 2 2" xfId="3956"/>
    <cellStyle name="쉼표 [0] 2 32 4 2 2 2" xfId="8399"/>
    <cellStyle name="쉼표 [0] 2 32 4 2 3" xfId="6204"/>
    <cellStyle name="쉼표 [0] 2 32 4 3" xfId="2870"/>
    <cellStyle name="쉼표 [0] 2 32 4 3 2" xfId="7313"/>
    <cellStyle name="쉼표 [0] 2 32 4 4" xfId="5116"/>
    <cellStyle name="쉼표 [0] 2 32 5" xfId="1428"/>
    <cellStyle name="쉼표 [0] 2 32 5 2" xfId="3623"/>
    <cellStyle name="쉼표 [0] 2 32 5 2 2" xfId="8066"/>
    <cellStyle name="쉼표 [0] 2 32 5 3" xfId="5871"/>
    <cellStyle name="쉼표 [0] 2 32 6" xfId="2537"/>
    <cellStyle name="쉼표 [0] 2 32 6 2" xfId="6980"/>
    <cellStyle name="쉼표 [0] 2 32 7" xfId="4783"/>
    <cellStyle name="쉼표 [0] 2 33" xfId="339"/>
    <cellStyle name="쉼표 [0] 2 33 2" xfId="525"/>
    <cellStyle name="쉼표 [0] 2 33 2 2" xfId="1109"/>
    <cellStyle name="쉼표 [0] 2 33 2 2 2" xfId="2200"/>
    <cellStyle name="쉼표 [0] 2 33 2 2 2 2" xfId="4395"/>
    <cellStyle name="쉼표 [0] 2 33 2 2 2 2 2" xfId="8838"/>
    <cellStyle name="쉼표 [0] 2 33 2 2 2 3" xfId="6643"/>
    <cellStyle name="쉼표 [0] 2 33 2 2 3" xfId="3309"/>
    <cellStyle name="쉼표 [0] 2 33 2 2 3 2" xfId="7752"/>
    <cellStyle name="쉼표 [0] 2 33 2 2 4" xfId="5555"/>
    <cellStyle name="쉼표 [0] 2 33 2 3" xfId="814"/>
    <cellStyle name="쉼표 [0] 2 33 2 3 2" xfId="1905"/>
    <cellStyle name="쉼표 [0] 2 33 2 3 2 2" xfId="4100"/>
    <cellStyle name="쉼표 [0] 2 33 2 3 2 2 2" xfId="8543"/>
    <cellStyle name="쉼표 [0] 2 33 2 3 2 3" xfId="6348"/>
    <cellStyle name="쉼표 [0] 2 33 2 3 3" xfId="3014"/>
    <cellStyle name="쉼표 [0] 2 33 2 3 3 2" xfId="7457"/>
    <cellStyle name="쉼표 [0] 2 33 2 3 4" xfId="5260"/>
    <cellStyle name="쉼표 [0] 2 33 2 4" xfId="1616"/>
    <cellStyle name="쉼표 [0] 2 33 2 4 2" xfId="3811"/>
    <cellStyle name="쉼표 [0] 2 33 2 4 2 2" xfId="8254"/>
    <cellStyle name="쉼표 [0] 2 33 2 4 3" xfId="6059"/>
    <cellStyle name="쉼표 [0] 2 33 2 5" xfId="2725"/>
    <cellStyle name="쉼표 [0] 2 33 2 5 2" xfId="7168"/>
    <cellStyle name="쉼표 [0] 2 33 2 6" xfId="4971"/>
    <cellStyle name="쉼표 [0] 2 33 3" xfId="967"/>
    <cellStyle name="쉼표 [0] 2 33 3 2" xfId="2058"/>
    <cellStyle name="쉼표 [0] 2 33 3 2 2" xfId="4253"/>
    <cellStyle name="쉼표 [0] 2 33 3 2 2 2" xfId="8696"/>
    <cellStyle name="쉼표 [0] 2 33 3 2 3" xfId="6501"/>
    <cellStyle name="쉼표 [0] 2 33 3 3" xfId="3167"/>
    <cellStyle name="쉼표 [0] 2 33 3 3 2" xfId="7610"/>
    <cellStyle name="쉼표 [0] 2 33 3 4" xfId="5413"/>
    <cellStyle name="쉼표 [0] 2 33 4" xfId="672"/>
    <cellStyle name="쉼표 [0] 2 33 4 2" xfId="1763"/>
    <cellStyle name="쉼표 [0] 2 33 4 2 2" xfId="3958"/>
    <cellStyle name="쉼표 [0] 2 33 4 2 2 2" xfId="8401"/>
    <cellStyle name="쉼표 [0] 2 33 4 2 3" xfId="6206"/>
    <cellStyle name="쉼표 [0] 2 33 4 3" xfId="2872"/>
    <cellStyle name="쉼표 [0] 2 33 4 3 2" xfId="7315"/>
    <cellStyle name="쉼표 [0] 2 33 4 4" xfId="5118"/>
    <cellStyle name="쉼표 [0] 2 33 5" xfId="1430"/>
    <cellStyle name="쉼표 [0] 2 33 5 2" xfId="3625"/>
    <cellStyle name="쉼표 [0] 2 33 5 2 2" xfId="8068"/>
    <cellStyle name="쉼표 [0] 2 33 5 3" xfId="5873"/>
    <cellStyle name="쉼표 [0] 2 33 6" xfId="2539"/>
    <cellStyle name="쉼표 [0] 2 33 6 2" xfId="6982"/>
    <cellStyle name="쉼표 [0] 2 33 7" xfId="4785"/>
    <cellStyle name="쉼표 [0] 2 34" xfId="341"/>
    <cellStyle name="쉼표 [0] 2 34 2" xfId="527"/>
    <cellStyle name="쉼표 [0] 2 34 2 2" xfId="1111"/>
    <cellStyle name="쉼표 [0] 2 34 2 2 2" xfId="2202"/>
    <cellStyle name="쉼표 [0] 2 34 2 2 2 2" xfId="4397"/>
    <cellStyle name="쉼표 [0] 2 34 2 2 2 2 2" xfId="8840"/>
    <cellStyle name="쉼표 [0] 2 34 2 2 2 3" xfId="6645"/>
    <cellStyle name="쉼표 [0] 2 34 2 2 3" xfId="3311"/>
    <cellStyle name="쉼표 [0] 2 34 2 2 3 2" xfId="7754"/>
    <cellStyle name="쉼표 [0] 2 34 2 2 4" xfId="5557"/>
    <cellStyle name="쉼표 [0] 2 34 2 3" xfId="816"/>
    <cellStyle name="쉼표 [0] 2 34 2 3 2" xfId="1907"/>
    <cellStyle name="쉼표 [0] 2 34 2 3 2 2" xfId="4102"/>
    <cellStyle name="쉼표 [0] 2 34 2 3 2 2 2" xfId="8545"/>
    <cellStyle name="쉼표 [0] 2 34 2 3 2 3" xfId="6350"/>
    <cellStyle name="쉼표 [0] 2 34 2 3 3" xfId="3016"/>
    <cellStyle name="쉼표 [0] 2 34 2 3 3 2" xfId="7459"/>
    <cellStyle name="쉼표 [0] 2 34 2 3 4" xfId="5262"/>
    <cellStyle name="쉼표 [0] 2 34 2 4" xfId="1618"/>
    <cellStyle name="쉼표 [0] 2 34 2 4 2" xfId="3813"/>
    <cellStyle name="쉼표 [0] 2 34 2 4 2 2" xfId="8256"/>
    <cellStyle name="쉼표 [0] 2 34 2 4 3" xfId="6061"/>
    <cellStyle name="쉼표 [0] 2 34 2 5" xfId="2727"/>
    <cellStyle name="쉼표 [0] 2 34 2 5 2" xfId="7170"/>
    <cellStyle name="쉼표 [0] 2 34 2 6" xfId="4973"/>
    <cellStyle name="쉼표 [0] 2 34 3" xfId="969"/>
    <cellStyle name="쉼표 [0] 2 34 3 2" xfId="2060"/>
    <cellStyle name="쉼표 [0] 2 34 3 2 2" xfId="4255"/>
    <cellStyle name="쉼표 [0] 2 34 3 2 2 2" xfId="8698"/>
    <cellStyle name="쉼표 [0] 2 34 3 2 3" xfId="6503"/>
    <cellStyle name="쉼표 [0] 2 34 3 3" xfId="3169"/>
    <cellStyle name="쉼표 [0] 2 34 3 3 2" xfId="7612"/>
    <cellStyle name="쉼표 [0] 2 34 3 4" xfId="5415"/>
    <cellStyle name="쉼표 [0] 2 34 4" xfId="674"/>
    <cellStyle name="쉼표 [0] 2 34 4 2" xfId="1765"/>
    <cellStyle name="쉼표 [0] 2 34 4 2 2" xfId="3960"/>
    <cellStyle name="쉼표 [0] 2 34 4 2 2 2" xfId="8403"/>
    <cellStyle name="쉼표 [0] 2 34 4 2 3" xfId="6208"/>
    <cellStyle name="쉼표 [0] 2 34 4 3" xfId="2874"/>
    <cellStyle name="쉼표 [0] 2 34 4 3 2" xfId="7317"/>
    <cellStyle name="쉼표 [0] 2 34 4 4" xfId="5120"/>
    <cellStyle name="쉼표 [0] 2 34 5" xfId="1432"/>
    <cellStyle name="쉼표 [0] 2 34 5 2" xfId="3627"/>
    <cellStyle name="쉼표 [0] 2 34 5 2 2" xfId="8070"/>
    <cellStyle name="쉼표 [0] 2 34 5 3" xfId="5875"/>
    <cellStyle name="쉼표 [0] 2 34 6" xfId="2541"/>
    <cellStyle name="쉼표 [0] 2 34 6 2" xfId="6984"/>
    <cellStyle name="쉼표 [0] 2 34 7" xfId="4787"/>
    <cellStyle name="쉼표 [0] 2 35" xfId="343"/>
    <cellStyle name="쉼표 [0] 2 35 2" xfId="529"/>
    <cellStyle name="쉼표 [0] 2 35 2 2" xfId="1113"/>
    <cellStyle name="쉼표 [0] 2 35 2 2 2" xfId="2204"/>
    <cellStyle name="쉼표 [0] 2 35 2 2 2 2" xfId="4399"/>
    <cellStyle name="쉼표 [0] 2 35 2 2 2 2 2" xfId="8842"/>
    <cellStyle name="쉼표 [0] 2 35 2 2 2 3" xfId="6647"/>
    <cellStyle name="쉼표 [0] 2 35 2 2 3" xfId="3313"/>
    <cellStyle name="쉼표 [0] 2 35 2 2 3 2" xfId="7756"/>
    <cellStyle name="쉼표 [0] 2 35 2 2 4" xfId="5559"/>
    <cellStyle name="쉼표 [0] 2 35 2 3" xfId="818"/>
    <cellStyle name="쉼표 [0] 2 35 2 3 2" xfId="1909"/>
    <cellStyle name="쉼표 [0] 2 35 2 3 2 2" xfId="4104"/>
    <cellStyle name="쉼표 [0] 2 35 2 3 2 2 2" xfId="8547"/>
    <cellStyle name="쉼표 [0] 2 35 2 3 2 3" xfId="6352"/>
    <cellStyle name="쉼표 [0] 2 35 2 3 3" xfId="3018"/>
    <cellStyle name="쉼표 [0] 2 35 2 3 3 2" xfId="7461"/>
    <cellStyle name="쉼표 [0] 2 35 2 3 4" xfId="5264"/>
    <cellStyle name="쉼표 [0] 2 35 2 4" xfId="1620"/>
    <cellStyle name="쉼표 [0] 2 35 2 4 2" xfId="3815"/>
    <cellStyle name="쉼표 [0] 2 35 2 4 2 2" xfId="8258"/>
    <cellStyle name="쉼표 [0] 2 35 2 4 3" xfId="6063"/>
    <cellStyle name="쉼표 [0] 2 35 2 5" xfId="2729"/>
    <cellStyle name="쉼표 [0] 2 35 2 5 2" xfId="7172"/>
    <cellStyle name="쉼표 [0] 2 35 2 6" xfId="4975"/>
    <cellStyle name="쉼표 [0] 2 35 3" xfId="971"/>
    <cellStyle name="쉼표 [0] 2 35 3 2" xfId="2062"/>
    <cellStyle name="쉼표 [0] 2 35 3 2 2" xfId="4257"/>
    <cellStyle name="쉼표 [0] 2 35 3 2 2 2" xfId="8700"/>
    <cellStyle name="쉼표 [0] 2 35 3 2 3" xfId="6505"/>
    <cellStyle name="쉼표 [0] 2 35 3 3" xfId="3171"/>
    <cellStyle name="쉼표 [0] 2 35 3 3 2" xfId="7614"/>
    <cellStyle name="쉼표 [0] 2 35 3 4" xfId="5417"/>
    <cellStyle name="쉼표 [0] 2 35 4" xfId="676"/>
    <cellStyle name="쉼표 [0] 2 35 4 2" xfId="1767"/>
    <cellStyle name="쉼표 [0] 2 35 4 2 2" xfId="3962"/>
    <cellStyle name="쉼표 [0] 2 35 4 2 2 2" xfId="8405"/>
    <cellStyle name="쉼표 [0] 2 35 4 2 3" xfId="6210"/>
    <cellStyle name="쉼표 [0] 2 35 4 3" xfId="2876"/>
    <cellStyle name="쉼표 [0] 2 35 4 3 2" xfId="7319"/>
    <cellStyle name="쉼표 [0] 2 35 4 4" xfId="5122"/>
    <cellStyle name="쉼표 [0] 2 35 5" xfId="1434"/>
    <cellStyle name="쉼표 [0] 2 35 5 2" xfId="3629"/>
    <cellStyle name="쉼표 [0] 2 35 5 2 2" xfId="8072"/>
    <cellStyle name="쉼표 [0] 2 35 5 3" xfId="5877"/>
    <cellStyle name="쉼표 [0] 2 35 6" xfId="2543"/>
    <cellStyle name="쉼표 [0] 2 35 6 2" xfId="6986"/>
    <cellStyle name="쉼표 [0] 2 35 7" xfId="4789"/>
    <cellStyle name="쉼표 [0] 2 36" xfId="345"/>
    <cellStyle name="쉼표 [0] 2 36 2" xfId="531"/>
    <cellStyle name="쉼표 [0] 2 36 2 2" xfId="1115"/>
    <cellStyle name="쉼표 [0] 2 36 2 2 2" xfId="2206"/>
    <cellStyle name="쉼표 [0] 2 36 2 2 2 2" xfId="4401"/>
    <cellStyle name="쉼표 [0] 2 36 2 2 2 2 2" xfId="8844"/>
    <cellStyle name="쉼표 [0] 2 36 2 2 2 3" xfId="6649"/>
    <cellStyle name="쉼표 [0] 2 36 2 2 3" xfId="3315"/>
    <cellStyle name="쉼표 [0] 2 36 2 2 3 2" xfId="7758"/>
    <cellStyle name="쉼표 [0] 2 36 2 2 4" xfId="5561"/>
    <cellStyle name="쉼표 [0] 2 36 2 3" xfId="820"/>
    <cellStyle name="쉼표 [0] 2 36 2 3 2" xfId="1911"/>
    <cellStyle name="쉼표 [0] 2 36 2 3 2 2" xfId="4106"/>
    <cellStyle name="쉼표 [0] 2 36 2 3 2 2 2" xfId="8549"/>
    <cellStyle name="쉼표 [0] 2 36 2 3 2 3" xfId="6354"/>
    <cellStyle name="쉼표 [0] 2 36 2 3 3" xfId="3020"/>
    <cellStyle name="쉼표 [0] 2 36 2 3 3 2" xfId="7463"/>
    <cellStyle name="쉼표 [0] 2 36 2 3 4" xfId="5266"/>
    <cellStyle name="쉼표 [0] 2 36 2 4" xfId="1622"/>
    <cellStyle name="쉼표 [0] 2 36 2 4 2" xfId="3817"/>
    <cellStyle name="쉼표 [0] 2 36 2 4 2 2" xfId="8260"/>
    <cellStyle name="쉼표 [0] 2 36 2 4 3" xfId="6065"/>
    <cellStyle name="쉼표 [0] 2 36 2 5" xfId="2731"/>
    <cellStyle name="쉼표 [0] 2 36 2 5 2" xfId="7174"/>
    <cellStyle name="쉼표 [0] 2 36 2 6" xfId="4977"/>
    <cellStyle name="쉼표 [0] 2 36 3" xfId="973"/>
    <cellStyle name="쉼표 [0] 2 36 3 2" xfId="2064"/>
    <cellStyle name="쉼표 [0] 2 36 3 2 2" xfId="4259"/>
    <cellStyle name="쉼표 [0] 2 36 3 2 2 2" xfId="8702"/>
    <cellStyle name="쉼표 [0] 2 36 3 2 3" xfId="6507"/>
    <cellStyle name="쉼표 [0] 2 36 3 3" xfId="3173"/>
    <cellStyle name="쉼표 [0] 2 36 3 3 2" xfId="7616"/>
    <cellStyle name="쉼표 [0] 2 36 3 4" xfId="5419"/>
    <cellStyle name="쉼표 [0] 2 36 4" xfId="678"/>
    <cellStyle name="쉼표 [0] 2 36 4 2" xfId="1769"/>
    <cellStyle name="쉼표 [0] 2 36 4 2 2" xfId="3964"/>
    <cellStyle name="쉼표 [0] 2 36 4 2 2 2" xfId="8407"/>
    <cellStyle name="쉼표 [0] 2 36 4 2 3" xfId="6212"/>
    <cellStyle name="쉼표 [0] 2 36 4 3" xfId="2878"/>
    <cellStyle name="쉼표 [0] 2 36 4 3 2" xfId="7321"/>
    <cellStyle name="쉼표 [0] 2 36 4 4" xfId="5124"/>
    <cellStyle name="쉼표 [0] 2 36 5" xfId="1436"/>
    <cellStyle name="쉼표 [0] 2 36 5 2" xfId="3631"/>
    <cellStyle name="쉼표 [0] 2 36 5 2 2" xfId="8074"/>
    <cellStyle name="쉼표 [0] 2 36 5 3" xfId="5879"/>
    <cellStyle name="쉼표 [0] 2 36 6" xfId="2545"/>
    <cellStyle name="쉼표 [0] 2 36 6 2" xfId="6988"/>
    <cellStyle name="쉼표 [0] 2 36 7" xfId="4791"/>
    <cellStyle name="쉼표 [0] 2 37" xfId="347"/>
    <cellStyle name="쉼표 [0] 2 37 2" xfId="533"/>
    <cellStyle name="쉼표 [0] 2 37 2 2" xfId="1117"/>
    <cellStyle name="쉼표 [0] 2 37 2 2 2" xfId="2208"/>
    <cellStyle name="쉼표 [0] 2 37 2 2 2 2" xfId="4403"/>
    <cellStyle name="쉼표 [0] 2 37 2 2 2 2 2" xfId="8846"/>
    <cellStyle name="쉼표 [0] 2 37 2 2 2 3" xfId="6651"/>
    <cellStyle name="쉼표 [0] 2 37 2 2 3" xfId="3317"/>
    <cellStyle name="쉼표 [0] 2 37 2 2 3 2" xfId="7760"/>
    <cellStyle name="쉼표 [0] 2 37 2 2 4" xfId="5563"/>
    <cellStyle name="쉼표 [0] 2 37 2 3" xfId="822"/>
    <cellStyle name="쉼표 [0] 2 37 2 3 2" xfId="1913"/>
    <cellStyle name="쉼표 [0] 2 37 2 3 2 2" xfId="4108"/>
    <cellStyle name="쉼표 [0] 2 37 2 3 2 2 2" xfId="8551"/>
    <cellStyle name="쉼표 [0] 2 37 2 3 2 3" xfId="6356"/>
    <cellStyle name="쉼표 [0] 2 37 2 3 3" xfId="3022"/>
    <cellStyle name="쉼표 [0] 2 37 2 3 3 2" xfId="7465"/>
    <cellStyle name="쉼표 [0] 2 37 2 3 4" xfId="5268"/>
    <cellStyle name="쉼표 [0] 2 37 2 4" xfId="1624"/>
    <cellStyle name="쉼표 [0] 2 37 2 4 2" xfId="3819"/>
    <cellStyle name="쉼표 [0] 2 37 2 4 2 2" xfId="8262"/>
    <cellStyle name="쉼표 [0] 2 37 2 4 3" xfId="6067"/>
    <cellStyle name="쉼표 [0] 2 37 2 5" xfId="2733"/>
    <cellStyle name="쉼표 [0] 2 37 2 5 2" xfId="7176"/>
    <cellStyle name="쉼표 [0] 2 37 2 6" xfId="4979"/>
    <cellStyle name="쉼표 [0] 2 37 3" xfId="975"/>
    <cellStyle name="쉼표 [0] 2 37 3 2" xfId="2066"/>
    <cellStyle name="쉼표 [0] 2 37 3 2 2" xfId="4261"/>
    <cellStyle name="쉼표 [0] 2 37 3 2 2 2" xfId="8704"/>
    <cellStyle name="쉼표 [0] 2 37 3 2 3" xfId="6509"/>
    <cellStyle name="쉼표 [0] 2 37 3 3" xfId="3175"/>
    <cellStyle name="쉼표 [0] 2 37 3 3 2" xfId="7618"/>
    <cellStyle name="쉼표 [0] 2 37 3 4" xfId="5421"/>
    <cellStyle name="쉼표 [0] 2 37 4" xfId="680"/>
    <cellStyle name="쉼표 [0] 2 37 4 2" xfId="1771"/>
    <cellStyle name="쉼표 [0] 2 37 4 2 2" xfId="3966"/>
    <cellStyle name="쉼표 [0] 2 37 4 2 2 2" xfId="8409"/>
    <cellStyle name="쉼표 [0] 2 37 4 2 3" xfId="6214"/>
    <cellStyle name="쉼표 [0] 2 37 4 3" xfId="2880"/>
    <cellStyle name="쉼표 [0] 2 37 4 3 2" xfId="7323"/>
    <cellStyle name="쉼표 [0] 2 37 4 4" xfId="5126"/>
    <cellStyle name="쉼표 [0] 2 37 5" xfId="1438"/>
    <cellStyle name="쉼표 [0] 2 37 5 2" xfId="3633"/>
    <cellStyle name="쉼표 [0] 2 37 5 2 2" xfId="8076"/>
    <cellStyle name="쉼표 [0] 2 37 5 3" xfId="5881"/>
    <cellStyle name="쉼표 [0] 2 37 6" xfId="2547"/>
    <cellStyle name="쉼표 [0] 2 37 6 2" xfId="6990"/>
    <cellStyle name="쉼표 [0] 2 37 7" xfId="4793"/>
    <cellStyle name="쉼표 [0] 2 38" xfId="349"/>
    <cellStyle name="쉼표 [0] 2 38 2" xfId="535"/>
    <cellStyle name="쉼표 [0] 2 38 2 2" xfId="1119"/>
    <cellStyle name="쉼표 [0] 2 38 2 2 2" xfId="2210"/>
    <cellStyle name="쉼표 [0] 2 38 2 2 2 2" xfId="4405"/>
    <cellStyle name="쉼표 [0] 2 38 2 2 2 2 2" xfId="8848"/>
    <cellStyle name="쉼표 [0] 2 38 2 2 2 3" xfId="6653"/>
    <cellStyle name="쉼표 [0] 2 38 2 2 3" xfId="3319"/>
    <cellStyle name="쉼표 [0] 2 38 2 2 3 2" xfId="7762"/>
    <cellStyle name="쉼표 [0] 2 38 2 2 4" xfId="5565"/>
    <cellStyle name="쉼표 [0] 2 38 2 3" xfId="824"/>
    <cellStyle name="쉼표 [0] 2 38 2 3 2" xfId="1915"/>
    <cellStyle name="쉼표 [0] 2 38 2 3 2 2" xfId="4110"/>
    <cellStyle name="쉼표 [0] 2 38 2 3 2 2 2" xfId="8553"/>
    <cellStyle name="쉼표 [0] 2 38 2 3 2 3" xfId="6358"/>
    <cellStyle name="쉼표 [0] 2 38 2 3 3" xfId="3024"/>
    <cellStyle name="쉼표 [0] 2 38 2 3 3 2" xfId="7467"/>
    <cellStyle name="쉼표 [0] 2 38 2 3 4" xfId="5270"/>
    <cellStyle name="쉼표 [0] 2 38 2 4" xfId="1626"/>
    <cellStyle name="쉼표 [0] 2 38 2 4 2" xfId="3821"/>
    <cellStyle name="쉼표 [0] 2 38 2 4 2 2" xfId="8264"/>
    <cellStyle name="쉼표 [0] 2 38 2 4 3" xfId="6069"/>
    <cellStyle name="쉼표 [0] 2 38 2 5" xfId="2735"/>
    <cellStyle name="쉼표 [0] 2 38 2 5 2" xfId="7178"/>
    <cellStyle name="쉼표 [0] 2 38 2 6" xfId="4981"/>
    <cellStyle name="쉼표 [0] 2 38 3" xfId="977"/>
    <cellStyle name="쉼표 [0] 2 38 3 2" xfId="2068"/>
    <cellStyle name="쉼표 [0] 2 38 3 2 2" xfId="4263"/>
    <cellStyle name="쉼표 [0] 2 38 3 2 2 2" xfId="8706"/>
    <cellStyle name="쉼표 [0] 2 38 3 2 3" xfId="6511"/>
    <cellStyle name="쉼표 [0] 2 38 3 3" xfId="3177"/>
    <cellStyle name="쉼표 [0] 2 38 3 3 2" xfId="7620"/>
    <cellStyle name="쉼표 [0] 2 38 3 4" xfId="5423"/>
    <cellStyle name="쉼표 [0] 2 38 4" xfId="682"/>
    <cellStyle name="쉼표 [0] 2 38 4 2" xfId="1773"/>
    <cellStyle name="쉼표 [0] 2 38 4 2 2" xfId="3968"/>
    <cellStyle name="쉼표 [0] 2 38 4 2 2 2" xfId="8411"/>
    <cellStyle name="쉼표 [0] 2 38 4 2 3" xfId="6216"/>
    <cellStyle name="쉼표 [0] 2 38 4 3" xfId="2882"/>
    <cellStyle name="쉼표 [0] 2 38 4 3 2" xfId="7325"/>
    <cellStyle name="쉼표 [0] 2 38 4 4" xfId="5128"/>
    <cellStyle name="쉼표 [0] 2 38 5" xfId="1440"/>
    <cellStyle name="쉼표 [0] 2 38 5 2" xfId="3635"/>
    <cellStyle name="쉼표 [0] 2 38 5 2 2" xfId="8078"/>
    <cellStyle name="쉼표 [0] 2 38 5 3" xfId="5883"/>
    <cellStyle name="쉼표 [0] 2 38 6" xfId="2549"/>
    <cellStyle name="쉼표 [0] 2 38 6 2" xfId="6992"/>
    <cellStyle name="쉼표 [0] 2 38 7" xfId="4795"/>
    <cellStyle name="쉼표 [0] 2 39" xfId="351"/>
    <cellStyle name="쉼표 [0] 2 39 2" xfId="537"/>
    <cellStyle name="쉼표 [0] 2 39 2 2" xfId="1121"/>
    <cellStyle name="쉼표 [0] 2 39 2 2 2" xfId="2212"/>
    <cellStyle name="쉼표 [0] 2 39 2 2 2 2" xfId="4407"/>
    <cellStyle name="쉼표 [0] 2 39 2 2 2 2 2" xfId="8850"/>
    <cellStyle name="쉼표 [0] 2 39 2 2 2 3" xfId="6655"/>
    <cellStyle name="쉼표 [0] 2 39 2 2 3" xfId="3321"/>
    <cellStyle name="쉼표 [0] 2 39 2 2 3 2" xfId="7764"/>
    <cellStyle name="쉼표 [0] 2 39 2 2 4" xfId="5567"/>
    <cellStyle name="쉼표 [0] 2 39 2 3" xfId="826"/>
    <cellStyle name="쉼표 [0] 2 39 2 3 2" xfId="1917"/>
    <cellStyle name="쉼표 [0] 2 39 2 3 2 2" xfId="4112"/>
    <cellStyle name="쉼표 [0] 2 39 2 3 2 2 2" xfId="8555"/>
    <cellStyle name="쉼표 [0] 2 39 2 3 2 3" xfId="6360"/>
    <cellStyle name="쉼표 [0] 2 39 2 3 3" xfId="3026"/>
    <cellStyle name="쉼표 [0] 2 39 2 3 3 2" xfId="7469"/>
    <cellStyle name="쉼표 [0] 2 39 2 3 4" xfId="5272"/>
    <cellStyle name="쉼표 [0] 2 39 2 4" xfId="1628"/>
    <cellStyle name="쉼표 [0] 2 39 2 4 2" xfId="3823"/>
    <cellStyle name="쉼표 [0] 2 39 2 4 2 2" xfId="8266"/>
    <cellStyle name="쉼표 [0] 2 39 2 4 3" xfId="6071"/>
    <cellStyle name="쉼표 [0] 2 39 2 5" xfId="2737"/>
    <cellStyle name="쉼표 [0] 2 39 2 5 2" xfId="7180"/>
    <cellStyle name="쉼표 [0] 2 39 2 6" xfId="4983"/>
    <cellStyle name="쉼표 [0] 2 39 3" xfId="979"/>
    <cellStyle name="쉼표 [0] 2 39 3 2" xfId="2070"/>
    <cellStyle name="쉼표 [0] 2 39 3 2 2" xfId="4265"/>
    <cellStyle name="쉼표 [0] 2 39 3 2 2 2" xfId="8708"/>
    <cellStyle name="쉼표 [0] 2 39 3 2 3" xfId="6513"/>
    <cellStyle name="쉼표 [0] 2 39 3 3" xfId="3179"/>
    <cellStyle name="쉼표 [0] 2 39 3 3 2" xfId="7622"/>
    <cellStyle name="쉼표 [0] 2 39 3 4" xfId="5425"/>
    <cellStyle name="쉼표 [0] 2 39 4" xfId="684"/>
    <cellStyle name="쉼표 [0] 2 39 4 2" xfId="1775"/>
    <cellStyle name="쉼표 [0] 2 39 4 2 2" xfId="3970"/>
    <cellStyle name="쉼표 [0] 2 39 4 2 2 2" xfId="8413"/>
    <cellStyle name="쉼표 [0] 2 39 4 2 3" xfId="6218"/>
    <cellStyle name="쉼표 [0] 2 39 4 3" xfId="2884"/>
    <cellStyle name="쉼표 [0] 2 39 4 3 2" xfId="7327"/>
    <cellStyle name="쉼표 [0] 2 39 4 4" xfId="5130"/>
    <cellStyle name="쉼표 [0] 2 39 5" xfId="1442"/>
    <cellStyle name="쉼표 [0] 2 39 5 2" xfId="3637"/>
    <cellStyle name="쉼표 [0] 2 39 5 2 2" xfId="8080"/>
    <cellStyle name="쉼표 [0] 2 39 5 3" xfId="5885"/>
    <cellStyle name="쉼표 [0] 2 39 6" xfId="2551"/>
    <cellStyle name="쉼표 [0] 2 39 6 2" xfId="6994"/>
    <cellStyle name="쉼표 [0] 2 39 7" xfId="4797"/>
    <cellStyle name="쉼표 [0] 2 4" xfId="18"/>
    <cellStyle name="쉼표 [0] 2 4 2" xfId="57"/>
    <cellStyle name="쉼표 [0] 2 4 2 2" xfId="393"/>
    <cellStyle name="쉼표 [0] 2 4 2 2 2" xfId="1021"/>
    <cellStyle name="쉼표 [0] 2 4 2 2 2 2" xfId="2112"/>
    <cellStyle name="쉼표 [0] 2 4 2 2 2 2 2" xfId="4307"/>
    <cellStyle name="쉼표 [0] 2 4 2 2 2 2 2 2" xfId="8750"/>
    <cellStyle name="쉼표 [0] 2 4 2 2 2 2 3" xfId="6555"/>
    <cellStyle name="쉼표 [0] 2 4 2 2 2 3" xfId="3221"/>
    <cellStyle name="쉼표 [0] 2 4 2 2 2 3 2" xfId="7664"/>
    <cellStyle name="쉼표 [0] 2 4 2 2 2 4" xfId="5467"/>
    <cellStyle name="쉼표 [0] 2 4 2 2 3" xfId="726"/>
    <cellStyle name="쉼표 [0] 2 4 2 2 3 2" xfId="1817"/>
    <cellStyle name="쉼표 [0] 2 4 2 2 3 2 2" xfId="4012"/>
    <cellStyle name="쉼표 [0] 2 4 2 2 3 2 2 2" xfId="8455"/>
    <cellStyle name="쉼표 [0] 2 4 2 2 3 2 3" xfId="6260"/>
    <cellStyle name="쉼표 [0] 2 4 2 2 3 3" xfId="2926"/>
    <cellStyle name="쉼표 [0] 2 4 2 2 3 3 2" xfId="7369"/>
    <cellStyle name="쉼표 [0] 2 4 2 2 3 4" xfId="5172"/>
    <cellStyle name="쉼표 [0] 2 4 2 2 4" xfId="1484"/>
    <cellStyle name="쉼표 [0] 2 4 2 2 4 2" xfId="3679"/>
    <cellStyle name="쉼표 [0] 2 4 2 2 4 2 2" xfId="8122"/>
    <cellStyle name="쉼표 [0] 2 4 2 2 4 3" xfId="5927"/>
    <cellStyle name="쉼표 [0] 2 4 2 2 5" xfId="2593"/>
    <cellStyle name="쉼표 [0] 2 4 2 2 5 2" xfId="7036"/>
    <cellStyle name="쉼표 [0] 2 4 2 2 6" xfId="4839"/>
    <cellStyle name="쉼표 [0] 2 4 2 3" xfId="879"/>
    <cellStyle name="쉼표 [0] 2 4 2 3 2" xfId="1970"/>
    <cellStyle name="쉼표 [0] 2 4 2 3 2 2" xfId="4165"/>
    <cellStyle name="쉼표 [0] 2 4 2 3 2 2 2" xfId="8608"/>
    <cellStyle name="쉼표 [0] 2 4 2 3 2 3" xfId="6413"/>
    <cellStyle name="쉼표 [0] 2 4 2 3 3" xfId="3079"/>
    <cellStyle name="쉼표 [0] 2 4 2 3 3 2" xfId="7522"/>
    <cellStyle name="쉼표 [0] 2 4 2 3 4" xfId="5325"/>
    <cellStyle name="쉼표 [0] 2 4 2 4" xfId="581"/>
    <cellStyle name="쉼표 [0] 2 4 2 4 2" xfId="1672"/>
    <cellStyle name="쉼표 [0] 2 4 2 4 2 2" xfId="3867"/>
    <cellStyle name="쉼표 [0] 2 4 2 4 2 2 2" xfId="8310"/>
    <cellStyle name="쉼표 [0] 2 4 2 4 2 3" xfId="6115"/>
    <cellStyle name="쉼표 [0] 2 4 2 4 3" xfId="2781"/>
    <cellStyle name="쉼표 [0] 2 4 2 4 3 2" xfId="7224"/>
    <cellStyle name="쉼표 [0] 2 4 2 4 4" xfId="5027"/>
    <cellStyle name="쉼표 [0] 2 4 2 5" xfId="1295"/>
    <cellStyle name="쉼표 [0] 2 4 2 5 2" xfId="3490"/>
    <cellStyle name="쉼표 [0] 2 4 2 5 2 2" xfId="7933"/>
    <cellStyle name="쉼표 [0] 2 4 2 5 3" xfId="5738"/>
    <cellStyle name="쉼표 [0] 2 4 2 6" xfId="2404"/>
    <cellStyle name="쉼표 [0] 2 4 2 6 2" xfId="6847"/>
    <cellStyle name="쉼표 [0] 2 4 2 7" xfId="4616"/>
    <cellStyle name="쉼표 [0] 2 4 3" xfId="301"/>
    <cellStyle name="쉼표 [0] 2 4 3 2" xfId="487"/>
    <cellStyle name="쉼표 [0] 2 4 3 2 2" xfId="1071"/>
    <cellStyle name="쉼표 [0] 2 4 3 2 2 2" xfId="2162"/>
    <cellStyle name="쉼표 [0] 2 4 3 2 2 2 2" xfId="4357"/>
    <cellStyle name="쉼표 [0] 2 4 3 2 2 2 2 2" xfId="8800"/>
    <cellStyle name="쉼표 [0] 2 4 3 2 2 2 3" xfId="6605"/>
    <cellStyle name="쉼표 [0] 2 4 3 2 2 3" xfId="3271"/>
    <cellStyle name="쉼표 [0] 2 4 3 2 2 3 2" xfId="7714"/>
    <cellStyle name="쉼표 [0] 2 4 3 2 2 4" xfId="5517"/>
    <cellStyle name="쉼표 [0] 2 4 3 2 3" xfId="776"/>
    <cellStyle name="쉼표 [0] 2 4 3 2 3 2" xfId="1867"/>
    <cellStyle name="쉼표 [0] 2 4 3 2 3 2 2" xfId="4062"/>
    <cellStyle name="쉼표 [0] 2 4 3 2 3 2 2 2" xfId="8505"/>
    <cellStyle name="쉼표 [0] 2 4 3 2 3 2 3" xfId="6310"/>
    <cellStyle name="쉼표 [0] 2 4 3 2 3 3" xfId="2976"/>
    <cellStyle name="쉼표 [0] 2 4 3 2 3 3 2" xfId="7419"/>
    <cellStyle name="쉼표 [0] 2 4 3 2 3 4" xfId="5222"/>
    <cellStyle name="쉼표 [0] 2 4 3 2 4" xfId="1578"/>
    <cellStyle name="쉼표 [0] 2 4 3 2 4 2" xfId="3773"/>
    <cellStyle name="쉼표 [0] 2 4 3 2 4 2 2" xfId="8216"/>
    <cellStyle name="쉼표 [0] 2 4 3 2 4 3" xfId="6021"/>
    <cellStyle name="쉼표 [0] 2 4 3 2 5" xfId="2687"/>
    <cellStyle name="쉼표 [0] 2 4 3 2 5 2" xfId="7130"/>
    <cellStyle name="쉼표 [0] 2 4 3 2 6" xfId="4933"/>
    <cellStyle name="쉼표 [0] 2 4 3 3" xfId="929"/>
    <cellStyle name="쉼표 [0] 2 4 3 3 2" xfId="2020"/>
    <cellStyle name="쉼표 [0] 2 4 3 3 2 2" xfId="4215"/>
    <cellStyle name="쉼표 [0] 2 4 3 3 2 2 2" xfId="8658"/>
    <cellStyle name="쉼표 [0] 2 4 3 3 2 3" xfId="6463"/>
    <cellStyle name="쉼표 [0] 2 4 3 3 3" xfId="3129"/>
    <cellStyle name="쉼표 [0] 2 4 3 3 3 2" xfId="7572"/>
    <cellStyle name="쉼표 [0] 2 4 3 3 4" xfId="5375"/>
    <cellStyle name="쉼표 [0] 2 4 3 4" xfId="634"/>
    <cellStyle name="쉼표 [0] 2 4 3 4 2" xfId="1725"/>
    <cellStyle name="쉼표 [0] 2 4 3 4 2 2" xfId="3920"/>
    <cellStyle name="쉼표 [0] 2 4 3 4 2 2 2" xfId="8363"/>
    <cellStyle name="쉼표 [0] 2 4 3 4 2 3" xfId="6168"/>
    <cellStyle name="쉼표 [0] 2 4 3 4 3" xfId="2834"/>
    <cellStyle name="쉼표 [0] 2 4 3 4 3 2" xfId="7277"/>
    <cellStyle name="쉼표 [0] 2 4 3 4 4" xfId="5080"/>
    <cellStyle name="쉼표 [0] 2 4 3 5" xfId="1392"/>
    <cellStyle name="쉼표 [0] 2 4 3 5 2" xfId="3587"/>
    <cellStyle name="쉼표 [0] 2 4 3 5 2 2" xfId="8030"/>
    <cellStyle name="쉼표 [0] 2 4 3 5 3" xfId="5835"/>
    <cellStyle name="쉼표 [0] 2 4 3 6" xfId="2501"/>
    <cellStyle name="쉼표 [0] 2 4 3 6 2" xfId="6944"/>
    <cellStyle name="쉼표 [0] 2 4 3 7" xfId="4747"/>
    <cellStyle name="쉼표 [0] 2 4 4" xfId="373"/>
    <cellStyle name="쉼표 [0] 2 4 4 2" xfId="1001"/>
    <cellStyle name="쉼표 [0] 2 4 4 2 2" xfId="2092"/>
    <cellStyle name="쉼표 [0] 2 4 4 2 2 2" xfId="4287"/>
    <cellStyle name="쉼표 [0] 2 4 4 2 2 2 2" xfId="8730"/>
    <cellStyle name="쉼표 [0] 2 4 4 2 2 3" xfId="6535"/>
    <cellStyle name="쉼표 [0] 2 4 4 2 3" xfId="3201"/>
    <cellStyle name="쉼표 [0] 2 4 4 2 3 2" xfId="7644"/>
    <cellStyle name="쉼표 [0] 2 4 4 2 4" xfId="5447"/>
    <cellStyle name="쉼표 [0] 2 4 4 3" xfId="706"/>
    <cellStyle name="쉼표 [0] 2 4 4 3 2" xfId="1797"/>
    <cellStyle name="쉼표 [0] 2 4 4 3 2 2" xfId="3992"/>
    <cellStyle name="쉼표 [0] 2 4 4 3 2 2 2" xfId="8435"/>
    <cellStyle name="쉼표 [0] 2 4 4 3 2 3" xfId="6240"/>
    <cellStyle name="쉼표 [0] 2 4 4 3 3" xfId="2906"/>
    <cellStyle name="쉼표 [0] 2 4 4 3 3 2" xfId="7349"/>
    <cellStyle name="쉼표 [0] 2 4 4 3 4" xfId="5152"/>
    <cellStyle name="쉼표 [0] 2 4 4 4" xfId="1464"/>
    <cellStyle name="쉼표 [0] 2 4 4 4 2" xfId="3659"/>
    <cellStyle name="쉼표 [0] 2 4 4 4 2 2" xfId="8102"/>
    <cellStyle name="쉼표 [0] 2 4 4 4 3" xfId="5907"/>
    <cellStyle name="쉼표 [0] 2 4 4 5" xfId="2573"/>
    <cellStyle name="쉼표 [0] 2 4 4 5 2" xfId="7016"/>
    <cellStyle name="쉼표 [0] 2 4 4 6" xfId="4819"/>
    <cellStyle name="쉼표 [0] 2 4 5" xfId="858"/>
    <cellStyle name="쉼표 [0] 2 4 5 2" xfId="1949"/>
    <cellStyle name="쉼표 [0] 2 4 5 2 2" xfId="4144"/>
    <cellStyle name="쉼표 [0] 2 4 5 2 2 2" xfId="8587"/>
    <cellStyle name="쉼표 [0] 2 4 5 2 3" xfId="6392"/>
    <cellStyle name="쉼표 [0] 2 4 5 3" xfId="3058"/>
    <cellStyle name="쉼표 [0] 2 4 5 3 2" xfId="7501"/>
    <cellStyle name="쉼표 [0] 2 4 5 4" xfId="5304"/>
    <cellStyle name="쉼표 [0] 2 4 6" xfId="560"/>
    <cellStyle name="쉼표 [0] 2 4 6 2" xfId="1651"/>
    <cellStyle name="쉼표 [0] 2 4 6 2 2" xfId="3846"/>
    <cellStyle name="쉼표 [0] 2 4 6 2 2 2" xfId="8289"/>
    <cellStyle name="쉼표 [0] 2 4 6 2 3" xfId="6094"/>
    <cellStyle name="쉼표 [0] 2 4 6 3" xfId="2760"/>
    <cellStyle name="쉼표 [0] 2 4 6 3 2" xfId="7203"/>
    <cellStyle name="쉼표 [0] 2 4 6 4" xfId="5006"/>
    <cellStyle name="쉼표 [0] 2 4 7" xfId="1272"/>
    <cellStyle name="쉼표 [0] 2 4 7 2" xfId="3469"/>
    <cellStyle name="쉼표 [0] 2 4 7 2 2" xfId="7912"/>
    <cellStyle name="쉼표 [0] 2 4 7 3" xfId="5716"/>
    <cellStyle name="쉼표 [0] 2 4 8" xfId="2383"/>
    <cellStyle name="쉼표 [0] 2 4 8 2" xfId="6826"/>
    <cellStyle name="쉼표 [0] 2 4 9" xfId="4592"/>
    <cellStyle name="쉼표 [0] 2 40" xfId="353"/>
    <cellStyle name="쉼표 [0] 2 40 2" xfId="539"/>
    <cellStyle name="쉼표 [0] 2 40 2 2" xfId="1123"/>
    <cellStyle name="쉼표 [0] 2 40 2 2 2" xfId="2214"/>
    <cellStyle name="쉼표 [0] 2 40 2 2 2 2" xfId="4409"/>
    <cellStyle name="쉼표 [0] 2 40 2 2 2 2 2" xfId="8852"/>
    <cellStyle name="쉼표 [0] 2 40 2 2 2 3" xfId="6657"/>
    <cellStyle name="쉼표 [0] 2 40 2 2 3" xfId="3323"/>
    <cellStyle name="쉼표 [0] 2 40 2 2 3 2" xfId="7766"/>
    <cellStyle name="쉼표 [0] 2 40 2 2 4" xfId="5569"/>
    <cellStyle name="쉼표 [0] 2 40 2 3" xfId="828"/>
    <cellStyle name="쉼표 [0] 2 40 2 3 2" xfId="1919"/>
    <cellStyle name="쉼표 [0] 2 40 2 3 2 2" xfId="4114"/>
    <cellStyle name="쉼표 [0] 2 40 2 3 2 2 2" xfId="8557"/>
    <cellStyle name="쉼표 [0] 2 40 2 3 2 3" xfId="6362"/>
    <cellStyle name="쉼표 [0] 2 40 2 3 3" xfId="3028"/>
    <cellStyle name="쉼표 [0] 2 40 2 3 3 2" xfId="7471"/>
    <cellStyle name="쉼표 [0] 2 40 2 3 4" xfId="5274"/>
    <cellStyle name="쉼표 [0] 2 40 2 4" xfId="1630"/>
    <cellStyle name="쉼표 [0] 2 40 2 4 2" xfId="3825"/>
    <cellStyle name="쉼표 [0] 2 40 2 4 2 2" xfId="8268"/>
    <cellStyle name="쉼표 [0] 2 40 2 4 3" xfId="6073"/>
    <cellStyle name="쉼표 [0] 2 40 2 5" xfId="2739"/>
    <cellStyle name="쉼표 [0] 2 40 2 5 2" xfId="7182"/>
    <cellStyle name="쉼표 [0] 2 40 2 6" xfId="4985"/>
    <cellStyle name="쉼표 [0] 2 40 3" xfId="981"/>
    <cellStyle name="쉼표 [0] 2 40 3 2" xfId="2072"/>
    <cellStyle name="쉼표 [0] 2 40 3 2 2" xfId="4267"/>
    <cellStyle name="쉼표 [0] 2 40 3 2 2 2" xfId="8710"/>
    <cellStyle name="쉼표 [0] 2 40 3 2 3" xfId="6515"/>
    <cellStyle name="쉼표 [0] 2 40 3 3" xfId="3181"/>
    <cellStyle name="쉼표 [0] 2 40 3 3 2" xfId="7624"/>
    <cellStyle name="쉼표 [0] 2 40 3 4" xfId="5427"/>
    <cellStyle name="쉼표 [0] 2 40 4" xfId="686"/>
    <cellStyle name="쉼표 [0] 2 40 4 2" xfId="1777"/>
    <cellStyle name="쉼표 [0] 2 40 4 2 2" xfId="3972"/>
    <cellStyle name="쉼표 [0] 2 40 4 2 2 2" xfId="8415"/>
    <cellStyle name="쉼표 [0] 2 40 4 2 3" xfId="6220"/>
    <cellStyle name="쉼표 [0] 2 40 4 3" xfId="2886"/>
    <cellStyle name="쉼표 [0] 2 40 4 3 2" xfId="7329"/>
    <cellStyle name="쉼표 [0] 2 40 4 4" xfId="5132"/>
    <cellStyle name="쉼표 [0] 2 40 5" xfId="1444"/>
    <cellStyle name="쉼표 [0] 2 40 5 2" xfId="3639"/>
    <cellStyle name="쉼표 [0] 2 40 5 2 2" xfId="8082"/>
    <cellStyle name="쉼표 [0] 2 40 5 3" xfId="5887"/>
    <cellStyle name="쉼표 [0] 2 40 6" xfId="2553"/>
    <cellStyle name="쉼표 [0] 2 40 6 2" xfId="6996"/>
    <cellStyle name="쉼표 [0] 2 40 7" xfId="4799"/>
    <cellStyle name="쉼표 [0] 2 41" xfId="355"/>
    <cellStyle name="쉼표 [0] 2 41 2" xfId="541"/>
    <cellStyle name="쉼표 [0] 2 41 2 2" xfId="1125"/>
    <cellStyle name="쉼표 [0] 2 41 2 2 2" xfId="2216"/>
    <cellStyle name="쉼표 [0] 2 41 2 2 2 2" xfId="4411"/>
    <cellStyle name="쉼표 [0] 2 41 2 2 2 2 2" xfId="8854"/>
    <cellStyle name="쉼표 [0] 2 41 2 2 2 3" xfId="6659"/>
    <cellStyle name="쉼표 [0] 2 41 2 2 3" xfId="3325"/>
    <cellStyle name="쉼표 [0] 2 41 2 2 3 2" xfId="7768"/>
    <cellStyle name="쉼표 [0] 2 41 2 2 4" xfId="5571"/>
    <cellStyle name="쉼표 [0] 2 41 2 3" xfId="830"/>
    <cellStyle name="쉼표 [0] 2 41 2 3 2" xfId="1921"/>
    <cellStyle name="쉼표 [0] 2 41 2 3 2 2" xfId="4116"/>
    <cellStyle name="쉼표 [0] 2 41 2 3 2 2 2" xfId="8559"/>
    <cellStyle name="쉼표 [0] 2 41 2 3 2 3" xfId="6364"/>
    <cellStyle name="쉼표 [0] 2 41 2 3 3" xfId="3030"/>
    <cellStyle name="쉼표 [0] 2 41 2 3 3 2" xfId="7473"/>
    <cellStyle name="쉼표 [0] 2 41 2 3 4" xfId="5276"/>
    <cellStyle name="쉼표 [0] 2 41 2 4" xfId="1632"/>
    <cellStyle name="쉼표 [0] 2 41 2 4 2" xfId="3827"/>
    <cellStyle name="쉼표 [0] 2 41 2 4 2 2" xfId="8270"/>
    <cellStyle name="쉼표 [0] 2 41 2 4 3" xfId="6075"/>
    <cellStyle name="쉼표 [0] 2 41 2 5" xfId="2741"/>
    <cellStyle name="쉼표 [0] 2 41 2 5 2" xfId="7184"/>
    <cellStyle name="쉼표 [0] 2 41 2 6" xfId="4987"/>
    <cellStyle name="쉼표 [0] 2 41 3" xfId="983"/>
    <cellStyle name="쉼표 [0] 2 41 3 2" xfId="2074"/>
    <cellStyle name="쉼표 [0] 2 41 3 2 2" xfId="4269"/>
    <cellStyle name="쉼표 [0] 2 41 3 2 2 2" xfId="8712"/>
    <cellStyle name="쉼표 [0] 2 41 3 2 3" xfId="6517"/>
    <cellStyle name="쉼표 [0] 2 41 3 3" xfId="3183"/>
    <cellStyle name="쉼표 [0] 2 41 3 3 2" xfId="7626"/>
    <cellStyle name="쉼표 [0] 2 41 3 4" xfId="5429"/>
    <cellStyle name="쉼표 [0] 2 41 4" xfId="688"/>
    <cellStyle name="쉼표 [0] 2 41 4 2" xfId="1779"/>
    <cellStyle name="쉼표 [0] 2 41 4 2 2" xfId="3974"/>
    <cellStyle name="쉼표 [0] 2 41 4 2 2 2" xfId="8417"/>
    <cellStyle name="쉼표 [0] 2 41 4 2 3" xfId="6222"/>
    <cellStyle name="쉼표 [0] 2 41 4 3" xfId="2888"/>
    <cellStyle name="쉼표 [0] 2 41 4 3 2" xfId="7331"/>
    <cellStyle name="쉼표 [0] 2 41 4 4" xfId="5134"/>
    <cellStyle name="쉼표 [0] 2 41 5" xfId="1446"/>
    <cellStyle name="쉼표 [0] 2 41 5 2" xfId="3641"/>
    <cellStyle name="쉼표 [0] 2 41 5 2 2" xfId="8084"/>
    <cellStyle name="쉼표 [0] 2 41 5 3" xfId="5889"/>
    <cellStyle name="쉼표 [0] 2 41 6" xfId="2555"/>
    <cellStyle name="쉼표 [0] 2 41 6 2" xfId="6998"/>
    <cellStyle name="쉼표 [0] 2 41 7" xfId="4801"/>
    <cellStyle name="쉼표 [0] 2 42" xfId="357"/>
    <cellStyle name="쉼표 [0] 2 42 2" xfId="543"/>
    <cellStyle name="쉼표 [0] 2 42 2 2" xfId="1127"/>
    <cellStyle name="쉼표 [0] 2 42 2 2 2" xfId="2218"/>
    <cellStyle name="쉼표 [0] 2 42 2 2 2 2" xfId="4413"/>
    <cellStyle name="쉼표 [0] 2 42 2 2 2 2 2" xfId="8856"/>
    <cellStyle name="쉼표 [0] 2 42 2 2 2 3" xfId="6661"/>
    <cellStyle name="쉼표 [0] 2 42 2 2 3" xfId="3327"/>
    <cellStyle name="쉼표 [0] 2 42 2 2 3 2" xfId="7770"/>
    <cellStyle name="쉼표 [0] 2 42 2 2 4" xfId="5573"/>
    <cellStyle name="쉼표 [0] 2 42 2 3" xfId="832"/>
    <cellStyle name="쉼표 [0] 2 42 2 3 2" xfId="1923"/>
    <cellStyle name="쉼표 [0] 2 42 2 3 2 2" xfId="4118"/>
    <cellStyle name="쉼표 [0] 2 42 2 3 2 2 2" xfId="8561"/>
    <cellStyle name="쉼표 [0] 2 42 2 3 2 3" xfId="6366"/>
    <cellStyle name="쉼표 [0] 2 42 2 3 3" xfId="3032"/>
    <cellStyle name="쉼표 [0] 2 42 2 3 3 2" xfId="7475"/>
    <cellStyle name="쉼표 [0] 2 42 2 3 4" xfId="5278"/>
    <cellStyle name="쉼표 [0] 2 42 2 4" xfId="1634"/>
    <cellStyle name="쉼표 [0] 2 42 2 4 2" xfId="3829"/>
    <cellStyle name="쉼표 [0] 2 42 2 4 2 2" xfId="8272"/>
    <cellStyle name="쉼표 [0] 2 42 2 4 3" xfId="6077"/>
    <cellStyle name="쉼표 [0] 2 42 2 5" xfId="2743"/>
    <cellStyle name="쉼표 [0] 2 42 2 5 2" xfId="7186"/>
    <cellStyle name="쉼표 [0] 2 42 2 6" xfId="4989"/>
    <cellStyle name="쉼표 [0] 2 42 3" xfId="985"/>
    <cellStyle name="쉼표 [0] 2 42 3 2" xfId="2076"/>
    <cellStyle name="쉼표 [0] 2 42 3 2 2" xfId="4271"/>
    <cellStyle name="쉼표 [0] 2 42 3 2 2 2" xfId="8714"/>
    <cellStyle name="쉼표 [0] 2 42 3 2 3" xfId="6519"/>
    <cellStyle name="쉼표 [0] 2 42 3 3" xfId="3185"/>
    <cellStyle name="쉼표 [0] 2 42 3 3 2" xfId="7628"/>
    <cellStyle name="쉼표 [0] 2 42 3 4" xfId="5431"/>
    <cellStyle name="쉼표 [0] 2 42 4" xfId="690"/>
    <cellStyle name="쉼표 [0] 2 42 4 2" xfId="1781"/>
    <cellStyle name="쉼표 [0] 2 42 4 2 2" xfId="3976"/>
    <cellStyle name="쉼표 [0] 2 42 4 2 2 2" xfId="8419"/>
    <cellStyle name="쉼표 [0] 2 42 4 2 3" xfId="6224"/>
    <cellStyle name="쉼표 [0] 2 42 4 3" xfId="2890"/>
    <cellStyle name="쉼표 [0] 2 42 4 3 2" xfId="7333"/>
    <cellStyle name="쉼표 [0] 2 42 4 4" xfId="5136"/>
    <cellStyle name="쉼표 [0] 2 42 5" xfId="1448"/>
    <cellStyle name="쉼표 [0] 2 42 5 2" xfId="3643"/>
    <cellStyle name="쉼표 [0] 2 42 5 2 2" xfId="8086"/>
    <cellStyle name="쉼표 [0] 2 42 5 3" xfId="5891"/>
    <cellStyle name="쉼표 [0] 2 42 6" xfId="2557"/>
    <cellStyle name="쉼표 [0] 2 42 6 2" xfId="7000"/>
    <cellStyle name="쉼표 [0] 2 42 7" xfId="4803"/>
    <cellStyle name="쉼표 [0] 2 43" xfId="359"/>
    <cellStyle name="쉼표 [0] 2 43 2" xfId="545"/>
    <cellStyle name="쉼표 [0] 2 43 2 2" xfId="1129"/>
    <cellStyle name="쉼표 [0] 2 43 2 2 2" xfId="2220"/>
    <cellStyle name="쉼표 [0] 2 43 2 2 2 2" xfId="4415"/>
    <cellStyle name="쉼표 [0] 2 43 2 2 2 2 2" xfId="8858"/>
    <cellStyle name="쉼표 [0] 2 43 2 2 2 3" xfId="6663"/>
    <cellStyle name="쉼표 [0] 2 43 2 2 3" xfId="3329"/>
    <cellStyle name="쉼표 [0] 2 43 2 2 3 2" xfId="7772"/>
    <cellStyle name="쉼표 [0] 2 43 2 2 4" xfId="5575"/>
    <cellStyle name="쉼표 [0] 2 43 2 3" xfId="834"/>
    <cellStyle name="쉼표 [0] 2 43 2 3 2" xfId="1925"/>
    <cellStyle name="쉼표 [0] 2 43 2 3 2 2" xfId="4120"/>
    <cellStyle name="쉼표 [0] 2 43 2 3 2 2 2" xfId="8563"/>
    <cellStyle name="쉼표 [0] 2 43 2 3 2 3" xfId="6368"/>
    <cellStyle name="쉼표 [0] 2 43 2 3 3" xfId="3034"/>
    <cellStyle name="쉼표 [0] 2 43 2 3 3 2" xfId="7477"/>
    <cellStyle name="쉼표 [0] 2 43 2 3 4" xfId="5280"/>
    <cellStyle name="쉼표 [0] 2 43 2 4" xfId="1636"/>
    <cellStyle name="쉼표 [0] 2 43 2 4 2" xfId="3831"/>
    <cellStyle name="쉼표 [0] 2 43 2 4 2 2" xfId="8274"/>
    <cellStyle name="쉼표 [0] 2 43 2 4 3" xfId="6079"/>
    <cellStyle name="쉼표 [0] 2 43 2 5" xfId="2745"/>
    <cellStyle name="쉼표 [0] 2 43 2 5 2" xfId="7188"/>
    <cellStyle name="쉼표 [0] 2 43 2 6" xfId="4991"/>
    <cellStyle name="쉼표 [0] 2 43 3" xfId="987"/>
    <cellStyle name="쉼표 [0] 2 43 3 2" xfId="2078"/>
    <cellStyle name="쉼표 [0] 2 43 3 2 2" xfId="4273"/>
    <cellStyle name="쉼표 [0] 2 43 3 2 2 2" xfId="8716"/>
    <cellStyle name="쉼표 [0] 2 43 3 2 3" xfId="6521"/>
    <cellStyle name="쉼표 [0] 2 43 3 3" xfId="3187"/>
    <cellStyle name="쉼표 [0] 2 43 3 3 2" xfId="7630"/>
    <cellStyle name="쉼표 [0] 2 43 3 4" xfId="5433"/>
    <cellStyle name="쉼표 [0] 2 43 4" xfId="692"/>
    <cellStyle name="쉼표 [0] 2 43 4 2" xfId="1783"/>
    <cellStyle name="쉼표 [0] 2 43 4 2 2" xfId="3978"/>
    <cellStyle name="쉼표 [0] 2 43 4 2 2 2" xfId="8421"/>
    <cellStyle name="쉼표 [0] 2 43 4 2 3" xfId="6226"/>
    <cellStyle name="쉼표 [0] 2 43 4 3" xfId="2892"/>
    <cellStyle name="쉼표 [0] 2 43 4 3 2" xfId="7335"/>
    <cellStyle name="쉼표 [0] 2 43 4 4" xfId="5138"/>
    <cellStyle name="쉼표 [0] 2 43 5" xfId="1450"/>
    <cellStyle name="쉼표 [0] 2 43 5 2" xfId="3645"/>
    <cellStyle name="쉼표 [0] 2 43 5 2 2" xfId="8088"/>
    <cellStyle name="쉼표 [0] 2 43 5 3" xfId="5893"/>
    <cellStyle name="쉼표 [0] 2 43 6" xfId="2559"/>
    <cellStyle name="쉼표 [0] 2 43 6 2" xfId="7002"/>
    <cellStyle name="쉼표 [0] 2 43 7" xfId="4805"/>
    <cellStyle name="쉼표 [0] 2 44" xfId="361"/>
    <cellStyle name="쉼표 [0] 2 44 2" xfId="547"/>
    <cellStyle name="쉼표 [0] 2 44 2 2" xfId="1131"/>
    <cellStyle name="쉼표 [0] 2 44 2 2 2" xfId="2222"/>
    <cellStyle name="쉼표 [0] 2 44 2 2 2 2" xfId="4417"/>
    <cellStyle name="쉼표 [0] 2 44 2 2 2 2 2" xfId="8860"/>
    <cellStyle name="쉼표 [0] 2 44 2 2 2 3" xfId="6665"/>
    <cellStyle name="쉼표 [0] 2 44 2 2 3" xfId="3331"/>
    <cellStyle name="쉼표 [0] 2 44 2 2 3 2" xfId="7774"/>
    <cellStyle name="쉼표 [0] 2 44 2 2 4" xfId="5577"/>
    <cellStyle name="쉼표 [0] 2 44 2 3" xfId="836"/>
    <cellStyle name="쉼표 [0] 2 44 2 3 2" xfId="1927"/>
    <cellStyle name="쉼표 [0] 2 44 2 3 2 2" xfId="4122"/>
    <cellStyle name="쉼표 [0] 2 44 2 3 2 2 2" xfId="8565"/>
    <cellStyle name="쉼표 [0] 2 44 2 3 2 3" xfId="6370"/>
    <cellStyle name="쉼표 [0] 2 44 2 3 3" xfId="3036"/>
    <cellStyle name="쉼표 [0] 2 44 2 3 3 2" xfId="7479"/>
    <cellStyle name="쉼표 [0] 2 44 2 3 4" xfId="5282"/>
    <cellStyle name="쉼표 [0] 2 44 2 4" xfId="1638"/>
    <cellStyle name="쉼표 [0] 2 44 2 4 2" xfId="3833"/>
    <cellStyle name="쉼표 [0] 2 44 2 4 2 2" xfId="8276"/>
    <cellStyle name="쉼표 [0] 2 44 2 4 3" xfId="6081"/>
    <cellStyle name="쉼표 [0] 2 44 2 5" xfId="2747"/>
    <cellStyle name="쉼표 [0] 2 44 2 5 2" xfId="7190"/>
    <cellStyle name="쉼표 [0] 2 44 2 6" xfId="4993"/>
    <cellStyle name="쉼표 [0] 2 44 3" xfId="989"/>
    <cellStyle name="쉼표 [0] 2 44 3 2" xfId="2080"/>
    <cellStyle name="쉼표 [0] 2 44 3 2 2" xfId="4275"/>
    <cellStyle name="쉼표 [0] 2 44 3 2 2 2" xfId="8718"/>
    <cellStyle name="쉼표 [0] 2 44 3 2 3" xfId="6523"/>
    <cellStyle name="쉼표 [0] 2 44 3 3" xfId="3189"/>
    <cellStyle name="쉼표 [0] 2 44 3 3 2" xfId="7632"/>
    <cellStyle name="쉼표 [0] 2 44 3 4" xfId="5435"/>
    <cellStyle name="쉼표 [0] 2 44 4" xfId="694"/>
    <cellStyle name="쉼표 [0] 2 44 4 2" xfId="1785"/>
    <cellStyle name="쉼표 [0] 2 44 4 2 2" xfId="3980"/>
    <cellStyle name="쉼표 [0] 2 44 4 2 2 2" xfId="8423"/>
    <cellStyle name="쉼표 [0] 2 44 4 2 3" xfId="6228"/>
    <cellStyle name="쉼표 [0] 2 44 4 3" xfId="2894"/>
    <cellStyle name="쉼표 [0] 2 44 4 3 2" xfId="7337"/>
    <cellStyle name="쉼표 [0] 2 44 4 4" xfId="5140"/>
    <cellStyle name="쉼표 [0] 2 44 5" xfId="1452"/>
    <cellStyle name="쉼표 [0] 2 44 5 2" xfId="3647"/>
    <cellStyle name="쉼표 [0] 2 44 5 2 2" xfId="8090"/>
    <cellStyle name="쉼표 [0] 2 44 5 3" xfId="5895"/>
    <cellStyle name="쉼표 [0] 2 44 6" xfId="2561"/>
    <cellStyle name="쉼표 [0] 2 44 6 2" xfId="7004"/>
    <cellStyle name="쉼표 [0] 2 44 7" xfId="4807"/>
    <cellStyle name="쉼표 [0] 2 45" xfId="363"/>
    <cellStyle name="쉼표 [0] 2 45 2" xfId="549"/>
    <cellStyle name="쉼표 [0] 2 45 2 2" xfId="1133"/>
    <cellStyle name="쉼표 [0] 2 45 2 2 2" xfId="2224"/>
    <cellStyle name="쉼표 [0] 2 45 2 2 2 2" xfId="4419"/>
    <cellStyle name="쉼표 [0] 2 45 2 2 2 2 2" xfId="8862"/>
    <cellStyle name="쉼표 [0] 2 45 2 2 2 3" xfId="6667"/>
    <cellStyle name="쉼표 [0] 2 45 2 2 3" xfId="3333"/>
    <cellStyle name="쉼표 [0] 2 45 2 2 3 2" xfId="7776"/>
    <cellStyle name="쉼표 [0] 2 45 2 2 4" xfId="5579"/>
    <cellStyle name="쉼표 [0] 2 45 2 3" xfId="838"/>
    <cellStyle name="쉼표 [0] 2 45 2 3 2" xfId="1929"/>
    <cellStyle name="쉼표 [0] 2 45 2 3 2 2" xfId="4124"/>
    <cellStyle name="쉼표 [0] 2 45 2 3 2 2 2" xfId="8567"/>
    <cellStyle name="쉼표 [0] 2 45 2 3 2 3" xfId="6372"/>
    <cellStyle name="쉼표 [0] 2 45 2 3 3" xfId="3038"/>
    <cellStyle name="쉼표 [0] 2 45 2 3 3 2" xfId="7481"/>
    <cellStyle name="쉼표 [0] 2 45 2 3 4" xfId="5284"/>
    <cellStyle name="쉼표 [0] 2 45 2 4" xfId="1640"/>
    <cellStyle name="쉼표 [0] 2 45 2 4 2" xfId="3835"/>
    <cellStyle name="쉼표 [0] 2 45 2 4 2 2" xfId="8278"/>
    <cellStyle name="쉼표 [0] 2 45 2 4 3" xfId="6083"/>
    <cellStyle name="쉼표 [0] 2 45 2 5" xfId="2749"/>
    <cellStyle name="쉼표 [0] 2 45 2 5 2" xfId="7192"/>
    <cellStyle name="쉼표 [0] 2 45 2 6" xfId="4995"/>
    <cellStyle name="쉼표 [0] 2 45 3" xfId="991"/>
    <cellStyle name="쉼표 [0] 2 45 3 2" xfId="2082"/>
    <cellStyle name="쉼표 [0] 2 45 3 2 2" xfId="4277"/>
    <cellStyle name="쉼표 [0] 2 45 3 2 2 2" xfId="8720"/>
    <cellStyle name="쉼표 [0] 2 45 3 2 3" xfId="6525"/>
    <cellStyle name="쉼표 [0] 2 45 3 3" xfId="3191"/>
    <cellStyle name="쉼표 [0] 2 45 3 3 2" xfId="7634"/>
    <cellStyle name="쉼표 [0] 2 45 3 4" xfId="5437"/>
    <cellStyle name="쉼표 [0] 2 45 4" xfId="696"/>
    <cellStyle name="쉼표 [0] 2 45 4 2" xfId="1787"/>
    <cellStyle name="쉼표 [0] 2 45 4 2 2" xfId="3982"/>
    <cellStyle name="쉼표 [0] 2 45 4 2 2 2" xfId="8425"/>
    <cellStyle name="쉼표 [0] 2 45 4 2 3" xfId="6230"/>
    <cellStyle name="쉼표 [0] 2 45 4 3" xfId="2896"/>
    <cellStyle name="쉼표 [0] 2 45 4 3 2" xfId="7339"/>
    <cellStyle name="쉼표 [0] 2 45 4 4" xfId="5142"/>
    <cellStyle name="쉼표 [0] 2 45 5" xfId="1454"/>
    <cellStyle name="쉼표 [0] 2 45 5 2" xfId="3649"/>
    <cellStyle name="쉼표 [0] 2 45 5 2 2" xfId="8092"/>
    <cellStyle name="쉼표 [0] 2 45 5 3" xfId="5897"/>
    <cellStyle name="쉼표 [0] 2 45 6" xfId="2563"/>
    <cellStyle name="쉼표 [0] 2 45 6 2" xfId="7006"/>
    <cellStyle name="쉼표 [0] 2 45 7" xfId="4809"/>
    <cellStyle name="쉼표 [0] 2 46" xfId="365"/>
    <cellStyle name="쉼표 [0] 2 46 2" xfId="993"/>
    <cellStyle name="쉼표 [0] 2 46 2 2" xfId="2084"/>
    <cellStyle name="쉼표 [0] 2 46 2 2 2" xfId="4279"/>
    <cellStyle name="쉼표 [0] 2 46 2 2 2 2" xfId="8722"/>
    <cellStyle name="쉼표 [0] 2 46 2 2 3" xfId="6527"/>
    <cellStyle name="쉼표 [0] 2 46 2 3" xfId="3193"/>
    <cellStyle name="쉼표 [0] 2 46 2 3 2" xfId="7636"/>
    <cellStyle name="쉼표 [0] 2 46 2 4" xfId="5439"/>
    <cellStyle name="쉼표 [0] 2 46 3" xfId="698"/>
    <cellStyle name="쉼표 [0] 2 46 3 2" xfId="1789"/>
    <cellStyle name="쉼표 [0] 2 46 3 2 2" xfId="3984"/>
    <cellStyle name="쉼표 [0] 2 46 3 2 2 2" xfId="8427"/>
    <cellStyle name="쉼표 [0] 2 46 3 2 3" xfId="6232"/>
    <cellStyle name="쉼표 [0] 2 46 3 3" xfId="2898"/>
    <cellStyle name="쉼표 [0] 2 46 3 3 2" xfId="7341"/>
    <cellStyle name="쉼표 [0] 2 46 3 4" xfId="5144"/>
    <cellStyle name="쉼표 [0] 2 46 4" xfId="1456"/>
    <cellStyle name="쉼표 [0] 2 46 4 2" xfId="3651"/>
    <cellStyle name="쉼표 [0] 2 46 4 2 2" xfId="8094"/>
    <cellStyle name="쉼표 [0] 2 46 4 3" xfId="5899"/>
    <cellStyle name="쉼표 [0] 2 46 5" xfId="2565"/>
    <cellStyle name="쉼표 [0] 2 46 5 2" xfId="7008"/>
    <cellStyle name="쉼표 [0] 2 46 6" xfId="4811"/>
    <cellStyle name="쉼표 [0] 2 47" xfId="840"/>
    <cellStyle name="쉼표 [0] 2 47 2" xfId="1204"/>
    <cellStyle name="쉼표 [0] 2 47 2 2" xfId="2295"/>
    <cellStyle name="쉼표 [0] 2 47 2 2 2" xfId="4490"/>
    <cellStyle name="쉼표 [0] 2 47 2 2 2 2" xfId="8933"/>
    <cellStyle name="쉼표 [0] 2 47 2 2 3" xfId="6738"/>
    <cellStyle name="쉼표 [0] 2 47 2 3" xfId="3404"/>
    <cellStyle name="쉼표 [0] 2 47 2 3 2" xfId="7847"/>
    <cellStyle name="쉼표 [0] 2 47 2 4" xfId="5650"/>
    <cellStyle name="쉼표 [0] 2 47 3" xfId="1931"/>
    <cellStyle name="쉼표 [0] 2 47 3 2" xfId="4126"/>
    <cellStyle name="쉼표 [0] 2 47 3 2 2" xfId="8569"/>
    <cellStyle name="쉼표 [0] 2 47 3 3" xfId="6374"/>
    <cellStyle name="쉼표 [0] 2 47 4" xfId="3040"/>
    <cellStyle name="쉼표 [0] 2 47 4 2" xfId="7483"/>
    <cellStyle name="쉼표 [0] 2 47 5" xfId="5286"/>
    <cellStyle name="쉼표 [0] 2 48" xfId="842"/>
    <cellStyle name="쉼표 [0] 2 48 2" xfId="1206"/>
    <cellStyle name="쉼표 [0] 2 48 2 2" xfId="2297"/>
    <cellStyle name="쉼표 [0] 2 48 2 2 2" xfId="4492"/>
    <cellStyle name="쉼표 [0] 2 48 2 2 2 2" xfId="8935"/>
    <cellStyle name="쉼표 [0] 2 48 2 2 3" xfId="6740"/>
    <cellStyle name="쉼표 [0] 2 48 2 3" xfId="3406"/>
    <cellStyle name="쉼표 [0] 2 48 2 3 2" xfId="7849"/>
    <cellStyle name="쉼표 [0] 2 48 2 4" xfId="5652"/>
    <cellStyle name="쉼표 [0] 2 48 3" xfId="1933"/>
    <cellStyle name="쉼표 [0] 2 48 3 2" xfId="4128"/>
    <cellStyle name="쉼표 [0] 2 48 3 2 2" xfId="8571"/>
    <cellStyle name="쉼표 [0] 2 48 3 3" xfId="6376"/>
    <cellStyle name="쉼표 [0] 2 48 4" xfId="3042"/>
    <cellStyle name="쉼표 [0] 2 48 4 2" xfId="7485"/>
    <cellStyle name="쉼표 [0] 2 48 5" xfId="5288"/>
    <cellStyle name="쉼표 [0] 2 49" xfId="844"/>
    <cellStyle name="쉼표 [0] 2 49 2" xfId="1208"/>
    <cellStyle name="쉼표 [0] 2 49 2 2" xfId="2299"/>
    <cellStyle name="쉼표 [0] 2 49 2 2 2" xfId="4494"/>
    <cellStyle name="쉼표 [0] 2 49 2 2 2 2" xfId="8937"/>
    <cellStyle name="쉼표 [0] 2 49 2 2 3" xfId="6742"/>
    <cellStyle name="쉼표 [0] 2 49 2 3" xfId="3408"/>
    <cellStyle name="쉼표 [0] 2 49 2 3 2" xfId="7851"/>
    <cellStyle name="쉼표 [0] 2 49 2 4" xfId="5654"/>
    <cellStyle name="쉼표 [0] 2 49 3" xfId="1935"/>
    <cellStyle name="쉼표 [0] 2 49 3 2" xfId="4130"/>
    <cellStyle name="쉼표 [0] 2 49 3 2 2" xfId="8573"/>
    <cellStyle name="쉼표 [0] 2 49 3 3" xfId="6378"/>
    <cellStyle name="쉼표 [0] 2 49 4" xfId="3044"/>
    <cellStyle name="쉼표 [0] 2 49 4 2" xfId="7487"/>
    <cellStyle name="쉼표 [0] 2 49 5" xfId="5290"/>
    <cellStyle name="쉼표 [0] 2 5" xfId="20"/>
    <cellStyle name="쉼표 [0] 2 5 2" xfId="59"/>
    <cellStyle name="쉼표 [0] 2 5 2 2" xfId="395"/>
    <cellStyle name="쉼표 [0] 2 5 2 2 2" xfId="1023"/>
    <cellStyle name="쉼표 [0] 2 5 2 2 2 2" xfId="2114"/>
    <cellStyle name="쉼표 [0] 2 5 2 2 2 2 2" xfId="4309"/>
    <cellStyle name="쉼표 [0] 2 5 2 2 2 2 2 2" xfId="8752"/>
    <cellStyle name="쉼표 [0] 2 5 2 2 2 2 3" xfId="6557"/>
    <cellStyle name="쉼표 [0] 2 5 2 2 2 3" xfId="3223"/>
    <cellStyle name="쉼표 [0] 2 5 2 2 2 3 2" xfId="7666"/>
    <cellStyle name="쉼표 [0] 2 5 2 2 2 4" xfId="5469"/>
    <cellStyle name="쉼표 [0] 2 5 2 2 3" xfId="728"/>
    <cellStyle name="쉼표 [0] 2 5 2 2 3 2" xfId="1819"/>
    <cellStyle name="쉼표 [0] 2 5 2 2 3 2 2" xfId="4014"/>
    <cellStyle name="쉼표 [0] 2 5 2 2 3 2 2 2" xfId="8457"/>
    <cellStyle name="쉼표 [0] 2 5 2 2 3 2 3" xfId="6262"/>
    <cellStyle name="쉼표 [0] 2 5 2 2 3 3" xfId="2928"/>
    <cellStyle name="쉼표 [0] 2 5 2 2 3 3 2" xfId="7371"/>
    <cellStyle name="쉼표 [0] 2 5 2 2 3 4" xfId="5174"/>
    <cellStyle name="쉼표 [0] 2 5 2 2 4" xfId="1486"/>
    <cellStyle name="쉼표 [0] 2 5 2 2 4 2" xfId="3681"/>
    <cellStyle name="쉼표 [0] 2 5 2 2 4 2 2" xfId="8124"/>
    <cellStyle name="쉼표 [0] 2 5 2 2 4 3" xfId="5929"/>
    <cellStyle name="쉼표 [0] 2 5 2 2 5" xfId="2595"/>
    <cellStyle name="쉼표 [0] 2 5 2 2 5 2" xfId="7038"/>
    <cellStyle name="쉼표 [0] 2 5 2 2 6" xfId="4841"/>
    <cellStyle name="쉼표 [0] 2 5 2 3" xfId="881"/>
    <cellStyle name="쉼표 [0] 2 5 2 3 2" xfId="1972"/>
    <cellStyle name="쉼표 [0] 2 5 2 3 2 2" xfId="4167"/>
    <cellStyle name="쉼표 [0] 2 5 2 3 2 2 2" xfId="8610"/>
    <cellStyle name="쉼표 [0] 2 5 2 3 2 3" xfId="6415"/>
    <cellStyle name="쉼표 [0] 2 5 2 3 3" xfId="3081"/>
    <cellStyle name="쉼표 [0] 2 5 2 3 3 2" xfId="7524"/>
    <cellStyle name="쉼표 [0] 2 5 2 3 4" xfId="5327"/>
    <cellStyle name="쉼표 [0] 2 5 2 4" xfId="583"/>
    <cellStyle name="쉼표 [0] 2 5 2 4 2" xfId="1674"/>
    <cellStyle name="쉼표 [0] 2 5 2 4 2 2" xfId="3869"/>
    <cellStyle name="쉼표 [0] 2 5 2 4 2 2 2" xfId="8312"/>
    <cellStyle name="쉼표 [0] 2 5 2 4 2 3" xfId="6117"/>
    <cellStyle name="쉼표 [0] 2 5 2 4 3" xfId="2783"/>
    <cellStyle name="쉼표 [0] 2 5 2 4 3 2" xfId="7226"/>
    <cellStyle name="쉼표 [0] 2 5 2 4 4" xfId="5029"/>
    <cellStyle name="쉼표 [0] 2 5 2 5" xfId="1297"/>
    <cellStyle name="쉼표 [0] 2 5 2 5 2" xfId="3492"/>
    <cellStyle name="쉼표 [0] 2 5 2 5 2 2" xfId="7935"/>
    <cellStyle name="쉼표 [0] 2 5 2 5 3" xfId="5740"/>
    <cellStyle name="쉼표 [0] 2 5 2 6" xfId="2406"/>
    <cellStyle name="쉼표 [0] 2 5 2 6 2" xfId="6849"/>
    <cellStyle name="쉼표 [0] 2 5 2 7" xfId="4618"/>
    <cellStyle name="쉼표 [0] 2 5 3" xfId="303"/>
    <cellStyle name="쉼표 [0] 2 5 3 2" xfId="489"/>
    <cellStyle name="쉼표 [0] 2 5 3 2 2" xfId="1073"/>
    <cellStyle name="쉼표 [0] 2 5 3 2 2 2" xfId="2164"/>
    <cellStyle name="쉼표 [0] 2 5 3 2 2 2 2" xfId="4359"/>
    <cellStyle name="쉼표 [0] 2 5 3 2 2 2 2 2" xfId="8802"/>
    <cellStyle name="쉼표 [0] 2 5 3 2 2 2 3" xfId="6607"/>
    <cellStyle name="쉼표 [0] 2 5 3 2 2 3" xfId="3273"/>
    <cellStyle name="쉼표 [0] 2 5 3 2 2 3 2" xfId="7716"/>
    <cellStyle name="쉼표 [0] 2 5 3 2 2 4" xfId="5519"/>
    <cellStyle name="쉼표 [0] 2 5 3 2 3" xfId="778"/>
    <cellStyle name="쉼표 [0] 2 5 3 2 3 2" xfId="1869"/>
    <cellStyle name="쉼표 [0] 2 5 3 2 3 2 2" xfId="4064"/>
    <cellStyle name="쉼표 [0] 2 5 3 2 3 2 2 2" xfId="8507"/>
    <cellStyle name="쉼표 [0] 2 5 3 2 3 2 3" xfId="6312"/>
    <cellStyle name="쉼표 [0] 2 5 3 2 3 3" xfId="2978"/>
    <cellStyle name="쉼표 [0] 2 5 3 2 3 3 2" xfId="7421"/>
    <cellStyle name="쉼표 [0] 2 5 3 2 3 4" xfId="5224"/>
    <cellStyle name="쉼표 [0] 2 5 3 2 4" xfId="1580"/>
    <cellStyle name="쉼표 [0] 2 5 3 2 4 2" xfId="3775"/>
    <cellStyle name="쉼표 [0] 2 5 3 2 4 2 2" xfId="8218"/>
    <cellStyle name="쉼표 [0] 2 5 3 2 4 3" xfId="6023"/>
    <cellStyle name="쉼표 [0] 2 5 3 2 5" xfId="2689"/>
    <cellStyle name="쉼표 [0] 2 5 3 2 5 2" xfId="7132"/>
    <cellStyle name="쉼표 [0] 2 5 3 2 6" xfId="4935"/>
    <cellStyle name="쉼표 [0] 2 5 3 3" xfId="931"/>
    <cellStyle name="쉼표 [0] 2 5 3 3 2" xfId="2022"/>
    <cellStyle name="쉼표 [0] 2 5 3 3 2 2" xfId="4217"/>
    <cellStyle name="쉼표 [0] 2 5 3 3 2 2 2" xfId="8660"/>
    <cellStyle name="쉼표 [0] 2 5 3 3 2 3" xfId="6465"/>
    <cellStyle name="쉼표 [0] 2 5 3 3 3" xfId="3131"/>
    <cellStyle name="쉼표 [0] 2 5 3 3 3 2" xfId="7574"/>
    <cellStyle name="쉼표 [0] 2 5 3 3 4" xfId="5377"/>
    <cellStyle name="쉼표 [0] 2 5 3 4" xfId="636"/>
    <cellStyle name="쉼표 [0] 2 5 3 4 2" xfId="1727"/>
    <cellStyle name="쉼표 [0] 2 5 3 4 2 2" xfId="3922"/>
    <cellStyle name="쉼표 [0] 2 5 3 4 2 2 2" xfId="8365"/>
    <cellStyle name="쉼표 [0] 2 5 3 4 2 3" xfId="6170"/>
    <cellStyle name="쉼표 [0] 2 5 3 4 3" xfId="2836"/>
    <cellStyle name="쉼표 [0] 2 5 3 4 3 2" xfId="7279"/>
    <cellStyle name="쉼표 [0] 2 5 3 4 4" xfId="5082"/>
    <cellStyle name="쉼표 [0] 2 5 3 5" xfId="1394"/>
    <cellStyle name="쉼표 [0] 2 5 3 5 2" xfId="3589"/>
    <cellStyle name="쉼표 [0] 2 5 3 5 2 2" xfId="8032"/>
    <cellStyle name="쉼표 [0] 2 5 3 5 3" xfId="5837"/>
    <cellStyle name="쉼표 [0] 2 5 3 6" xfId="2503"/>
    <cellStyle name="쉼표 [0] 2 5 3 6 2" xfId="6946"/>
    <cellStyle name="쉼표 [0] 2 5 3 7" xfId="4749"/>
    <cellStyle name="쉼표 [0] 2 5 4" xfId="375"/>
    <cellStyle name="쉼표 [0] 2 5 4 2" xfId="1003"/>
    <cellStyle name="쉼표 [0] 2 5 4 2 2" xfId="2094"/>
    <cellStyle name="쉼표 [0] 2 5 4 2 2 2" xfId="4289"/>
    <cellStyle name="쉼표 [0] 2 5 4 2 2 2 2" xfId="8732"/>
    <cellStyle name="쉼표 [0] 2 5 4 2 2 3" xfId="6537"/>
    <cellStyle name="쉼표 [0] 2 5 4 2 3" xfId="3203"/>
    <cellStyle name="쉼표 [0] 2 5 4 2 3 2" xfId="7646"/>
    <cellStyle name="쉼표 [0] 2 5 4 2 4" xfId="5449"/>
    <cellStyle name="쉼표 [0] 2 5 4 3" xfId="708"/>
    <cellStyle name="쉼표 [0] 2 5 4 3 2" xfId="1799"/>
    <cellStyle name="쉼표 [0] 2 5 4 3 2 2" xfId="3994"/>
    <cellStyle name="쉼표 [0] 2 5 4 3 2 2 2" xfId="8437"/>
    <cellStyle name="쉼표 [0] 2 5 4 3 2 3" xfId="6242"/>
    <cellStyle name="쉼표 [0] 2 5 4 3 3" xfId="2908"/>
    <cellStyle name="쉼표 [0] 2 5 4 3 3 2" xfId="7351"/>
    <cellStyle name="쉼표 [0] 2 5 4 3 4" xfId="5154"/>
    <cellStyle name="쉼표 [0] 2 5 4 4" xfId="1466"/>
    <cellStyle name="쉼표 [0] 2 5 4 4 2" xfId="3661"/>
    <cellStyle name="쉼표 [0] 2 5 4 4 2 2" xfId="8104"/>
    <cellStyle name="쉼표 [0] 2 5 4 4 3" xfId="5909"/>
    <cellStyle name="쉼표 [0] 2 5 4 5" xfId="2575"/>
    <cellStyle name="쉼표 [0] 2 5 4 5 2" xfId="7018"/>
    <cellStyle name="쉼표 [0] 2 5 4 6" xfId="4821"/>
    <cellStyle name="쉼표 [0] 2 5 5" xfId="860"/>
    <cellStyle name="쉼표 [0] 2 5 5 2" xfId="1951"/>
    <cellStyle name="쉼표 [0] 2 5 5 2 2" xfId="4146"/>
    <cellStyle name="쉼표 [0] 2 5 5 2 2 2" xfId="8589"/>
    <cellStyle name="쉼표 [0] 2 5 5 2 3" xfId="6394"/>
    <cellStyle name="쉼표 [0] 2 5 5 3" xfId="3060"/>
    <cellStyle name="쉼표 [0] 2 5 5 3 2" xfId="7503"/>
    <cellStyle name="쉼표 [0] 2 5 5 4" xfId="5306"/>
    <cellStyle name="쉼표 [0] 2 5 6" xfId="562"/>
    <cellStyle name="쉼표 [0] 2 5 6 2" xfId="1653"/>
    <cellStyle name="쉼표 [0] 2 5 6 2 2" xfId="3848"/>
    <cellStyle name="쉼표 [0] 2 5 6 2 2 2" xfId="8291"/>
    <cellStyle name="쉼표 [0] 2 5 6 2 3" xfId="6096"/>
    <cellStyle name="쉼표 [0] 2 5 6 3" xfId="2762"/>
    <cellStyle name="쉼표 [0] 2 5 6 3 2" xfId="7205"/>
    <cellStyle name="쉼표 [0] 2 5 6 4" xfId="5008"/>
    <cellStyle name="쉼표 [0] 2 5 7" xfId="1274"/>
    <cellStyle name="쉼표 [0] 2 5 7 2" xfId="3471"/>
    <cellStyle name="쉼표 [0] 2 5 7 2 2" xfId="7914"/>
    <cellStyle name="쉼표 [0] 2 5 7 3" xfId="5718"/>
    <cellStyle name="쉼표 [0] 2 5 8" xfId="2385"/>
    <cellStyle name="쉼표 [0] 2 5 8 2" xfId="6828"/>
    <cellStyle name="쉼표 [0] 2 5 9" xfId="4594"/>
    <cellStyle name="쉼표 [0] 2 50" xfId="846"/>
    <cellStyle name="쉼표 [0] 2 50 2" xfId="1210"/>
    <cellStyle name="쉼표 [0] 2 50 2 2" xfId="2301"/>
    <cellStyle name="쉼표 [0] 2 50 2 2 2" xfId="4496"/>
    <cellStyle name="쉼표 [0] 2 50 2 2 2 2" xfId="8939"/>
    <cellStyle name="쉼표 [0] 2 50 2 2 3" xfId="6744"/>
    <cellStyle name="쉼표 [0] 2 50 2 3" xfId="3410"/>
    <cellStyle name="쉼표 [0] 2 50 2 3 2" xfId="7853"/>
    <cellStyle name="쉼표 [0] 2 50 2 4" xfId="5656"/>
    <cellStyle name="쉼표 [0] 2 50 3" xfId="1937"/>
    <cellStyle name="쉼표 [0] 2 50 3 2" xfId="4132"/>
    <cellStyle name="쉼표 [0] 2 50 3 2 2" xfId="8575"/>
    <cellStyle name="쉼표 [0] 2 50 3 3" xfId="6380"/>
    <cellStyle name="쉼표 [0] 2 50 4" xfId="3046"/>
    <cellStyle name="쉼표 [0] 2 50 4 2" xfId="7489"/>
    <cellStyle name="쉼표 [0] 2 50 5" xfId="5292"/>
    <cellStyle name="쉼표 [0] 2 51" xfId="848"/>
    <cellStyle name="쉼표 [0] 2 51 2" xfId="1212"/>
    <cellStyle name="쉼표 [0] 2 51 2 2" xfId="2303"/>
    <cellStyle name="쉼표 [0] 2 51 2 2 2" xfId="4498"/>
    <cellStyle name="쉼표 [0] 2 51 2 2 2 2" xfId="8941"/>
    <cellStyle name="쉼표 [0] 2 51 2 2 3" xfId="6746"/>
    <cellStyle name="쉼표 [0] 2 51 2 3" xfId="3412"/>
    <cellStyle name="쉼표 [0] 2 51 2 3 2" xfId="7855"/>
    <cellStyle name="쉼표 [0] 2 51 2 4" xfId="5658"/>
    <cellStyle name="쉼표 [0] 2 51 3" xfId="1939"/>
    <cellStyle name="쉼표 [0] 2 51 3 2" xfId="4134"/>
    <cellStyle name="쉼표 [0] 2 51 3 2 2" xfId="8577"/>
    <cellStyle name="쉼표 [0] 2 51 3 3" xfId="6382"/>
    <cellStyle name="쉼표 [0] 2 51 4" xfId="3048"/>
    <cellStyle name="쉼표 [0] 2 51 4 2" xfId="7491"/>
    <cellStyle name="쉼표 [0] 2 51 5" xfId="5294"/>
    <cellStyle name="쉼표 [0] 2 52" xfId="850"/>
    <cellStyle name="쉼표 [0] 2 52 2" xfId="1941"/>
    <cellStyle name="쉼표 [0] 2 52 2 2" xfId="4136"/>
    <cellStyle name="쉼표 [0] 2 52 2 2 2" xfId="8579"/>
    <cellStyle name="쉼표 [0] 2 52 2 3" xfId="6384"/>
    <cellStyle name="쉼표 [0] 2 52 3" xfId="3050"/>
    <cellStyle name="쉼표 [0] 2 52 3 2" xfId="7493"/>
    <cellStyle name="쉼표 [0] 2 52 4" xfId="5296"/>
    <cellStyle name="쉼표 [0] 2 53" xfId="552"/>
    <cellStyle name="쉼표 [0] 2 53 2" xfId="1643"/>
    <cellStyle name="쉼표 [0] 2 53 2 2" xfId="3838"/>
    <cellStyle name="쉼표 [0] 2 53 2 2 2" xfId="8281"/>
    <cellStyle name="쉼표 [0] 2 53 2 3" xfId="6086"/>
    <cellStyle name="쉼표 [0] 2 53 3" xfId="2752"/>
    <cellStyle name="쉼표 [0] 2 53 3 2" xfId="7195"/>
    <cellStyle name="쉼표 [0] 2 53 4" xfId="4998"/>
    <cellStyle name="쉼표 [0] 2 54" xfId="1239"/>
    <cellStyle name="쉼표 [0] 2 54 2" xfId="2330"/>
    <cellStyle name="쉼표 [0] 2 54 2 2" xfId="4525"/>
    <cellStyle name="쉼표 [0] 2 54 2 2 2" xfId="8968"/>
    <cellStyle name="쉼표 [0] 2 54 2 3" xfId="6773"/>
    <cellStyle name="쉼표 [0] 2 54 3" xfId="3439"/>
    <cellStyle name="쉼표 [0] 2 54 3 2" xfId="7882"/>
    <cellStyle name="쉼표 [0] 2 54 4" xfId="5685"/>
    <cellStyle name="쉼표 [0] 2 55" xfId="1241"/>
    <cellStyle name="쉼표 [0] 2 55 2" xfId="2332"/>
    <cellStyle name="쉼표 [0] 2 55 2 2" xfId="4527"/>
    <cellStyle name="쉼표 [0] 2 55 2 2 2" xfId="8970"/>
    <cellStyle name="쉼표 [0] 2 55 2 3" xfId="6775"/>
    <cellStyle name="쉼표 [0] 2 55 3" xfId="3441"/>
    <cellStyle name="쉼표 [0] 2 55 3 2" xfId="7884"/>
    <cellStyle name="쉼표 [0] 2 55 4" xfId="5687"/>
    <cellStyle name="쉼표 [0] 2 56" xfId="1247"/>
    <cellStyle name="쉼표 [0] 2 56 2" xfId="2336"/>
    <cellStyle name="쉼표 [0] 2 56 2 2" xfId="4531"/>
    <cellStyle name="쉼표 [0] 2 56 2 2 2" xfId="8974"/>
    <cellStyle name="쉼표 [0] 2 56 2 3" xfId="6779"/>
    <cellStyle name="쉼표 [0] 2 56 3" xfId="3445"/>
    <cellStyle name="쉼표 [0] 2 56 3 2" xfId="7888"/>
    <cellStyle name="쉼표 [0] 2 56 4" xfId="5691"/>
    <cellStyle name="쉼표 [0] 2 57" xfId="1251"/>
    <cellStyle name="쉼표 [0] 2 57 2" xfId="2340"/>
    <cellStyle name="쉼표 [0] 2 57 2 2" xfId="4535"/>
    <cellStyle name="쉼표 [0] 2 57 2 2 2" xfId="8978"/>
    <cellStyle name="쉼표 [0] 2 57 2 3" xfId="6783"/>
    <cellStyle name="쉼표 [0] 2 57 3" xfId="3449"/>
    <cellStyle name="쉼표 [0] 2 57 3 2" xfId="7892"/>
    <cellStyle name="쉼표 [0] 2 57 4" xfId="5695"/>
    <cellStyle name="쉼표 [0] 2 58" xfId="1255"/>
    <cellStyle name="쉼표 [0] 2 58 2" xfId="2344"/>
    <cellStyle name="쉼표 [0] 2 58 2 2" xfId="4539"/>
    <cellStyle name="쉼표 [0] 2 58 2 2 2" xfId="8982"/>
    <cellStyle name="쉼표 [0] 2 58 2 3" xfId="6787"/>
    <cellStyle name="쉼표 [0] 2 58 3" xfId="3453"/>
    <cellStyle name="쉼표 [0] 2 58 3 2" xfId="7896"/>
    <cellStyle name="쉼표 [0] 2 58 4" xfId="5699"/>
    <cellStyle name="쉼표 [0] 2 59" xfId="2348"/>
    <cellStyle name="쉼표 [0] 2 59 2" xfId="4543"/>
    <cellStyle name="쉼표 [0] 2 59 2 2" xfId="8986"/>
    <cellStyle name="쉼표 [0] 2 59 3" xfId="6791"/>
    <cellStyle name="쉼표 [0] 2 6" xfId="22"/>
    <cellStyle name="쉼표 [0] 2 6 2" xfId="60"/>
    <cellStyle name="쉼표 [0] 2 6 2 2" xfId="396"/>
    <cellStyle name="쉼표 [0] 2 6 2 2 2" xfId="1024"/>
    <cellStyle name="쉼표 [0] 2 6 2 2 2 2" xfId="2115"/>
    <cellStyle name="쉼표 [0] 2 6 2 2 2 2 2" xfId="4310"/>
    <cellStyle name="쉼표 [0] 2 6 2 2 2 2 2 2" xfId="8753"/>
    <cellStyle name="쉼표 [0] 2 6 2 2 2 2 3" xfId="6558"/>
    <cellStyle name="쉼표 [0] 2 6 2 2 2 3" xfId="3224"/>
    <cellStyle name="쉼표 [0] 2 6 2 2 2 3 2" xfId="7667"/>
    <cellStyle name="쉼표 [0] 2 6 2 2 2 4" xfId="5470"/>
    <cellStyle name="쉼표 [0] 2 6 2 2 3" xfId="729"/>
    <cellStyle name="쉼표 [0] 2 6 2 2 3 2" xfId="1820"/>
    <cellStyle name="쉼표 [0] 2 6 2 2 3 2 2" xfId="4015"/>
    <cellStyle name="쉼표 [0] 2 6 2 2 3 2 2 2" xfId="8458"/>
    <cellStyle name="쉼표 [0] 2 6 2 2 3 2 3" xfId="6263"/>
    <cellStyle name="쉼표 [0] 2 6 2 2 3 3" xfId="2929"/>
    <cellStyle name="쉼표 [0] 2 6 2 2 3 3 2" xfId="7372"/>
    <cellStyle name="쉼표 [0] 2 6 2 2 3 4" xfId="5175"/>
    <cellStyle name="쉼표 [0] 2 6 2 2 4" xfId="1487"/>
    <cellStyle name="쉼표 [0] 2 6 2 2 4 2" xfId="3682"/>
    <cellStyle name="쉼표 [0] 2 6 2 2 4 2 2" xfId="8125"/>
    <cellStyle name="쉼표 [0] 2 6 2 2 4 3" xfId="5930"/>
    <cellStyle name="쉼표 [0] 2 6 2 2 5" xfId="2596"/>
    <cellStyle name="쉼표 [0] 2 6 2 2 5 2" xfId="7039"/>
    <cellStyle name="쉼표 [0] 2 6 2 2 6" xfId="4842"/>
    <cellStyle name="쉼표 [0] 2 6 2 3" xfId="882"/>
    <cellStyle name="쉼표 [0] 2 6 2 3 2" xfId="1973"/>
    <cellStyle name="쉼표 [0] 2 6 2 3 2 2" xfId="4168"/>
    <cellStyle name="쉼표 [0] 2 6 2 3 2 2 2" xfId="8611"/>
    <cellStyle name="쉼표 [0] 2 6 2 3 2 3" xfId="6416"/>
    <cellStyle name="쉼표 [0] 2 6 2 3 3" xfId="3082"/>
    <cellStyle name="쉼표 [0] 2 6 2 3 3 2" xfId="7525"/>
    <cellStyle name="쉼표 [0] 2 6 2 3 4" xfId="5328"/>
    <cellStyle name="쉼표 [0] 2 6 2 4" xfId="584"/>
    <cellStyle name="쉼표 [0] 2 6 2 4 2" xfId="1675"/>
    <cellStyle name="쉼표 [0] 2 6 2 4 2 2" xfId="3870"/>
    <cellStyle name="쉼표 [0] 2 6 2 4 2 2 2" xfId="8313"/>
    <cellStyle name="쉼표 [0] 2 6 2 4 2 3" xfId="6118"/>
    <cellStyle name="쉼표 [0] 2 6 2 4 3" xfId="2784"/>
    <cellStyle name="쉼표 [0] 2 6 2 4 3 2" xfId="7227"/>
    <cellStyle name="쉼표 [0] 2 6 2 4 4" xfId="5030"/>
    <cellStyle name="쉼표 [0] 2 6 2 5" xfId="1298"/>
    <cellStyle name="쉼표 [0] 2 6 2 5 2" xfId="3493"/>
    <cellStyle name="쉼표 [0] 2 6 2 5 2 2" xfId="7936"/>
    <cellStyle name="쉼표 [0] 2 6 2 5 3" xfId="5741"/>
    <cellStyle name="쉼표 [0] 2 6 2 6" xfId="2407"/>
    <cellStyle name="쉼표 [0] 2 6 2 6 2" xfId="6850"/>
    <cellStyle name="쉼표 [0] 2 6 2 7" xfId="4619"/>
    <cellStyle name="쉼표 [0] 2 6 3" xfId="304"/>
    <cellStyle name="쉼표 [0] 2 6 3 2" xfId="490"/>
    <cellStyle name="쉼표 [0] 2 6 3 2 2" xfId="1074"/>
    <cellStyle name="쉼표 [0] 2 6 3 2 2 2" xfId="2165"/>
    <cellStyle name="쉼표 [0] 2 6 3 2 2 2 2" xfId="4360"/>
    <cellStyle name="쉼표 [0] 2 6 3 2 2 2 2 2" xfId="8803"/>
    <cellStyle name="쉼표 [0] 2 6 3 2 2 2 3" xfId="6608"/>
    <cellStyle name="쉼표 [0] 2 6 3 2 2 3" xfId="3274"/>
    <cellStyle name="쉼표 [0] 2 6 3 2 2 3 2" xfId="7717"/>
    <cellStyle name="쉼표 [0] 2 6 3 2 2 4" xfId="5520"/>
    <cellStyle name="쉼표 [0] 2 6 3 2 3" xfId="779"/>
    <cellStyle name="쉼표 [0] 2 6 3 2 3 2" xfId="1870"/>
    <cellStyle name="쉼표 [0] 2 6 3 2 3 2 2" xfId="4065"/>
    <cellStyle name="쉼표 [0] 2 6 3 2 3 2 2 2" xfId="8508"/>
    <cellStyle name="쉼표 [0] 2 6 3 2 3 2 3" xfId="6313"/>
    <cellStyle name="쉼표 [0] 2 6 3 2 3 3" xfId="2979"/>
    <cellStyle name="쉼표 [0] 2 6 3 2 3 3 2" xfId="7422"/>
    <cellStyle name="쉼표 [0] 2 6 3 2 3 4" xfId="5225"/>
    <cellStyle name="쉼표 [0] 2 6 3 2 4" xfId="1581"/>
    <cellStyle name="쉼표 [0] 2 6 3 2 4 2" xfId="3776"/>
    <cellStyle name="쉼표 [0] 2 6 3 2 4 2 2" xfId="8219"/>
    <cellStyle name="쉼표 [0] 2 6 3 2 4 3" xfId="6024"/>
    <cellStyle name="쉼표 [0] 2 6 3 2 5" xfId="2690"/>
    <cellStyle name="쉼표 [0] 2 6 3 2 5 2" xfId="7133"/>
    <cellStyle name="쉼표 [0] 2 6 3 2 6" xfId="4936"/>
    <cellStyle name="쉼표 [0] 2 6 3 3" xfId="932"/>
    <cellStyle name="쉼표 [0] 2 6 3 3 2" xfId="2023"/>
    <cellStyle name="쉼표 [0] 2 6 3 3 2 2" xfId="4218"/>
    <cellStyle name="쉼표 [0] 2 6 3 3 2 2 2" xfId="8661"/>
    <cellStyle name="쉼표 [0] 2 6 3 3 2 3" xfId="6466"/>
    <cellStyle name="쉼표 [0] 2 6 3 3 3" xfId="3132"/>
    <cellStyle name="쉼표 [0] 2 6 3 3 3 2" xfId="7575"/>
    <cellStyle name="쉼표 [0] 2 6 3 3 4" xfId="5378"/>
    <cellStyle name="쉼표 [0] 2 6 3 4" xfId="637"/>
    <cellStyle name="쉼표 [0] 2 6 3 4 2" xfId="1728"/>
    <cellStyle name="쉼표 [0] 2 6 3 4 2 2" xfId="3923"/>
    <cellStyle name="쉼표 [0] 2 6 3 4 2 2 2" xfId="8366"/>
    <cellStyle name="쉼표 [0] 2 6 3 4 2 3" xfId="6171"/>
    <cellStyle name="쉼표 [0] 2 6 3 4 3" xfId="2837"/>
    <cellStyle name="쉼표 [0] 2 6 3 4 3 2" xfId="7280"/>
    <cellStyle name="쉼표 [0] 2 6 3 4 4" xfId="5083"/>
    <cellStyle name="쉼표 [0] 2 6 3 5" xfId="1395"/>
    <cellStyle name="쉼표 [0] 2 6 3 5 2" xfId="3590"/>
    <cellStyle name="쉼표 [0] 2 6 3 5 2 2" xfId="8033"/>
    <cellStyle name="쉼표 [0] 2 6 3 5 3" xfId="5838"/>
    <cellStyle name="쉼표 [0] 2 6 3 6" xfId="2504"/>
    <cellStyle name="쉼표 [0] 2 6 3 6 2" xfId="6947"/>
    <cellStyle name="쉼표 [0] 2 6 3 7" xfId="4750"/>
    <cellStyle name="쉼표 [0] 2 6 4" xfId="377"/>
    <cellStyle name="쉼표 [0] 2 6 4 2" xfId="1005"/>
    <cellStyle name="쉼표 [0] 2 6 4 2 2" xfId="2096"/>
    <cellStyle name="쉼표 [0] 2 6 4 2 2 2" xfId="4291"/>
    <cellStyle name="쉼표 [0] 2 6 4 2 2 2 2" xfId="8734"/>
    <cellStyle name="쉼표 [0] 2 6 4 2 2 3" xfId="6539"/>
    <cellStyle name="쉼표 [0] 2 6 4 2 3" xfId="3205"/>
    <cellStyle name="쉼표 [0] 2 6 4 2 3 2" xfId="7648"/>
    <cellStyle name="쉼표 [0] 2 6 4 2 4" xfId="5451"/>
    <cellStyle name="쉼표 [0] 2 6 4 3" xfId="710"/>
    <cellStyle name="쉼표 [0] 2 6 4 3 2" xfId="1801"/>
    <cellStyle name="쉼표 [0] 2 6 4 3 2 2" xfId="3996"/>
    <cellStyle name="쉼표 [0] 2 6 4 3 2 2 2" xfId="8439"/>
    <cellStyle name="쉼표 [0] 2 6 4 3 2 3" xfId="6244"/>
    <cellStyle name="쉼표 [0] 2 6 4 3 3" xfId="2910"/>
    <cellStyle name="쉼표 [0] 2 6 4 3 3 2" xfId="7353"/>
    <cellStyle name="쉼표 [0] 2 6 4 3 4" xfId="5156"/>
    <cellStyle name="쉼표 [0] 2 6 4 4" xfId="1468"/>
    <cellStyle name="쉼표 [0] 2 6 4 4 2" xfId="3663"/>
    <cellStyle name="쉼표 [0] 2 6 4 4 2 2" xfId="8106"/>
    <cellStyle name="쉼표 [0] 2 6 4 4 3" xfId="5911"/>
    <cellStyle name="쉼표 [0] 2 6 4 5" xfId="2577"/>
    <cellStyle name="쉼표 [0] 2 6 4 5 2" xfId="7020"/>
    <cellStyle name="쉼표 [0] 2 6 4 6" xfId="4823"/>
    <cellStyle name="쉼표 [0] 2 6 5" xfId="862"/>
    <cellStyle name="쉼표 [0] 2 6 5 2" xfId="1953"/>
    <cellStyle name="쉼표 [0] 2 6 5 2 2" xfId="4148"/>
    <cellStyle name="쉼표 [0] 2 6 5 2 2 2" xfId="8591"/>
    <cellStyle name="쉼표 [0] 2 6 5 2 3" xfId="6396"/>
    <cellStyle name="쉼표 [0] 2 6 5 3" xfId="3062"/>
    <cellStyle name="쉼표 [0] 2 6 5 3 2" xfId="7505"/>
    <cellStyle name="쉼표 [0] 2 6 5 4" xfId="5308"/>
    <cellStyle name="쉼표 [0] 2 6 6" xfId="564"/>
    <cellStyle name="쉼표 [0] 2 6 6 2" xfId="1655"/>
    <cellStyle name="쉼표 [0] 2 6 6 2 2" xfId="3850"/>
    <cellStyle name="쉼표 [0] 2 6 6 2 2 2" xfId="8293"/>
    <cellStyle name="쉼표 [0] 2 6 6 2 3" xfId="6098"/>
    <cellStyle name="쉼표 [0] 2 6 6 3" xfId="2764"/>
    <cellStyle name="쉼표 [0] 2 6 6 3 2" xfId="7207"/>
    <cellStyle name="쉼표 [0] 2 6 6 4" xfId="5010"/>
    <cellStyle name="쉼표 [0] 2 6 7" xfId="1276"/>
    <cellStyle name="쉼표 [0] 2 6 7 2" xfId="3473"/>
    <cellStyle name="쉼표 [0] 2 6 7 2 2" xfId="7916"/>
    <cellStyle name="쉼표 [0] 2 6 7 3" xfId="5720"/>
    <cellStyle name="쉼표 [0] 2 6 8" xfId="2387"/>
    <cellStyle name="쉼표 [0] 2 6 8 2" xfId="6830"/>
    <cellStyle name="쉼표 [0] 2 6 9" xfId="4596"/>
    <cellStyle name="쉼표 [0] 2 60" xfId="1263"/>
    <cellStyle name="쉼표 [0] 2 60 2" xfId="3461"/>
    <cellStyle name="쉼표 [0] 2 60 2 2" xfId="7904"/>
    <cellStyle name="쉼표 [0] 2 60 3" xfId="5707"/>
    <cellStyle name="쉼표 [0] 2 61" xfId="1259"/>
    <cellStyle name="쉼표 [0] 2 61 2" xfId="3457"/>
    <cellStyle name="쉼표 [0] 2 61 2 2" xfId="7900"/>
    <cellStyle name="쉼표 [0] 2 61 3" xfId="5703"/>
    <cellStyle name="쉼표 [0] 2 62" xfId="2352"/>
    <cellStyle name="쉼표 [0] 2 62 2" xfId="4547"/>
    <cellStyle name="쉼표 [0] 2 62 2 2" xfId="8990"/>
    <cellStyle name="쉼표 [0] 2 62 3" xfId="6795"/>
    <cellStyle name="쉼표 [0] 2 63" xfId="2356"/>
    <cellStyle name="쉼표 [0] 2 63 2" xfId="4551"/>
    <cellStyle name="쉼표 [0] 2 63 2 2" xfId="8994"/>
    <cellStyle name="쉼표 [0] 2 63 3" xfId="6799"/>
    <cellStyle name="쉼표 [0] 2 64" xfId="2360"/>
    <cellStyle name="쉼표 [0] 2 64 2" xfId="4555"/>
    <cellStyle name="쉼표 [0] 2 64 2 2" xfId="8998"/>
    <cellStyle name="쉼표 [0] 2 64 3" xfId="6803"/>
    <cellStyle name="쉼표 [0] 2 65" xfId="2364"/>
    <cellStyle name="쉼표 [0] 2 65 2" xfId="4559"/>
    <cellStyle name="쉼표 [0] 2 65 2 2" xfId="9002"/>
    <cellStyle name="쉼표 [0] 2 65 3" xfId="6807"/>
    <cellStyle name="쉼표 [0] 2 66" xfId="2366"/>
    <cellStyle name="쉼표 [0] 2 66 2" xfId="4561"/>
    <cellStyle name="쉼표 [0] 2 66 2 2" xfId="9004"/>
    <cellStyle name="쉼표 [0] 2 66 3" xfId="6809"/>
    <cellStyle name="쉼표 [0] 2 67" xfId="2368"/>
    <cellStyle name="쉼표 [0] 2 67 2" xfId="4563"/>
    <cellStyle name="쉼표 [0] 2 67 2 2" xfId="9006"/>
    <cellStyle name="쉼표 [0] 2 67 3" xfId="6811"/>
    <cellStyle name="쉼표 [0] 2 68" xfId="2370"/>
    <cellStyle name="쉼표 [0] 2 68 2" xfId="4565"/>
    <cellStyle name="쉼표 [0] 2 68 2 2" xfId="9008"/>
    <cellStyle name="쉼표 [0] 2 68 3" xfId="6813"/>
    <cellStyle name="쉼표 [0] 2 69" xfId="2372"/>
    <cellStyle name="쉼표 [0] 2 69 2" xfId="4567"/>
    <cellStyle name="쉼표 [0] 2 69 2 2" xfId="9010"/>
    <cellStyle name="쉼표 [0] 2 69 3" xfId="6815"/>
    <cellStyle name="쉼표 [0] 2 7" xfId="63"/>
    <cellStyle name="쉼표 [0] 2 7 2" xfId="306"/>
    <cellStyle name="쉼표 [0] 2 7 2 2" xfId="492"/>
    <cellStyle name="쉼표 [0] 2 7 2 2 2" xfId="1076"/>
    <cellStyle name="쉼표 [0] 2 7 2 2 2 2" xfId="2167"/>
    <cellStyle name="쉼표 [0] 2 7 2 2 2 2 2" xfId="4362"/>
    <cellStyle name="쉼표 [0] 2 7 2 2 2 2 2 2" xfId="8805"/>
    <cellStyle name="쉼표 [0] 2 7 2 2 2 2 3" xfId="6610"/>
    <cellStyle name="쉼표 [0] 2 7 2 2 2 3" xfId="3276"/>
    <cellStyle name="쉼표 [0] 2 7 2 2 2 3 2" xfId="7719"/>
    <cellStyle name="쉼표 [0] 2 7 2 2 2 4" xfId="5522"/>
    <cellStyle name="쉼표 [0] 2 7 2 2 3" xfId="781"/>
    <cellStyle name="쉼표 [0] 2 7 2 2 3 2" xfId="1872"/>
    <cellStyle name="쉼표 [0] 2 7 2 2 3 2 2" xfId="4067"/>
    <cellStyle name="쉼표 [0] 2 7 2 2 3 2 2 2" xfId="8510"/>
    <cellStyle name="쉼표 [0] 2 7 2 2 3 2 3" xfId="6315"/>
    <cellStyle name="쉼표 [0] 2 7 2 2 3 3" xfId="2981"/>
    <cellStyle name="쉼표 [0] 2 7 2 2 3 3 2" xfId="7424"/>
    <cellStyle name="쉼표 [0] 2 7 2 2 3 4" xfId="5227"/>
    <cellStyle name="쉼표 [0] 2 7 2 2 4" xfId="1583"/>
    <cellStyle name="쉼표 [0] 2 7 2 2 4 2" xfId="3778"/>
    <cellStyle name="쉼표 [0] 2 7 2 2 4 2 2" xfId="8221"/>
    <cellStyle name="쉼표 [0] 2 7 2 2 4 3" xfId="6026"/>
    <cellStyle name="쉼표 [0] 2 7 2 2 5" xfId="2692"/>
    <cellStyle name="쉼표 [0] 2 7 2 2 5 2" xfId="7135"/>
    <cellStyle name="쉼표 [0] 2 7 2 2 6" xfId="4938"/>
    <cellStyle name="쉼표 [0] 2 7 2 3" xfId="934"/>
    <cellStyle name="쉼표 [0] 2 7 2 3 2" xfId="2025"/>
    <cellStyle name="쉼표 [0] 2 7 2 3 2 2" xfId="4220"/>
    <cellStyle name="쉼표 [0] 2 7 2 3 2 2 2" xfId="8663"/>
    <cellStyle name="쉼표 [0] 2 7 2 3 2 3" xfId="6468"/>
    <cellStyle name="쉼표 [0] 2 7 2 3 3" xfId="3134"/>
    <cellStyle name="쉼표 [0] 2 7 2 3 3 2" xfId="7577"/>
    <cellStyle name="쉼표 [0] 2 7 2 3 4" xfId="5380"/>
    <cellStyle name="쉼표 [0] 2 7 2 4" xfId="639"/>
    <cellStyle name="쉼표 [0] 2 7 2 4 2" xfId="1730"/>
    <cellStyle name="쉼표 [0] 2 7 2 4 2 2" xfId="3925"/>
    <cellStyle name="쉼표 [0] 2 7 2 4 2 2 2" xfId="8368"/>
    <cellStyle name="쉼표 [0] 2 7 2 4 2 3" xfId="6173"/>
    <cellStyle name="쉼표 [0] 2 7 2 4 3" xfId="2839"/>
    <cellStyle name="쉼표 [0] 2 7 2 4 3 2" xfId="7282"/>
    <cellStyle name="쉼표 [0] 2 7 2 4 4" xfId="5085"/>
    <cellStyle name="쉼표 [0] 2 7 2 5" xfId="1397"/>
    <cellStyle name="쉼표 [0] 2 7 2 5 2" xfId="3592"/>
    <cellStyle name="쉼표 [0] 2 7 2 5 2 2" xfId="8035"/>
    <cellStyle name="쉼표 [0] 2 7 2 5 3" xfId="5840"/>
    <cellStyle name="쉼표 [0] 2 7 2 6" xfId="2506"/>
    <cellStyle name="쉼표 [0] 2 7 2 6 2" xfId="6949"/>
    <cellStyle name="쉼표 [0] 2 7 2 7" xfId="4752"/>
    <cellStyle name="쉼표 [0] 2 7 3" xfId="398"/>
    <cellStyle name="쉼표 [0] 2 7 3 2" xfId="1026"/>
    <cellStyle name="쉼표 [0] 2 7 3 2 2" xfId="2117"/>
    <cellStyle name="쉼표 [0] 2 7 3 2 2 2" xfId="4312"/>
    <cellStyle name="쉼표 [0] 2 7 3 2 2 2 2" xfId="8755"/>
    <cellStyle name="쉼표 [0] 2 7 3 2 2 3" xfId="6560"/>
    <cellStyle name="쉼표 [0] 2 7 3 2 3" xfId="3226"/>
    <cellStyle name="쉼표 [0] 2 7 3 2 3 2" xfId="7669"/>
    <cellStyle name="쉼표 [0] 2 7 3 2 4" xfId="5472"/>
    <cellStyle name="쉼표 [0] 2 7 3 3" xfId="731"/>
    <cellStyle name="쉼표 [0] 2 7 3 3 2" xfId="1822"/>
    <cellStyle name="쉼표 [0] 2 7 3 3 2 2" xfId="4017"/>
    <cellStyle name="쉼표 [0] 2 7 3 3 2 2 2" xfId="8460"/>
    <cellStyle name="쉼표 [0] 2 7 3 3 2 3" xfId="6265"/>
    <cellStyle name="쉼표 [0] 2 7 3 3 3" xfId="2931"/>
    <cellStyle name="쉼표 [0] 2 7 3 3 3 2" xfId="7374"/>
    <cellStyle name="쉼표 [0] 2 7 3 3 4" xfId="5177"/>
    <cellStyle name="쉼표 [0] 2 7 3 4" xfId="1489"/>
    <cellStyle name="쉼표 [0] 2 7 3 4 2" xfId="3684"/>
    <cellStyle name="쉼표 [0] 2 7 3 4 2 2" xfId="8127"/>
    <cellStyle name="쉼표 [0] 2 7 3 4 3" xfId="5932"/>
    <cellStyle name="쉼표 [0] 2 7 3 5" xfId="2598"/>
    <cellStyle name="쉼표 [0] 2 7 3 5 2" xfId="7041"/>
    <cellStyle name="쉼표 [0] 2 7 3 6" xfId="4844"/>
    <cellStyle name="쉼표 [0] 2 7 4" xfId="884"/>
    <cellStyle name="쉼표 [0] 2 7 4 2" xfId="1975"/>
    <cellStyle name="쉼표 [0] 2 7 4 2 2" xfId="4170"/>
    <cellStyle name="쉼표 [0] 2 7 4 2 2 2" xfId="8613"/>
    <cellStyle name="쉼표 [0] 2 7 4 2 3" xfId="6418"/>
    <cellStyle name="쉼표 [0] 2 7 4 3" xfId="3084"/>
    <cellStyle name="쉼표 [0] 2 7 4 3 2" xfId="7527"/>
    <cellStyle name="쉼표 [0] 2 7 4 4" xfId="5330"/>
    <cellStyle name="쉼표 [0] 2 7 5" xfId="586"/>
    <cellStyle name="쉼표 [0] 2 7 5 2" xfId="1677"/>
    <cellStyle name="쉼표 [0] 2 7 5 2 2" xfId="3872"/>
    <cellStyle name="쉼표 [0] 2 7 5 2 2 2" xfId="8315"/>
    <cellStyle name="쉼표 [0] 2 7 5 2 3" xfId="6120"/>
    <cellStyle name="쉼표 [0] 2 7 5 3" xfId="2786"/>
    <cellStyle name="쉼표 [0] 2 7 5 3 2" xfId="7229"/>
    <cellStyle name="쉼표 [0] 2 7 5 4" xfId="5032"/>
    <cellStyle name="쉼표 [0] 2 7 6" xfId="1300"/>
    <cellStyle name="쉼표 [0] 2 7 6 2" xfId="3495"/>
    <cellStyle name="쉼표 [0] 2 7 6 2 2" xfId="7938"/>
    <cellStyle name="쉼표 [0] 2 7 6 3" xfId="5743"/>
    <cellStyle name="쉼표 [0] 2 7 7" xfId="2409"/>
    <cellStyle name="쉼표 [0] 2 7 7 2" xfId="6852"/>
    <cellStyle name="쉼표 [0] 2 7 8" xfId="4621"/>
    <cellStyle name="쉼표 [0] 2 70" xfId="4570"/>
    <cellStyle name="쉼표 [0] 2 70 2" xfId="9013"/>
    <cellStyle name="쉼표 [0] 2 71" xfId="2375"/>
    <cellStyle name="쉼표 [0] 2 71 2" xfId="6818"/>
    <cellStyle name="쉼표 [0] 2 72" xfId="4572"/>
    <cellStyle name="쉼표 [0] 2 72 2" xfId="9015"/>
    <cellStyle name="쉼표 [0] 2 73" xfId="4580"/>
    <cellStyle name="쉼표 [0] 2 73 2" xfId="9023"/>
    <cellStyle name="쉼표 [0] 2 74" xfId="4584"/>
    <cellStyle name="쉼표 [0] 2 75" xfId="8"/>
    <cellStyle name="쉼표 [0] 2 76" xfId="10900"/>
    <cellStyle name="쉼표 [0] 2 8" xfId="68"/>
    <cellStyle name="쉼표 [0] 2 8 2" xfId="308"/>
    <cellStyle name="쉼표 [0] 2 8 2 2" xfId="494"/>
    <cellStyle name="쉼표 [0] 2 8 2 2 2" xfId="1078"/>
    <cellStyle name="쉼표 [0] 2 8 2 2 2 2" xfId="2169"/>
    <cellStyle name="쉼표 [0] 2 8 2 2 2 2 2" xfId="4364"/>
    <cellStyle name="쉼표 [0] 2 8 2 2 2 2 2 2" xfId="8807"/>
    <cellStyle name="쉼표 [0] 2 8 2 2 2 2 3" xfId="6612"/>
    <cellStyle name="쉼표 [0] 2 8 2 2 2 3" xfId="3278"/>
    <cellStyle name="쉼표 [0] 2 8 2 2 2 3 2" xfId="7721"/>
    <cellStyle name="쉼표 [0] 2 8 2 2 2 4" xfId="5524"/>
    <cellStyle name="쉼표 [0] 2 8 2 2 3" xfId="783"/>
    <cellStyle name="쉼표 [0] 2 8 2 2 3 2" xfId="1874"/>
    <cellStyle name="쉼표 [0] 2 8 2 2 3 2 2" xfId="4069"/>
    <cellStyle name="쉼표 [0] 2 8 2 2 3 2 2 2" xfId="8512"/>
    <cellStyle name="쉼표 [0] 2 8 2 2 3 2 3" xfId="6317"/>
    <cellStyle name="쉼표 [0] 2 8 2 2 3 3" xfId="2983"/>
    <cellStyle name="쉼표 [0] 2 8 2 2 3 3 2" xfId="7426"/>
    <cellStyle name="쉼표 [0] 2 8 2 2 3 4" xfId="5229"/>
    <cellStyle name="쉼표 [0] 2 8 2 2 4" xfId="1585"/>
    <cellStyle name="쉼표 [0] 2 8 2 2 4 2" xfId="3780"/>
    <cellStyle name="쉼표 [0] 2 8 2 2 4 2 2" xfId="8223"/>
    <cellStyle name="쉼표 [0] 2 8 2 2 4 3" xfId="6028"/>
    <cellStyle name="쉼표 [0] 2 8 2 2 5" xfId="2694"/>
    <cellStyle name="쉼표 [0] 2 8 2 2 5 2" xfId="7137"/>
    <cellStyle name="쉼표 [0] 2 8 2 2 6" xfId="4940"/>
    <cellStyle name="쉼표 [0] 2 8 2 3" xfId="936"/>
    <cellStyle name="쉼표 [0] 2 8 2 3 2" xfId="2027"/>
    <cellStyle name="쉼표 [0] 2 8 2 3 2 2" xfId="4222"/>
    <cellStyle name="쉼표 [0] 2 8 2 3 2 2 2" xfId="8665"/>
    <cellStyle name="쉼표 [0] 2 8 2 3 2 3" xfId="6470"/>
    <cellStyle name="쉼표 [0] 2 8 2 3 3" xfId="3136"/>
    <cellStyle name="쉼표 [0] 2 8 2 3 3 2" xfId="7579"/>
    <cellStyle name="쉼표 [0] 2 8 2 3 4" xfId="5382"/>
    <cellStyle name="쉼표 [0] 2 8 2 4" xfId="641"/>
    <cellStyle name="쉼표 [0] 2 8 2 4 2" xfId="1732"/>
    <cellStyle name="쉼표 [0] 2 8 2 4 2 2" xfId="3927"/>
    <cellStyle name="쉼표 [0] 2 8 2 4 2 2 2" xfId="8370"/>
    <cellStyle name="쉼표 [0] 2 8 2 4 2 3" xfId="6175"/>
    <cellStyle name="쉼표 [0] 2 8 2 4 3" xfId="2841"/>
    <cellStyle name="쉼표 [0] 2 8 2 4 3 2" xfId="7284"/>
    <cellStyle name="쉼표 [0] 2 8 2 4 4" xfId="5087"/>
    <cellStyle name="쉼표 [0] 2 8 2 5" xfId="1399"/>
    <cellStyle name="쉼표 [0] 2 8 2 5 2" xfId="3594"/>
    <cellStyle name="쉼표 [0] 2 8 2 5 2 2" xfId="8037"/>
    <cellStyle name="쉼표 [0] 2 8 2 5 3" xfId="5842"/>
    <cellStyle name="쉼표 [0] 2 8 2 6" xfId="2508"/>
    <cellStyle name="쉼표 [0] 2 8 2 6 2" xfId="6951"/>
    <cellStyle name="쉼표 [0] 2 8 2 7" xfId="4754"/>
    <cellStyle name="쉼표 [0] 2 8 3" xfId="400"/>
    <cellStyle name="쉼표 [0] 2 8 3 2" xfId="1028"/>
    <cellStyle name="쉼표 [0] 2 8 3 2 2" xfId="2119"/>
    <cellStyle name="쉼표 [0] 2 8 3 2 2 2" xfId="4314"/>
    <cellStyle name="쉼표 [0] 2 8 3 2 2 2 2" xfId="8757"/>
    <cellStyle name="쉼표 [0] 2 8 3 2 2 3" xfId="6562"/>
    <cellStyle name="쉼표 [0] 2 8 3 2 3" xfId="3228"/>
    <cellStyle name="쉼표 [0] 2 8 3 2 3 2" xfId="7671"/>
    <cellStyle name="쉼표 [0] 2 8 3 2 4" xfId="5474"/>
    <cellStyle name="쉼표 [0] 2 8 3 3" xfId="733"/>
    <cellStyle name="쉼표 [0] 2 8 3 3 2" xfId="1824"/>
    <cellStyle name="쉼표 [0] 2 8 3 3 2 2" xfId="4019"/>
    <cellStyle name="쉼표 [0] 2 8 3 3 2 2 2" xfId="8462"/>
    <cellStyle name="쉼표 [0] 2 8 3 3 2 3" xfId="6267"/>
    <cellStyle name="쉼표 [0] 2 8 3 3 3" xfId="2933"/>
    <cellStyle name="쉼표 [0] 2 8 3 3 3 2" xfId="7376"/>
    <cellStyle name="쉼표 [0] 2 8 3 3 4" xfId="5179"/>
    <cellStyle name="쉼표 [0] 2 8 3 4" xfId="1491"/>
    <cellStyle name="쉼표 [0] 2 8 3 4 2" xfId="3686"/>
    <cellStyle name="쉼표 [0] 2 8 3 4 2 2" xfId="8129"/>
    <cellStyle name="쉼표 [0] 2 8 3 4 3" xfId="5934"/>
    <cellStyle name="쉼표 [0] 2 8 3 5" xfId="2600"/>
    <cellStyle name="쉼표 [0] 2 8 3 5 2" xfId="7043"/>
    <cellStyle name="쉼표 [0] 2 8 3 6" xfId="4846"/>
    <cellStyle name="쉼표 [0] 2 8 4" xfId="886"/>
    <cellStyle name="쉼표 [0] 2 8 4 2" xfId="1977"/>
    <cellStyle name="쉼표 [0] 2 8 4 2 2" xfId="4172"/>
    <cellStyle name="쉼표 [0] 2 8 4 2 2 2" xfId="8615"/>
    <cellStyle name="쉼표 [0] 2 8 4 2 3" xfId="6420"/>
    <cellStyle name="쉼표 [0] 2 8 4 3" xfId="3086"/>
    <cellStyle name="쉼표 [0] 2 8 4 3 2" xfId="7529"/>
    <cellStyle name="쉼표 [0] 2 8 4 4" xfId="5332"/>
    <cellStyle name="쉼표 [0] 2 8 5" xfId="588"/>
    <cellStyle name="쉼표 [0] 2 8 5 2" xfId="1679"/>
    <cellStyle name="쉼표 [0] 2 8 5 2 2" xfId="3874"/>
    <cellStyle name="쉼표 [0] 2 8 5 2 2 2" xfId="8317"/>
    <cellStyle name="쉼표 [0] 2 8 5 2 3" xfId="6122"/>
    <cellStyle name="쉼표 [0] 2 8 5 3" xfId="2788"/>
    <cellStyle name="쉼표 [0] 2 8 5 3 2" xfId="7231"/>
    <cellStyle name="쉼표 [0] 2 8 5 4" xfId="5034"/>
    <cellStyle name="쉼표 [0] 2 8 6" xfId="1302"/>
    <cellStyle name="쉼표 [0] 2 8 6 2" xfId="3497"/>
    <cellStyle name="쉼표 [0] 2 8 6 2 2" xfId="7940"/>
    <cellStyle name="쉼표 [0] 2 8 6 3" xfId="5745"/>
    <cellStyle name="쉼표 [0] 2 8 7" xfId="2411"/>
    <cellStyle name="쉼표 [0] 2 8 7 2" xfId="6854"/>
    <cellStyle name="쉼표 [0] 2 8 8" xfId="4624"/>
    <cellStyle name="쉼표 [0] 2 9" xfId="69"/>
    <cellStyle name="쉼표 [0] 2 9 2" xfId="309"/>
    <cellStyle name="쉼표 [0] 2 9 2 2" xfId="495"/>
    <cellStyle name="쉼표 [0] 2 9 2 2 2" xfId="1079"/>
    <cellStyle name="쉼표 [0] 2 9 2 2 2 2" xfId="2170"/>
    <cellStyle name="쉼표 [0] 2 9 2 2 2 2 2" xfId="4365"/>
    <cellStyle name="쉼표 [0] 2 9 2 2 2 2 2 2" xfId="8808"/>
    <cellStyle name="쉼표 [0] 2 9 2 2 2 2 3" xfId="6613"/>
    <cellStyle name="쉼표 [0] 2 9 2 2 2 3" xfId="3279"/>
    <cellStyle name="쉼표 [0] 2 9 2 2 2 3 2" xfId="7722"/>
    <cellStyle name="쉼표 [0] 2 9 2 2 2 4" xfId="5525"/>
    <cellStyle name="쉼표 [0] 2 9 2 2 3" xfId="784"/>
    <cellStyle name="쉼표 [0] 2 9 2 2 3 2" xfId="1875"/>
    <cellStyle name="쉼표 [0] 2 9 2 2 3 2 2" xfId="4070"/>
    <cellStyle name="쉼표 [0] 2 9 2 2 3 2 2 2" xfId="8513"/>
    <cellStyle name="쉼표 [0] 2 9 2 2 3 2 3" xfId="6318"/>
    <cellStyle name="쉼표 [0] 2 9 2 2 3 3" xfId="2984"/>
    <cellStyle name="쉼표 [0] 2 9 2 2 3 3 2" xfId="7427"/>
    <cellStyle name="쉼표 [0] 2 9 2 2 3 4" xfId="5230"/>
    <cellStyle name="쉼표 [0] 2 9 2 2 4" xfId="1586"/>
    <cellStyle name="쉼표 [0] 2 9 2 2 4 2" xfId="3781"/>
    <cellStyle name="쉼표 [0] 2 9 2 2 4 2 2" xfId="8224"/>
    <cellStyle name="쉼표 [0] 2 9 2 2 4 3" xfId="6029"/>
    <cellStyle name="쉼표 [0] 2 9 2 2 5" xfId="2695"/>
    <cellStyle name="쉼표 [0] 2 9 2 2 5 2" xfId="7138"/>
    <cellStyle name="쉼표 [0] 2 9 2 2 6" xfId="4941"/>
    <cellStyle name="쉼표 [0] 2 9 2 3" xfId="937"/>
    <cellStyle name="쉼표 [0] 2 9 2 3 2" xfId="2028"/>
    <cellStyle name="쉼표 [0] 2 9 2 3 2 2" xfId="4223"/>
    <cellStyle name="쉼표 [0] 2 9 2 3 2 2 2" xfId="8666"/>
    <cellStyle name="쉼표 [0] 2 9 2 3 2 3" xfId="6471"/>
    <cellStyle name="쉼표 [0] 2 9 2 3 3" xfId="3137"/>
    <cellStyle name="쉼표 [0] 2 9 2 3 3 2" xfId="7580"/>
    <cellStyle name="쉼표 [0] 2 9 2 3 4" xfId="5383"/>
    <cellStyle name="쉼표 [0] 2 9 2 4" xfId="642"/>
    <cellStyle name="쉼표 [0] 2 9 2 4 2" xfId="1733"/>
    <cellStyle name="쉼표 [0] 2 9 2 4 2 2" xfId="3928"/>
    <cellStyle name="쉼표 [0] 2 9 2 4 2 2 2" xfId="8371"/>
    <cellStyle name="쉼표 [0] 2 9 2 4 2 3" xfId="6176"/>
    <cellStyle name="쉼표 [0] 2 9 2 4 3" xfId="2842"/>
    <cellStyle name="쉼표 [0] 2 9 2 4 3 2" xfId="7285"/>
    <cellStyle name="쉼표 [0] 2 9 2 4 4" xfId="5088"/>
    <cellStyle name="쉼표 [0] 2 9 2 5" xfId="1400"/>
    <cellStyle name="쉼표 [0] 2 9 2 5 2" xfId="3595"/>
    <cellStyle name="쉼표 [0] 2 9 2 5 2 2" xfId="8038"/>
    <cellStyle name="쉼표 [0] 2 9 2 5 3" xfId="5843"/>
    <cellStyle name="쉼표 [0] 2 9 2 6" xfId="2509"/>
    <cellStyle name="쉼표 [0] 2 9 2 6 2" xfId="6952"/>
    <cellStyle name="쉼표 [0] 2 9 2 7" xfId="4755"/>
    <cellStyle name="쉼표 [0] 2 9 3" xfId="401"/>
    <cellStyle name="쉼표 [0] 2 9 3 2" xfId="1029"/>
    <cellStyle name="쉼표 [0] 2 9 3 2 2" xfId="2120"/>
    <cellStyle name="쉼표 [0] 2 9 3 2 2 2" xfId="4315"/>
    <cellStyle name="쉼표 [0] 2 9 3 2 2 2 2" xfId="8758"/>
    <cellStyle name="쉼표 [0] 2 9 3 2 2 3" xfId="6563"/>
    <cellStyle name="쉼표 [0] 2 9 3 2 3" xfId="3229"/>
    <cellStyle name="쉼표 [0] 2 9 3 2 3 2" xfId="7672"/>
    <cellStyle name="쉼표 [0] 2 9 3 2 4" xfId="5475"/>
    <cellStyle name="쉼표 [0] 2 9 3 3" xfId="734"/>
    <cellStyle name="쉼표 [0] 2 9 3 3 2" xfId="1825"/>
    <cellStyle name="쉼표 [0] 2 9 3 3 2 2" xfId="4020"/>
    <cellStyle name="쉼표 [0] 2 9 3 3 2 2 2" xfId="8463"/>
    <cellStyle name="쉼표 [0] 2 9 3 3 2 3" xfId="6268"/>
    <cellStyle name="쉼표 [0] 2 9 3 3 3" xfId="2934"/>
    <cellStyle name="쉼표 [0] 2 9 3 3 3 2" xfId="7377"/>
    <cellStyle name="쉼표 [0] 2 9 3 3 4" xfId="5180"/>
    <cellStyle name="쉼표 [0] 2 9 3 4" xfId="1492"/>
    <cellStyle name="쉼표 [0] 2 9 3 4 2" xfId="3687"/>
    <cellStyle name="쉼표 [0] 2 9 3 4 2 2" xfId="8130"/>
    <cellStyle name="쉼표 [0] 2 9 3 4 3" xfId="5935"/>
    <cellStyle name="쉼표 [0] 2 9 3 5" xfId="2601"/>
    <cellStyle name="쉼표 [0] 2 9 3 5 2" xfId="7044"/>
    <cellStyle name="쉼표 [0] 2 9 3 6" xfId="4847"/>
    <cellStyle name="쉼표 [0] 2 9 4" xfId="887"/>
    <cellStyle name="쉼표 [0] 2 9 4 2" xfId="1978"/>
    <cellStyle name="쉼표 [0] 2 9 4 2 2" xfId="4173"/>
    <cellStyle name="쉼표 [0] 2 9 4 2 2 2" xfId="8616"/>
    <cellStyle name="쉼표 [0] 2 9 4 2 3" xfId="6421"/>
    <cellStyle name="쉼표 [0] 2 9 4 3" xfId="3087"/>
    <cellStyle name="쉼표 [0] 2 9 4 3 2" xfId="7530"/>
    <cellStyle name="쉼표 [0] 2 9 4 4" xfId="5333"/>
    <cellStyle name="쉼표 [0] 2 9 5" xfId="589"/>
    <cellStyle name="쉼표 [0] 2 9 5 2" xfId="1680"/>
    <cellStyle name="쉼표 [0] 2 9 5 2 2" xfId="3875"/>
    <cellStyle name="쉼표 [0] 2 9 5 2 2 2" xfId="8318"/>
    <cellStyle name="쉼표 [0] 2 9 5 2 3" xfId="6123"/>
    <cellStyle name="쉼표 [0] 2 9 5 3" xfId="2789"/>
    <cellStyle name="쉼표 [0] 2 9 5 3 2" xfId="7232"/>
    <cellStyle name="쉼표 [0] 2 9 5 4" xfId="5035"/>
    <cellStyle name="쉼표 [0] 2 9 6" xfId="1303"/>
    <cellStyle name="쉼표 [0] 2 9 6 2" xfId="3498"/>
    <cellStyle name="쉼표 [0] 2 9 6 2 2" xfId="7941"/>
    <cellStyle name="쉼표 [0] 2 9 6 3" xfId="5746"/>
    <cellStyle name="쉼표 [0] 2 9 7" xfId="2412"/>
    <cellStyle name="쉼표 [0] 2 9 7 2" xfId="6855"/>
    <cellStyle name="쉼표 [0] 2 9 8" xfId="4625"/>
    <cellStyle name="쉼표 [0] 20" xfId="334"/>
    <cellStyle name="쉼표 [0] 20 2" xfId="520"/>
    <cellStyle name="쉼표 [0] 20 2 2" xfId="1104"/>
    <cellStyle name="쉼표 [0] 20 2 2 2" xfId="2195"/>
    <cellStyle name="쉼표 [0] 20 2 2 2 2" xfId="4390"/>
    <cellStyle name="쉼표 [0] 20 2 2 2 2 2" xfId="8833"/>
    <cellStyle name="쉼표 [0] 20 2 2 2 3" xfId="6638"/>
    <cellStyle name="쉼표 [0] 20 2 2 3" xfId="3304"/>
    <cellStyle name="쉼표 [0] 20 2 2 3 2" xfId="7747"/>
    <cellStyle name="쉼표 [0] 20 2 2 4" xfId="5550"/>
    <cellStyle name="쉼표 [0] 20 2 3" xfId="809"/>
    <cellStyle name="쉼표 [0] 20 2 3 2" xfId="1900"/>
    <cellStyle name="쉼표 [0] 20 2 3 2 2" xfId="4095"/>
    <cellStyle name="쉼표 [0] 20 2 3 2 2 2" xfId="8538"/>
    <cellStyle name="쉼표 [0] 20 2 3 2 3" xfId="6343"/>
    <cellStyle name="쉼표 [0] 20 2 3 3" xfId="3009"/>
    <cellStyle name="쉼표 [0] 20 2 3 3 2" xfId="7452"/>
    <cellStyle name="쉼표 [0] 20 2 3 4" xfId="5255"/>
    <cellStyle name="쉼표 [0] 20 2 4" xfId="1611"/>
    <cellStyle name="쉼표 [0] 20 2 4 2" xfId="3806"/>
    <cellStyle name="쉼표 [0] 20 2 4 2 2" xfId="8249"/>
    <cellStyle name="쉼표 [0] 20 2 4 3" xfId="6054"/>
    <cellStyle name="쉼표 [0] 20 2 5" xfId="2720"/>
    <cellStyle name="쉼표 [0] 20 2 5 2" xfId="7163"/>
    <cellStyle name="쉼표 [0] 20 2 6" xfId="4966"/>
    <cellStyle name="쉼표 [0] 20 3" xfId="962"/>
    <cellStyle name="쉼표 [0] 20 3 2" xfId="2053"/>
    <cellStyle name="쉼표 [0] 20 3 2 2" xfId="4248"/>
    <cellStyle name="쉼표 [0] 20 3 2 2 2" xfId="8691"/>
    <cellStyle name="쉼표 [0] 20 3 2 3" xfId="6496"/>
    <cellStyle name="쉼표 [0] 20 3 3" xfId="3162"/>
    <cellStyle name="쉼표 [0] 20 3 3 2" xfId="7605"/>
    <cellStyle name="쉼표 [0] 20 3 4" xfId="5408"/>
    <cellStyle name="쉼표 [0] 20 4" xfId="667"/>
    <cellStyle name="쉼표 [0] 20 4 2" xfId="1758"/>
    <cellStyle name="쉼표 [0] 20 4 2 2" xfId="3953"/>
    <cellStyle name="쉼표 [0] 20 4 2 2 2" xfId="8396"/>
    <cellStyle name="쉼표 [0] 20 4 2 3" xfId="6201"/>
    <cellStyle name="쉼표 [0] 20 4 3" xfId="2867"/>
    <cellStyle name="쉼표 [0] 20 4 3 2" xfId="7310"/>
    <cellStyle name="쉼표 [0] 20 4 4" xfId="5113"/>
    <cellStyle name="쉼표 [0] 20 5" xfId="1425"/>
    <cellStyle name="쉼표 [0] 20 5 2" xfId="3620"/>
    <cellStyle name="쉼표 [0] 20 5 2 2" xfId="8063"/>
    <cellStyle name="쉼표 [0] 20 5 3" xfId="5868"/>
    <cellStyle name="쉼표 [0] 20 6" xfId="2534"/>
    <cellStyle name="쉼표 [0] 20 6 2" xfId="6977"/>
    <cellStyle name="쉼표 [0] 20 7" xfId="4780"/>
    <cellStyle name="쉼표 [0] 21" xfId="336"/>
    <cellStyle name="쉼표 [0] 21 2" xfId="522"/>
    <cellStyle name="쉼표 [0] 21 2 2" xfId="1106"/>
    <cellStyle name="쉼표 [0] 21 2 2 2" xfId="2197"/>
    <cellStyle name="쉼표 [0] 21 2 2 2 2" xfId="4392"/>
    <cellStyle name="쉼표 [0] 21 2 2 2 2 2" xfId="8835"/>
    <cellStyle name="쉼표 [0] 21 2 2 2 3" xfId="6640"/>
    <cellStyle name="쉼표 [0] 21 2 2 3" xfId="3306"/>
    <cellStyle name="쉼표 [0] 21 2 2 3 2" xfId="7749"/>
    <cellStyle name="쉼표 [0] 21 2 2 4" xfId="5552"/>
    <cellStyle name="쉼표 [0] 21 2 3" xfId="811"/>
    <cellStyle name="쉼표 [0] 21 2 3 2" xfId="1902"/>
    <cellStyle name="쉼표 [0] 21 2 3 2 2" xfId="4097"/>
    <cellStyle name="쉼표 [0] 21 2 3 2 2 2" xfId="8540"/>
    <cellStyle name="쉼표 [0] 21 2 3 2 3" xfId="6345"/>
    <cellStyle name="쉼표 [0] 21 2 3 3" xfId="3011"/>
    <cellStyle name="쉼표 [0] 21 2 3 3 2" xfId="7454"/>
    <cellStyle name="쉼표 [0] 21 2 3 4" xfId="5257"/>
    <cellStyle name="쉼표 [0] 21 2 4" xfId="1613"/>
    <cellStyle name="쉼표 [0] 21 2 4 2" xfId="3808"/>
    <cellStyle name="쉼표 [0] 21 2 4 2 2" xfId="8251"/>
    <cellStyle name="쉼표 [0] 21 2 4 3" xfId="6056"/>
    <cellStyle name="쉼표 [0] 21 2 5" xfId="2722"/>
    <cellStyle name="쉼표 [0] 21 2 5 2" xfId="7165"/>
    <cellStyle name="쉼표 [0] 21 2 6" xfId="4968"/>
    <cellStyle name="쉼표 [0] 21 3" xfId="964"/>
    <cellStyle name="쉼표 [0] 21 3 2" xfId="2055"/>
    <cellStyle name="쉼표 [0] 21 3 2 2" xfId="4250"/>
    <cellStyle name="쉼표 [0] 21 3 2 2 2" xfId="8693"/>
    <cellStyle name="쉼표 [0] 21 3 2 3" xfId="6498"/>
    <cellStyle name="쉼표 [0] 21 3 3" xfId="3164"/>
    <cellStyle name="쉼표 [0] 21 3 3 2" xfId="7607"/>
    <cellStyle name="쉼표 [0] 21 3 4" xfId="5410"/>
    <cellStyle name="쉼표 [0] 21 4" xfId="669"/>
    <cellStyle name="쉼표 [0] 21 4 2" xfId="1760"/>
    <cellStyle name="쉼표 [0] 21 4 2 2" xfId="3955"/>
    <cellStyle name="쉼표 [0] 21 4 2 2 2" xfId="8398"/>
    <cellStyle name="쉼표 [0] 21 4 2 3" xfId="6203"/>
    <cellStyle name="쉼표 [0] 21 4 3" xfId="2869"/>
    <cellStyle name="쉼표 [0] 21 4 3 2" xfId="7312"/>
    <cellStyle name="쉼표 [0] 21 4 4" xfId="5115"/>
    <cellStyle name="쉼표 [0] 21 5" xfId="1427"/>
    <cellStyle name="쉼표 [0] 21 5 2" xfId="3622"/>
    <cellStyle name="쉼표 [0] 21 5 2 2" xfId="8065"/>
    <cellStyle name="쉼표 [0] 21 5 3" xfId="5870"/>
    <cellStyle name="쉼표 [0] 21 6" xfId="2536"/>
    <cellStyle name="쉼표 [0] 21 6 2" xfId="6979"/>
    <cellStyle name="쉼표 [0] 21 7" xfId="4782"/>
    <cellStyle name="쉼표 [0] 22" xfId="338"/>
    <cellStyle name="쉼표 [0] 22 2" xfId="524"/>
    <cellStyle name="쉼표 [0] 22 2 2" xfId="1108"/>
    <cellStyle name="쉼표 [0] 22 2 2 2" xfId="2199"/>
    <cellStyle name="쉼표 [0] 22 2 2 2 2" xfId="4394"/>
    <cellStyle name="쉼표 [0] 22 2 2 2 2 2" xfId="8837"/>
    <cellStyle name="쉼표 [0] 22 2 2 2 3" xfId="6642"/>
    <cellStyle name="쉼표 [0] 22 2 2 3" xfId="3308"/>
    <cellStyle name="쉼표 [0] 22 2 2 3 2" xfId="7751"/>
    <cellStyle name="쉼표 [0] 22 2 2 4" xfId="5554"/>
    <cellStyle name="쉼표 [0] 22 2 3" xfId="813"/>
    <cellStyle name="쉼표 [0] 22 2 3 2" xfId="1904"/>
    <cellStyle name="쉼표 [0] 22 2 3 2 2" xfId="4099"/>
    <cellStyle name="쉼표 [0] 22 2 3 2 2 2" xfId="8542"/>
    <cellStyle name="쉼표 [0] 22 2 3 2 3" xfId="6347"/>
    <cellStyle name="쉼표 [0] 22 2 3 3" xfId="3013"/>
    <cellStyle name="쉼표 [0] 22 2 3 3 2" xfId="7456"/>
    <cellStyle name="쉼표 [0] 22 2 3 4" xfId="5259"/>
    <cellStyle name="쉼표 [0] 22 2 4" xfId="1615"/>
    <cellStyle name="쉼표 [0] 22 2 4 2" xfId="3810"/>
    <cellStyle name="쉼표 [0] 22 2 4 2 2" xfId="8253"/>
    <cellStyle name="쉼표 [0] 22 2 4 3" xfId="6058"/>
    <cellStyle name="쉼표 [0] 22 2 5" xfId="2724"/>
    <cellStyle name="쉼표 [0] 22 2 5 2" xfId="7167"/>
    <cellStyle name="쉼표 [0] 22 2 6" xfId="4970"/>
    <cellStyle name="쉼표 [0] 22 3" xfId="966"/>
    <cellStyle name="쉼표 [0] 22 3 2" xfId="2057"/>
    <cellStyle name="쉼표 [0] 22 3 2 2" xfId="4252"/>
    <cellStyle name="쉼표 [0] 22 3 2 2 2" xfId="8695"/>
    <cellStyle name="쉼표 [0] 22 3 2 3" xfId="6500"/>
    <cellStyle name="쉼표 [0] 22 3 3" xfId="3166"/>
    <cellStyle name="쉼표 [0] 22 3 3 2" xfId="7609"/>
    <cellStyle name="쉼표 [0] 22 3 4" xfId="5412"/>
    <cellStyle name="쉼표 [0] 22 4" xfId="671"/>
    <cellStyle name="쉼표 [0] 22 4 2" xfId="1762"/>
    <cellStyle name="쉼표 [0] 22 4 2 2" xfId="3957"/>
    <cellStyle name="쉼표 [0] 22 4 2 2 2" xfId="8400"/>
    <cellStyle name="쉼표 [0] 22 4 2 3" xfId="6205"/>
    <cellStyle name="쉼표 [0] 22 4 3" xfId="2871"/>
    <cellStyle name="쉼표 [0] 22 4 3 2" xfId="7314"/>
    <cellStyle name="쉼표 [0] 22 4 4" xfId="5117"/>
    <cellStyle name="쉼표 [0] 22 5" xfId="1429"/>
    <cellStyle name="쉼표 [0] 22 5 2" xfId="3624"/>
    <cellStyle name="쉼표 [0] 22 5 2 2" xfId="8067"/>
    <cellStyle name="쉼표 [0] 22 5 3" xfId="5872"/>
    <cellStyle name="쉼표 [0] 22 6" xfId="2538"/>
    <cellStyle name="쉼표 [0] 22 6 2" xfId="6981"/>
    <cellStyle name="쉼표 [0] 22 7" xfId="4784"/>
    <cellStyle name="쉼표 [0] 23" xfId="340"/>
    <cellStyle name="쉼표 [0] 23 2" xfId="526"/>
    <cellStyle name="쉼표 [0] 23 2 2" xfId="1110"/>
    <cellStyle name="쉼표 [0] 23 2 2 2" xfId="2201"/>
    <cellStyle name="쉼표 [0] 23 2 2 2 2" xfId="4396"/>
    <cellStyle name="쉼표 [0] 23 2 2 2 2 2" xfId="8839"/>
    <cellStyle name="쉼표 [0] 23 2 2 2 3" xfId="6644"/>
    <cellStyle name="쉼표 [0] 23 2 2 3" xfId="3310"/>
    <cellStyle name="쉼표 [0] 23 2 2 3 2" xfId="7753"/>
    <cellStyle name="쉼표 [0] 23 2 2 4" xfId="5556"/>
    <cellStyle name="쉼표 [0] 23 2 3" xfId="815"/>
    <cellStyle name="쉼표 [0] 23 2 3 2" xfId="1906"/>
    <cellStyle name="쉼표 [0] 23 2 3 2 2" xfId="4101"/>
    <cellStyle name="쉼표 [0] 23 2 3 2 2 2" xfId="8544"/>
    <cellStyle name="쉼표 [0] 23 2 3 2 3" xfId="6349"/>
    <cellStyle name="쉼표 [0] 23 2 3 3" xfId="3015"/>
    <cellStyle name="쉼표 [0] 23 2 3 3 2" xfId="7458"/>
    <cellStyle name="쉼표 [0] 23 2 3 4" xfId="5261"/>
    <cellStyle name="쉼표 [0] 23 2 4" xfId="1617"/>
    <cellStyle name="쉼표 [0] 23 2 4 2" xfId="3812"/>
    <cellStyle name="쉼표 [0] 23 2 4 2 2" xfId="8255"/>
    <cellStyle name="쉼표 [0] 23 2 4 3" xfId="6060"/>
    <cellStyle name="쉼표 [0] 23 2 5" xfId="2726"/>
    <cellStyle name="쉼표 [0] 23 2 5 2" xfId="7169"/>
    <cellStyle name="쉼표 [0] 23 2 6" xfId="4972"/>
    <cellStyle name="쉼표 [0] 23 3" xfId="968"/>
    <cellStyle name="쉼표 [0] 23 3 2" xfId="2059"/>
    <cellStyle name="쉼표 [0] 23 3 2 2" xfId="4254"/>
    <cellStyle name="쉼표 [0] 23 3 2 2 2" xfId="8697"/>
    <cellStyle name="쉼표 [0] 23 3 2 3" xfId="6502"/>
    <cellStyle name="쉼표 [0] 23 3 3" xfId="3168"/>
    <cellStyle name="쉼표 [0] 23 3 3 2" xfId="7611"/>
    <cellStyle name="쉼표 [0] 23 3 4" xfId="5414"/>
    <cellStyle name="쉼표 [0] 23 4" xfId="673"/>
    <cellStyle name="쉼표 [0] 23 4 2" xfId="1764"/>
    <cellStyle name="쉼표 [0] 23 4 2 2" xfId="3959"/>
    <cellStyle name="쉼표 [0] 23 4 2 2 2" xfId="8402"/>
    <cellStyle name="쉼표 [0] 23 4 2 3" xfId="6207"/>
    <cellStyle name="쉼표 [0] 23 4 3" xfId="2873"/>
    <cellStyle name="쉼표 [0] 23 4 3 2" xfId="7316"/>
    <cellStyle name="쉼표 [0] 23 4 4" xfId="5119"/>
    <cellStyle name="쉼표 [0] 23 5" xfId="1431"/>
    <cellStyle name="쉼표 [0] 23 5 2" xfId="3626"/>
    <cellStyle name="쉼표 [0] 23 5 2 2" xfId="8069"/>
    <cellStyle name="쉼표 [0] 23 5 3" xfId="5874"/>
    <cellStyle name="쉼표 [0] 23 6" xfId="2540"/>
    <cellStyle name="쉼표 [0] 23 6 2" xfId="6983"/>
    <cellStyle name="쉼표 [0] 23 7" xfId="4786"/>
    <cellStyle name="쉼표 [0] 24" xfId="342"/>
    <cellStyle name="쉼표 [0] 24 2" xfId="528"/>
    <cellStyle name="쉼표 [0] 24 2 2" xfId="1112"/>
    <cellStyle name="쉼표 [0] 24 2 2 2" xfId="2203"/>
    <cellStyle name="쉼표 [0] 24 2 2 2 2" xfId="4398"/>
    <cellStyle name="쉼표 [0] 24 2 2 2 2 2" xfId="8841"/>
    <cellStyle name="쉼표 [0] 24 2 2 2 3" xfId="6646"/>
    <cellStyle name="쉼표 [0] 24 2 2 3" xfId="3312"/>
    <cellStyle name="쉼표 [0] 24 2 2 3 2" xfId="7755"/>
    <cellStyle name="쉼표 [0] 24 2 2 4" xfId="5558"/>
    <cellStyle name="쉼표 [0] 24 2 3" xfId="817"/>
    <cellStyle name="쉼표 [0] 24 2 3 2" xfId="1908"/>
    <cellStyle name="쉼표 [0] 24 2 3 2 2" xfId="4103"/>
    <cellStyle name="쉼표 [0] 24 2 3 2 2 2" xfId="8546"/>
    <cellStyle name="쉼표 [0] 24 2 3 2 3" xfId="6351"/>
    <cellStyle name="쉼표 [0] 24 2 3 3" xfId="3017"/>
    <cellStyle name="쉼표 [0] 24 2 3 3 2" xfId="7460"/>
    <cellStyle name="쉼표 [0] 24 2 3 4" xfId="5263"/>
    <cellStyle name="쉼표 [0] 24 2 4" xfId="1619"/>
    <cellStyle name="쉼표 [0] 24 2 4 2" xfId="3814"/>
    <cellStyle name="쉼표 [0] 24 2 4 2 2" xfId="8257"/>
    <cellStyle name="쉼표 [0] 24 2 4 3" xfId="6062"/>
    <cellStyle name="쉼표 [0] 24 2 5" xfId="2728"/>
    <cellStyle name="쉼표 [0] 24 2 5 2" xfId="7171"/>
    <cellStyle name="쉼표 [0] 24 2 6" xfId="4974"/>
    <cellStyle name="쉼표 [0] 24 3" xfId="970"/>
    <cellStyle name="쉼표 [0] 24 3 2" xfId="2061"/>
    <cellStyle name="쉼표 [0] 24 3 2 2" xfId="4256"/>
    <cellStyle name="쉼표 [0] 24 3 2 2 2" xfId="8699"/>
    <cellStyle name="쉼표 [0] 24 3 2 3" xfId="6504"/>
    <cellStyle name="쉼표 [0] 24 3 3" xfId="3170"/>
    <cellStyle name="쉼표 [0] 24 3 3 2" xfId="7613"/>
    <cellStyle name="쉼표 [0] 24 3 4" xfId="5416"/>
    <cellStyle name="쉼표 [0] 24 4" xfId="675"/>
    <cellStyle name="쉼표 [0] 24 4 2" xfId="1766"/>
    <cellStyle name="쉼표 [0] 24 4 2 2" xfId="3961"/>
    <cellStyle name="쉼표 [0] 24 4 2 2 2" xfId="8404"/>
    <cellStyle name="쉼표 [0] 24 4 2 3" xfId="6209"/>
    <cellStyle name="쉼표 [0] 24 4 3" xfId="2875"/>
    <cellStyle name="쉼표 [0] 24 4 3 2" xfId="7318"/>
    <cellStyle name="쉼표 [0] 24 4 4" xfId="5121"/>
    <cellStyle name="쉼표 [0] 24 5" xfId="1433"/>
    <cellStyle name="쉼표 [0] 24 5 2" xfId="3628"/>
    <cellStyle name="쉼표 [0] 24 5 2 2" xfId="8071"/>
    <cellStyle name="쉼표 [0] 24 5 3" xfId="5876"/>
    <cellStyle name="쉼표 [0] 24 6" xfId="2542"/>
    <cellStyle name="쉼표 [0] 24 6 2" xfId="6985"/>
    <cellStyle name="쉼표 [0] 24 7" xfId="4788"/>
    <cellStyle name="쉼표 [0] 25" xfId="344"/>
    <cellStyle name="쉼표 [0] 25 2" xfId="530"/>
    <cellStyle name="쉼표 [0] 25 2 2" xfId="1114"/>
    <cellStyle name="쉼표 [0] 25 2 2 2" xfId="2205"/>
    <cellStyle name="쉼표 [0] 25 2 2 2 2" xfId="4400"/>
    <cellStyle name="쉼표 [0] 25 2 2 2 2 2" xfId="8843"/>
    <cellStyle name="쉼표 [0] 25 2 2 2 3" xfId="6648"/>
    <cellStyle name="쉼표 [0] 25 2 2 3" xfId="3314"/>
    <cellStyle name="쉼표 [0] 25 2 2 3 2" xfId="7757"/>
    <cellStyle name="쉼표 [0] 25 2 2 4" xfId="5560"/>
    <cellStyle name="쉼표 [0] 25 2 3" xfId="819"/>
    <cellStyle name="쉼표 [0] 25 2 3 2" xfId="1910"/>
    <cellStyle name="쉼표 [0] 25 2 3 2 2" xfId="4105"/>
    <cellStyle name="쉼표 [0] 25 2 3 2 2 2" xfId="8548"/>
    <cellStyle name="쉼표 [0] 25 2 3 2 3" xfId="6353"/>
    <cellStyle name="쉼표 [0] 25 2 3 3" xfId="3019"/>
    <cellStyle name="쉼표 [0] 25 2 3 3 2" xfId="7462"/>
    <cellStyle name="쉼표 [0] 25 2 3 4" xfId="5265"/>
    <cellStyle name="쉼표 [0] 25 2 4" xfId="1621"/>
    <cellStyle name="쉼표 [0] 25 2 4 2" xfId="3816"/>
    <cellStyle name="쉼표 [0] 25 2 4 2 2" xfId="8259"/>
    <cellStyle name="쉼표 [0] 25 2 4 3" xfId="6064"/>
    <cellStyle name="쉼표 [0] 25 2 5" xfId="2730"/>
    <cellStyle name="쉼표 [0] 25 2 5 2" xfId="7173"/>
    <cellStyle name="쉼표 [0] 25 2 6" xfId="4976"/>
    <cellStyle name="쉼표 [0] 25 3" xfId="972"/>
    <cellStyle name="쉼표 [0] 25 3 2" xfId="2063"/>
    <cellStyle name="쉼표 [0] 25 3 2 2" xfId="4258"/>
    <cellStyle name="쉼표 [0] 25 3 2 2 2" xfId="8701"/>
    <cellStyle name="쉼표 [0] 25 3 2 3" xfId="6506"/>
    <cellStyle name="쉼표 [0] 25 3 3" xfId="3172"/>
    <cellStyle name="쉼표 [0] 25 3 3 2" xfId="7615"/>
    <cellStyle name="쉼표 [0] 25 3 4" xfId="5418"/>
    <cellStyle name="쉼표 [0] 25 4" xfId="677"/>
    <cellStyle name="쉼표 [0] 25 4 2" xfId="1768"/>
    <cellStyle name="쉼표 [0] 25 4 2 2" xfId="3963"/>
    <cellStyle name="쉼표 [0] 25 4 2 2 2" xfId="8406"/>
    <cellStyle name="쉼표 [0] 25 4 2 3" xfId="6211"/>
    <cellStyle name="쉼표 [0] 25 4 3" xfId="2877"/>
    <cellStyle name="쉼표 [0] 25 4 3 2" xfId="7320"/>
    <cellStyle name="쉼표 [0] 25 4 4" xfId="5123"/>
    <cellStyle name="쉼표 [0] 25 5" xfId="1435"/>
    <cellStyle name="쉼표 [0] 25 5 2" xfId="3630"/>
    <cellStyle name="쉼표 [0] 25 5 2 2" xfId="8073"/>
    <cellStyle name="쉼표 [0] 25 5 3" xfId="5878"/>
    <cellStyle name="쉼표 [0] 25 6" xfId="2544"/>
    <cellStyle name="쉼표 [0] 25 6 2" xfId="6987"/>
    <cellStyle name="쉼표 [0] 25 7" xfId="4790"/>
    <cellStyle name="쉼표 [0] 26" xfId="346"/>
    <cellStyle name="쉼표 [0] 26 2" xfId="532"/>
    <cellStyle name="쉼표 [0] 26 2 2" xfId="1116"/>
    <cellStyle name="쉼표 [0] 26 2 2 2" xfId="2207"/>
    <cellStyle name="쉼표 [0] 26 2 2 2 2" xfId="4402"/>
    <cellStyle name="쉼표 [0] 26 2 2 2 2 2" xfId="8845"/>
    <cellStyle name="쉼표 [0] 26 2 2 2 3" xfId="6650"/>
    <cellStyle name="쉼표 [0] 26 2 2 3" xfId="3316"/>
    <cellStyle name="쉼표 [0] 26 2 2 3 2" xfId="7759"/>
    <cellStyle name="쉼표 [0] 26 2 2 4" xfId="5562"/>
    <cellStyle name="쉼표 [0] 26 2 3" xfId="821"/>
    <cellStyle name="쉼표 [0] 26 2 3 2" xfId="1912"/>
    <cellStyle name="쉼표 [0] 26 2 3 2 2" xfId="4107"/>
    <cellStyle name="쉼표 [0] 26 2 3 2 2 2" xfId="8550"/>
    <cellStyle name="쉼표 [0] 26 2 3 2 3" xfId="6355"/>
    <cellStyle name="쉼표 [0] 26 2 3 3" xfId="3021"/>
    <cellStyle name="쉼표 [0] 26 2 3 3 2" xfId="7464"/>
    <cellStyle name="쉼표 [0] 26 2 3 4" xfId="5267"/>
    <cellStyle name="쉼표 [0] 26 2 4" xfId="1623"/>
    <cellStyle name="쉼표 [0] 26 2 4 2" xfId="3818"/>
    <cellStyle name="쉼표 [0] 26 2 4 2 2" xfId="8261"/>
    <cellStyle name="쉼표 [0] 26 2 4 3" xfId="6066"/>
    <cellStyle name="쉼표 [0] 26 2 5" xfId="2732"/>
    <cellStyle name="쉼표 [0] 26 2 5 2" xfId="7175"/>
    <cellStyle name="쉼표 [0] 26 2 6" xfId="4978"/>
    <cellStyle name="쉼표 [0] 26 3" xfId="974"/>
    <cellStyle name="쉼표 [0] 26 3 2" xfId="2065"/>
    <cellStyle name="쉼표 [0] 26 3 2 2" xfId="4260"/>
    <cellStyle name="쉼표 [0] 26 3 2 2 2" xfId="8703"/>
    <cellStyle name="쉼표 [0] 26 3 2 3" xfId="6508"/>
    <cellStyle name="쉼표 [0] 26 3 3" xfId="3174"/>
    <cellStyle name="쉼표 [0] 26 3 3 2" xfId="7617"/>
    <cellStyle name="쉼표 [0] 26 3 4" xfId="5420"/>
    <cellStyle name="쉼표 [0] 26 4" xfId="679"/>
    <cellStyle name="쉼표 [0] 26 4 2" xfId="1770"/>
    <cellStyle name="쉼표 [0] 26 4 2 2" xfId="3965"/>
    <cellStyle name="쉼표 [0] 26 4 2 2 2" xfId="8408"/>
    <cellStyle name="쉼표 [0] 26 4 2 3" xfId="6213"/>
    <cellStyle name="쉼표 [0] 26 4 3" xfId="2879"/>
    <cellStyle name="쉼표 [0] 26 4 3 2" xfId="7322"/>
    <cellStyle name="쉼표 [0] 26 4 4" xfId="5125"/>
    <cellStyle name="쉼표 [0] 26 5" xfId="1437"/>
    <cellStyle name="쉼표 [0] 26 5 2" xfId="3632"/>
    <cellStyle name="쉼표 [0] 26 5 2 2" xfId="8075"/>
    <cellStyle name="쉼표 [0] 26 5 3" xfId="5880"/>
    <cellStyle name="쉼표 [0] 26 6" xfId="2546"/>
    <cellStyle name="쉼표 [0] 26 6 2" xfId="6989"/>
    <cellStyle name="쉼표 [0] 26 7" xfId="4792"/>
    <cellStyle name="쉼표 [0] 27" xfId="348"/>
    <cellStyle name="쉼표 [0] 27 2" xfId="534"/>
    <cellStyle name="쉼표 [0] 27 2 2" xfId="1118"/>
    <cellStyle name="쉼표 [0] 27 2 2 2" xfId="2209"/>
    <cellStyle name="쉼표 [0] 27 2 2 2 2" xfId="4404"/>
    <cellStyle name="쉼표 [0] 27 2 2 2 2 2" xfId="8847"/>
    <cellStyle name="쉼표 [0] 27 2 2 2 3" xfId="6652"/>
    <cellStyle name="쉼표 [0] 27 2 2 3" xfId="3318"/>
    <cellStyle name="쉼표 [0] 27 2 2 3 2" xfId="7761"/>
    <cellStyle name="쉼표 [0] 27 2 2 4" xfId="5564"/>
    <cellStyle name="쉼표 [0] 27 2 3" xfId="823"/>
    <cellStyle name="쉼표 [0] 27 2 3 2" xfId="1914"/>
    <cellStyle name="쉼표 [0] 27 2 3 2 2" xfId="4109"/>
    <cellStyle name="쉼표 [0] 27 2 3 2 2 2" xfId="8552"/>
    <cellStyle name="쉼표 [0] 27 2 3 2 3" xfId="6357"/>
    <cellStyle name="쉼표 [0] 27 2 3 3" xfId="3023"/>
    <cellStyle name="쉼표 [0] 27 2 3 3 2" xfId="7466"/>
    <cellStyle name="쉼표 [0] 27 2 3 4" xfId="5269"/>
    <cellStyle name="쉼표 [0] 27 2 4" xfId="1625"/>
    <cellStyle name="쉼표 [0] 27 2 4 2" xfId="3820"/>
    <cellStyle name="쉼표 [0] 27 2 4 2 2" xfId="8263"/>
    <cellStyle name="쉼표 [0] 27 2 4 3" xfId="6068"/>
    <cellStyle name="쉼표 [0] 27 2 5" xfId="2734"/>
    <cellStyle name="쉼표 [0] 27 2 5 2" xfId="7177"/>
    <cellStyle name="쉼표 [0] 27 2 6" xfId="4980"/>
    <cellStyle name="쉼표 [0] 27 3" xfId="976"/>
    <cellStyle name="쉼표 [0] 27 3 2" xfId="2067"/>
    <cellStyle name="쉼표 [0] 27 3 2 2" xfId="4262"/>
    <cellStyle name="쉼표 [0] 27 3 2 2 2" xfId="8705"/>
    <cellStyle name="쉼표 [0] 27 3 2 3" xfId="6510"/>
    <cellStyle name="쉼표 [0] 27 3 3" xfId="3176"/>
    <cellStyle name="쉼표 [0] 27 3 3 2" xfId="7619"/>
    <cellStyle name="쉼표 [0] 27 3 4" xfId="5422"/>
    <cellStyle name="쉼표 [0] 27 4" xfId="681"/>
    <cellStyle name="쉼표 [0] 27 4 2" xfId="1772"/>
    <cellStyle name="쉼표 [0] 27 4 2 2" xfId="3967"/>
    <cellStyle name="쉼표 [0] 27 4 2 2 2" xfId="8410"/>
    <cellStyle name="쉼표 [0] 27 4 2 3" xfId="6215"/>
    <cellStyle name="쉼표 [0] 27 4 3" xfId="2881"/>
    <cellStyle name="쉼표 [0] 27 4 3 2" xfId="7324"/>
    <cellStyle name="쉼표 [0] 27 4 4" xfId="5127"/>
    <cellStyle name="쉼표 [0] 27 5" xfId="1439"/>
    <cellStyle name="쉼표 [0] 27 5 2" xfId="3634"/>
    <cellStyle name="쉼표 [0] 27 5 2 2" xfId="8077"/>
    <cellStyle name="쉼표 [0] 27 5 3" xfId="5882"/>
    <cellStyle name="쉼표 [0] 27 6" xfId="2548"/>
    <cellStyle name="쉼표 [0] 27 6 2" xfId="6991"/>
    <cellStyle name="쉼표 [0] 27 7" xfId="4794"/>
    <cellStyle name="쉼표 [0] 28" xfId="350"/>
    <cellStyle name="쉼표 [0] 28 2" xfId="536"/>
    <cellStyle name="쉼표 [0] 28 2 2" xfId="1120"/>
    <cellStyle name="쉼표 [0] 28 2 2 2" xfId="2211"/>
    <cellStyle name="쉼표 [0] 28 2 2 2 2" xfId="4406"/>
    <cellStyle name="쉼표 [0] 28 2 2 2 2 2" xfId="8849"/>
    <cellStyle name="쉼표 [0] 28 2 2 2 3" xfId="6654"/>
    <cellStyle name="쉼표 [0] 28 2 2 3" xfId="3320"/>
    <cellStyle name="쉼표 [0] 28 2 2 3 2" xfId="7763"/>
    <cellStyle name="쉼표 [0] 28 2 2 4" xfId="5566"/>
    <cellStyle name="쉼표 [0] 28 2 3" xfId="825"/>
    <cellStyle name="쉼표 [0] 28 2 3 2" xfId="1916"/>
    <cellStyle name="쉼표 [0] 28 2 3 2 2" xfId="4111"/>
    <cellStyle name="쉼표 [0] 28 2 3 2 2 2" xfId="8554"/>
    <cellStyle name="쉼표 [0] 28 2 3 2 3" xfId="6359"/>
    <cellStyle name="쉼표 [0] 28 2 3 3" xfId="3025"/>
    <cellStyle name="쉼표 [0] 28 2 3 3 2" xfId="7468"/>
    <cellStyle name="쉼표 [0] 28 2 3 4" xfId="5271"/>
    <cellStyle name="쉼표 [0] 28 2 4" xfId="1627"/>
    <cellStyle name="쉼표 [0] 28 2 4 2" xfId="3822"/>
    <cellStyle name="쉼표 [0] 28 2 4 2 2" xfId="8265"/>
    <cellStyle name="쉼표 [0] 28 2 4 3" xfId="6070"/>
    <cellStyle name="쉼표 [0] 28 2 5" xfId="2736"/>
    <cellStyle name="쉼표 [0] 28 2 5 2" xfId="7179"/>
    <cellStyle name="쉼표 [0] 28 2 6" xfId="4982"/>
    <cellStyle name="쉼표 [0] 28 3" xfId="978"/>
    <cellStyle name="쉼표 [0] 28 3 2" xfId="2069"/>
    <cellStyle name="쉼표 [0] 28 3 2 2" xfId="4264"/>
    <cellStyle name="쉼표 [0] 28 3 2 2 2" xfId="8707"/>
    <cellStyle name="쉼표 [0] 28 3 2 3" xfId="6512"/>
    <cellStyle name="쉼표 [0] 28 3 3" xfId="3178"/>
    <cellStyle name="쉼표 [0] 28 3 3 2" xfId="7621"/>
    <cellStyle name="쉼표 [0] 28 3 4" xfId="5424"/>
    <cellStyle name="쉼표 [0] 28 4" xfId="683"/>
    <cellStyle name="쉼표 [0] 28 4 2" xfId="1774"/>
    <cellStyle name="쉼표 [0] 28 4 2 2" xfId="3969"/>
    <cellStyle name="쉼표 [0] 28 4 2 2 2" xfId="8412"/>
    <cellStyle name="쉼표 [0] 28 4 2 3" xfId="6217"/>
    <cellStyle name="쉼표 [0] 28 4 3" xfId="2883"/>
    <cellStyle name="쉼표 [0] 28 4 3 2" xfId="7326"/>
    <cellStyle name="쉼표 [0] 28 4 4" xfId="5129"/>
    <cellStyle name="쉼표 [0] 28 5" xfId="1441"/>
    <cellStyle name="쉼표 [0] 28 5 2" xfId="3636"/>
    <cellStyle name="쉼표 [0] 28 5 2 2" xfId="8079"/>
    <cellStyle name="쉼표 [0] 28 5 3" xfId="5884"/>
    <cellStyle name="쉼표 [0] 28 6" xfId="2550"/>
    <cellStyle name="쉼표 [0] 28 6 2" xfId="6993"/>
    <cellStyle name="쉼표 [0] 28 7" xfId="4796"/>
    <cellStyle name="쉼표 [0] 29" xfId="352"/>
    <cellStyle name="쉼표 [0] 29 2" xfId="538"/>
    <cellStyle name="쉼표 [0] 29 2 2" xfId="1122"/>
    <cellStyle name="쉼표 [0] 29 2 2 2" xfId="2213"/>
    <cellStyle name="쉼표 [0] 29 2 2 2 2" xfId="4408"/>
    <cellStyle name="쉼표 [0] 29 2 2 2 2 2" xfId="8851"/>
    <cellStyle name="쉼표 [0] 29 2 2 2 3" xfId="6656"/>
    <cellStyle name="쉼표 [0] 29 2 2 3" xfId="3322"/>
    <cellStyle name="쉼표 [0] 29 2 2 3 2" xfId="7765"/>
    <cellStyle name="쉼표 [0] 29 2 2 4" xfId="5568"/>
    <cellStyle name="쉼표 [0] 29 2 3" xfId="827"/>
    <cellStyle name="쉼표 [0] 29 2 3 2" xfId="1918"/>
    <cellStyle name="쉼표 [0] 29 2 3 2 2" xfId="4113"/>
    <cellStyle name="쉼표 [0] 29 2 3 2 2 2" xfId="8556"/>
    <cellStyle name="쉼표 [0] 29 2 3 2 3" xfId="6361"/>
    <cellStyle name="쉼표 [0] 29 2 3 3" xfId="3027"/>
    <cellStyle name="쉼표 [0] 29 2 3 3 2" xfId="7470"/>
    <cellStyle name="쉼표 [0] 29 2 3 4" xfId="5273"/>
    <cellStyle name="쉼표 [0] 29 2 4" xfId="1629"/>
    <cellStyle name="쉼표 [0] 29 2 4 2" xfId="3824"/>
    <cellStyle name="쉼표 [0] 29 2 4 2 2" xfId="8267"/>
    <cellStyle name="쉼표 [0] 29 2 4 3" xfId="6072"/>
    <cellStyle name="쉼표 [0] 29 2 5" xfId="2738"/>
    <cellStyle name="쉼표 [0] 29 2 5 2" xfId="7181"/>
    <cellStyle name="쉼표 [0] 29 2 6" xfId="4984"/>
    <cellStyle name="쉼표 [0] 29 3" xfId="980"/>
    <cellStyle name="쉼표 [0] 29 3 2" xfId="2071"/>
    <cellStyle name="쉼표 [0] 29 3 2 2" xfId="4266"/>
    <cellStyle name="쉼표 [0] 29 3 2 2 2" xfId="8709"/>
    <cellStyle name="쉼표 [0] 29 3 2 3" xfId="6514"/>
    <cellStyle name="쉼표 [0] 29 3 3" xfId="3180"/>
    <cellStyle name="쉼표 [0] 29 3 3 2" xfId="7623"/>
    <cellStyle name="쉼표 [0] 29 3 4" xfId="5426"/>
    <cellStyle name="쉼표 [0] 29 4" xfId="685"/>
    <cellStyle name="쉼표 [0] 29 4 2" xfId="1776"/>
    <cellStyle name="쉼표 [0] 29 4 2 2" xfId="3971"/>
    <cellStyle name="쉼표 [0] 29 4 2 2 2" xfId="8414"/>
    <cellStyle name="쉼표 [0] 29 4 2 3" xfId="6219"/>
    <cellStyle name="쉼표 [0] 29 4 3" xfId="2885"/>
    <cellStyle name="쉼표 [0] 29 4 3 2" xfId="7328"/>
    <cellStyle name="쉼표 [0] 29 4 4" xfId="5131"/>
    <cellStyle name="쉼표 [0] 29 5" xfId="1443"/>
    <cellStyle name="쉼표 [0] 29 5 2" xfId="3638"/>
    <cellStyle name="쉼표 [0] 29 5 2 2" xfId="8081"/>
    <cellStyle name="쉼표 [0] 29 5 3" xfId="5886"/>
    <cellStyle name="쉼표 [0] 29 6" xfId="2552"/>
    <cellStyle name="쉼표 [0] 29 6 2" xfId="6995"/>
    <cellStyle name="쉼표 [0] 29 7" xfId="4798"/>
    <cellStyle name="쉼표 [0] 3" xfId="10"/>
    <cellStyle name="쉼표 [0] 3 10" xfId="1260"/>
    <cellStyle name="쉼표 [0] 3 10 2" xfId="3458"/>
    <cellStyle name="쉼표 [0] 3 10 2 2" xfId="7901"/>
    <cellStyle name="쉼표 [0] 3 10 3" xfId="5704"/>
    <cellStyle name="쉼표 [0] 3 11" xfId="2353"/>
    <cellStyle name="쉼표 [0] 3 11 2" xfId="4548"/>
    <cellStyle name="쉼표 [0] 3 11 2 2" xfId="8991"/>
    <cellStyle name="쉼표 [0] 3 11 3" xfId="6796"/>
    <cellStyle name="쉼표 [0] 3 12" xfId="2357"/>
    <cellStyle name="쉼표 [0] 3 12 2" xfId="4552"/>
    <cellStyle name="쉼표 [0] 3 12 2 2" xfId="8995"/>
    <cellStyle name="쉼표 [0] 3 12 3" xfId="6800"/>
    <cellStyle name="쉼표 [0] 3 13" xfId="2361"/>
    <cellStyle name="쉼표 [0] 3 13 2" xfId="4556"/>
    <cellStyle name="쉼표 [0] 3 13 2 2" xfId="8999"/>
    <cellStyle name="쉼표 [0] 3 13 3" xfId="6804"/>
    <cellStyle name="쉼표 [0] 3 14" xfId="4581"/>
    <cellStyle name="쉼표 [0] 3 14 2" xfId="9024"/>
    <cellStyle name="쉼표 [0] 3 15" xfId="10902"/>
    <cellStyle name="쉼표 [0] 3 2" xfId="33"/>
    <cellStyle name="쉼표 [0] 3 2 2" xfId="384"/>
    <cellStyle name="쉼표 [0] 3 2 2 2" xfId="1012"/>
    <cellStyle name="쉼표 [0] 3 2 2 2 2" xfId="2103"/>
    <cellStyle name="쉼표 [0] 3 2 2 2 2 2" xfId="4298"/>
    <cellStyle name="쉼표 [0] 3 2 2 2 2 2 2" xfId="8741"/>
    <cellStyle name="쉼표 [0] 3 2 2 2 2 3" xfId="6546"/>
    <cellStyle name="쉼표 [0] 3 2 2 2 3" xfId="3212"/>
    <cellStyle name="쉼표 [0] 3 2 2 2 3 2" xfId="7655"/>
    <cellStyle name="쉼표 [0] 3 2 2 2 4" xfId="5458"/>
    <cellStyle name="쉼표 [0] 3 2 2 3" xfId="717"/>
    <cellStyle name="쉼표 [0] 3 2 2 3 2" xfId="1808"/>
    <cellStyle name="쉼표 [0] 3 2 2 3 2 2" xfId="4003"/>
    <cellStyle name="쉼표 [0] 3 2 2 3 2 2 2" xfId="8446"/>
    <cellStyle name="쉼표 [0] 3 2 2 3 2 3" xfId="6251"/>
    <cellStyle name="쉼표 [0] 3 2 2 3 3" xfId="2917"/>
    <cellStyle name="쉼표 [0] 3 2 2 3 3 2" xfId="7360"/>
    <cellStyle name="쉼표 [0] 3 2 2 3 4" xfId="5163"/>
    <cellStyle name="쉼표 [0] 3 2 2 4" xfId="1475"/>
    <cellStyle name="쉼표 [0] 3 2 2 4 2" xfId="3670"/>
    <cellStyle name="쉼표 [0] 3 2 2 4 2 2" xfId="8113"/>
    <cellStyle name="쉼표 [0] 3 2 2 4 3" xfId="5918"/>
    <cellStyle name="쉼표 [0] 3 2 2 5" xfId="2584"/>
    <cellStyle name="쉼표 [0] 3 2 2 5 2" xfId="7027"/>
    <cellStyle name="쉼표 [0] 3 2 2 6" xfId="4830"/>
    <cellStyle name="쉼표 [0] 3 2 3" xfId="869"/>
    <cellStyle name="쉼표 [0] 3 2 3 2" xfId="1960"/>
    <cellStyle name="쉼표 [0] 3 2 3 2 2" xfId="4155"/>
    <cellStyle name="쉼표 [0] 3 2 3 2 2 2" xfId="8598"/>
    <cellStyle name="쉼표 [0] 3 2 3 2 3" xfId="6403"/>
    <cellStyle name="쉼표 [0] 3 2 3 3" xfId="3069"/>
    <cellStyle name="쉼표 [0] 3 2 3 3 2" xfId="7512"/>
    <cellStyle name="쉼표 [0] 3 2 3 4" xfId="5315"/>
    <cellStyle name="쉼표 [0] 3 2 4" xfId="571"/>
    <cellStyle name="쉼표 [0] 3 2 4 2" xfId="1662"/>
    <cellStyle name="쉼표 [0] 3 2 4 2 2" xfId="3857"/>
    <cellStyle name="쉼표 [0] 3 2 4 2 2 2" xfId="8300"/>
    <cellStyle name="쉼표 [0] 3 2 4 2 3" xfId="6105"/>
    <cellStyle name="쉼표 [0] 3 2 4 3" xfId="2771"/>
    <cellStyle name="쉼표 [0] 3 2 4 3 2" xfId="7214"/>
    <cellStyle name="쉼표 [0] 3 2 4 4" xfId="5017"/>
    <cellStyle name="쉼표 [0] 3 2 5" xfId="1284"/>
    <cellStyle name="쉼표 [0] 3 2 5 2" xfId="3480"/>
    <cellStyle name="쉼표 [0] 3 2 5 2 2" xfId="7923"/>
    <cellStyle name="쉼표 [0] 3 2 5 3" xfId="5728"/>
    <cellStyle name="쉼표 [0] 3 2 6" xfId="2394"/>
    <cellStyle name="쉼표 [0] 3 2 6 2" xfId="6837"/>
    <cellStyle name="쉼표 [0] 3 2 7" xfId="4603"/>
    <cellStyle name="쉼표 [0] 3 3" xfId="292"/>
    <cellStyle name="쉼표 [0] 3 3 2" xfId="478"/>
    <cellStyle name="쉼표 [0] 3 3 2 2" xfId="1062"/>
    <cellStyle name="쉼표 [0] 3 3 2 2 2" xfId="2153"/>
    <cellStyle name="쉼표 [0] 3 3 2 2 2 2" xfId="4348"/>
    <cellStyle name="쉼표 [0] 3 3 2 2 2 2 2" xfId="8791"/>
    <cellStyle name="쉼표 [0] 3 3 2 2 2 3" xfId="6596"/>
    <cellStyle name="쉼표 [0] 3 3 2 2 3" xfId="3262"/>
    <cellStyle name="쉼표 [0] 3 3 2 2 3 2" xfId="7705"/>
    <cellStyle name="쉼표 [0] 3 3 2 2 4" xfId="5508"/>
    <cellStyle name="쉼표 [0] 3 3 2 3" xfId="767"/>
    <cellStyle name="쉼표 [0] 3 3 2 3 2" xfId="1858"/>
    <cellStyle name="쉼표 [0] 3 3 2 3 2 2" xfId="4053"/>
    <cellStyle name="쉼표 [0] 3 3 2 3 2 2 2" xfId="8496"/>
    <cellStyle name="쉼표 [0] 3 3 2 3 2 3" xfId="6301"/>
    <cellStyle name="쉼표 [0] 3 3 2 3 3" xfId="2967"/>
    <cellStyle name="쉼표 [0] 3 3 2 3 3 2" xfId="7410"/>
    <cellStyle name="쉼표 [0] 3 3 2 3 4" xfId="5213"/>
    <cellStyle name="쉼표 [0] 3 3 2 4" xfId="1569"/>
    <cellStyle name="쉼표 [0] 3 3 2 4 2" xfId="3764"/>
    <cellStyle name="쉼표 [0] 3 3 2 4 2 2" xfId="8207"/>
    <cellStyle name="쉼표 [0] 3 3 2 4 3" xfId="6012"/>
    <cellStyle name="쉼표 [0] 3 3 2 5" xfId="2678"/>
    <cellStyle name="쉼표 [0] 3 3 2 5 2" xfId="7121"/>
    <cellStyle name="쉼표 [0] 3 3 2 6" xfId="4924"/>
    <cellStyle name="쉼표 [0] 3 3 3" xfId="920"/>
    <cellStyle name="쉼표 [0] 3 3 3 2" xfId="2011"/>
    <cellStyle name="쉼표 [0] 3 3 3 2 2" xfId="4206"/>
    <cellStyle name="쉼표 [0] 3 3 3 2 2 2" xfId="8649"/>
    <cellStyle name="쉼표 [0] 3 3 3 2 3" xfId="6454"/>
    <cellStyle name="쉼표 [0] 3 3 3 3" xfId="3120"/>
    <cellStyle name="쉼표 [0] 3 3 3 3 2" xfId="7563"/>
    <cellStyle name="쉼표 [0] 3 3 3 4" xfId="5366"/>
    <cellStyle name="쉼표 [0] 3 3 4" xfId="625"/>
    <cellStyle name="쉼표 [0] 3 3 4 2" xfId="1716"/>
    <cellStyle name="쉼표 [0] 3 3 4 2 2" xfId="3911"/>
    <cellStyle name="쉼표 [0] 3 3 4 2 2 2" xfId="8354"/>
    <cellStyle name="쉼표 [0] 3 3 4 2 3" xfId="6159"/>
    <cellStyle name="쉼표 [0] 3 3 4 3" xfId="2825"/>
    <cellStyle name="쉼표 [0] 3 3 4 3 2" xfId="7268"/>
    <cellStyle name="쉼표 [0] 3 3 4 4" xfId="5071"/>
    <cellStyle name="쉼표 [0] 3 3 5" xfId="1383"/>
    <cellStyle name="쉼표 [0] 3 3 5 2" xfId="3578"/>
    <cellStyle name="쉼표 [0] 3 3 5 2 2" xfId="8021"/>
    <cellStyle name="쉼표 [0] 3 3 5 3" xfId="5826"/>
    <cellStyle name="쉼표 [0] 3 3 6" xfId="2492"/>
    <cellStyle name="쉼표 [0] 3 3 6 2" xfId="6935"/>
    <cellStyle name="쉼표 [0] 3 3 7" xfId="4738"/>
    <cellStyle name="쉼표 [0] 3 4" xfId="1243"/>
    <cellStyle name="쉼표 [0] 3 4 2" xfId="2333"/>
    <cellStyle name="쉼표 [0] 3 4 2 2" xfId="4528"/>
    <cellStyle name="쉼표 [0] 3 4 2 2 2" xfId="8971"/>
    <cellStyle name="쉼표 [0] 3 4 2 3" xfId="6776"/>
    <cellStyle name="쉼표 [0] 3 4 3" xfId="3442"/>
    <cellStyle name="쉼표 [0] 3 4 3 2" xfId="7885"/>
    <cellStyle name="쉼표 [0] 3 4 4" xfId="5688"/>
    <cellStyle name="쉼표 [0] 3 5" xfId="1248"/>
    <cellStyle name="쉼표 [0] 3 5 2" xfId="2337"/>
    <cellStyle name="쉼표 [0] 3 5 2 2" xfId="4532"/>
    <cellStyle name="쉼표 [0] 3 5 2 2 2" xfId="8975"/>
    <cellStyle name="쉼표 [0] 3 5 2 3" xfId="6780"/>
    <cellStyle name="쉼표 [0] 3 5 3" xfId="3446"/>
    <cellStyle name="쉼표 [0] 3 5 3 2" xfId="7889"/>
    <cellStyle name="쉼표 [0] 3 5 4" xfId="5692"/>
    <cellStyle name="쉼표 [0] 3 6" xfId="1252"/>
    <cellStyle name="쉼표 [0] 3 6 2" xfId="2341"/>
    <cellStyle name="쉼표 [0] 3 6 2 2" xfId="4536"/>
    <cellStyle name="쉼표 [0] 3 6 2 2 2" xfId="8979"/>
    <cellStyle name="쉼표 [0] 3 6 2 3" xfId="6784"/>
    <cellStyle name="쉼표 [0] 3 6 3" xfId="3450"/>
    <cellStyle name="쉼표 [0] 3 6 3 2" xfId="7893"/>
    <cellStyle name="쉼표 [0] 3 6 4" xfId="5696"/>
    <cellStyle name="쉼표 [0] 3 7" xfId="1256"/>
    <cellStyle name="쉼표 [0] 3 7 2" xfId="2345"/>
    <cellStyle name="쉼표 [0] 3 7 2 2" xfId="4540"/>
    <cellStyle name="쉼표 [0] 3 7 2 2 2" xfId="8983"/>
    <cellStyle name="쉼표 [0] 3 7 2 3" xfId="6788"/>
    <cellStyle name="쉼표 [0] 3 7 3" xfId="3454"/>
    <cellStyle name="쉼표 [0] 3 7 3 2" xfId="7897"/>
    <cellStyle name="쉼표 [0] 3 7 4" xfId="5700"/>
    <cellStyle name="쉼표 [0] 3 8" xfId="2349"/>
    <cellStyle name="쉼표 [0] 3 8 2" xfId="4544"/>
    <cellStyle name="쉼표 [0] 3 8 2 2" xfId="8987"/>
    <cellStyle name="쉼표 [0] 3 8 3" xfId="6792"/>
    <cellStyle name="쉼표 [0] 3 9" xfId="1264"/>
    <cellStyle name="쉼표 [0] 30" xfId="354"/>
    <cellStyle name="쉼표 [0] 30 2" xfId="540"/>
    <cellStyle name="쉼표 [0] 30 2 2" xfId="1124"/>
    <cellStyle name="쉼표 [0] 30 2 2 2" xfId="2215"/>
    <cellStyle name="쉼표 [0] 30 2 2 2 2" xfId="4410"/>
    <cellStyle name="쉼표 [0] 30 2 2 2 2 2" xfId="8853"/>
    <cellStyle name="쉼표 [0] 30 2 2 2 3" xfId="6658"/>
    <cellStyle name="쉼표 [0] 30 2 2 3" xfId="3324"/>
    <cellStyle name="쉼표 [0] 30 2 2 3 2" xfId="7767"/>
    <cellStyle name="쉼표 [0] 30 2 2 4" xfId="5570"/>
    <cellStyle name="쉼표 [0] 30 2 3" xfId="829"/>
    <cellStyle name="쉼표 [0] 30 2 3 2" xfId="1920"/>
    <cellStyle name="쉼표 [0] 30 2 3 2 2" xfId="4115"/>
    <cellStyle name="쉼표 [0] 30 2 3 2 2 2" xfId="8558"/>
    <cellStyle name="쉼표 [0] 30 2 3 2 3" xfId="6363"/>
    <cellStyle name="쉼표 [0] 30 2 3 3" xfId="3029"/>
    <cellStyle name="쉼표 [0] 30 2 3 3 2" xfId="7472"/>
    <cellStyle name="쉼표 [0] 30 2 3 4" xfId="5275"/>
    <cellStyle name="쉼표 [0] 30 2 4" xfId="1631"/>
    <cellStyle name="쉼표 [0] 30 2 4 2" xfId="3826"/>
    <cellStyle name="쉼표 [0] 30 2 4 2 2" xfId="8269"/>
    <cellStyle name="쉼표 [0] 30 2 4 3" xfId="6074"/>
    <cellStyle name="쉼표 [0] 30 2 5" xfId="2740"/>
    <cellStyle name="쉼표 [0] 30 2 5 2" xfId="7183"/>
    <cellStyle name="쉼표 [0] 30 2 6" xfId="4986"/>
    <cellStyle name="쉼표 [0] 30 3" xfId="982"/>
    <cellStyle name="쉼표 [0] 30 3 2" xfId="2073"/>
    <cellStyle name="쉼표 [0] 30 3 2 2" xfId="4268"/>
    <cellStyle name="쉼표 [0] 30 3 2 2 2" xfId="8711"/>
    <cellStyle name="쉼표 [0] 30 3 2 3" xfId="6516"/>
    <cellStyle name="쉼표 [0] 30 3 3" xfId="3182"/>
    <cellStyle name="쉼표 [0] 30 3 3 2" xfId="7625"/>
    <cellStyle name="쉼표 [0] 30 3 4" xfId="5428"/>
    <cellStyle name="쉼표 [0] 30 4" xfId="687"/>
    <cellStyle name="쉼표 [0] 30 4 2" xfId="1778"/>
    <cellStyle name="쉼표 [0] 30 4 2 2" xfId="3973"/>
    <cellStyle name="쉼표 [0] 30 4 2 2 2" xfId="8416"/>
    <cellStyle name="쉼표 [0] 30 4 2 3" xfId="6221"/>
    <cellStyle name="쉼표 [0] 30 4 3" xfId="2887"/>
    <cellStyle name="쉼표 [0] 30 4 3 2" xfId="7330"/>
    <cellStyle name="쉼표 [0] 30 4 4" xfId="5133"/>
    <cellStyle name="쉼표 [0] 30 5" xfId="1445"/>
    <cellStyle name="쉼표 [0] 30 5 2" xfId="3640"/>
    <cellStyle name="쉼표 [0] 30 5 2 2" xfId="8083"/>
    <cellStyle name="쉼표 [0] 30 5 3" xfId="5888"/>
    <cellStyle name="쉼표 [0] 30 6" xfId="2554"/>
    <cellStyle name="쉼표 [0] 30 6 2" xfId="6997"/>
    <cellStyle name="쉼표 [0] 30 7" xfId="4800"/>
    <cellStyle name="쉼표 [0] 31" xfId="356"/>
    <cellStyle name="쉼표 [0] 31 2" xfId="542"/>
    <cellStyle name="쉼표 [0] 31 2 2" xfId="1126"/>
    <cellStyle name="쉼표 [0] 31 2 2 2" xfId="2217"/>
    <cellStyle name="쉼표 [0] 31 2 2 2 2" xfId="4412"/>
    <cellStyle name="쉼표 [0] 31 2 2 2 2 2" xfId="8855"/>
    <cellStyle name="쉼표 [0] 31 2 2 2 3" xfId="6660"/>
    <cellStyle name="쉼표 [0] 31 2 2 3" xfId="3326"/>
    <cellStyle name="쉼표 [0] 31 2 2 3 2" xfId="7769"/>
    <cellStyle name="쉼표 [0] 31 2 2 4" xfId="5572"/>
    <cellStyle name="쉼표 [0] 31 2 3" xfId="831"/>
    <cellStyle name="쉼표 [0] 31 2 3 2" xfId="1922"/>
    <cellStyle name="쉼표 [0] 31 2 3 2 2" xfId="4117"/>
    <cellStyle name="쉼표 [0] 31 2 3 2 2 2" xfId="8560"/>
    <cellStyle name="쉼표 [0] 31 2 3 2 3" xfId="6365"/>
    <cellStyle name="쉼표 [0] 31 2 3 3" xfId="3031"/>
    <cellStyle name="쉼표 [0] 31 2 3 3 2" xfId="7474"/>
    <cellStyle name="쉼표 [0] 31 2 3 4" xfId="5277"/>
    <cellStyle name="쉼표 [0] 31 2 4" xfId="1633"/>
    <cellStyle name="쉼표 [0] 31 2 4 2" xfId="3828"/>
    <cellStyle name="쉼표 [0] 31 2 4 2 2" xfId="8271"/>
    <cellStyle name="쉼표 [0] 31 2 4 3" xfId="6076"/>
    <cellStyle name="쉼표 [0] 31 2 5" xfId="2742"/>
    <cellStyle name="쉼표 [0] 31 2 5 2" xfId="7185"/>
    <cellStyle name="쉼표 [0] 31 2 6" xfId="4988"/>
    <cellStyle name="쉼표 [0] 31 3" xfId="984"/>
    <cellStyle name="쉼표 [0] 31 3 2" xfId="2075"/>
    <cellStyle name="쉼표 [0] 31 3 2 2" xfId="4270"/>
    <cellStyle name="쉼표 [0] 31 3 2 2 2" xfId="8713"/>
    <cellStyle name="쉼표 [0] 31 3 2 3" xfId="6518"/>
    <cellStyle name="쉼표 [0] 31 3 3" xfId="3184"/>
    <cellStyle name="쉼표 [0] 31 3 3 2" xfId="7627"/>
    <cellStyle name="쉼표 [0] 31 3 4" xfId="5430"/>
    <cellStyle name="쉼표 [0] 31 4" xfId="689"/>
    <cellStyle name="쉼표 [0] 31 4 2" xfId="1780"/>
    <cellStyle name="쉼표 [0] 31 4 2 2" xfId="3975"/>
    <cellStyle name="쉼표 [0] 31 4 2 2 2" xfId="8418"/>
    <cellStyle name="쉼표 [0] 31 4 2 3" xfId="6223"/>
    <cellStyle name="쉼표 [0] 31 4 3" xfId="2889"/>
    <cellStyle name="쉼표 [0] 31 4 3 2" xfId="7332"/>
    <cellStyle name="쉼표 [0] 31 4 4" xfId="5135"/>
    <cellStyle name="쉼표 [0] 31 5" xfId="1447"/>
    <cellStyle name="쉼표 [0] 31 5 2" xfId="3642"/>
    <cellStyle name="쉼표 [0] 31 5 2 2" xfId="8085"/>
    <cellStyle name="쉼표 [0] 31 5 3" xfId="5890"/>
    <cellStyle name="쉼표 [0] 31 6" xfId="2556"/>
    <cellStyle name="쉼표 [0] 31 6 2" xfId="6999"/>
    <cellStyle name="쉼표 [0] 31 7" xfId="4802"/>
    <cellStyle name="쉼표 [0] 32" xfId="358"/>
    <cellStyle name="쉼표 [0] 32 2" xfId="544"/>
    <cellStyle name="쉼표 [0] 32 2 2" xfId="1128"/>
    <cellStyle name="쉼표 [0] 32 2 2 2" xfId="2219"/>
    <cellStyle name="쉼표 [0] 32 2 2 2 2" xfId="4414"/>
    <cellStyle name="쉼표 [0] 32 2 2 2 2 2" xfId="8857"/>
    <cellStyle name="쉼표 [0] 32 2 2 2 3" xfId="6662"/>
    <cellStyle name="쉼표 [0] 32 2 2 3" xfId="3328"/>
    <cellStyle name="쉼표 [0] 32 2 2 3 2" xfId="7771"/>
    <cellStyle name="쉼표 [0] 32 2 2 4" xfId="5574"/>
    <cellStyle name="쉼표 [0] 32 2 3" xfId="833"/>
    <cellStyle name="쉼표 [0] 32 2 3 2" xfId="1924"/>
    <cellStyle name="쉼표 [0] 32 2 3 2 2" xfId="4119"/>
    <cellStyle name="쉼표 [0] 32 2 3 2 2 2" xfId="8562"/>
    <cellStyle name="쉼표 [0] 32 2 3 2 3" xfId="6367"/>
    <cellStyle name="쉼표 [0] 32 2 3 3" xfId="3033"/>
    <cellStyle name="쉼표 [0] 32 2 3 3 2" xfId="7476"/>
    <cellStyle name="쉼표 [0] 32 2 3 4" xfId="5279"/>
    <cellStyle name="쉼표 [0] 32 2 4" xfId="1635"/>
    <cellStyle name="쉼표 [0] 32 2 4 2" xfId="3830"/>
    <cellStyle name="쉼표 [0] 32 2 4 2 2" xfId="8273"/>
    <cellStyle name="쉼표 [0] 32 2 4 3" xfId="6078"/>
    <cellStyle name="쉼표 [0] 32 2 5" xfId="2744"/>
    <cellStyle name="쉼표 [0] 32 2 5 2" xfId="7187"/>
    <cellStyle name="쉼표 [0] 32 2 6" xfId="4990"/>
    <cellStyle name="쉼표 [0] 32 3" xfId="986"/>
    <cellStyle name="쉼표 [0] 32 3 2" xfId="2077"/>
    <cellStyle name="쉼표 [0] 32 3 2 2" xfId="4272"/>
    <cellStyle name="쉼표 [0] 32 3 2 2 2" xfId="8715"/>
    <cellStyle name="쉼표 [0] 32 3 2 3" xfId="6520"/>
    <cellStyle name="쉼표 [0] 32 3 3" xfId="3186"/>
    <cellStyle name="쉼표 [0] 32 3 3 2" xfId="7629"/>
    <cellStyle name="쉼표 [0] 32 3 4" xfId="5432"/>
    <cellStyle name="쉼표 [0] 32 4" xfId="691"/>
    <cellStyle name="쉼표 [0] 32 4 2" xfId="1782"/>
    <cellStyle name="쉼표 [0] 32 4 2 2" xfId="3977"/>
    <cellStyle name="쉼표 [0] 32 4 2 2 2" xfId="8420"/>
    <cellStyle name="쉼표 [0] 32 4 2 3" xfId="6225"/>
    <cellStyle name="쉼표 [0] 32 4 3" xfId="2891"/>
    <cellStyle name="쉼표 [0] 32 4 3 2" xfId="7334"/>
    <cellStyle name="쉼표 [0] 32 4 4" xfId="5137"/>
    <cellStyle name="쉼표 [0] 32 5" xfId="1449"/>
    <cellStyle name="쉼표 [0] 32 5 2" xfId="3644"/>
    <cellStyle name="쉼표 [0] 32 5 2 2" xfId="8087"/>
    <cellStyle name="쉼표 [0] 32 5 3" xfId="5892"/>
    <cellStyle name="쉼표 [0] 32 6" xfId="2558"/>
    <cellStyle name="쉼표 [0] 32 6 2" xfId="7001"/>
    <cellStyle name="쉼표 [0] 32 7" xfId="4804"/>
    <cellStyle name="쉼표 [0] 33" xfId="360"/>
    <cellStyle name="쉼표 [0] 33 2" xfId="546"/>
    <cellStyle name="쉼표 [0] 33 2 2" xfId="1130"/>
    <cellStyle name="쉼표 [0] 33 2 2 2" xfId="2221"/>
    <cellStyle name="쉼표 [0] 33 2 2 2 2" xfId="4416"/>
    <cellStyle name="쉼표 [0] 33 2 2 2 2 2" xfId="8859"/>
    <cellStyle name="쉼표 [0] 33 2 2 2 3" xfId="6664"/>
    <cellStyle name="쉼표 [0] 33 2 2 3" xfId="3330"/>
    <cellStyle name="쉼표 [0] 33 2 2 3 2" xfId="7773"/>
    <cellStyle name="쉼표 [0] 33 2 2 4" xfId="5576"/>
    <cellStyle name="쉼표 [0] 33 2 3" xfId="835"/>
    <cellStyle name="쉼표 [0] 33 2 3 2" xfId="1926"/>
    <cellStyle name="쉼표 [0] 33 2 3 2 2" xfId="4121"/>
    <cellStyle name="쉼표 [0] 33 2 3 2 2 2" xfId="8564"/>
    <cellStyle name="쉼표 [0] 33 2 3 2 3" xfId="6369"/>
    <cellStyle name="쉼표 [0] 33 2 3 3" xfId="3035"/>
    <cellStyle name="쉼표 [0] 33 2 3 3 2" xfId="7478"/>
    <cellStyle name="쉼표 [0] 33 2 3 4" xfId="5281"/>
    <cellStyle name="쉼표 [0] 33 2 4" xfId="1637"/>
    <cellStyle name="쉼표 [0] 33 2 4 2" xfId="3832"/>
    <cellStyle name="쉼표 [0] 33 2 4 2 2" xfId="8275"/>
    <cellStyle name="쉼표 [0] 33 2 4 3" xfId="6080"/>
    <cellStyle name="쉼표 [0] 33 2 5" xfId="2746"/>
    <cellStyle name="쉼표 [0] 33 2 5 2" xfId="7189"/>
    <cellStyle name="쉼표 [0] 33 2 6" xfId="4992"/>
    <cellStyle name="쉼표 [0] 33 3" xfId="988"/>
    <cellStyle name="쉼표 [0] 33 3 2" xfId="2079"/>
    <cellStyle name="쉼표 [0] 33 3 2 2" xfId="4274"/>
    <cellStyle name="쉼표 [0] 33 3 2 2 2" xfId="8717"/>
    <cellStyle name="쉼표 [0] 33 3 2 3" xfId="6522"/>
    <cellStyle name="쉼표 [0] 33 3 3" xfId="3188"/>
    <cellStyle name="쉼표 [0] 33 3 3 2" xfId="7631"/>
    <cellStyle name="쉼표 [0] 33 3 4" xfId="5434"/>
    <cellStyle name="쉼표 [0] 33 4" xfId="693"/>
    <cellStyle name="쉼표 [0] 33 4 2" xfId="1784"/>
    <cellStyle name="쉼표 [0] 33 4 2 2" xfId="3979"/>
    <cellStyle name="쉼표 [0] 33 4 2 2 2" xfId="8422"/>
    <cellStyle name="쉼표 [0] 33 4 2 3" xfId="6227"/>
    <cellStyle name="쉼표 [0] 33 4 3" xfId="2893"/>
    <cellStyle name="쉼표 [0] 33 4 3 2" xfId="7336"/>
    <cellStyle name="쉼표 [0] 33 4 4" xfId="5139"/>
    <cellStyle name="쉼표 [0] 33 5" xfId="1451"/>
    <cellStyle name="쉼표 [0] 33 5 2" xfId="3646"/>
    <cellStyle name="쉼표 [0] 33 5 2 2" xfId="8089"/>
    <cellStyle name="쉼표 [0] 33 5 3" xfId="5894"/>
    <cellStyle name="쉼표 [0] 33 6" xfId="2560"/>
    <cellStyle name="쉼표 [0] 33 6 2" xfId="7003"/>
    <cellStyle name="쉼표 [0] 33 7" xfId="4806"/>
    <cellStyle name="쉼표 [0] 34" xfId="362"/>
    <cellStyle name="쉼표 [0] 34 2" xfId="548"/>
    <cellStyle name="쉼표 [0] 34 2 2" xfId="1132"/>
    <cellStyle name="쉼표 [0] 34 2 2 2" xfId="2223"/>
    <cellStyle name="쉼표 [0] 34 2 2 2 2" xfId="4418"/>
    <cellStyle name="쉼표 [0] 34 2 2 2 2 2" xfId="8861"/>
    <cellStyle name="쉼표 [0] 34 2 2 2 3" xfId="6666"/>
    <cellStyle name="쉼표 [0] 34 2 2 3" xfId="3332"/>
    <cellStyle name="쉼표 [0] 34 2 2 3 2" xfId="7775"/>
    <cellStyle name="쉼표 [0] 34 2 2 4" xfId="5578"/>
    <cellStyle name="쉼표 [0] 34 2 3" xfId="837"/>
    <cellStyle name="쉼표 [0] 34 2 3 2" xfId="1928"/>
    <cellStyle name="쉼표 [0] 34 2 3 2 2" xfId="4123"/>
    <cellStyle name="쉼표 [0] 34 2 3 2 2 2" xfId="8566"/>
    <cellStyle name="쉼표 [0] 34 2 3 2 3" xfId="6371"/>
    <cellStyle name="쉼표 [0] 34 2 3 3" xfId="3037"/>
    <cellStyle name="쉼표 [0] 34 2 3 3 2" xfId="7480"/>
    <cellStyle name="쉼표 [0] 34 2 3 4" xfId="5283"/>
    <cellStyle name="쉼표 [0] 34 2 4" xfId="1639"/>
    <cellStyle name="쉼표 [0] 34 2 4 2" xfId="3834"/>
    <cellStyle name="쉼표 [0] 34 2 4 2 2" xfId="8277"/>
    <cellStyle name="쉼표 [0] 34 2 4 3" xfId="6082"/>
    <cellStyle name="쉼표 [0] 34 2 5" xfId="2748"/>
    <cellStyle name="쉼표 [0] 34 2 5 2" xfId="7191"/>
    <cellStyle name="쉼표 [0] 34 2 6" xfId="4994"/>
    <cellStyle name="쉼표 [0] 34 3" xfId="990"/>
    <cellStyle name="쉼표 [0] 34 3 2" xfId="2081"/>
    <cellStyle name="쉼표 [0] 34 3 2 2" xfId="4276"/>
    <cellStyle name="쉼표 [0] 34 3 2 2 2" xfId="8719"/>
    <cellStyle name="쉼표 [0] 34 3 2 3" xfId="6524"/>
    <cellStyle name="쉼표 [0] 34 3 3" xfId="3190"/>
    <cellStyle name="쉼표 [0] 34 3 3 2" xfId="7633"/>
    <cellStyle name="쉼표 [0] 34 3 4" xfId="5436"/>
    <cellStyle name="쉼표 [0] 34 4" xfId="695"/>
    <cellStyle name="쉼표 [0] 34 4 2" xfId="1786"/>
    <cellStyle name="쉼표 [0] 34 4 2 2" xfId="3981"/>
    <cellStyle name="쉼표 [0] 34 4 2 2 2" xfId="8424"/>
    <cellStyle name="쉼표 [0] 34 4 2 3" xfId="6229"/>
    <cellStyle name="쉼표 [0] 34 4 3" xfId="2895"/>
    <cellStyle name="쉼표 [0] 34 4 3 2" xfId="7338"/>
    <cellStyle name="쉼표 [0] 34 4 4" xfId="5141"/>
    <cellStyle name="쉼표 [0] 34 5" xfId="1453"/>
    <cellStyle name="쉼표 [0] 34 5 2" xfId="3648"/>
    <cellStyle name="쉼표 [0] 34 5 2 2" xfId="8091"/>
    <cellStyle name="쉼표 [0] 34 5 3" xfId="5896"/>
    <cellStyle name="쉼표 [0] 34 6" xfId="2562"/>
    <cellStyle name="쉼표 [0] 34 6 2" xfId="7005"/>
    <cellStyle name="쉼표 [0] 34 7" xfId="4808"/>
    <cellStyle name="쉼표 [0] 35" xfId="364"/>
    <cellStyle name="쉼표 [0] 35 2" xfId="992"/>
    <cellStyle name="쉼표 [0] 35 2 2" xfId="2083"/>
    <cellStyle name="쉼표 [0] 35 2 2 2" xfId="4278"/>
    <cellStyle name="쉼표 [0] 35 2 2 2 2" xfId="8721"/>
    <cellStyle name="쉼표 [0] 35 2 2 3" xfId="6526"/>
    <cellStyle name="쉼표 [0] 35 2 3" xfId="3192"/>
    <cellStyle name="쉼표 [0] 35 2 3 2" xfId="7635"/>
    <cellStyle name="쉼표 [0] 35 2 4" xfId="5438"/>
    <cellStyle name="쉼표 [0] 35 3" xfId="697"/>
    <cellStyle name="쉼표 [0] 35 3 2" xfId="1788"/>
    <cellStyle name="쉼표 [0] 35 3 2 2" xfId="3983"/>
    <cellStyle name="쉼표 [0] 35 3 2 2 2" xfId="8426"/>
    <cellStyle name="쉼표 [0] 35 3 2 3" xfId="6231"/>
    <cellStyle name="쉼표 [0] 35 3 3" xfId="2897"/>
    <cellStyle name="쉼표 [0] 35 3 3 2" xfId="7340"/>
    <cellStyle name="쉼표 [0] 35 3 4" xfId="5143"/>
    <cellStyle name="쉼표 [0] 35 4" xfId="1455"/>
    <cellStyle name="쉼표 [0] 35 4 2" xfId="3650"/>
    <cellStyle name="쉼표 [0] 35 4 2 2" xfId="8093"/>
    <cellStyle name="쉼표 [0] 35 4 3" xfId="5898"/>
    <cellStyle name="쉼표 [0] 35 5" xfId="2564"/>
    <cellStyle name="쉼표 [0] 35 5 2" xfId="7007"/>
    <cellStyle name="쉼표 [0] 35 6" xfId="4810"/>
    <cellStyle name="쉼표 [0] 36" xfId="550"/>
    <cellStyle name="쉼표 [0] 36 2" xfId="1134"/>
    <cellStyle name="쉼표 [0] 36 2 2" xfId="2225"/>
    <cellStyle name="쉼표 [0] 36 2 2 2" xfId="4420"/>
    <cellStyle name="쉼표 [0] 36 2 2 2 2" xfId="8863"/>
    <cellStyle name="쉼표 [0] 36 2 2 3" xfId="6668"/>
    <cellStyle name="쉼표 [0] 36 2 3" xfId="3334"/>
    <cellStyle name="쉼표 [0] 36 2 3 2" xfId="7777"/>
    <cellStyle name="쉼표 [0] 36 2 4" xfId="5580"/>
    <cellStyle name="쉼표 [0] 36 3" xfId="839"/>
    <cellStyle name="쉼표 [0] 36 3 2" xfId="1930"/>
    <cellStyle name="쉼표 [0] 36 3 2 2" xfId="4125"/>
    <cellStyle name="쉼표 [0] 36 3 2 2 2" xfId="8568"/>
    <cellStyle name="쉼표 [0] 36 3 2 3" xfId="6373"/>
    <cellStyle name="쉼표 [0] 36 3 3" xfId="3039"/>
    <cellStyle name="쉼표 [0] 36 3 3 2" xfId="7482"/>
    <cellStyle name="쉼표 [0] 36 3 4" xfId="5285"/>
    <cellStyle name="쉼표 [0] 36 4" xfId="1641"/>
    <cellStyle name="쉼표 [0] 36 4 2" xfId="3836"/>
    <cellStyle name="쉼표 [0] 36 4 2 2" xfId="8279"/>
    <cellStyle name="쉼표 [0] 36 4 3" xfId="6084"/>
    <cellStyle name="쉼표 [0] 36 5" xfId="2750"/>
    <cellStyle name="쉼표 [0] 36 5 2" xfId="7193"/>
    <cellStyle name="쉼표 [0] 36 6" xfId="4996"/>
    <cellStyle name="쉼표 [0] 37" xfId="841"/>
    <cellStyle name="쉼표 [0] 37 2" xfId="1205"/>
    <cellStyle name="쉼표 [0] 37 2 2" xfId="2296"/>
    <cellStyle name="쉼표 [0] 37 2 2 2" xfId="4491"/>
    <cellStyle name="쉼표 [0] 37 2 2 2 2" xfId="8934"/>
    <cellStyle name="쉼표 [0] 37 2 2 3" xfId="6739"/>
    <cellStyle name="쉼표 [0] 37 2 3" xfId="3405"/>
    <cellStyle name="쉼표 [0] 37 2 3 2" xfId="7848"/>
    <cellStyle name="쉼표 [0] 37 2 4" xfId="5651"/>
    <cellStyle name="쉼표 [0] 37 3" xfId="1932"/>
    <cellStyle name="쉼표 [0] 37 3 2" xfId="4127"/>
    <cellStyle name="쉼표 [0] 37 3 2 2" xfId="8570"/>
    <cellStyle name="쉼표 [0] 37 3 3" xfId="6375"/>
    <cellStyle name="쉼표 [0] 37 4" xfId="3041"/>
    <cellStyle name="쉼표 [0] 37 4 2" xfId="7484"/>
    <cellStyle name="쉼표 [0] 37 5" xfId="5287"/>
    <cellStyle name="쉼표 [0] 38" xfId="843"/>
    <cellStyle name="쉼표 [0] 38 2" xfId="1207"/>
    <cellStyle name="쉼표 [0] 38 2 2" xfId="2298"/>
    <cellStyle name="쉼표 [0] 38 2 2 2" xfId="4493"/>
    <cellStyle name="쉼표 [0] 38 2 2 2 2" xfId="8936"/>
    <cellStyle name="쉼표 [0] 38 2 2 3" xfId="6741"/>
    <cellStyle name="쉼표 [0] 38 2 3" xfId="3407"/>
    <cellStyle name="쉼표 [0] 38 2 3 2" xfId="7850"/>
    <cellStyle name="쉼표 [0] 38 2 4" xfId="5653"/>
    <cellStyle name="쉼표 [0] 38 3" xfId="1934"/>
    <cellStyle name="쉼표 [0] 38 3 2" xfId="4129"/>
    <cellStyle name="쉼표 [0] 38 3 2 2" xfId="8572"/>
    <cellStyle name="쉼표 [0] 38 3 3" xfId="6377"/>
    <cellStyle name="쉼표 [0] 38 4" xfId="3043"/>
    <cellStyle name="쉼표 [0] 38 4 2" xfId="7486"/>
    <cellStyle name="쉼표 [0] 38 5" xfId="5289"/>
    <cellStyle name="쉼표 [0] 39" xfId="845"/>
    <cellStyle name="쉼표 [0] 39 2" xfId="1209"/>
    <cellStyle name="쉼표 [0] 39 2 2" xfId="2300"/>
    <cellStyle name="쉼표 [0] 39 2 2 2" xfId="4495"/>
    <cellStyle name="쉼표 [0] 39 2 2 2 2" xfId="8938"/>
    <cellStyle name="쉼표 [0] 39 2 2 3" xfId="6743"/>
    <cellStyle name="쉼표 [0] 39 2 3" xfId="3409"/>
    <cellStyle name="쉼표 [0] 39 2 3 2" xfId="7852"/>
    <cellStyle name="쉼표 [0] 39 2 4" xfId="5655"/>
    <cellStyle name="쉼표 [0] 39 3" xfId="1936"/>
    <cellStyle name="쉼표 [0] 39 3 2" xfId="4131"/>
    <cellStyle name="쉼표 [0] 39 3 2 2" xfId="8574"/>
    <cellStyle name="쉼표 [0] 39 3 3" xfId="6379"/>
    <cellStyle name="쉼표 [0] 39 4" xfId="3045"/>
    <cellStyle name="쉼표 [0] 39 4 2" xfId="7488"/>
    <cellStyle name="쉼표 [0] 39 5" xfId="5291"/>
    <cellStyle name="쉼표 [0] 4" xfId="13"/>
    <cellStyle name="쉼표 [0] 4 10" xfId="4587"/>
    <cellStyle name="쉼표 [0] 4 2" xfId="29"/>
    <cellStyle name="쉼표 [0] 4 2 2" xfId="380"/>
    <cellStyle name="쉼표 [0] 4 2 2 2" xfId="1008"/>
    <cellStyle name="쉼표 [0] 4 2 2 2 2" xfId="2099"/>
    <cellStyle name="쉼표 [0] 4 2 2 2 2 2" xfId="4294"/>
    <cellStyle name="쉼표 [0] 4 2 2 2 2 2 2" xfId="8737"/>
    <cellStyle name="쉼표 [0] 4 2 2 2 2 3" xfId="6542"/>
    <cellStyle name="쉼표 [0] 4 2 2 2 3" xfId="3208"/>
    <cellStyle name="쉼표 [0] 4 2 2 2 3 2" xfId="7651"/>
    <cellStyle name="쉼표 [0] 4 2 2 2 4" xfId="5454"/>
    <cellStyle name="쉼표 [0] 4 2 2 3" xfId="713"/>
    <cellStyle name="쉼표 [0] 4 2 2 3 2" xfId="1804"/>
    <cellStyle name="쉼표 [0] 4 2 2 3 2 2" xfId="3999"/>
    <cellStyle name="쉼표 [0] 4 2 2 3 2 2 2" xfId="8442"/>
    <cellStyle name="쉼표 [0] 4 2 2 3 2 3" xfId="6247"/>
    <cellStyle name="쉼표 [0] 4 2 2 3 3" xfId="2913"/>
    <cellStyle name="쉼표 [0] 4 2 2 3 3 2" xfId="7356"/>
    <cellStyle name="쉼표 [0] 4 2 2 3 4" xfId="5159"/>
    <cellStyle name="쉼표 [0] 4 2 2 4" xfId="1471"/>
    <cellStyle name="쉼표 [0] 4 2 2 4 2" xfId="3666"/>
    <cellStyle name="쉼표 [0] 4 2 2 4 2 2" xfId="8109"/>
    <cellStyle name="쉼표 [0] 4 2 2 4 3" xfId="5914"/>
    <cellStyle name="쉼표 [0] 4 2 2 5" xfId="2580"/>
    <cellStyle name="쉼표 [0] 4 2 2 5 2" xfId="7023"/>
    <cellStyle name="쉼표 [0] 4 2 2 6" xfId="4826"/>
    <cellStyle name="쉼표 [0] 4 2 3" xfId="865"/>
    <cellStyle name="쉼표 [0] 4 2 3 2" xfId="1956"/>
    <cellStyle name="쉼표 [0] 4 2 3 2 2" xfId="4151"/>
    <cellStyle name="쉼표 [0] 4 2 3 2 2 2" xfId="8594"/>
    <cellStyle name="쉼표 [0] 4 2 3 2 3" xfId="6399"/>
    <cellStyle name="쉼표 [0] 4 2 3 3" xfId="3065"/>
    <cellStyle name="쉼표 [0] 4 2 3 3 2" xfId="7508"/>
    <cellStyle name="쉼표 [0] 4 2 3 4" xfId="5311"/>
    <cellStyle name="쉼표 [0] 4 2 4" xfId="567"/>
    <cellStyle name="쉼표 [0] 4 2 4 2" xfId="1658"/>
    <cellStyle name="쉼표 [0] 4 2 4 2 2" xfId="3853"/>
    <cellStyle name="쉼표 [0] 4 2 4 2 2 2" xfId="8296"/>
    <cellStyle name="쉼표 [0] 4 2 4 2 3" xfId="6101"/>
    <cellStyle name="쉼표 [0] 4 2 4 3" xfId="2767"/>
    <cellStyle name="쉼표 [0] 4 2 4 3 2" xfId="7210"/>
    <cellStyle name="쉼표 [0] 4 2 4 4" xfId="5013"/>
    <cellStyle name="쉼표 [0] 4 2 5" xfId="1280"/>
    <cellStyle name="쉼표 [0] 4 2 5 2" xfId="3476"/>
    <cellStyle name="쉼표 [0] 4 2 5 2 2" xfId="7919"/>
    <cellStyle name="쉼표 [0] 4 2 5 3" xfId="5724"/>
    <cellStyle name="쉼표 [0] 4 2 6" xfId="2390"/>
    <cellStyle name="쉼표 [0] 4 2 6 2" xfId="6833"/>
    <cellStyle name="쉼표 [0] 4 2 7" xfId="4599"/>
    <cellStyle name="쉼표 [0] 4 3" xfId="289"/>
    <cellStyle name="쉼표 [0] 4 3 2" xfId="475"/>
    <cellStyle name="쉼표 [0] 4 3 2 2" xfId="1059"/>
    <cellStyle name="쉼표 [0] 4 3 2 2 2" xfId="2150"/>
    <cellStyle name="쉼표 [0] 4 3 2 2 2 2" xfId="4345"/>
    <cellStyle name="쉼표 [0] 4 3 2 2 2 2 2" xfId="8788"/>
    <cellStyle name="쉼표 [0] 4 3 2 2 2 3" xfId="6593"/>
    <cellStyle name="쉼표 [0] 4 3 2 2 3" xfId="3259"/>
    <cellStyle name="쉼표 [0] 4 3 2 2 3 2" xfId="7702"/>
    <cellStyle name="쉼표 [0] 4 3 2 2 4" xfId="5505"/>
    <cellStyle name="쉼표 [0] 4 3 2 3" xfId="764"/>
    <cellStyle name="쉼표 [0] 4 3 2 3 2" xfId="1855"/>
    <cellStyle name="쉼표 [0] 4 3 2 3 2 2" xfId="4050"/>
    <cellStyle name="쉼표 [0] 4 3 2 3 2 2 2" xfId="8493"/>
    <cellStyle name="쉼표 [0] 4 3 2 3 2 3" xfId="6298"/>
    <cellStyle name="쉼표 [0] 4 3 2 3 3" xfId="2964"/>
    <cellStyle name="쉼표 [0] 4 3 2 3 3 2" xfId="7407"/>
    <cellStyle name="쉼표 [0] 4 3 2 3 4" xfId="5210"/>
    <cellStyle name="쉼표 [0] 4 3 2 4" xfId="1566"/>
    <cellStyle name="쉼표 [0] 4 3 2 4 2" xfId="3761"/>
    <cellStyle name="쉼표 [0] 4 3 2 4 2 2" xfId="8204"/>
    <cellStyle name="쉼표 [0] 4 3 2 4 3" xfId="6009"/>
    <cellStyle name="쉼표 [0] 4 3 2 5" xfId="2675"/>
    <cellStyle name="쉼표 [0] 4 3 2 5 2" xfId="7118"/>
    <cellStyle name="쉼표 [0] 4 3 2 6" xfId="4921"/>
    <cellStyle name="쉼표 [0] 4 3 3" xfId="917"/>
    <cellStyle name="쉼표 [0] 4 3 3 2" xfId="2008"/>
    <cellStyle name="쉼표 [0] 4 3 3 2 2" xfId="4203"/>
    <cellStyle name="쉼표 [0] 4 3 3 2 2 2" xfId="8646"/>
    <cellStyle name="쉼표 [0] 4 3 3 2 3" xfId="6451"/>
    <cellStyle name="쉼표 [0] 4 3 3 3" xfId="3117"/>
    <cellStyle name="쉼표 [0] 4 3 3 3 2" xfId="7560"/>
    <cellStyle name="쉼표 [0] 4 3 3 4" xfId="5363"/>
    <cellStyle name="쉼표 [0] 4 3 4" xfId="622"/>
    <cellStyle name="쉼표 [0] 4 3 4 2" xfId="1713"/>
    <cellStyle name="쉼표 [0] 4 3 4 2 2" xfId="3908"/>
    <cellStyle name="쉼표 [0] 4 3 4 2 2 2" xfId="8351"/>
    <cellStyle name="쉼표 [0] 4 3 4 2 3" xfId="6156"/>
    <cellStyle name="쉼표 [0] 4 3 4 3" xfId="2822"/>
    <cellStyle name="쉼표 [0] 4 3 4 3 2" xfId="7265"/>
    <cellStyle name="쉼표 [0] 4 3 4 4" xfId="5068"/>
    <cellStyle name="쉼표 [0] 4 3 5" xfId="1380"/>
    <cellStyle name="쉼표 [0] 4 3 5 2" xfId="3575"/>
    <cellStyle name="쉼표 [0] 4 3 5 2 2" xfId="8018"/>
    <cellStyle name="쉼표 [0] 4 3 5 3" xfId="5823"/>
    <cellStyle name="쉼표 [0] 4 3 6" xfId="2489"/>
    <cellStyle name="쉼표 [0] 4 3 6 2" xfId="6932"/>
    <cellStyle name="쉼표 [0] 4 3 7" xfId="4735"/>
    <cellStyle name="쉼표 [0] 4 4" xfId="368"/>
    <cellStyle name="쉼표 [0] 4 4 2" xfId="996"/>
    <cellStyle name="쉼표 [0] 4 4 2 2" xfId="2087"/>
    <cellStyle name="쉼표 [0] 4 4 2 2 2" xfId="4282"/>
    <cellStyle name="쉼표 [0] 4 4 2 2 2 2" xfId="8725"/>
    <cellStyle name="쉼표 [0] 4 4 2 2 3" xfId="6530"/>
    <cellStyle name="쉼표 [0] 4 4 2 3" xfId="3196"/>
    <cellStyle name="쉼표 [0] 4 4 2 3 2" xfId="7639"/>
    <cellStyle name="쉼표 [0] 4 4 2 4" xfId="5442"/>
    <cellStyle name="쉼표 [0] 4 4 3" xfId="701"/>
    <cellStyle name="쉼표 [0] 4 4 3 2" xfId="1792"/>
    <cellStyle name="쉼표 [0] 4 4 3 2 2" xfId="3987"/>
    <cellStyle name="쉼표 [0] 4 4 3 2 2 2" xfId="8430"/>
    <cellStyle name="쉼표 [0] 4 4 3 2 3" xfId="6235"/>
    <cellStyle name="쉼표 [0] 4 4 3 3" xfId="2901"/>
    <cellStyle name="쉼표 [0] 4 4 3 3 2" xfId="7344"/>
    <cellStyle name="쉼표 [0] 4 4 3 4" xfId="5147"/>
    <cellStyle name="쉼표 [0] 4 4 4" xfId="1459"/>
    <cellStyle name="쉼표 [0] 4 4 4 2" xfId="3654"/>
    <cellStyle name="쉼표 [0] 4 4 4 2 2" xfId="8097"/>
    <cellStyle name="쉼표 [0] 4 4 4 3" xfId="5902"/>
    <cellStyle name="쉼표 [0] 4 4 5" xfId="2568"/>
    <cellStyle name="쉼표 [0] 4 4 5 2" xfId="7011"/>
    <cellStyle name="쉼표 [0] 4 4 6" xfId="4814"/>
    <cellStyle name="쉼표 [0] 4 5" xfId="853"/>
    <cellStyle name="쉼표 [0] 4 5 2" xfId="1944"/>
    <cellStyle name="쉼표 [0] 4 5 2 2" xfId="4139"/>
    <cellStyle name="쉼표 [0] 4 5 2 2 2" xfId="8582"/>
    <cellStyle name="쉼표 [0] 4 5 2 3" xfId="6387"/>
    <cellStyle name="쉼표 [0] 4 5 3" xfId="3053"/>
    <cellStyle name="쉼표 [0] 4 5 3 2" xfId="7496"/>
    <cellStyle name="쉼표 [0] 4 5 4" xfId="5299"/>
    <cellStyle name="쉼표 [0] 4 6" xfId="555"/>
    <cellStyle name="쉼표 [0] 4 6 2" xfId="1646"/>
    <cellStyle name="쉼표 [0] 4 6 2 2" xfId="3841"/>
    <cellStyle name="쉼표 [0] 4 6 2 2 2" xfId="8284"/>
    <cellStyle name="쉼표 [0] 4 6 2 3" xfId="6089"/>
    <cellStyle name="쉼표 [0] 4 6 3" xfId="2755"/>
    <cellStyle name="쉼표 [0] 4 6 3 2" xfId="7198"/>
    <cellStyle name="쉼표 [0] 4 6 4" xfId="5001"/>
    <cellStyle name="쉼표 [0] 4 7" xfId="1267"/>
    <cellStyle name="쉼표 [0] 4 7 2" xfId="3464"/>
    <cellStyle name="쉼표 [0] 4 7 2 2" xfId="7907"/>
    <cellStyle name="쉼표 [0] 4 7 3" xfId="5711"/>
    <cellStyle name="쉼표 [0] 4 8" xfId="2378"/>
    <cellStyle name="쉼표 [0] 4 8 2" xfId="6821"/>
    <cellStyle name="쉼표 [0] 4 9" xfId="4576"/>
    <cellStyle name="쉼표 [0] 4 9 2" xfId="9019"/>
    <cellStyle name="쉼표 [0] 40" xfId="847"/>
    <cellStyle name="쉼표 [0] 40 2" xfId="1211"/>
    <cellStyle name="쉼표 [0] 40 2 2" xfId="2302"/>
    <cellStyle name="쉼표 [0] 40 2 2 2" xfId="4497"/>
    <cellStyle name="쉼표 [0] 40 2 2 2 2" xfId="8940"/>
    <cellStyle name="쉼표 [0] 40 2 2 3" xfId="6745"/>
    <cellStyle name="쉼표 [0] 40 2 3" xfId="3411"/>
    <cellStyle name="쉼표 [0] 40 2 3 2" xfId="7854"/>
    <cellStyle name="쉼표 [0] 40 2 4" xfId="5657"/>
    <cellStyle name="쉼표 [0] 40 3" xfId="1938"/>
    <cellStyle name="쉼표 [0] 40 3 2" xfId="4133"/>
    <cellStyle name="쉼표 [0] 40 3 2 2" xfId="8576"/>
    <cellStyle name="쉼표 [0] 40 3 3" xfId="6381"/>
    <cellStyle name="쉼표 [0] 40 4" xfId="3047"/>
    <cellStyle name="쉼표 [0] 40 4 2" xfId="7490"/>
    <cellStyle name="쉼표 [0] 40 5" xfId="5293"/>
    <cellStyle name="쉼표 [0] 41" xfId="849"/>
    <cellStyle name="쉼표 [0] 41 2" xfId="1940"/>
    <cellStyle name="쉼표 [0] 41 2 2" xfId="4135"/>
    <cellStyle name="쉼표 [0] 41 2 2 2" xfId="8578"/>
    <cellStyle name="쉼표 [0] 41 2 3" xfId="6383"/>
    <cellStyle name="쉼표 [0] 41 3" xfId="3049"/>
    <cellStyle name="쉼표 [0] 41 3 2" xfId="7492"/>
    <cellStyle name="쉼표 [0] 41 4" xfId="5295"/>
    <cellStyle name="쉼표 [0] 42" xfId="551"/>
    <cellStyle name="쉼표 [0] 42 2" xfId="1642"/>
    <cellStyle name="쉼표 [0] 42 2 2" xfId="3837"/>
    <cellStyle name="쉼표 [0] 42 2 2 2" xfId="8280"/>
    <cellStyle name="쉼표 [0] 42 2 3" xfId="6085"/>
    <cellStyle name="쉼표 [0] 42 3" xfId="2751"/>
    <cellStyle name="쉼표 [0] 42 3 2" xfId="7194"/>
    <cellStyle name="쉼표 [0] 42 4" xfId="4997"/>
    <cellStyle name="쉼표 [0] 43" xfId="1238"/>
    <cellStyle name="쉼표 [0] 43 2" xfId="2329"/>
    <cellStyle name="쉼표 [0] 43 2 2" xfId="4524"/>
    <cellStyle name="쉼표 [0] 43 2 2 2" xfId="8967"/>
    <cellStyle name="쉼표 [0] 43 2 3" xfId="6772"/>
    <cellStyle name="쉼표 [0] 43 3" xfId="3438"/>
    <cellStyle name="쉼표 [0] 43 3 2" xfId="7881"/>
    <cellStyle name="쉼표 [0] 43 4" xfId="5684"/>
    <cellStyle name="쉼표 [0] 44" xfId="1240"/>
    <cellStyle name="쉼표 [0] 44 2" xfId="2331"/>
    <cellStyle name="쉼표 [0] 44 2 2" xfId="4526"/>
    <cellStyle name="쉼표 [0] 44 2 2 2" xfId="8969"/>
    <cellStyle name="쉼표 [0] 44 2 3" xfId="6774"/>
    <cellStyle name="쉼표 [0] 44 3" xfId="3440"/>
    <cellStyle name="쉼표 [0] 44 3 2" xfId="7883"/>
    <cellStyle name="쉼표 [0] 44 4" xfId="5686"/>
    <cellStyle name="쉼표 [0] 45" xfId="1246"/>
    <cellStyle name="쉼표 [0] 45 2" xfId="2335"/>
    <cellStyle name="쉼표 [0] 45 2 2" xfId="4530"/>
    <cellStyle name="쉼표 [0] 45 2 2 2" xfId="8973"/>
    <cellStyle name="쉼표 [0] 45 2 3" xfId="6778"/>
    <cellStyle name="쉼표 [0] 45 3" xfId="3444"/>
    <cellStyle name="쉼표 [0] 45 3 2" xfId="7887"/>
    <cellStyle name="쉼표 [0] 45 4" xfId="5690"/>
    <cellStyle name="쉼표 [0] 46" xfId="1250"/>
    <cellStyle name="쉼표 [0] 46 2" xfId="2339"/>
    <cellStyle name="쉼표 [0] 46 2 2" xfId="4534"/>
    <cellStyle name="쉼표 [0] 46 2 2 2" xfId="8977"/>
    <cellStyle name="쉼표 [0] 46 2 3" xfId="6782"/>
    <cellStyle name="쉼표 [0] 46 3" xfId="3448"/>
    <cellStyle name="쉼표 [0] 46 3 2" xfId="7891"/>
    <cellStyle name="쉼표 [0] 46 4" xfId="5694"/>
    <cellStyle name="쉼표 [0] 47" xfId="1254"/>
    <cellStyle name="쉼표 [0] 47 2" xfId="2343"/>
    <cellStyle name="쉼표 [0] 47 2 2" xfId="4538"/>
    <cellStyle name="쉼표 [0] 47 2 2 2" xfId="8981"/>
    <cellStyle name="쉼표 [0] 47 2 3" xfId="6786"/>
    <cellStyle name="쉼표 [0] 47 3" xfId="3452"/>
    <cellStyle name="쉼표 [0] 47 3 2" xfId="7895"/>
    <cellStyle name="쉼표 [0] 47 4" xfId="5698"/>
    <cellStyle name="쉼표 [0] 48" xfId="2347"/>
    <cellStyle name="쉼표 [0] 48 2" xfId="4542"/>
    <cellStyle name="쉼표 [0] 48 2 2" xfId="8985"/>
    <cellStyle name="쉼표 [0] 48 3" xfId="6790"/>
    <cellStyle name="쉼표 [0] 49" xfId="1262"/>
    <cellStyle name="쉼표 [0] 49 2" xfId="3460"/>
    <cellStyle name="쉼표 [0] 49 2 2" xfId="7903"/>
    <cellStyle name="쉼표 [0] 49 3" xfId="5706"/>
    <cellStyle name="쉼표 [0] 5" xfId="15"/>
    <cellStyle name="쉼표 [0] 5 10" xfId="1269"/>
    <cellStyle name="쉼표 [0] 5 10 2" xfId="3466"/>
    <cellStyle name="쉼표 [0] 5 10 2 2" xfId="7909"/>
    <cellStyle name="쉼표 [0] 5 10 3" xfId="5713"/>
    <cellStyle name="쉼표 [0] 5 11" xfId="2380"/>
    <cellStyle name="쉼표 [0] 5 11 2" xfId="6823"/>
    <cellStyle name="쉼표 [0] 5 12" xfId="4577"/>
    <cellStyle name="쉼표 [0] 5 12 2" xfId="9020"/>
    <cellStyle name="쉼표 [0] 5 13" xfId="4589"/>
    <cellStyle name="쉼표 [0] 5 2" xfId="36"/>
    <cellStyle name="쉼표 [0] 5 2 2" xfId="293"/>
    <cellStyle name="쉼표 [0] 5 2 2 2" xfId="479"/>
    <cellStyle name="쉼표 [0] 5 2 2 2 2" xfId="1063"/>
    <cellStyle name="쉼표 [0] 5 2 2 2 2 2" xfId="2154"/>
    <cellStyle name="쉼표 [0] 5 2 2 2 2 2 2" xfId="4349"/>
    <cellStyle name="쉼표 [0] 5 2 2 2 2 2 2 2" xfId="8792"/>
    <cellStyle name="쉼표 [0] 5 2 2 2 2 2 3" xfId="6597"/>
    <cellStyle name="쉼표 [0] 5 2 2 2 2 3" xfId="3263"/>
    <cellStyle name="쉼표 [0] 5 2 2 2 2 3 2" xfId="7706"/>
    <cellStyle name="쉼표 [0] 5 2 2 2 2 4" xfId="5509"/>
    <cellStyle name="쉼표 [0] 5 2 2 2 3" xfId="768"/>
    <cellStyle name="쉼표 [0] 5 2 2 2 3 2" xfId="1859"/>
    <cellStyle name="쉼표 [0] 5 2 2 2 3 2 2" xfId="4054"/>
    <cellStyle name="쉼표 [0] 5 2 2 2 3 2 2 2" xfId="8497"/>
    <cellStyle name="쉼표 [0] 5 2 2 2 3 2 3" xfId="6302"/>
    <cellStyle name="쉼표 [0] 5 2 2 2 3 3" xfId="2968"/>
    <cellStyle name="쉼표 [0] 5 2 2 2 3 3 2" xfId="7411"/>
    <cellStyle name="쉼표 [0] 5 2 2 2 3 4" xfId="5214"/>
    <cellStyle name="쉼표 [0] 5 2 2 2 4" xfId="1570"/>
    <cellStyle name="쉼표 [0] 5 2 2 2 4 2" xfId="3765"/>
    <cellStyle name="쉼표 [0] 5 2 2 2 4 2 2" xfId="8208"/>
    <cellStyle name="쉼표 [0] 5 2 2 2 4 3" xfId="6013"/>
    <cellStyle name="쉼표 [0] 5 2 2 2 5" xfId="2679"/>
    <cellStyle name="쉼표 [0] 5 2 2 2 5 2" xfId="7122"/>
    <cellStyle name="쉼표 [0] 5 2 2 2 6" xfId="4925"/>
    <cellStyle name="쉼표 [0] 5 2 2 3" xfId="921"/>
    <cellStyle name="쉼표 [0] 5 2 2 3 2" xfId="2012"/>
    <cellStyle name="쉼표 [0] 5 2 2 3 2 2" xfId="4207"/>
    <cellStyle name="쉼표 [0] 5 2 2 3 2 2 2" xfId="8650"/>
    <cellStyle name="쉼표 [0] 5 2 2 3 2 3" xfId="6455"/>
    <cellStyle name="쉼표 [0] 5 2 2 3 3" xfId="3121"/>
    <cellStyle name="쉼표 [0] 5 2 2 3 3 2" xfId="7564"/>
    <cellStyle name="쉼표 [0] 5 2 2 3 4" xfId="5367"/>
    <cellStyle name="쉼표 [0] 5 2 2 4" xfId="626"/>
    <cellStyle name="쉼표 [0] 5 2 2 4 2" xfId="1717"/>
    <cellStyle name="쉼표 [0] 5 2 2 4 2 2" xfId="3912"/>
    <cellStyle name="쉼표 [0] 5 2 2 4 2 2 2" xfId="8355"/>
    <cellStyle name="쉼표 [0] 5 2 2 4 2 3" xfId="6160"/>
    <cellStyle name="쉼표 [0] 5 2 2 4 3" xfId="2826"/>
    <cellStyle name="쉼표 [0] 5 2 2 4 3 2" xfId="7269"/>
    <cellStyle name="쉼표 [0] 5 2 2 4 4" xfId="5072"/>
    <cellStyle name="쉼표 [0] 5 2 2 5" xfId="1384"/>
    <cellStyle name="쉼표 [0] 5 2 2 5 2" xfId="3579"/>
    <cellStyle name="쉼표 [0] 5 2 2 5 2 2" xfId="8022"/>
    <cellStyle name="쉼표 [0] 5 2 2 5 3" xfId="5827"/>
    <cellStyle name="쉼표 [0] 5 2 2 6" xfId="2493"/>
    <cellStyle name="쉼표 [0] 5 2 2 6 2" xfId="6936"/>
    <cellStyle name="쉼표 [0] 5 2 2 7" xfId="4739"/>
    <cellStyle name="쉼표 [0] 5 2 3" xfId="385"/>
    <cellStyle name="쉼표 [0] 5 2 3 2" xfId="1013"/>
    <cellStyle name="쉼표 [0] 5 2 3 2 2" xfId="2104"/>
    <cellStyle name="쉼표 [0] 5 2 3 2 2 2" xfId="4299"/>
    <cellStyle name="쉼표 [0] 5 2 3 2 2 2 2" xfId="8742"/>
    <cellStyle name="쉼표 [0] 5 2 3 2 2 3" xfId="6547"/>
    <cellStyle name="쉼표 [0] 5 2 3 2 3" xfId="3213"/>
    <cellStyle name="쉼표 [0] 5 2 3 2 3 2" xfId="7656"/>
    <cellStyle name="쉼표 [0] 5 2 3 2 4" xfId="5459"/>
    <cellStyle name="쉼표 [0] 5 2 3 3" xfId="718"/>
    <cellStyle name="쉼표 [0] 5 2 3 3 2" xfId="1809"/>
    <cellStyle name="쉼표 [0] 5 2 3 3 2 2" xfId="4004"/>
    <cellStyle name="쉼표 [0] 5 2 3 3 2 2 2" xfId="8447"/>
    <cellStyle name="쉼표 [0] 5 2 3 3 2 3" xfId="6252"/>
    <cellStyle name="쉼표 [0] 5 2 3 3 3" xfId="2918"/>
    <cellStyle name="쉼표 [0] 5 2 3 3 3 2" xfId="7361"/>
    <cellStyle name="쉼표 [0] 5 2 3 3 4" xfId="5164"/>
    <cellStyle name="쉼표 [0] 5 2 3 4" xfId="1476"/>
    <cellStyle name="쉼표 [0] 5 2 3 4 2" xfId="3671"/>
    <cellStyle name="쉼표 [0] 5 2 3 4 2 2" xfId="8114"/>
    <cellStyle name="쉼표 [0] 5 2 3 4 3" xfId="5919"/>
    <cellStyle name="쉼표 [0] 5 2 3 5" xfId="2585"/>
    <cellStyle name="쉼표 [0] 5 2 3 5 2" xfId="7028"/>
    <cellStyle name="쉼표 [0] 5 2 3 6" xfId="4831"/>
    <cellStyle name="쉼표 [0] 5 2 4" xfId="870"/>
    <cellStyle name="쉼표 [0] 5 2 4 2" xfId="1961"/>
    <cellStyle name="쉼표 [0] 5 2 4 2 2" xfId="4156"/>
    <cellStyle name="쉼표 [0] 5 2 4 2 2 2" xfId="8599"/>
    <cellStyle name="쉼표 [0] 5 2 4 2 3" xfId="6404"/>
    <cellStyle name="쉼표 [0] 5 2 4 3" xfId="3070"/>
    <cellStyle name="쉼표 [0] 5 2 4 3 2" xfId="7513"/>
    <cellStyle name="쉼표 [0] 5 2 4 4" xfId="5316"/>
    <cellStyle name="쉼표 [0] 5 2 5" xfId="572"/>
    <cellStyle name="쉼표 [0] 5 2 5 2" xfId="1663"/>
    <cellStyle name="쉼표 [0] 5 2 5 2 2" xfId="3858"/>
    <cellStyle name="쉼표 [0] 5 2 5 2 2 2" xfId="8301"/>
    <cellStyle name="쉼표 [0] 5 2 5 2 3" xfId="6106"/>
    <cellStyle name="쉼표 [0] 5 2 5 3" xfId="2772"/>
    <cellStyle name="쉼표 [0] 5 2 5 3 2" xfId="7215"/>
    <cellStyle name="쉼표 [0] 5 2 5 4" xfId="5018"/>
    <cellStyle name="쉼표 [0] 5 2 6" xfId="1285"/>
    <cellStyle name="쉼표 [0] 5 2 6 2" xfId="3481"/>
    <cellStyle name="쉼표 [0] 5 2 6 2 2" xfId="7924"/>
    <cellStyle name="쉼표 [0] 5 2 6 3" xfId="5729"/>
    <cellStyle name="쉼표 [0] 5 2 7" xfId="2395"/>
    <cellStyle name="쉼표 [0] 5 2 7 2" xfId="6838"/>
    <cellStyle name="쉼표 [0] 5 2 8" xfId="4604"/>
    <cellStyle name="쉼표 [0] 5 3" xfId="72"/>
    <cellStyle name="쉼표 [0] 5 3 2" xfId="311"/>
    <cellStyle name="쉼표 [0] 5 3 2 2" xfId="497"/>
    <cellStyle name="쉼표 [0] 5 3 2 2 2" xfId="1081"/>
    <cellStyle name="쉼표 [0] 5 3 2 2 2 2" xfId="2172"/>
    <cellStyle name="쉼표 [0] 5 3 2 2 2 2 2" xfId="4367"/>
    <cellStyle name="쉼표 [0] 5 3 2 2 2 2 2 2" xfId="8810"/>
    <cellStyle name="쉼표 [0] 5 3 2 2 2 2 3" xfId="6615"/>
    <cellStyle name="쉼표 [0] 5 3 2 2 2 3" xfId="3281"/>
    <cellStyle name="쉼표 [0] 5 3 2 2 2 3 2" xfId="7724"/>
    <cellStyle name="쉼표 [0] 5 3 2 2 2 4" xfId="5527"/>
    <cellStyle name="쉼표 [0] 5 3 2 2 3" xfId="786"/>
    <cellStyle name="쉼표 [0] 5 3 2 2 3 2" xfId="1877"/>
    <cellStyle name="쉼표 [0] 5 3 2 2 3 2 2" xfId="4072"/>
    <cellStyle name="쉼표 [0] 5 3 2 2 3 2 2 2" xfId="8515"/>
    <cellStyle name="쉼표 [0] 5 3 2 2 3 2 3" xfId="6320"/>
    <cellStyle name="쉼표 [0] 5 3 2 2 3 3" xfId="2986"/>
    <cellStyle name="쉼표 [0] 5 3 2 2 3 3 2" xfId="7429"/>
    <cellStyle name="쉼표 [0] 5 3 2 2 3 4" xfId="5232"/>
    <cellStyle name="쉼표 [0] 5 3 2 2 4" xfId="1588"/>
    <cellStyle name="쉼표 [0] 5 3 2 2 4 2" xfId="3783"/>
    <cellStyle name="쉼표 [0] 5 3 2 2 4 2 2" xfId="8226"/>
    <cellStyle name="쉼표 [0] 5 3 2 2 4 3" xfId="6031"/>
    <cellStyle name="쉼표 [0] 5 3 2 2 5" xfId="2697"/>
    <cellStyle name="쉼표 [0] 5 3 2 2 5 2" xfId="7140"/>
    <cellStyle name="쉼표 [0] 5 3 2 2 6" xfId="4943"/>
    <cellStyle name="쉼표 [0] 5 3 2 3" xfId="939"/>
    <cellStyle name="쉼표 [0] 5 3 2 3 2" xfId="2030"/>
    <cellStyle name="쉼표 [0] 5 3 2 3 2 2" xfId="4225"/>
    <cellStyle name="쉼표 [0] 5 3 2 3 2 2 2" xfId="8668"/>
    <cellStyle name="쉼표 [0] 5 3 2 3 2 3" xfId="6473"/>
    <cellStyle name="쉼표 [0] 5 3 2 3 3" xfId="3139"/>
    <cellStyle name="쉼표 [0] 5 3 2 3 3 2" xfId="7582"/>
    <cellStyle name="쉼표 [0] 5 3 2 3 4" xfId="5385"/>
    <cellStyle name="쉼표 [0] 5 3 2 4" xfId="644"/>
    <cellStyle name="쉼표 [0] 5 3 2 4 2" xfId="1735"/>
    <cellStyle name="쉼표 [0] 5 3 2 4 2 2" xfId="3930"/>
    <cellStyle name="쉼표 [0] 5 3 2 4 2 2 2" xfId="8373"/>
    <cellStyle name="쉼표 [0] 5 3 2 4 2 3" xfId="6178"/>
    <cellStyle name="쉼표 [0] 5 3 2 4 3" xfId="2844"/>
    <cellStyle name="쉼표 [0] 5 3 2 4 3 2" xfId="7287"/>
    <cellStyle name="쉼표 [0] 5 3 2 4 4" xfId="5090"/>
    <cellStyle name="쉼표 [0] 5 3 2 5" xfId="1402"/>
    <cellStyle name="쉼표 [0] 5 3 2 5 2" xfId="3597"/>
    <cellStyle name="쉼표 [0] 5 3 2 5 2 2" xfId="8040"/>
    <cellStyle name="쉼표 [0] 5 3 2 5 3" xfId="5845"/>
    <cellStyle name="쉼표 [0] 5 3 2 6" xfId="2511"/>
    <cellStyle name="쉼표 [0] 5 3 2 6 2" xfId="6954"/>
    <cellStyle name="쉼표 [0] 5 3 2 7" xfId="4757"/>
    <cellStyle name="쉼표 [0] 5 3 3" xfId="403"/>
    <cellStyle name="쉼표 [0] 5 3 3 2" xfId="1031"/>
    <cellStyle name="쉼표 [0] 5 3 3 2 2" xfId="2122"/>
    <cellStyle name="쉼표 [0] 5 3 3 2 2 2" xfId="4317"/>
    <cellStyle name="쉼표 [0] 5 3 3 2 2 2 2" xfId="8760"/>
    <cellStyle name="쉼표 [0] 5 3 3 2 2 3" xfId="6565"/>
    <cellStyle name="쉼표 [0] 5 3 3 2 3" xfId="3231"/>
    <cellStyle name="쉼표 [0] 5 3 3 2 3 2" xfId="7674"/>
    <cellStyle name="쉼표 [0] 5 3 3 2 4" xfId="5477"/>
    <cellStyle name="쉼표 [0] 5 3 3 3" xfId="736"/>
    <cellStyle name="쉼표 [0] 5 3 3 3 2" xfId="1827"/>
    <cellStyle name="쉼표 [0] 5 3 3 3 2 2" xfId="4022"/>
    <cellStyle name="쉼표 [0] 5 3 3 3 2 2 2" xfId="8465"/>
    <cellStyle name="쉼표 [0] 5 3 3 3 2 3" xfId="6270"/>
    <cellStyle name="쉼표 [0] 5 3 3 3 3" xfId="2936"/>
    <cellStyle name="쉼표 [0] 5 3 3 3 3 2" xfId="7379"/>
    <cellStyle name="쉼표 [0] 5 3 3 3 4" xfId="5182"/>
    <cellStyle name="쉼표 [0] 5 3 3 4" xfId="1494"/>
    <cellStyle name="쉼표 [0] 5 3 3 4 2" xfId="3689"/>
    <cellStyle name="쉼표 [0] 5 3 3 4 2 2" xfId="8132"/>
    <cellStyle name="쉼표 [0] 5 3 3 4 3" xfId="5937"/>
    <cellStyle name="쉼표 [0] 5 3 3 5" xfId="2603"/>
    <cellStyle name="쉼표 [0] 5 3 3 5 2" xfId="7046"/>
    <cellStyle name="쉼표 [0] 5 3 3 6" xfId="4849"/>
    <cellStyle name="쉼표 [0] 5 3 4" xfId="889"/>
    <cellStyle name="쉼표 [0] 5 3 4 2" xfId="1980"/>
    <cellStyle name="쉼표 [0] 5 3 4 2 2" xfId="4175"/>
    <cellStyle name="쉼표 [0] 5 3 4 2 2 2" xfId="8618"/>
    <cellStyle name="쉼표 [0] 5 3 4 2 3" xfId="6423"/>
    <cellStyle name="쉼표 [0] 5 3 4 3" xfId="3089"/>
    <cellStyle name="쉼표 [0] 5 3 4 3 2" xfId="7532"/>
    <cellStyle name="쉼표 [0] 5 3 4 4" xfId="5335"/>
    <cellStyle name="쉼표 [0] 5 3 5" xfId="591"/>
    <cellStyle name="쉼표 [0] 5 3 5 2" xfId="1682"/>
    <cellStyle name="쉼표 [0] 5 3 5 2 2" xfId="3877"/>
    <cellStyle name="쉼표 [0] 5 3 5 2 2 2" xfId="8320"/>
    <cellStyle name="쉼표 [0] 5 3 5 2 3" xfId="6125"/>
    <cellStyle name="쉼표 [0] 5 3 5 3" xfId="2791"/>
    <cellStyle name="쉼표 [0] 5 3 5 3 2" xfId="7234"/>
    <cellStyle name="쉼표 [0] 5 3 5 4" xfId="5037"/>
    <cellStyle name="쉼표 [0] 5 3 6" xfId="1305"/>
    <cellStyle name="쉼표 [0] 5 3 6 2" xfId="3500"/>
    <cellStyle name="쉼표 [0] 5 3 6 2 2" xfId="7943"/>
    <cellStyle name="쉼표 [0] 5 3 6 3" xfId="5748"/>
    <cellStyle name="쉼표 [0] 5 3 7" xfId="2414"/>
    <cellStyle name="쉼표 [0] 5 3 7 2" xfId="6857"/>
    <cellStyle name="쉼표 [0] 5 3 8" xfId="4627"/>
    <cellStyle name="쉼표 [0] 5 4" xfId="277"/>
    <cellStyle name="쉼표 [0] 5 4 2" xfId="331"/>
    <cellStyle name="쉼표 [0] 5 4 2 2" xfId="517"/>
    <cellStyle name="쉼표 [0] 5 4 2 2 2" xfId="1101"/>
    <cellStyle name="쉼표 [0] 5 4 2 2 2 2" xfId="2192"/>
    <cellStyle name="쉼표 [0] 5 4 2 2 2 2 2" xfId="4387"/>
    <cellStyle name="쉼표 [0] 5 4 2 2 2 2 2 2" xfId="8830"/>
    <cellStyle name="쉼표 [0] 5 4 2 2 2 2 3" xfId="6635"/>
    <cellStyle name="쉼표 [0] 5 4 2 2 2 3" xfId="3301"/>
    <cellStyle name="쉼표 [0] 5 4 2 2 2 3 2" xfId="7744"/>
    <cellStyle name="쉼표 [0] 5 4 2 2 2 4" xfId="5547"/>
    <cellStyle name="쉼표 [0] 5 4 2 2 3" xfId="806"/>
    <cellStyle name="쉼표 [0] 5 4 2 2 3 2" xfId="1897"/>
    <cellStyle name="쉼표 [0] 5 4 2 2 3 2 2" xfId="4092"/>
    <cellStyle name="쉼표 [0] 5 4 2 2 3 2 2 2" xfId="8535"/>
    <cellStyle name="쉼표 [0] 5 4 2 2 3 2 3" xfId="6340"/>
    <cellStyle name="쉼표 [0] 5 4 2 2 3 3" xfId="3006"/>
    <cellStyle name="쉼표 [0] 5 4 2 2 3 3 2" xfId="7449"/>
    <cellStyle name="쉼표 [0] 5 4 2 2 3 4" xfId="5252"/>
    <cellStyle name="쉼표 [0] 5 4 2 2 4" xfId="1608"/>
    <cellStyle name="쉼표 [0] 5 4 2 2 4 2" xfId="3803"/>
    <cellStyle name="쉼표 [0] 5 4 2 2 4 2 2" xfId="8246"/>
    <cellStyle name="쉼표 [0] 5 4 2 2 4 3" xfId="6051"/>
    <cellStyle name="쉼표 [0] 5 4 2 2 5" xfId="2717"/>
    <cellStyle name="쉼표 [0] 5 4 2 2 5 2" xfId="7160"/>
    <cellStyle name="쉼표 [0] 5 4 2 2 6" xfId="4963"/>
    <cellStyle name="쉼표 [0] 5 4 2 3" xfId="959"/>
    <cellStyle name="쉼표 [0] 5 4 2 3 2" xfId="2050"/>
    <cellStyle name="쉼표 [0] 5 4 2 3 2 2" xfId="4245"/>
    <cellStyle name="쉼표 [0] 5 4 2 3 2 2 2" xfId="8688"/>
    <cellStyle name="쉼표 [0] 5 4 2 3 2 3" xfId="6493"/>
    <cellStyle name="쉼표 [0] 5 4 2 3 3" xfId="3159"/>
    <cellStyle name="쉼표 [0] 5 4 2 3 3 2" xfId="7602"/>
    <cellStyle name="쉼표 [0] 5 4 2 3 4" xfId="5405"/>
    <cellStyle name="쉼표 [0] 5 4 2 4" xfId="664"/>
    <cellStyle name="쉼표 [0] 5 4 2 4 2" xfId="1755"/>
    <cellStyle name="쉼표 [0] 5 4 2 4 2 2" xfId="3950"/>
    <cellStyle name="쉼표 [0] 5 4 2 4 2 2 2" xfId="8393"/>
    <cellStyle name="쉼표 [0] 5 4 2 4 2 3" xfId="6198"/>
    <cellStyle name="쉼표 [0] 5 4 2 4 3" xfId="2864"/>
    <cellStyle name="쉼표 [0] 5 4 2 4 3 2" xfId="7307"/>
    <cellStyle name="쉼표 [0] 5 4 2 4 4" xfId="5110"/>
    <cellStyle name="쉼표 [0] 5 4 2 5" xfId="1422"/>
    <cellStyle name="쉼표 [0] 5 4 2 5 2" xfId="3617"/>
    <cellStyle name="쉼표 [0] 5 4 2 5 2 2" xfId="8060"/>
    <cellStyle name="쉼표 [0] 5 4 2 5 3" xfId="5865"/>
    <cellStyle name="쉼표 [0] 5 4 2 6" xfId="2531"/>
    <cellStyle name="쉼표 [0] 5 4 2 6 2" xfId="6974"/>
    <cellStyle name="쉼표 [0] 5 4 2 7" xfId="4777"/>
    <cellStyle name="쉼표 [0] 5 4 3" xfId="469"/>
    <cellStyle name="쉼표 [0] 5 4 3 2" xfId="1053"/>
    <cellStyle name="쉼표 [0] 5 4 3 2 2" xfId="2144"/>
    <cellStyle name="쉼표 [0] 5 4 3 2 2 2" xfId="4339"/>
    <cellStyle name="쉼표 [0] 5 4 3 2 2 2 2" xfId="8782"/>
    <cellStyle name="쉼표 [0] 5 4 3 2 2 3" xfId="6587"/>
    <cellStyle name="쉼표 [0] 5 4 3 2 3" xfId="3253"/>
    <cellStyle name="쉼표 [0] 5 4 3 2 3 2" xfId="7696"/>
    <cellStyle name="쉼표 [0] 5 4 3 2 4" xfId="5499"/>
    <cellStyle name="쉼표 [0] 5 4 3 3" xfId="758"/>
    <cellStyle name="쉼표 [0] 5 4 3 3 2" xfId="1849"/>
    <cellStyle name="쉼표 [0] 5 4 3 3 2 2" xfId="4044"/>
    <cellStyle name="쉼표 [0] 5 4 3 3 2 2 2" xfId="8487"/>
    <cellStyle name="쉼표 [0] 5 4 3 3 2 3" xfId="6292"/>
    <cellStyle name="쉼표 [0] 5 4 3 3 3" xfId="2958"/>
    <cellStyle name="쉼표 [0] 5 4 3 3 3 2" xfId="7401"/>
    <cellStyle name="쉼표 [0] 5 4 3 3 4" xfId="5204"/>
    <cellStyle name="쉼표 [0] 5 4 3 4" xfId="1560"/>
    <cellStyle name="쉼표 [0] 5 4 3 4 2" xfId="3755"/>
    <cellStyle name="쉼표 [0] 5 4 3 4 2 2" xfId="8198"/>
    <cellStyle name="쉼표 [0] 5 4 3 4 3" xfId="6003"/>
    <cellStyle name="쉼표 [0] 5 4 3 5" xfId="2669"/>
    <cellStyle name="쉼표 [0] 5 4 3 5 2" xfId="7112"/>
    <cellStyle name="쉼표 [0] 5 4 3 6" xfId="4915"/>
    <cellStyle name="쉼표 [0] 5 4 4" xfId="911"/>
    <cellStyle name="쉼표 [0] 5 4 4 2" xfId="2002"/>
    <cellStyle name="쉼표 [0] 5 4 4 2 2" xfId="4197"/>
    <cellStyle name="쉼표 [0] 5 4 4 2 2 2" xfId="8640"/>
    <cellStyle name="쉼표 [0] 5 4 4 2 3" xfId="6445"/>
    <cellStyle name="쉼표 [0] 5 4 4 3" xfId="3111"/>
    <cellStyle name="쉼표 [0] 5 4 4 3 2" xfId="7554"/>
    <cellStyle name="쉼표 [0] 5 4 4 4" xfId="5357"/>
    <cellStyle name="쉼표 [0] 5 4 5" xfId="616"/>
    <cellStyle name="쉼표 [0] 5 4 5 2" xfId="1707"/>
    <cellStyle name="쉼표 [0] 5 4 5 2 2" xfId="3902"/>
    <cellStyle name="쉼표 [0] 5 4 5 2 2 2" xfId="8345"/>
    <cellStyle name="쉼표 [0] 5 4 5 2 3" xfId="6150"/>
    <cellStyle name="쉼표 [0] 5 4 5 3" xfId="2816"/>
    <cellStyle name="쉼표 [0] 5 4 5 3 2" xfId="7259"/>
    <cellStyle name="쉼표 [0] 5 4 5 4" xfId="5062"/>
    <cellStyle name="쉼표 [0] 5 4 6" xfId="1374"/>
    <cellStyle name="쉼표 [0] 5 4 6 2" xfId="3569"/>
    <cellStyle name="쉼표 [0] 5 4 6 2 2" xfId="8012"/>
    <cellStyle name="쉼표 [0] 5 4 6 3" xfId="5817"/>
    <cellStyle name="쉼표 [0] 5 4 7" xfId="2483"/>
    <cellStyle name="쉼표 [0] 5 4 7 2" xfId="6926"/>
    <cellStyle name="쉼표 [0] 5 4 8" xfId="4727"/>
    <cellStyle name="쉼표 [0] 5 5" xfId="30"/>
    <cellStyle name="쉼표 [0] 5 5 2" xfId="381"/>
    <cellStyle name="쉼표 [0] 5 5 2 2" xfId="1009"/>
    <cellStyle name="쉼표 [0] 5 5 2 2 2" xfId="2100"/>
    <cellStyle name="쉼표 [0] 5 5 2 2 2 2" xfId="4295"/>
    <cellStyle name="쉼표 [0] 5 5 2 2 2 2 2" xfId="8738"/>
    <cellStyle name="쉼표 [0] 5 5 2 2 2 3" xfId="6543"/>
    <cellStyle name="쉼표 [0] 5 5 2 2 3" xfId="3209"/>
    <cellStyle name="쉼표 [0] 5 5 2 2 3 2" xfId="7652"/>
    <cellStyle name="쉼표 [0] 5 5 2 2 4" xfId="5455"/>
    <cellStyle name="쉼표 [0] 5 5 2 3" xfId="714"/>
    <cellStyle name="쉼표 [0] 5 5 2 3 2" xfId="1805"/>
    <cellStyle name="쉼표 [0] 5 5 2 3 2 2" xfId="4000"/>
    <cellStyle name="쉼표 [0] 5 5 2 3 2 2 2" xfId="8443"/>
    <cellStyle name="쉼표 [0] 5 5 2 3 2 3" xfId="6248"/>
    <cellStyle name="쉼표 [0] 5 5 2 3 3" xfId="2914"/>
    <cellStyle name="쉼표 [0] 5 5 2 3 3 2" xfId="7357"/>
    <cellStyle name="쉼표 [0] 5 5 2 3 4" xfId="5160"/>
    <cellStyle name="쉼표 [0] 5 5 2 4" xfId="1472"/>
    <cellStyle name="쉼표 [0] 5 5 2 4 2" xfId="3667"/>
    <cellStyle name="쉼표 [0] 5 5 2 4 2 2" xfId="8110"/>
    <cellStyle name="쉼표 [0] 5 5 2 4 3" xfId="5915"/>
    <cellStyle name="쉼표 [0] 5 5 2 5" xfId="2581"/>
    <cellStyle name="쉼표 [0] 5 5 2 5 2" xfId="7024"/>
    <cellStyle name="쉼표 [0] 5 5 2 6" xfId="4827"/>
    <cellStyle name="쉼표 [0] 5 5 3" xfId="866"/>
    <cellStyle name="쉼표 [0] 5 5 3 2" xfId="1957"/>
    <cellStyle name="쉼표 [0] 5 5 3 2 2" xfId="4152"/>
    <cellStyle name="쉼표 [0] 5 5 3 2 2 2" xfId="8595"/>
    <cellStyle name="쉼표 [0] 5 5 3 2 3" xfId="6400"/>
    <cellStyle name="쉼표 [0] 5 5 3 3" xfId="3066"/>
    <cellStyle name="쉼표 [0] 5 5 3 3 2" xfId="7509"/>
    <cellStyle name="쉼표 [0] 5 5 3 4" xfId="5312"/>
    <cellStyle name="쉼표 [0] 5 5 4" xfId="568"/>
    <cellStyle name="쉼표 [0] 5 5 4 2" xfId="1659"/>
    <cellStyle name="쉼표 [0] 5 5 4 2 2" xfId="3854"/>
    <cellStyle name="쉼표 [0] 5 5 4 2 2 2" xfId="8297"/>
    <cellStyle name="쉼표 [0] 5 5 4 2 3" xfId="6102"/>
    <cellStyle name="쉼표 [0] 5 5 4 3" xfId="2768"/>
    <cellStyle name="쉼표 [0] 5 5 4 3 2" xfId="7211"/>
    <cellStyle name="쉼표 [0] 5 5 4 4" xfId="5014"/>
    <cellStyle name="쉼표 [0] 5 5 5" xfId="1281"/>
    <cellStyle name="쉼표 [0] 5 5 5 2" xfId="3477"/>
    <cellStyle name="쉼표 [0] 5 5 5 2 2" xfId="7920"/>
    <cellStyle name="쉼표 [0] 5 5 5 3" xfId="5725"/>
    <cellStyle name="쉼표 [0] 5 5 6" xfId="2391"/>
    <cellStyle name="쉼표 [0] 5 5 6 2" xfId="6834"/>
    <cellStyle name="쉼표 [0] 5 5 7" xfId="4600"/>
    <cellStyle name="쉼표 [0] 5 6" xfId="290"/>
    <cellStyle name="쉼표 [0] 5 6 2" xfId="476"/>
    <cellStyle name="쉼표 [0] 5 6 2 2" xfId="1060"/>
    <cellStyle name="쉼표 [0] 5 6 2 2 2" xfId="2151"/>
    <cellStyle name="쉼표 [0] 5 6 2 2 2 2" xfId="4346"/>
    <cellStyle name="쉼표 [0] 5 6 2 2 2 2 2" xfId="8789"/>
    <cellStyle name="쉼표 [0] 5 6 2 2 2 3" xfId="6594"/>
    <cellStyle name="쉼표 [0] 5 6 2 2 3" xfId="3260"/>
    <cellStyle name="쉼표 [0] 5 6 2 2 3 2" xfId="7703"/>
    <cellStyle name="쉼표 [0] 5 6 2 2 4" xfId="5506"/>
    <cellStyle name="쉼표 [0] 5 6 2 3" xfId="765"/>
    <cellStyle name="쉼표 [0] 5 6 2 3 2" xfId="1856"/>
    <cellStyle name="쉼표 [0] 5 6 2 3 2 2" xfId="4051"/>
    <cellStyle name="쉼표 [0] 5 6 2 3 2 2 2" xfId="8494"/>
    <cellStyle name="쉼표 [0] 5 6 2 3 2 3" xfId="6299"/>
    <cellStyle name="쉼표 [0] 5 6 2 3 3" xfId="2965"/>
    <cellStyle name="쉼표 [0] 5 6 2 3 3 2" xfId="7408"/>
    <cellStyle name="쉼표 [0] 5 6 2 3 4" xfId="5211"/>
    <cellStyle name="쉼표 [0] 5 6 2 4" xfId="1567"/>
    <cellStyle name="쉼표 [0] 5 6 2 4 2" xfId="3762"/>
    <cellStyle name="쉼표 [0] 5 6 2 4 2 2" xfId="8205"/>
    <cellStyle name="쉼표 [0] 5 6 2 4 3" xfId="6010"/>
    <cellStyle name="쉼표 [0] 5 6 2 5" xfId="2676"/>
    <cellStyle name="쉼표 [0] 5 6 2 5 2" xfId="7119"/>
    <cellStyle name="쉼표 [0] 5 6 2 6" xfId="4922"/>
    <cellStyle name="쉼표 [0] 5 6 3" xfId="918"/>
    <cellStyle name="쉼표 [0] 5 6 3 2" xfId="2009"/>
    <cellStyle name="쉼표 [0] 5 6 3 2 2" xfId="4204"/>
    <cellStyle name="쉼표 [0] 5 6 3 2 2 2" xfId="8647"/>
    <cellStyle name="쉼표 [0] 5 6 3 2 3" xfId="6452"/>
    <cellStyle name="쉼표 [0] 5 6 3 3" xfId="3118"/>
    <cellStyle name="쉼표 [0] 5 6 3 3 2" xfId="7561"/>
    <cellStyle name="쉼표 [0] 5 6 3 4" xfId="5364"/>
    <cellStyle name="쉼표 [0] 5 6 4" xfId="623"/>
    <cellStyle name="쉼표 [0] 5 6 4 2" xfId="1714"/>
    <cellStyle name="쉼표 [0] 5 6 4 2 2" xfId="3909"/>
    <cellStyle name="쉼표 [0] 5 6 4 2 2 2" xfId="8352"/>
    <cellStyle name="쉼표 [0] 5 6 4 2 3" xfId="6157"/>
    <cellStyle name="쉼표 [0] 5 6 4 3" xfId="2823"/>
    <cellStyle name="쉼표 [0] 5 6 4 3 2" xfId="7266"/>
    <cellStyle name="쉼표 [0] 5 6 4 4" xfId="5069"/>
    <cellStyle name="쉼표 [0] 5 6 5" xfId="1381"/>
    <cellStyle name="쉼표 [0] 5 6 5 2" xfId="3576"/>
    <cellStyle name="쉼표 [0] 5 6 5 2 2" xfId="8019"/>
    <cellStyle name="쉼표 [0] 5 6 5 3" xfId="5824"/>
    <cellStyle name="쉼표 [0] 5 6 6" xfId="2490"/>
    <cellStyle name="쉼표 [0] 5 6 6 2" xfId="6933"/>
    <cellStyle name="쉼표 [0] 5 6 7" xfId="4736"/>
    <cellStyle name="쉼표 [0] 5 7" xfId="370"/>
    <cellStyle name="쉼표 [0] 5 7 2" xfId="998"/>
    <cellStyle name="쉼표 [0] 5 7 2 2" xfId="2089"/>
    <cellStyle name="쉼표 [0] 5 7 2 2 2" xfId="4284"/>
    <cellStyle name="쉼표 [0] 5 7 2 2 2 2" xfId="8727"/>
    <cellStyle name="쉼표 [0] 5 7 2 2 3" xfId="6532"/>
    <cellStyle name="쉼표 [0] 5 7 2 3" xfId="3198"/>
    <cellStyle name="쉼표 [0] 5 7 2 3 2" xfId="7641"/>
    <cellStyle name="쉼표 [0] 5 7 2 4" xfId="5444"/>
    <cellStyle name="쉼표 [0] 5 7 3" xfId="703"/>
    <cellStyle name="쉼표 [0] 5 7 3 2" xfId="1794"/>
    <cellStyle name="쉼표 [0] 5 7 3 2 2" xfId="3989"/>
    <cellStyle name="쉼표 [0] 5 7 3 2 2 2" xfId="8432"/>
    <cellStyle name="쉼표 [0] 5 7 3 2 3" xfId="6237"/>
    <cellStyle name="쉼표 [0] 5 7 3 3" xfId="2903"/>
    <cellStyle name="쉼표 [0] 5 7 3 3 2" xfId="7346"/>
    <cellStyle name="쉼표 [0] 5 7 3 4" xfId="5149"/>
    <cellStyle name="쉼표 [0] 5 7 4" xfId="1461"/>
    <cellStyle name="쉼표 [0] 5 7 4 2" xfId="3656"/>
    <cellStyle name="쉼표 [0] 5 7 4 2 2" xfId="8099"/>
    <cellStyle name="쉼표 [0] 5 7 4 3" xfId="5904"/>
    <cellStyle name="쉼표 [0] 5 7 5" xfId="2570"/>
    <cellStyle name="쉼표 [0] 5 7 5 2" xfId="7013"/>
    <cellStyle name="쉼표 [0] 5 7 6" xfId="4816"/>
    <cellStyle name="쉼표 [0] 5 8" xfId="855"/>
    <cellStyle name="쉼표 [0] 5 8 2" xfId="1946"/>
    <cellStyle name="쉼표 [0] 5 8 2 2" xfId="4141"/>
    <cellStyle name="쉼표 [0] 5 8 2 2 2" xfId="8584"/>
    <cellStyle name="쉼표 [0] 5 8 2 3" xfId="6389"/>
    <cellStyle name="쉼표 [0] 5 8 3" xfId="3055"/>
    <cellStyle name="쉼표 [0] 5 8 3 2" xfId="7498"/>
    <cellStyle name="쉼표 [0] 5 8 4" xfId="5301"/>
    <cellStyle name="쉼표 [0] 5 9" xfId="557"/>
    <cellStyle name="쉼표 [0] 5 9 2" xfId="1648"/>
    <cellStyle name="쉼표 [0] 5 9 2 2" xfId="3843"/>
    <cellStyle name="쉼표 [0] 5 9 2 2 2" xfId="8286"/>
    <cellStyle name="쉼표 [0] 5 9 2 3" xfId="6091"/>
    <cellStyle name="쉼표 [0] 5 9 3" xfId="2757"/>
    <cellStyle name="쉼표 [0] 5 9 3 2" xfId="7200"/>
    <cellStyle name="쉼표 [0] 5 9 4" xfId="5003"/>
    <cellStyle name="쉼표 [0] 50" xfId="1258"/>
    <cellStyle name="쉼표 [0] 50 2" xfId="3456"/>
    <cellStyle name="쉼표 [0] 50 2 2" xfId="7899"/>
    <cellStyle name="쉼표 [0] 50 3" xfId="5702"/>
    <cellStyle name="쉼표 [0] 51" xfId="2351"/>
    <cellStyle name="쉼표 [0] 51 2" xfId="4546"/>
    <cellStyle name="쉼표 [0] 51 2 2" xfId="8989"/>
    <cellStyle name="쉼표 [0] 51 3" xfId="6794"/>
    <cellStyle name="쉼표 [0] 52" xfId="2355"/>
    <cellStyle name="쉼표 [0] 52 2" xfId="4550"/>
    <cellStyle name="쉼표 [0] 52 2 2" xfId="8993"/>
    <cellStyle name="쉼표 [0] 52 3" xfId="6798"/>
    <cellStyle name="쉼표 [0] 53" xfId="2359"/>
    <cellStyle name="쉼표 [0] 53 2" xfId="4554"/>
    <cellStyle name="쉼표 [0] 53 2 2" xfId="8997"/>
    <cellStyle name="쉼표 [0] 53 3" xfId="6802"/>
    <cellStyle name="쉼표 [0] 54" xfId="2363"/>
    <cellStyle name="쉼표 [0] 54 2" xfId="4558"/>
    <cellStyle name="쉼표 [0] 54 2 2" xfId="9001"/>
    <cellStyle name="쉼표 [0] 54 3" xfId="6806"/>
    <cellStyle name="쉼표 [0] 55" xfId="2365"/>
    <cellStyle name="쉼표 [0] 55 2" xfId="4560"/>
    <cellStyle name="쉼표 [0] 55 2 2" xfId="9003"/>
    <cellStyle name="쉼표 [0] 55 3" xfId="6808"/>
    <cellStyle name="쉼표 [0] 56" xfId="2367"/>
    <cellStyle name="쉼표 [0] 56 2" xfId="4562"/>
    <cellStyle name="쉼표 [0] 56 2 2" xfId="9005"/>
    <cellStyle name="쉼표 [0] 56 3" xfId="6810"/>
    <cellStyle name="쉼표 [0] 57" xfId="2369"/>
    <cellStyle name="쉼표 [0] 57 2" xfId="4564"/>
    <cellStyle name="쉼표 [0] 57 2 2" xfId="9007"/>
    <cellStyle name="쉼표 [0] 57 3" xfId="6812"/>
    <cellStyle name="쉼표 [0] 58" xfId="2371"/>
    <cellStyle name="쉼표 [0] 58 2" xfId="4566"/>
    <cellStyle name="쉼표 [0] 58 2 2" xfId="9009"/>
    <cellStyle name="쉼표 [0] 58 3" xfId="6814"/>
    <cellStyle name="쉼표 [0] 59" xfId="4569"/>
    <cellStyle name="쉼표 [0] 59 2" xfId="9012"/>
    <cellStyle name="쉼표 [0] 6" xfId="17"/>
    <cellStyle name="쉼표 [0] 6 10" xfId="559"/>
    <cellStyle name="쉼표 [0] 6 10 2" xfId="1650"/>
    <cellStyle name="쉼표 [0] 6 10 2 2" xfId="3845"/>
    <cellStyle name="쉼표 [0] 6 10 2 2 2" xfId="8288"/>
    <cellStyle name="쉼표 [0] 6 10 2 3" xfId="6093"/>
    <cellStyle name="쉼표 [0] 6 10 3" xfId="2759"/>
    <cellStyle name="쉼표 [0] 6 10 3 2" xfId="7202"/>
    <cellStyle name="쉼표 [0] 6 10 4" xfId="5005"/>
    <cellStyle name="쉼표 [0] 6 11" xfId="1271"/>
    <cellStyle name="쉼표 [0] 6 11 2" xfId="3468"/>
    <cellStyle name="쉼표 [0] 6 11 2 2" xfId="7911"/>
    <cellStyle name="쉼표 [0] 6 11 3" xfId="5715"/>
    <cellStyle name="쉼표 [0] 6 12" xfId="2382"/>
    <cellStyle name="쉼표 [0] 6 12 2" xfId="6825"/>
    <cellStyle name="쉼표 [0] 6 13" xfId="4578"/>
    <cellStyle name="쉼표 [0] 6 13 2" xfId="9021"/>
    <cellStyle name="쉼표 [0] 6 14" xfId="4591"/>
    <cellStyle name="쉼표 [0] 6 2" xfId="39"/>
    <cellStyle name="쉼표 [0] 6 2 2" xfId="294"/>
    <cellStyle name="쉼표 [0] 6 2 2 2" xfId="480"/>
    <cellStyle name="쉼표 [0] 6 2 2 2 2" xfId="1064"/>
    <cellStyle name="쉼표 [0] 6 2 2 2 2 2" xfId="2155"/>
    <cellStyle name="쉼표 [0] 6 2 2 2 2 2 2" xfId="4350"/>
    <cellStyle name="쉼표 [0] 6 2 2 2 2 2 2 2" xfId="8793"/>
    <cellStyle name="쉼표 [0] 6 2 2 2 2 2 3" xfId="6598"/>
    <cellStyle name="쉼표 [0] 6 2 2 2 2 3" xfId="3264"/>
    <cellStyle name="쉼표 [0] 6 2 2 2 2 3 2" xfId="7707"/>
    <cellStyle name="쉼표 [0] 6 2 2 2 2 4" xfId="5510"/>
    <cellStyle name="쉼표 [0] 6 2 2 2 3" xfId="769"/>
    <cellStyle name="쉼표 [0] 6 2 2 2 3 2" xfId="1860"/>
    <cellStyle name="쉼표 [0] 6 2 2 2 3 2 2" xfId="4055"/>
    <cellStyle name="쉼표 [0] 6 2 2 2 3 2 2 2" xfId="8498"/>
    <cellStyle name="쉼표 [0] 6 2 2 2 3 2 3" xfId="6303"/>
    <cellStyle name="쉼표 [0] 6 2 2 2 3 3" xfId="2969"/>
    <cellStyle name="쉼표 [0] 6 2 2 2 3 3 2" xfId="7412"/>
    <cellStyle name="쉼표 [0] 6 2 2 2 3 4" xfId="5215"/>
    <cellStyle name="쉼표 [0] 6 2 2 2 4" xfId="1571"/>
    <cellStyle name="쉼표 [0] 6 2 2 2 4 2" xfId="3766"/>
    <cellStyle name="쉼표 [0] 6 2 2 2 4 2 2" xfId="8209"/>
    <cellStyle name="쉼표 [0] 6 2 2 2 4 3" xfId="6014"/>
    <cellStyle name="쉼표 [0] 6 2 2 2 5" xfId="2680"/>
    <cellStyle name="쉼표 [0] 6 2 2 2 5 2" xfId="7123"/>
    <cellStyle name="쉼표 [0] 6 2 2 2 6" xfId="4926"/>
    <cellStyle name="쉼표 [0] 6 2 2 3" xfId="922"/>
    <cellStyle name="쉼표 [0] 6 2 2 3 2" xfId="2013"/>
    <cellStyle name="쉼표 [0] 6 2 2 3 2 2" xfId="4208"/>
    <cellStyle name="쉼표 [0] 6 2 2 3 2 2 2" xfId="8651"/>
    <cellStyle name="쉼표 [0] 6 2 2 3 2 3" xfId="6456"/>
    <cellStyle name="쉼표 [0] 6 2 2 3 3" xfId="3122"/>
    <cellStyle name="쉼표 [0] 6 2 2 3 3 2" xfId="7565"/>
    <cellStyle name="쉼표 [0] 6 2 2 3 4" xfId="5368"/>
    <cellStyle name="쉼표 [0] 6 2 2 4" xfId="627"/>
    <cellStyle name="쉼표 [0] 6 2 2 4 2" xfId="1718"/>
    <cellStyle name="쉼표 [0] 6 2 2 4 2 2" xfId="3913"/>
    <cellStyle name="쉼표 [0] 6 2 2 4 2 2 2" xfId="8356"/>
    <cellStyle name="쉼표 [0] 6 2 2 4 2 3" xfId="6161"/>
    <cellStyle name="쉼표 [0] 6 2 2 4 3" xfId="2827"/>
    <cellStyle name="쉼표 [0] 6 2 2 4 3 2" xfId="7270"/>
    <cellStyle name="쉼표 [0] 6 2 2 4 4" xfId="5073"/>
    <cellStyle name="쉼표 [0] 6 2 2 5" xfId="1385"/>
    <cellStyle name="쉼표 [0] 6 2 2 5 2" xfId="3580"/>
    <cellStyle name="쉼표 [0] 6 2 2 5 2 2" xfId="8023"/>
    <cellStyle name="쉼표 [0] 6 2 2 5 3" xfId="5828"/>
    <cellStyle name="쉼표 [0] 6 2 2 6" xfId="2494"/>
    <cellStyle name="쉼표 [0] 6 2 2 6 2" xfId="6937"/>
    <cellStyle name="쉼표 [0] 6 2 2 7" xfId="4740"/>
    <cellStyle name="쉼표 [0] 6 2 3" xfId="386"/>
    <cellStyle name="쉼표 [0] 6 2 3 2" xfId="1014"/>
    <cellStyle name="쉼표 [0] 6 2 3 2 2" xfId="2105"/>
    <cellStyle name="쉼표 [0] 6 2 3 2 2 2" xfId="4300"/>
    <cellStyle name="쉼표 [0] 6 2 3 2 2 2 2" xfId="8743"/>
    <cellStyle name="쉼표 [0] 6 2 3 2 2 3" xfId="6548"/>
    <cellStyle name="쉼표 [0] 6 2 3 2 3" xfId="3214"/>
    <cellStyle name="쉼표 [0] 6 2 3 2 3 2" xfId="7657"/>
    <cellStyle name="쉼표 [0] 6 2 3 2 4" xfId="5460"/>
    <cellStyle name="쉼표 [0] 6 2 3 3" xfId="719"/>
    <cellStyle name="쉼표 [0] 6 2 3 3 2" xfId="1810"/>
    <cellStyle name="쉼표 [0] 6 2 3 3 2 2" xfId="4005"/>
    <cellStyle name="쉼표 [0] 6 2 3 3 2 2 2" xfId="8448"/>
    <cellStyle name="쉼표 [0] 6 2 3 3 2 3" xfId="6253"/>
    <cellStyle name="쉼표 [0] 6 2 3 3 3" xfId="2919"/>
    <cellStyle name="쉼표 [0] 6 2 3 3 3 2" xfId="7362"/>
    <cellStyle name="쉼표 [0] 6 2 3 3 4" xfId="5165"/>
    <cellStyle name="쉼표 [0] 6 2 3 4" xfId="1477"/>
    <cellStyle name="쉼표 [0] 6 2 3 4 2" xfId="3672"/>
    <cellStyle name="쉼표 [0] 6 2 3 4 2 2" xfId="8115"/>
    <cellStyle name="쉼표 [0] 6 2 3 4 3" xfId="5920"/>
    <cellStyle name="쉼표 [0] 6 2 3 5" xfId="2586"/>
    <cellStyle name="쉼표 [0] 6 2 3 5 2" xfId="7029"/>
    <cellStyle name="쉼표 [0] 6 2 3 6" xfId="4832"/>
    <cellStyle name="쉼표 [0] 6 2 4" xfId="871"/>
    <cellStyle name="쉼표 [0] 6 2 4 2" xfId="1962"/>
    <cellStyle name="쉼표 [0] 6 2 4 2 2" xfId="4157"/>
    <cellStyle name="쉼표 [0] 6 2 4 2 2 2" xfId="8600"/>
    <cellStyle name="쉼표 [0] 6 2 4 2 3" xfId="6405"/>
    <cellStyle name="쉼표 [0] 6 2 4 3" xfId="3071"/>
    <cellStyle name="쉼표 [0] 6 2 4 3 2" xfId="7514"/>
    <cellStyle name="쉼표 [0] 6 2 4 4" xfId="5317"/>
    <cellStyle name="쉼표 [0] 6 2 5" xfId="573"/>
    <cellStyle name="쉼표 [0] 6 2 5 2" xfId="1664"/>
    <cellStyle name="쉼표 [0] 6 2 5 2 2" xfId="3859"/>
    <cellStyle name="쉼표 [0] 6 2 5 2 2 2" xfId="8302"/>
    <cellStyle name="쉼표 [0] 6 2 5 2 3" xfId="6107"/>
    <cellStyle name="쉼표 [0] 6 2 5 3" xfId="2773"/>
    <cellStyle name="쉼표 [0] 6 2 5 3 2" xfId="7216"/>
    <cellStyle name="쉼표 [0] 6 2 5 4" xfId="5019"/>
    <cellStyle name="쉼표 [0] 6 2 6" xfId="1287"/>
    <cellStyle name="쉼표 [0] 6 2 6 2" xfId="3482"/>
    <cellStyle name="쉼표 [0] 6 2 6 2 2" xfId="7925"/>
    <cellStyle name="쉼표 [0] 6 2 6 3" xfId="5730"/>
    <cellStyle name="쉼표 [0] 6 2 7" xfId="2396"/>
    <cellStyle name="쉼표 [0] 6 2 7 2" xfId="6839"/>
    <cellStyle name="쉼표 [0] 6 2 8" xfId="4605"/>
    <cellStyle name="쉼표 [0] 6 3" xfId="55"/>
    <cellStyle name="쉼표 [0] 6 3 2" xfId="300"/>
    <cellStyle name="쉼표 [0] 6 3 2 2" xfId="486"/>
    <cellStyle name="쉼표 [0] 6 3 2 2 2" xfId="1070"/>
    <cellStyle name="쉼표 [0] 6 3 2 2 2 2" xfId="2161"/>
    <cellStyle name="쉼표 [0] 6 3 2 2 2 2 2" xfId="4356"/>
    <cellStyle name="쉼표 [0] 6 3 2 2 2 2 2 2" xfId="8799"/>
    <cellStyle name="쉼표 [0] 6 3 2 2 2 2 3" xfId="6604"/>
    <cellStyle name="쉼표 [0] 6 3 2 2 2 3" xfId="3270"/>
    <cellStyle name="쉼표 [0] 6 3 2 2 2 3 2" xfId="7713"/>
    <cellStyle name="쉼표 [0] 6 3 2 2 2 4" xfId="5516"/>
    <cellStyle name="쉼표 [0] 6 3 2 2 3" xfId="775"/>
    <cellStyle name="쉼표 [0] 6 3 2 2 3 2" xfId="1866"/>
    <cellStyle name="쉼표 [0] 6 3 2 2 3 2 2" xfId="4061"/>
    <cellStyle name="쉼표 [0] 6 3 2 2 3 2 2 2" xfId="8504"/>
    <cellStyle name="쉼표 [0] 6 3 2 2 3 2 3" xfId="6309"/>
    <cellStyle name="쉼표 [0] 6 3 2 2 3 3" xfId="2975"/>
    <cellStyle name="쉼표 [0] 6 3 2 2 3 3 2" xfId="7418"/>
    <cellStyle name="쉼표 [0] 6 3 2 2 3 4" xfId="5221"/>
    <cellStyle name="쉼표 [0] 6 3 2 2 4" xfId="1577"/>
    <cellStyle name="쉼표 [0] 6 3 2 2 4 2" xfId="3772"/>
    <cellStyle name="쉼표 [0] 6 3 2 2 4 2 2" xfId="8215"/>
    <cellStyle name="쉼표 [0] 6 3 2 2 4 3" xfId="6020"/>
    <cellStyle name="쉼표 [0] 6 3 2 2 5" xfId="2686"/>
    <cellStyle name="쉼표 [0] 6 3 2 2 5 2" xfId="7129"/>
    <cellStyle name="쉼표 [0] 6 3 2 2 6" xfId="4932"/>
    <cellStyle name="쉼표 [0] 6 3 2 3" xfId="928"/>
    <cellStyle name="쉼표 [0] 6 3 2 3 2" xfId="2019"/>
    <cellStyle name="쉼표 [0] 6 3 2 3 2 2" xfId="4214"/>
    <cellStyle name="쉼표 [0] 6 3 2 3 2 2 2" xfId="8657"/>
    <cellStyle name="쉼표 [0] 6 3 2 3 2 3" xfId="6462"/>
    <cellStyle name="쉼표 [0] 6 3 2 3 3" xfId="3128"/>
    <cellStyle name="쉼표 [0] 6 3 2 3 3 2" xfId="7571"/>
    <cellStyle name="쉼표 [0] 6 3 2 3 4" xfId="5374"/>
    <cellStyle name="쉼표 [0] 6 3 2 4" xfId="633"/>
    <cellStyle name="쉼표 [0] 6 3 2 4 2" xfId="1724"/>
    <cellStyle name="쉼표 [0] 6 3 2 4 2 2" xfId="3919"/>
    <cellStyle name="쉼표 [0] 6 3 2 4 2 2 2" xfId="8362"/>
    <cellStyle name="쉼표 [0] 6 3 2 4 2 3" xfId="6167"/>
    <cellStyle name="쉼표 [0] 6 3 2 4 3" xfId="2833"/>
    <cellStyle name="쉼표 [0] 6 3 2 4 3 2" xfId="7276"/>
    <cellStyle name="쉼표 [0] 6 3 2 4 4" xfId="5079"/>
    <cellStyle name="쉼표 [0] 6 3 2 5" xfId="1391"/>
    <cellStyle name="쉼표 [0] 6 3 2 5 2" xfId="3586"/>
    <cellStyle name="쉼표 [0] 6 3 2 5 2 2" xfId="8029"/>
    <cellStyle name="쉼표 [0] 6 3 2 5 3" xfId="5834"/>
    <cellStyle name="쉼표 [0] 6 3 2 6" xfId="2500"/>
    <cellStyle name="쉼표 [0] 6 3 2 6 2" xfId="6943"/>
    <cellStyle name="쉼표 [0] 6 3 2 7" xfId="4746"/>
    <cellStyle name="쉼표 [0] 6 3 3" xfId="392"/>
    <cellStyle name="쉼표 [0] 6 3 3 2" xfId="1020"/>
    <cellStyle name="쉼표 [0] 6 3 3 2 2" xfId="2111"/>
    <cellStyle name="쉼표 [0] 6 3 3 2 2 2" xfId="4306"/>
    <cellStyle name="쉼표 [0] 6 3 3 2 2 2 2" xfId="8749"/>
    <cellStyle name="쉼표 [0] 6 3 3 2 2 3" xfId="6554"/>
    <cellStyle name="쉼표 [0] 6 3 3 2 3" xfId="3220"/>
    <cellStyle name="쉼표 [0] 6 3 3 2 3 2" xfId="7663"/>
    <cellStyle name="쉼표 [0] 6 3 3 2 4" xfId="5466"/>
    <cellStyle name="쉼표 [0] 6 3 3 3" xfId="725"/>
    <cellStyle name="쉼표 [0] 6 3 3 3 2" xfId="1816"/>
    <cellStyle name="쉼표 [0] 6 3 3 3 2 2" xfId="4011"/>
    <cellStyle name="쉼표 [0] 6 3 3 3 2 2 2" xfId="8454"/>
    <cellStyle name="쉼표 [0] 6 3 3 3 2 3" xfId="6259"/>
    <cellStyle name="쉼표 [0] 6 3 3 3 3" xfId="2925"/>
    <cellStyle name="쉼표 [0] 6 3 3 3 3 2" xfId="7368"/>
    <cellStyle name="쉼표 [0] 6 3 3 3 4" xfId="5171"/>
    <cellStyle name="쉼표 [0] 6 3 3 4" xfId="1483"/>
    <cellStyle name="쉼표 [0] 6 3 3 4 2" xfId="3678"/>
    <cellStyle name="쉼표 [0] 6 3 3 4 2 2" xfId="8121"/>
    <cellStyle name="쉼표 [0] 6 3 3 4 3" xfId="5926"/>
    <cellStyle name="쉼표 [0] 6 3 3 5" xfId="2592"/>
    <cellStyle name="쉼표 [0] 6 3 3 5 2" xfId="7035"/>
    <cellStyle name="쉼표 [0] 6 3 3 6" xfId="4838"/>
    <cellStyle name="쉼표 [0] 6 3 4" xfId="878"/>
    <cellStyle name="쉼표 [0] 6 3 4 2" xfId="1969"/>
    <cellStyle name="쉼표 [0] 6 3 4 2 2" xfId="4164"/>
    <cellStyle name="쉼표 [0] 6 3 4 2 2 2" xfId="8607"/>
    <cellStyle name="쉼표 [0] 6 3 4 2 3" xfId="6412"/>
    <cellStyle name="쉼표 [0] 6 3 4 3" xfId="3078"/>
    <cellStyle name="쉼표 [0] 6 3 4 3 2" xfId="7521"/>
    <cellStyle name="쉼표 [0] 6 3 4 4" xfId="5324"/>
    <cellStyle name="쉼표 [0] 6 3 5" xfId="580"/>
    <cellStyle name="쉼표 [0] 6 3 5 2" xfId="1671"/>
    <cellStyle name="쉼표 [0] 6 3 5 2 2" xfId="3866"/>
    <cellStyle name="쉼표 [0] 6 3 5 2 2 2" xfId="8309"/>
    <cellStyle name="쉼표 [0] 6 3 5 2 3" xfId="6114"/>
    <cellStyle name="쉼표 [0] 6 3 5 3" xfId="2780"/>
    <cellStyle name="쉼표 [0] 6 3 5 3 2" xfId="7223"/>
    <cellStyle name="쉼표 [0] 6 3 5 4" xfId="5026"/>
    <cellStyle name="쉼표 [0] 6 3 6" xfId="1294"/>
    <cellStyle name="쉼표 [0] 6 3 6 2" xfId="3489"/>
    <cellStyle name="쉼표 [0] 6 3 6 2 2" xfId="7932"/>
    <cellStyle name="쉼표 [0] 6 3 6 3" xfId="5737"/>
    <cellStyle name="쉼표 [0] 6 3 7" xfId="2403"/>
    <cellStyle name="쉼표 [0] 6 3 7 2" xfId="6846"/>
    <cellStyle name="쉼표 [0] 6 3 8" xfId="4614"/>
    <cellStyle name="쉼표 [0] 6 4" xfId="65"/>
    <cellStyle name="쉼표 [0] 6 4 2" xfId="307"/>
    <cellStyle name="쉼표 [0] 6 4 2 2" xfId="493"/>
    <cellStyle name="쉼표 [0] 6 4 2 2 2" xfId="1077"/>
    <cellStyle name="쉼표 [0] 6 4 2 2 2 2" xfId="2168"/>
    <cellStyle name="쉼표 [0] 6 4 2 2 2 2 2" xfId="4363"/>
    <cellStyle name="쉼표 [0] 6 4 2 2 2 2 2 2" xfId="8806"/>
    <cellStyle name="쉼표 [0] 6 4 2 2 2 2 3" xfId="6611"/>
    <cellStyle name="쉼표 [0] 6 4 2 2 2 3" xfId="3277"/>
    <cellStyle name="쉼표 [0] 6 4 2 2 2 3 2" xfId="7720"/>
    <cellStyle name="쉼표 [0] 6 4 2 2 2 4" xfId="5523"/>
    <cellStyle name="쉼표 [0] 6 4 2 2 3" xfId="782"/>
    <cellStyle name="쉼표 [0] 6 4 2 2 3 2" xfId="1873"/>
    <cellStyle name="쉼표 [0] 6 4 2 2 3 2 2" xfId="4068"/>
    <cellStyle name="쉼표 [0] 6 4 2 2 3 2 2 2" xfId="8511"/>
    <cellStyle name="쉼표 [0] 6 4 2 2 3 2 3" xfId="6316"/>
    <cellStyle name="쉼표 [0] 6 4 2 2 3 3" xfId="2982"/>
    <cellStyle name="쉼표 [0] 6 4 2 2 3 3 2" xfId="7425"/>
    <cellStyle name="쉼표 [0] 6 4 2 2 3 4" xfId="5228"/>
    <cellStyle name="쉼표 [0] 6 4 2 2 4" xfId="1584"/>
    <cellStyle name="쉼표 [0] 6 4 2 2 4 2" xfId="3779"/>
    <cellStyle name="쉼표 [0] 6 4 2 2 4 2 2" xfId="8222"/>
    <cellStyle name="쉼표 [0] 6 4 2 2 4 3" xfId="6027"/>
    <cellStyle name="쉼표 [0] 6 4 2 2 5" xfId="2693"/>
    <cellStyle name="쉼표 [0] 6 4 2 2 5 2" xfId="7136"/>
    <cellStyle name="쉼표 [0] 6 4 2 2 6" xfId="4939"/>
    <cellStyle name="쉼표 [0] 6 4 2 3" xfId="935"/>
    <cellStyle name="쉼표 [0] 6 4 2 3 2" xfId="2026"/>
    <cellStyle name="쉼표 [0] 6 4 2 3 2 2" xfId="4221"/>
    <cellStyle name="쉼표 [0] 6 4 2 3 2 2 2" xfId="8664"/>
    <cellStyle name="쉼표 [0] 6 4 2 3 2 3" xfId="6469"/>
    <cellStyle name="쉼표 [0] 6 4 2 3 3" xfId="3135"/>
    <cellStyle name="쉼표 [0] 6 4 2 3 3 2" xfId="7578"/>
    <cellStyle name="쉼표 [0] 6 4 2 3 4" xfId="5381"/>
    <cellStyle name="쉼표 [0] 6 4 2 4" xfId="640"/>
    <cellStyle name="쉼표 [0] 6 4 2 4 2" xfId="1731"/>
    <cellStyle name="쉼표 [0] 6 4 2 4 2 2" xfId="3926"/>
    <cellStyle name="쉼표 [0] 6 4 2 4 2 2 2" xfId="8369"/>
    <cellStyle name="쉼표 [0] 6 4 2 4 2 3" xfId="6174"/>
    <cellStyle name="쉼표 [0] 6 4 2 4 3" xfId="2840"/>
    <cellStyle name="쉼표 [0] 6 4 2 4 3 2" xfId="7283"/>
    <cellStyle name="쉼표 [0] 6 4 2 4 4" xfId="5086"/>
    <cellStyle name="쉼표 [0] 6 4 2 5" xfId="1398"/>
    <cellStyle name="쉼표 [0] 6 4 2 5 2" xfId="3593"/>
    <cellStyle name="쉼표 [0] 6 4 2 5 2 2" xfId="8036"/>
    <cellStyle name="쉼표 [0] 6 4 2 5 3" xfId="5841"/>
    <cellStyle name="쉼표 [0] 6 4 2 6" xfId="2507"/>
    <cellStyle name="쉼표 [0] 6 4 2 6 2" xfId="6950"/>
    <cellStyle name="쉼표 [0] 6 4 2 7" xfId="4753"/>
    <cellStyle name="쉼표 [0] 6 4 3" xfId="399"/>
    <cellStyle name="쉼표 [0] 6 4 3 2" xfId="1027"/>
    <cellStyle name="쉼표 [0] 6 4 3 2 2" xfId="2118"/>
    <cellStyle name="쉼표 [0] 6 4 3 2 2 2" xfId="4313"/>
    <cellStyle name="쉼표 [0] 6 4 3 2 2 2 2" xfId="8756"/>
    <cellStyle name="쉼표 [0] 6 4 3 2 2 3" xfId="6561"/>
    <cellStyle name="쉼표 [0] 6 4 3 2 3" xfId="3227"/>
    <cellStyle name="쉼표 [0] 6 4 3 2 3 2" xfId="7670"/>
    <cellStyle name="쉼표 [0] 6 4 3 2 4" xfId="5473"/>
    <cellStyle name="쉼표 [0] 6 4 3 3" xfId="732"/>
    <cellStyle name="쉼표 [0] 6 4 3 3 2" xfId="1823"/>
    <cellStyle name="쉼표 [0] 6 4 3 3 2 2" xfId="4018"/>
    <cellStyle name="쉼표 [0] 6 4 3 3 2 2 2" xfId="8461"/>
    <cellStyle name="쉼표 [0] 6 4 3 3 2 3" xfId="6266"/>
    <cellStyle name="쉼표 [0] 6 4 3 3 3" xfId="2932"/>
    <cellStyle name="쉼표 [0] 6 4 3 3 3 2" xfId="7375"/>
    <cellStyle name="쉼표 [0] 6 4 3 3 4" xfId="5178"/>
    <cellStyle name="쉼표 [0] 6 4 3 4" xfId="1490"/>
    <cellStyle name="쉼표 [0] 6 4 3 4 2" xfId="3685"/>
    <cellStyle name="쉼표 [0] 6 4 3 4 2 2" xfId="8128"/>
    <cellStyle name="쉼표 [0] 6 4 3 4 3" xfId="5933"/>
    <cellStyle name="쉼표 [0] 6 4 3 5" xfId="2599"/>
    <cellStyle name="쉼표 [0] 6 4 3 5 2" xfId="7042"/>
    <cellStyle name="쉼표 [0] 6 4 3 6" xfId="4845"/>
    <cellStyle name="쉼표 [0] 6 4 4" xfId="885"/>
    <cellStyle name="쉼표 [0] 6 4 4 2" xfId="1976"/>
    <cellStyle name="쉼표 [0] 6 4 4 2 2" xfId="4171"/>
    <cellStyle name="쉼표 [0] 6 4 4 2 2 2" xfId="8614"/>
    <cellStyle name="쉼표 [0] 6 4 4 2 3" xfId="6419"/>
    <cellStyle name="쉼표 [0] 6 4 4 3" xfId="3085"/>
    <cellStyle name="쉼표 [0] 6 4 4 3 2" xfId="7528"/>
    <cellStyle name="쉼표 [0] 6 4 4 4" xfId="5331"/>
    <cellStyle name="쉼표 [0] 6 4 5" xfId="587"/>
    <cellStyle name="쉼표 [0] 6 4 5 2" xfId="1678"/>
    <cellStyle name="쉼표 [0] 6 4 5 2 2" xfId="3873"/>
    <cellStyle name="쉼표 [0] 6 4 5 2 2 2" xfId="8316"/>
    <cellStyle name="쉼표 [0] 6 4 5 2 3" xfId="6121"/>
    <cellStyle name="쉼표 [0] 6 4 5 3" xfId="2787"/>
    <cellStyle name="쉼표 [0] 6 4 5 3 2" xfId="7230"/>
    <cellStyle name="쉼표 [0] 6 4 5 4" xfId="5033"/>
    <cellStyle name="쉼표 [0] 6 4 6" xfId="1301"/>
    <cellStyle name="쉼표 [0] 6 4 6 2" xfId="3496"/>
    <cellStyle name="쉼표 [0] 6 4 6 2 2" xfId="7939"/>
    <cellStyle name="쉼표 [0] 6 4 6 3" xfId="5744"/>
    <cellStyle name="쉼표 [0] 6 4 7" xfId="2410"/>
    <cellStyle name="쉼표 [0] 6 4 7 2" xfId="6853"/>
    <cellStyle name="쉼표 [0] 6 4 8" xfId="4622"/>
    <cellStyle name="쉼표 [0] 6 5" xfId="62"/>
    <cellStyle name="쉼표 [0] 6 5 2" xfId="305"/>
    <cellStyle name="쉼표 [0] 6 5 2 2" xfId="491"/>
    <cellStyle name="쉼표 [0] 6 5 2 2 2" xfId="1075"/>
    <cellStyle name="쉼표 [0] 6 5 2 2 2 2" xfId="2166"/>
    <cellStyle name="쉼표 [0] 6 5 2 2 2 2 2" xfId="4361"/>
    <cellStyle name="쉼표 [0] 6 5 2 2 2 2 2 2" xfId="8804"/>
    <cellStyle name="쉼표 [0] 6 5 2 2 2 2 3" xfId="6609"/>
    <cellStyle name="쉼표 [0] 6 5 2 2 2 3" xfId="3275"/>
    <cellStyle name="쉼표 [0] 6 5 2 2 2 3 2" xfId="7718"/>
    <cellStyle name="쉼표 [0] 6 5 2 2 2 4" xfId="5521"/>
    <cellStyle name="쉼표 [0] 6 5 2 2 3" xfId="780"/>
    <cellStyle name="쉼표 [0] 6 5 2 2 3 2" xfId="1871"/>
    <cellStyle name="쉼표 [0] 6 5 2 2 3 2 2" xfId="4066"/>
    <cellStyle name="쉼표 [0] 6 5 2 2 3 2 2 2" xfId="8509"/>
    <cellStyle name="쉼표 [0] 6 5 2 2 3 2 3" xfId="6314"/>
    <cellStyle name="쉼표 [0] 6 5 2 2 3 3" xfId="2980"/>
    <cellStyle name="쉼표 [0] 6 5 2 2 3 3 2" xfId="7423"/>
    <cellStyle name="쉼표 [0] 6 5 2 2 3 4" xfId="5226"/>
    <cellStyle name="쉼표 [0] 6 5 2 2 4" xfId="1582"/>
    <cellStyle name="쉼표 [0] 6 5 2 2 4 2" xfId="3777"/>
    <cellStyle name="쉼표 [0] 6 5 2 2 4 2 2" xfId="8220"/>
    <cellStyle name="쉼표 [0] 6 5 2 2 4 3" xfId="6025"/>
    <cellStyle name="쉼표 [0] 6 5 2 2 5" xfId="2691"/>
    <cellStyle name="쉼표 [0] 6 5 2 2 5 2" xfId="7134"/>
    <cellStyle name="쉼표 [0] 6 5 2 2 6" xfId="4937"/>
    <cellStyle name="쉼표 [0] 6 5 2 3" xfId="933"/>
    <cellStyle name="쉼표 [0] 6 5 2 3 2" xfId="2024"/>
    <cellStyle name="쉼표 [0] 6 5 2 3 2 2" xfId="4219"/>
    <cellStyle name="쉼표 [0] 6 5 2 3 2 2 2" xfId="8662"/>
    <cellStyle name="쉼표 [0] 6 5 2 3 2 3" xfId="6467"/>
    <cellStyle name="쉼표 [0] 6 5 2 3 3" xfId="3133"/>
    <cellStyle name="쉼표 [0] 6 5 2 3 3 2" xfId="7576"/>
    <cellStyle name="쉼표 [0] 6 5 2 3 4" xfId="5379"/>
    <cellStyle name="쉼표 [0] 6 5 2 4" xfId="638"/>
    <cellStyle name="쉼표 [0] 6 5 2 4 2" xfId="1729"/>
    <cellStyle name="쉼표 [0] 6 5 2 4 2 2" xfId="3924"/>
    <cellStyle name="쉼표 [0] 6 5 2 4 2 2 2" xfId="8367"/>
    <cellStyle name="쉼표 [0] 6 5 2 4 2 3" xfId="6172"/>
    <cellStyle name="쉼표 [0] 6 5 2 4 3" xfId="2838"/>
    <cellStyle name="쉼표 [0] 6 5 2 4 3 2" xfId="7281"/>
    <cellStyle name="쉼표 [0] 6 5 2 4 4" xfId="5084"/>
    <cellStyle name="쉼표 [0] 6 5 2 5" xfId="1396"/>
    <cellStyle name="쉼표 [0] 6 5 2 5 2" xfId="3591"/>
    <cellStyle name="쉼표 [0] 6 5 2 5 2 2" xfId="8034"/>
    <cellStyle name="쉼표 [0] 6 5 2 5 3" xfId="5839"/>
    <cellStyle name="쉼표 [0] 6 5 2 6" xfId="2505"/>
    <cellStyle name="쉼표 [0] 6 5 2 6 2" xfId="6948"/>
    <cellStyle name="쉼표 [0] 6 5 2 7" xfId="4751"/>
    <cellStyle name="쉼표 [0] 6 5 3" xfId="397"/>
    <cellStyle name="쉼표 [0] 6 5 3 2" xfId="1025"/>
    <cellStyle name="쉼표 [0] 6 5 3 2 2" xfId="2116"/>
    <cellStyle name="쉼표 [0] 6 5 3 2 2 2" xfId="4311"/>
    <cellStyle name="쉼표 [0] 6 5 3 2 2 2 2" xfId="8754"/>
    <cellStyle name="쉼표 [0] 6 5 3 2 2 3" xfId="6559"/>
    <cellStyle name="쉼표 [0] 6 5 3 2 3" xfId="3225"/>
    <cellStyle name="쉼표 [0] 6 5 3 2 3 2" xfId="7668"/>
    <cellStyle name="쉼표 [0] 6 5 3 2 4" xfId="5471"/>
    <cellStyle name="쉼표 [0] 6 5 3 3" xfId="730"/>
    <cellStyle name="쉼표 [0] 6 5 3 3 2" xfId="1821"/>
    <cellStyle name="쉼표 [0] 6 5 3 3 2 2" xfId="4016"/>
    <cellStyle name="쉼표 [0] 6 5 3 3 2 2 2" xfId="8459"/>
    <cellStyle name="쉼표 [0] 6 5 3 3 2 3" xfId="6264"/>
    <cellStyle name="쉼표 [0] 6 5 3 3 3" xfId="2930"/>
    <cellStyle name="쉼표 [0] 6 5 3 3 3 2" xfId="7373"/>
    <cellStyle name="쉼표 [0] 6 5 3 3 4" xfId="5176"/>
    <cellStyle name="쉼표 [0] 6 5 3 4" xfId="1488"/>
    <cellStyle name="쉼표 [0] 6 5 3 4 2" xfId="3683"/>
    <cellStyle name="쉼표 [0] 6 5 3 4 2 2" xfId="8126"/>
    <cellStyle name="쉼표 [0] 6 5 3 4 3" xfId="5931"/>
    <cellStyle name="쉼표 [0] 6 5 3 5" xfId="2597"/>
    <cellStyle name="쉼표 [0] 6 5 3 5 2" xfId="7040"/>
    <cellStyle name="쉼표 [0] 6 5 3 6" xfId="4843"/>
    <cellStyle name="쉼표 [0] 6 5 4" xfId="883"/>
    <cellStyle name="쉼표 [0] 6 5 4 2" xfId="1974"/>
    <cellStyle name="쉼표 [0] 6 5 4 2 2" xfId="4169"/>
    <cellStyle name="쉼표 [0] 6 5 4 2 2 2" xfId="8612"/>
    <cellStyle name="쉼표 [0] 6 5 4 2 3" xfId="6417"/>
    <cellStyle name="쉼표 [0] 6 5 4 3" xfId="3083"/>
    <cellStyle name="쉼표 [0] 6 5 4 3 2" xfId="7526"/>
    <cellStyle name="쉼표 [0] 6 5 4 4" xfId="5329"/>
    <cellStyle name="쉼표 [0] 6 5 5" xfId="585"/>
    <cellStyle name="쉼표 [0] 6 5 5 2" xfId="1676"/>
    <cellStyle name="쉼표 [0] 6 5 5 2 2" xfId="3871"/>
    <cellStyle name="쉼표 [0] 6 5 5 2 2 2" xfId="8314"/>
    <cellStyle name="쉼표 [0] 6 5 5 2 3" xfId="6119"/>
    <cellStyle name="쉼표 [0] 6 5 5 3" xfId="2785"/>
    <cellStyle name="쉼표 [0] 6 5 5 3 2" xfId="7228"/>
    <cellStyle name="쉼표 [0] 6 5 5 4" xfId="5031"/>
    <cellStyle name="쉼표 [0] 6 5 6" xfId="1299"/>
    <cellStyle name="쉼표 [0] 6 5 6 2" xfId="3494"/>
    <cellStyle name="쉼표 [0] 6 5 6 2 2" xfId="7937"/>
    <cellStyle name="쉼표 [0] 6 5 6 3" xfId="5742"/>
    <cellStyle name="쉼표 [0] 6 5 7" xfId="2408"/>
    <cellStyle name="쉼표 [0] 6 5 7 2" xfId="6851"/>
    <cellStyle name="쉼표 [0] 6 5 8" xfId="4620"/>
    <cellStyle name="쉼표 [0] 6 6" xfId="31"/>
    <cellStyle name="쉼표 [0] 6 6 2" xfId="382"/>
    <cellStyle name="쉼표 [0] 6 6 2 2" xfId="1010"/>
    <cellStyle name="쉼표 [0] 6 6 2 2 2" xfId="2101"/>
    <cellStyle name="쉼표 [0] 6 6 2 2 2 2" xfId="4296"/>
    <cellStyle name="쉼표 [0] 6 6 2 2 2 2 2" xfId="8739"/>
    <cellStyle name="쉼표 [0] 6 6 2 2 2 3" xfId="6544"/>
    <cellStyle name="쉼표 [0] 6 6 2 2 3" xfId="3210"/>
    <cellStyle name="쉼표 [0] 6 6 2 2 3 2" xfId="7653"/>
    <cellStyle name="쉼표 [0] 6 6 2 2 4" xfId="5456"/>
    <cellStyle name="쉼표 [0] 6 6 2 3" xfId="715"/>
    <cellStyle name="쉼표 [0] 6 6 2 3 2" xfId="1806"/>
    <cellStyle name="쉼표 [0] 6 6 2 3 2 2" xfId="4001"/>
    <cellStyle name="쉼표 [0] 6 6 2 3 2 2 2" xfId="8444"/>
    <cellStyle name="쉼표 [0] 6 6 2 3 2 3" xfId="6249"/>
    <cellStyle name="쉼표 [0] 6 6 2 3 3" xfId="2915"/>
    <cellStyle name="쉼표 [0] 6 6 2 3 3 2" xfId="7358"/>
    <cellStyle name="쉼표 [0] 6 6 2 3 4" xfId="5161"/>
    <cellStyle name="쉼표 [0] 6 6 2 4" xfId="1473"/>
    <cellStyle name="쉼표 [0] 6 6 2 4 2" xfId="3668"/>
    <cellStyle name="쉼표 [0] 6 6 2 4 2 2" xfId="8111"/>
    <cellStyle name="쉼표 [0] 6 6 2 4 3" xfId="5916"/>
    <cellStyle name="쉼표 [0] 6 6 2 5" xfId="2582"/>
    <cellStyle name="쉼표 [0] 6 6 2 5 2" xfId="7025"/>
    <cellStyle name="쉼표 [0] 6 6 2 6" xfId="4828"/>
    <cellStyle name="쉼표 [0] 6 6 3" xfId="867"/>
    <cellStyle name="쉼표 [0] 6 6 3 2" xfId="1958"/>
    <cellStyle name="쉼표 [0] 6 6 3 2 2" xfId="4153"/>
    <cellStyle name="쉼표 [0] 6 6 3 2 2 2" xfId="8596"/>
    <cellStyle name="쉼표 [0] 6 6 3 2 3" xfId="6401"/>
    <cellStyle name="쉼표 [0] 6 6 3 3" xfId="3067"/>
    <cellStyle name="쉼표 [0] 6 6 3 3 2" xfId="7510"/>
    <cellStyle name="쉼표 [0] 6 6 3 4" xfId="5313"/>
    <cellStyle name="쉼표 [0] 6 6 4" xfId="569"/>
    <cellStyle name="쉼표 [0] 6 6 4 2" xfId="1660"/>
    <cellStyle name="쉼표 [0] 6 6 4 2 2" xfId="3855"/>
    <cellStyle name="쉼표 [0] 6 6 4 2 2 2" xfId="8298"/>
    <cellStyle name="쉼표 [0] 6 6 4 2 3" xfId="6103"/>
    <cellStyle name="쉼표 [0] 6 6 4 3" xfId="2769"/>
    <cellStyle name="쉼표 [0] 6 6 4 3 2" xfId="7212"/>
    <cellStyle name="쉼표 [0] 6 6 4 4" xfId="5015"/>
    <cellStyle name="쉼표 [0] 6 6 5" xfId="1282"/>
    <cellStyle name="쉼표 [0] 6 6 5 2" xfId="3478"/>
    <cellStyle name="쉼표 [0] 6 6 5 2 2" xfId="7921"/>
    <cellStyle name="쉼표 [0] 6 6 5 3" xfId="5726"/>
    <cellStyle name="쉼표 [0] 6 6 6" xfId="2392"/>
    <cellStyle name="쉼표 [0] 6 6 6 2" xfId="6835"/>
    <cellStyle name="쉼표 [0] 6 6 7" xfId="4601"/>
    <cellStyle name="쉼표 [0] 6 7" xfId="291"/>
    <cellStyle name="쉼표 [0] 6 7 2" xfId="477"/>
    <cellStyle name="쉼표 [0] 6 7 2 2" xfId="1061"/>
    <cellStyle name="쉼표 [0] 6 7 2 2 2" xfId="2152"/>
    <cellStyle name="쉼표 [0] 6 7 2 2 2 2" xfId="4347"/>
    <cellStyle name="쉼표 [0] 6 7 2 2 2 2 2" xfId="8790"/>
    <cellStyle name="쉼표 [0] 6 7 2 2 2 3" xfId="6595"/>
    <cellStyle name="쉼표 [0] 6 7 2 2 3" xfId="3261"/>
    <cellStyle name="쉼표 [0] 6 7 2 2 3 2" xfId="7704"/>
    <cellStyle name="쉼표 [0] 6 7 2 2 4" xfId="5507"/>
    <cellStyle name="쉼표 [0] 6 7 2 3" xfId="766"/>
    <cellStyle name="쉼표 [0] 6 7 2 3 2" xfId="1857"/>
    <cellStyle name="쉼표 [0] 6 7 2 3 2 2" xfId="4052"/>
    <cellStyle name="쉼표 [0] 6 7 2 3 2 2 2" xfId="8495"/>
    <cellStyle name="쉼표 [0] 6 7 2 3 2 3" xfId="6300"/>
    <cellStyle name="쉼표 [0] 6 7 2 3 3" xfId="2966"/>
    <cellStyle name="쉼표 [0] 6 7 2 3 3 2" xfId="7409"/>
    <cellStyle name="쉼표 [0] 6 7 2 3 4" xfId="5212"/>
    <cellStyle name="쉼표 [0] 6 7 2 4" xfId="1568"/>
    <cellStyle name="쉼표 [0] 6 7 2 4 2" xfId="3763"/>
    <cellStyle name="쉼표 [0] 6 7 2 4 2 2" xfId="8206"/>
    <cellStyle name="쉼표 [0] 6 7 2 4 3" xfId="6011"/>
    <cellStyle name="쉼표 [0] 6 7 2 5" xfId="2677"/>
    <cellStyle name="쉼표 [0] 6 7 2 5 2" xfId="7120"/>
    <cellStyle name="쉼표 [0] 6 7 2 6" xfId="4923"/>
    <cellStyle name="쉼표 [0] 6 7 3" xfId="919"/>
    <cellStyle name="쉼표 [0] 6 7 3 2" xfId="2010"/>
    <cellStyle name="쉼표 [0] 6 7 3 2 2" xfId="4205"/>
    <cellStyle name="쉼표 [0] 6 7 3 2 2 2" xfId="8648"/>
    <cellStyle name="쉼표 [0] 6 7 3 2 3" xfId="6453"/>
    <cellStyle name="쉼표 [0] 6 7 3 3" xfId="3119"/>
    <cellStyle name="쉼표 [0] 6 7 3 3 2" xfId="7562"/>
    <cellStyle name="쉼표 [0] 6 7 3 4" xfId="5365"/>
    <cellStyle name="쉼표 [0] 6 7 4" xfId="624"/>
    <cellStyle name="쉼표 [0] 6 7 4 2" xfId="1715"/>
    <cellStyle name="쉼표 [0] 6 7 4 2 2" xfId="3910"/>
    <cellStyle name="쉼표 [0] 6 7 4 2 2 2" xfId="8353"/>
    <cellStyle name="쉼표 [0] 6 7 4 2 3" xfId="6158"/>
    <cellStyle name="쉼표 [0] 6 7 4 3" xfId="2824"/>
    <cellStyle name="쉼표 [0] 6 7 4 3 2" xfId="7267"/>
    <cellStyle name="쉼표 [0] 6 7 4 4" xfId="5070"/>
    <cellStyle name="쉼표 [0] 6 7 5" xfId="1382"/>
    <cellStyle name="쉼표 [0] 6 7 5 2" xfId="3577"/>
    <cellStyle name="쉼표 [0] 6 7 5 2 2" xfId="8020"/>
    <cellStyle name="쉼표 [0] 6 7 5 3" xfId="5825"/>
    <cellStyle name="쉼표 [0] 6 7 6" xfId="2491"/>
    <cellStyle name="쉼표 [0] 6 7 6 2" xfId="6934"/>
    <cellStyle name="쉼표 [0] 6 7 7" xfId="4737"/>
    <cellStyle name="쉼표 [0] 6 8" xfId="372"/>
    <cellStyle name="쉼표 [0] 6 8 2" xfId="1000"/>
    <cellStyle name="쉼표 [0] 6 8 2 2" xfId="2091"/>
    <cellStyle name="쉼표 [0] 6 8 2 2 2" xfId="4286"/>
    <cellStyle name="쉼표 [0] 6 8 2 2 2 2" xfId="8729"/>
    <cellStyle name="쉼표 [0] 6 8 2 2 3" xfId="6534"/>
    <cellStyle name="쉼표 [0] 6 8 2 3" xfId="3200"/>
    <cellStyle name="쉼표 [0] 6 8 2 3 2" xfId="7643"/>
    <cellStyle name="쉼표 [0] 6 8 2 4" xfId="5446"/>
    <cellStyle name="쉼표 [0] 6 8 3" xfId="705"/>
    <cellStyle name="쉼표 [0] 6 8 3 2" xfId="1796"/>
    <cellStyle name="쉼표 [0] 6 8 3 2 2" xfId="3991"/>
    <cellStyle name="쉼표 [0] 6 8 3 2 2 2" xfId="8434"/>
    <cellStyle name="쉼표 [0] 6 8 3 2 3" xfId="6239"/>
    <cellStyle name="쉼표 [0] 6 8 3 3" xfId="2905"/>
    <cellStyle name="쉼표 [0] 6 8 3 3 2" xfId="7348"/>
    <cellStyle name="쉼표 [0] 6 8 3 4" xfId="5151"/>
    <cellStyle name="쉼표 [0] 6 8 4" xfId="1463"/>
    <cellStyle name="쉼표 [0] 6 8 4 2" xfId="3658"/>
    <cellStyle name="쉼표 [0] 6 8 4 2 2" xfId="8101"/>
    <cellStyle name="쉼표 [0] 6 8 4 3" xfId="5906"/>
    <cellStyle name="쉼표 [0] 6 8 5" xfId="2572"/>
    <cellStyle name="쉼표 [0] 6 8 5 2" xfId="7015"/>
    <cellStyle name="쉼표 [0] 6 8 6" xfId="4818"/>
    <cellStyle name="쉼표 [0] 6 9" xfId="857"/>
    <cellStyle name="쉼표 [0] 6 9 2" xfId="1948"/>
    <cellStyle name="쉼표 [0] 6 9 2 2" xfId="4143"/>
    <cellStyle name="쉼표 [0] 6 9 2 2 2" xfId="8586"/>
    <cellStyle name="쉼표 [0] 6 9 2 3" xfId="6391"/>
    <cellStyle name="쉼표 [0] 6 9 3" xfId="3057"/>
    <cellStyle name="쉼표 [0] 6 9 3 2" xfId="7500"/>
    <cellStyle name="쉼표 [0] 6 9 4" xfId="5303"/>
    <cellStyle name="쉼표 [0] 60" xfId="2374"/>
    <cellStyle name="쉼표 [0] 60 2" xfId="6817"/>
    <cellStyle name="쉼표 [0] 61" xfId="4571"/>
    <cellStyle name="쉼표 [0] 61 2" xfId="9014"/>
    <cellStyle name="쉼표 [0] 62" xfId="4573"/>
    <cellStyle name="쉼표 [0] 62 2" xfId="9016"/>
    <cellStyle name="쉼표 [0] 63" xfId="4579"/>
    <cellStyle name="쉼표 [0] 63 2" xfId="9022"/>
    <cellStyle name="쉼표 [0] 64" xfId="4583"/>
    <cellStyle name="쉼표 [0] 65" xfId="7"/>
    <cellStyle name="쉼표 [0] 66" xfId="10899"/>
    <cellStyle name="쉼표 [0] 7" xfId="19"/>
    <cellStyle name="쉼표 [0] 7 2" xfId="279"/>
    <cellStyle name="쉼표 [0] 7 3" xfId="32"/>
    <cellStyle name="쉼표 [0] 7 3 2" xfId="383"/>
    <cellStyle name="쉼표 [0] 7 3 2 2" xfId="1011"/>
    <cellStyle name="쉼표 [0] 7 3 2 2 2" xfId="2102"/>
    <cellStyle name="쉼표 [0] 7 3 2 2 2 2" xfId="4297"/>
    <cellStyle name="쉼표 [0] 7 3 2 2 2 2 2" xfId="8740"/>
    <cellStyle name="쉼표 [0] 7 3 2 2 2 3" xfId="6545"/>
    <cellStyle name="쉼표 [0] 7 3 2 2 3" xfId="3211"/>
    <cellStyle name="쉼표 [0] 7 3 2 2 3 2" xfId="7654"/>
    <cellStyle name="쉼표 [0] 7 3 2 2 4" xfId="5457"/>
    <cellStyle name="쉼표 [0] 7 3 2 3" xfId="716"/>
    <cellStyle name="쉼표 [0] 7 3 2 3 2" xfId="1807"/>
    <cellStyle name="쉼표 [0] 7 3 2 3 2 2" xfId="4002"/>
    <cellStyle name="쉼표 [0] 7 3 2 3 2 2 2" xfId="8445"/>
    <cellStyle name="쉼표 [0] 7 3 2 3 2 3" xfId="6250"/>
    <cellStyle name="쉼표 [0] 7 3 2 3 3" xfId="2916"/>
    <cellStyle name="쉼표 [0] 7 3 2 3 3 2" xfId="7359"/>
    <cellStyle name="쉼표 [0] 7 3 2 3 4" xfId="5162"/>
    <cellStyle name="쉼표 [0] 7 3 2 4" xfId="1474"/>
    <cellStyle name="쉼표 [0] 7 3 2 4 2" xfId="3669"/>
    <cellStyle name="쉼표 [0] 7 3 2 4 2 2" xfId="8112"/>
    <cellStyle name="쉼표 [0] 7 3 2 4 3" xfId="5917"/>
    <cellStyle name="쉼표 [0] 7 3 2 5" xfId="2583"/>
    <cellStyle name="쉼표 [0] 7 3 2 5 2" xfId="7026"/>
    <cellStyle name="쉼표 [0] 7 3 2 6" xfId="4829"/>
    <cellStyle name="쉼표 [0] 7 3 3" xfId="868"/>
    <cellStyle name="쉼표 [0] 7 3 3 2" xfId="1959"/>
    <cellStyle name="쉼표 [0] 7 3 3 2 2" xfId="4154"/>
    <cellStyle name="쉼표 [0] 7 3 3 2 2 2" xfId="8597"/>
    <cellStyle name="쉼표 [0] 7 3 3 2 3" xfId="6402"/>
    <cellStyle name="쉼표 [0] 7 3 3 3" xfId="3068"/>
    <cellStyle name="쉼표 [0] 7 3 3 3 2" xfId="7511"/>
    <cellStyle name="쉼표 [0] 7 3 3 4" xfId="5314"/>
    <cellStyle name="쉼표 [0] 7 3 4" xfId="570"/>
    <cellStyle name="쉼표 [0] 7 3 4 2" xfId="1661"/>
    <cellStyle name="쉼표 [0] 7 3 4 2 2" xfId="3856"/>
    <cellStyle name="쉼표 [0] 7 3 4 2 2 2" xfId="8299"/>
    <cellStyle name="쉼표 [0] 7 3 4 2 3" xfId="6104"/>
    <cellStyle name="쉼표 [0] 7 3 4 3" xfId="2770"/>
    <cellStyle name="쉼표 [0] 7 3 4 3 2" xfId="7213"/>
    <cellStyle name="쉼표 [0] 7 3 4 4" xfId="5016"/>
    <cellStyle name="쉼표 [0] 7 3 5" xfId="1283"/>
    <cellStyle name="쉼표 [0] 7 3 5 2" xfId="3479"/>
    <cellStyle name="쉼표 [0] 7 3 5 2 2" xfId="7922"/>
    <cellStyle name="쉼표 [0] 7 3 5 3" xfId="5727"/>
    <cellStyle name="쉼표 [0] 7 3 6" xfId="2393"/>
    <cellStyle name="쉼표 [0] 7 3 6 2" xfId="6836"/>
    <cellStyle name="쉼표 [0] 7 3 7" xfId="4602"/>
    <cellStyle name="쉼표 [0] 7 4" xfId="374"/>
    <cellStyle name="쉼표 [0] 7 4 2" xfId="1002"/>
    <cellStyle name="쉼표 [0] 7 4 2 2" xfId="2093"/>
    <cellStyle name="쉼표 [0] 7 4 2 2 2" xfId="4288"/>
    <cellStyle name="쉼표 [0] 7 4 2 2 2 2" xfId="8731"/>
    <cellStyle name="쉼표 [0] 7 4 2 2 3" xfId="6536"/>
    <cellStyle name="쉼표 [0] 7 4 2 3" xfId="3202"/>
    <cellStyle name="쉼표 [0] 7 4 2 3 2" xfId="7645"/>
    <cellStyle name="쉼표 [0] 7 4 2 4" xfId="5448"/>
    <cellStyle name="쉼표 [0] 7 4 3" xfId="707"/>
    <cellStyle name="쉼표 [0] 7 4 3 2" xfId="1798"/>
    <cellStyle name="쉼표 [0] 7 4 3 2 2" xfId="3993"/>
    <cellStyle name="쉼표 [0] 7 4 3 2 2 2" xfId="8436"/>
    <cellStyle name="쉼표 [0] 7 4 3 2 3" xfId="6241"/>
    <cellStyle name="쉼표 [0] 7 4 3 3" xfId="2907"/>
    <cellStyle name="쉼표 [0] 7 4 3 3 2" xfId="7350"/>
    <cellStyle name="쉼표 [0] 7 4 3 4" xfId="5153"/>
    <cellStyle name="쉼표 [0] 7 4 4" xfId="1465"/>
    <cellStyle name="쉼표 [0] 7 4 4 2" xfId="3660"/>
    <cellStyle name="쉼표 [0] 7 4 4 2 2" xfId="8103"/>
    <cellStyle name="쉼표 [0] 7 4 4 3" xfId="5908"/>
    <cellStyle name="쉼표 [0] 7 4 5" xfId="2574"/>
    <cellStyle name="쉼표 [0] 7 4 5 2" xfId="7017"/>
    <cellStyle name="쉼표 [0] 7 4 6" xfId="4820"/>
    <cellStyle name="쉼표 [0] 7 5" xfId="859"/>
    <cellStyle name="쉼표 [0] 7 5 2" xfId="1950"/>
    <cellStyle name="쉼표 [0] 7 5 2 2" xfId="4145"/>
    <cellStyle name="쉼표 [0] 7 5 2 2 2" xfId="8588"/>
    <cellStyle name="쉼표 [0] 7 5 2 3" xfId="6393"/>
    <cellStyle name="쉼표 [0] 7 5 3" xfId="3059"/>
    <cellStyle name="쉼표 [0] 7 5 3 2" xfId="7502"/>
    <cellStyle name="쉼표 [0] 7 5 4" xfId="5305"/>
    <cellStyle name="쉼표 [0] 7 6" xfId="561"/>
    <cellStyle name="쉼표 [0] 7 6 2" xfId="1652"/>
    <cellStyle name="쉼표 [0] 7 6 2 2" xfId="3847"/>
    <cellStyle name="쉼표 [0] 7 6 2 2 2" xfId="8290"/>
    <cellStyle name="쉼표 [0] 7 6 2 3" xfId="6095"/>
    <cellStyle name="쉼표 [0] 7 6 3" xfId="2761"/>
    <cellStyle name="쉼표 [0] 7 6 3 2" xfId="7204"/>
    <cellStyle name="쉼표 [0] 7 6 4" xfId="5007"/>
    <cellStyle name="쉼표 [0] 7 7" xfId="1273"/>
    <cellStyle name="쉼표 [0] 7 7 2" xfId="3470"/>
    <cellStyle name="쉼표 [0] 7 7 2 2" xfId="7913"/>
    <cellStyle name="쉼표 [0] 7 7 3" xfId="5717"/>
    <cellStyle name="쉼표 [0] 7 8" xfId="2384"/>
    <cellStyle name="쉼표 [0] 7 8 2" xfId="6827"/>
    <cellStyle name="쉼표 [0] 7 9" xfId="4593"/>
    <cellStyle name="쉼표 [0] 8" xfId="21"/>
    <cellStyle name="쉼표 [0] 8 2" xfId="87"/>
    <cellStyle name="쉼표 [0] 8 3" xfId="376"/>
    <cellStyle name="쉼표 [0] 8 3 2" xfId="1004"/>
    <cellStyle name="쉼표 [0] 8 3 2 2" xfId="2095"/>
    <cellStyle name="쉼표 [0] 8 3 2 2 2" xfId="4290"/>
    <cellStyle name="쉼표 [0] 8 3 2 2 2 2" xfId="8733"/>
    <cellStyle name="쉼표 [0] 8 3 2 2 3" xfId="6538"/>
    <cellStyle name="쉼표 [0] 8 3 2 3" xfId="3204"/>
    <cellStyle name="쉼표 [0] 8 3 2 3 2" xfId="7647"/>
    <cellStyle name="쉼표 [0] 8 3 2 4" xfId="5450"/>
    <cellStyle name="쉼표 [0] 8 3 3" xfId="709"/>
    <cellStyle name="쉼표 [0] 8 3 3 2" xfId="1800"/>
    <cellStyle name="쉼표 [0] 8 3 3 2 2" xfId="3995"/>
    <cellStyle name="쉼표 [0] 8 3 3 2 2 2" xfId="8438"/>
    <cellStyle name="쉼표 [0] 8 3 3 2 3" xfId="6243"/>
    <cellStyle name="쉼표 [0] 8 3 3 3" xfId="2909"/>
    <cellStyle name="쉼표 [0] 8 3 3 3 2" xfId="7352"/>
    <cellStyle name="쉼표 [0] 8 3 3 4" xfId="5155"/>
    <cellStyle name="쉼표 [0] 8 3 4" xfId="1467"/>
    <cellStyle name="쉼표 [0] 8 3 4 2" xfId="3662"/>
    <cellStyle name="쉼표 [0] 8 3 4 2 2" xfId="8105"/>
    <cellStyle name="쉼표 [0] 8 3 4 3" xfId="5910"/>
    <cellStyle name="쉼표 [0] 8 3 5" xfId="2576"/>
    <cellStyle name="쉼표 [0] 8 3 5 2" xfId="7019"/>
    <cellStyle name="쉼표 [0] 8 3 6" xfId="4822"/>
    <cellStyle name="쉼표 [0] 8 4" xfId="861"/>
    <cellStyle name="쉼표 [0] 8 4 2" xfId="1952"/>
    <cellStyle name="쉼표 [0] 8 4 2 2" xfId="4147"/>
    <cellStyle name="쉼표 [0] 8 4 2 2 2" xfId="8590"/>
    <cellStyle name="쉼표 [0] 8 4 2 3" xfId="6395"/>
    <cellStyle name="쉼표 [0] 8 4 3" xfId="3061"/>
    <cellStyle name="쉼표 [0] 8 4 3 2" xfId="7504"/>
    <cellStyle name="쉼표 [0] 8 4 4" xfId="5307"/>
    <cellStyle name="쉼표 [0] 8 5" xfId="563"/>
    <cellStyle name="쉼표 [0] 8 5 2" xfId="1654"/>
    <cellStyle name="쉼표 [0] 8 5 2 2" xfId="3849"/>
    <cellStyle name="쉼표 [0] 8 5 2 2 2" xfId="8292"/>
    <cellStyle name="쉼표 [0] 8 5 2 3" xfId="6097"/>
    <cellStyle name="쉼표 [0] 8 5 3" xfId="2763"/>
    <cellStyle name="쉼표 [0] 8 5 3 2" xfId="7206"/>
    <cellStyle name="쉼표 [0] 8 5 4" xfId="5009"/>
    <cellStyle name="쉼표 [0] 8 6" xfId="1275"/>
    <cellStyle name="쉼표 [0] 8 6 2" xfId="3472"/>
    <cellStyle name="쉼표 [0] 8 6 2 2" xfId="7915"/>
    <cellStyle name="쉼표 [0] 8 6 3" xfId="5719"/>
    <cellStyle name="쉼표 [0] 8 7" xfId="2386"/>
    <cellStyle name="쉼표 [0] 8 7 2" xfId="6829"/>
    <cellStyle name="쉼표 [0] 8 8" xfId="4595"/>
    <cellStyle name="쉼표 [0] 9" xfId="80"/>
    <cellStyle name="쉼표 [0] 9 2" xfId="282"/>
    <cellStyle name="쉼표 [0] 9 3" xfId="406"/>
    <cellStyle name="쉼표 [0] 9 3 2" xfId="1034"/>
    <cellStyle name="쉼표 [0] 9 3 2 2" xfId="2125"/>
    <cellStyle name="쉼표 [0] 9 3 2 2 2" xfId="4320"/>
    <cellStyle name="쉼표 [0] 9 3 2 2 2 2" xfId="8763"/>
    <cellStyle name="쉼표 [0] 9 3 2 2 3" xfId="6568"/>
    <cellStyle name="쉼표 [0] 9 3 2 3" xfId="3234"/>
    <cellStyle name="쉼표 [0] 9 3 2 3 2" xfId="7677"/>
    <cellStyle name="쉼표 [0] 9 3 2 4" xfId="5480"/>
    <cellStyle name="쉼표 [0] 9 3 3" xfId="739"/>
    <cellStyle name="쉼표 [0] 9 3 3 2" xfId="1830"/>
    <cellStyle name="쉼표 [0] 9 3 3 2 2" xfId="4025"/>
    <cellStyle name="쉼표 [0] 9 3 3 2 2 2" xfId="8468"/>
    <cellStyle name="쉼표 [0] 9 3 3 2 3" xfId="6273"/>
    <cellStyle name="쉼표 [0] 9 3 3 3" xfId="2939"/>
    <cellStyle name="쉼표 [0] 9 3 3 3 2" xfId="7382"/>
    <cellStyle name="쉼표 [0] 9 3 3 4" xfId="5185"/>
    <cellStyle name="쉼표 [0] 9 3 4" xfId="1497"/>
    <cellStyle name="쉼표 [0] 9 3 4 2" xfId="3692"/>
    <cellStyle name="쉼표 [0] 9 3 4 2 2" xfId="8135"/>
    <cellStyle name="쉼표 [0] 9 3 4 3" xfId="5940"/>
    <cellStyle name="쉼표 [0] 9 3 5" xfId="2606"/>
    <cellStyle name="쉼표 [0] 9 3 5 2" xfId="7049"/>
    <cellStyle name="쉼표 [0] 9 3 6" xfId="4852"/>
    <cellStyle name="쉼표 [0] 9 4" xfId="892"/>
    <cellStyle name="쉼표 [0] 9 4 2" xfId="1983"/>
    <cellStyle name="쉼표 [0] 9 4 2 2" xfId="4178"/>
    <cellStyle name="쉼표 [0] 9 4 2 2 2" xfId="8621"/>
    <cellStyle name="쉼표 [0] 9 4 2 3" xfId="6426"/>
    <cellStyle name="쉼표 [0] 9 4 3" xfId="3092"/>
    <cellStyle name="쉼표 [0] 9 4 3 2" xfId="7535"/>
    <cellStyle name="쉼표 [0] 9 4 4" xfId="5338"/>
    <cellStyle name="쉼표 [0] 9 5" xfId="594"/>
    <cellStyle name="쉼표 [0] 9 5 2" xfId="1685"/>
    <cellStyle name="쉼표 [0] 9 5 2 2" xfId="3880"/>
    <cellStyle name="쉼표 [0] 9 5 2 2 2" xfId="8323"/>
    <cellStyle name="쉼표 [0] 9 5 2 3" xfId="6128"/>
    <cellStyle name="쉼표 [0] 9 5 3" xfId="2794"/>
    <cellStyle name="쉼표 [0] 9 5 3 2" xfId="7237"/>
    <cellStyle name="쉼표 [0] 9 5 4" xfId="5040"/>
    <cellStyle name="쉼표 [0] 9 6" xfId="1308"/>
    <cellStyle name="쉼표 [0] 9 6 2" xfId="3503"/>
    <cellStyle name="쉼표 [0] 9 6 2 2" xfId="7946"/>
    <cellStyle name="쉼표 [0] 9 6 3" xfId="5751"/>
    <cellStyle name="쉼표 [0] 9 7" xfId="2417"/>
    <cellStyle name="쉼표 [0] 9 7 2" xfId="6860"/>
    <cellStyle name="쉼표 [0] 9 8" xfId="4632"/>
    <cellStyle name="스타일 1" xfId="132"/>
    <cellStyle name="연결된 셀 2" xfId="267"/>
    <cellStyle name="요약" xfId="6" builtinId="25"/>
    <cellStyle name="요약 2" xfId="268"/>
    <cellStyle name="요약 2 2" xfId="465"/>
    <cellStyle name="요약 2 2 2" xfId="1196"/>
    <cellStyle name="요약 2 2 2 2" xfId="2287"/>
    <cellStyle name="요약 2 2 2 2 2" xfId="4482"/>
    <cellStyle name="요약 2 2 2 2 2 2" xfId="8925"/>
    <cellStyle name="요약 2 2 2 2 2 3" xfId="10576"/>
    <cellStyle name="요약 2 2 2 2 2 4" xfId="10765"/>
    <cellStyle name="요약 2 2 2 2 2 5" xfId="10866"/>
    <cellStyle name="요약 2 2 2 2 3" xfId="6730"/>
    <cellStyle name="요약 2 2 2 2 4" xfId="9693"/>
    <cellStyle name="요약 2 2 2 2 5" xfId="10262"/>
    <cellStyle name="요약 2 2 2 2 6" xfId="10021"/>
    <cellStyle name="요약 2 2 2 3" xfId="3396"/>
    <cellStyle name="요약 2 2 2 3 2" xfId="7839"/>
    <cellStyle name="요약 2 2 2 3 3" xfId="10143"/>
    <cellStyle name="요약 2 2 2 3 4" xfId="9818"/>
    <cellStyle name="요약 2 2 2 3 5" xfId="9089"/>
    <cellStyle name="요약 2 2 2 4" xfId="5642"/>
    <cellStyle name="요약 2 2 2 5" xfId="10456"/>
    <cellStyle name="요약 2 2 3" xfId="1137"/>
    <cellStyle name="요약 2 2 3 2" xfId="2228"/>
    <cellStyle name="요약 2 2 3 2 2" xfId="4423"/>
    <cellStyle name="요약 2 2 3 2 2 2" xfId="8866"/>
    <cellStyle name="요약 2 2 3 2 2 3" xfId="10517"/>
    <cellStyle name="요약 2 2 3 2 2 4" xfId="10706"/>
    <cellStyle name="요약 2 2 3 2 2 5" xfId="10807"/>
    <cellStyle name="요약 2 2 3 2 3" xfId="6671"/>
    <cellStyle name="요약 2 2 3 2 4" xfId="9635"/>
    <cellStyle name="요약 2 2 3 2 5" xfId="9955"/>
    <cellStyle name="요약 2 2 3 2 6" xfId="9303"/>
    <cellStyle name="요약 2 2 3 3" xfId="3337"/>
    <cellStyle name="요약 2 2 3 3 2" xfId="7780"/>
    <cellStyle name="요약 2 2 3 3 3" xfId="10084"/>
    <cellStyle name="요약 2 2 3 3 4" xfId="9975"/>
    <cellStyle name="요약 2 2 3 3 5" xfId="10177"/>
    <cellStyle name="요약 2 2 3 4" xfId="5583"/>
    <cellStyle name="요약 2 2 3 5" xfId="10455"/>
    <cellStyle name="요약 2 2 4" xfId="1556"/>
    <cellStyle name="요약 2 2 4 2" xfId="3751"/>
    <cellStyle name="요약 2 2 4 2 2" xfId="8194"/>
    <cellStyle name="요약 2 2 4 2 3" xfId="10332"/>
    <cellStyle name="요약 2 2 4 2 4" xfId="10496"/>
    <cellStyle name="요약 2 2 4 2 5" xfId="9154"/>
    <cellStyle name="요약 2 2 4 3" xfId="5999"/>
    <cellStyle name="요약 2 2 4 4" xfId="9452"/>
    <cellStyle name="요약 2 2 4 5" xfId="4668"/>
    <cellStyle name="요약 2 2 4 6" xfId="4672"/>
    <cellStyle name="요약 2 2 5" xfId="2665"/>
    <cellStyle name="요약 2 2 5 2" xfId="7108"/>
    <cellStyle name="요약 2 2 5 3" xfId="9882"/>
    <cellStyle name="요약 2 2 5 4" xfId="10489"/>
    <cellStyle name="요약 2 2 5 5" xfId="10502"/>
    <cellStyle name="요약 2 2 6" xfId="4911"/>
    <cellStyle name="요약 2 2 7" xfId="10639"/>
    <cellStyle name="요약 2 3" xfId="1370"/>
    <cellStyle name="요약 2 3 2" xfId="3565"/>
    <cellStyle name="요약 2 3 2 2" xfId="8008"/>
    <cellStyle name="요약 2 3 2 3" xfId="10244"/>
    <cellStyle name="요약 2 3 2 4" xfId="9743"/>
    <cellStyle name="요약 2 3 2 5" xfId="10188"/>
    <cellStyle name="요약 2 3 3" xfId="5813"/>
    <cellStyle name="요약 2 3 4" xfId="9366"/>
    <cellStyle name="요약 2 3 5" xfId="9485"/>
    <cellStyle name="요약 2 3 6" xfId="9037"/>
    <cellStyle name="요약 2 4" xfId="2479"/>
    <cellStyle name="요약 2 4 2" xfId="6922"/>
    <cellStyle name="요약 2 4 3" xfId="9797"/>
    <cellStyle name="요약 2 4 4" xfId="9382"/>
    <cellStyle name="요약 2 4 5" xfId="9051"/>
    <cellStyle name="요약 2 5" xfId="4721"/>
    <cellStyle name="요약 2 6" xfId="10028"/>
    <cellStyle name="입력 2" xfId="269"/>
    <cellStyle name="입력 2 2" xfId="466"/>
    <cellStyle name="입력 2 2 2" xfId="1197"/>
    <cellStyle name="입력 2 2 2 2" xfId="2288"/>
    <cellStyle name="입력 2 2 2 2 2" xfId="4483"/>
    <cellStyle name="입력 2 2 2 2 2 2" xfId="8926"/>
    <cellStyle name="입력 2 2 2 2 2 3" xfId="10577"/>
    <cellStyle name="입력 2 2 2 2 2 4" xfId="10766"/>
    <cellStyle name="입력 2 2 2 2 2 5" xfId="10867"/>
    <cellStyle name="입력 2 2 2 2 3" xfId="6731"/>
    <cellStyle name="입력 2 2 2 2 4" xfId="9694"/>
    <cellStyle name="입력 2 2 2 2 5" xfId="9385"/>
    <cellStyle name="입력 2 2 2 2 6" xfId="9479"/>
    <cellStyle name="입력 2 2 2 3" xfId="3397"/>
    <cellStyle name="입력 2 2 2 3 2" xfId="7840"/>
    <cellStyle name="입력 2 2 2 3 3" xfId="10144"/>
    <cellStyle name="입력 2 2 2 3 4" xfId="10263"/>
    <cellStyle name="입력 2 2 2 3 5" xfId="10463"/>
    <cellStyle name="입력 2 2 2 4" xfId="5643"/>
    <cellStyle name="입력 2 2 2 5" xfId="9959"/>
    <cellStyle name="입력 2 2 3" xfId="1140"/>
    <cellStyle name="입력 2 2 3 2" xfId="2231"/>
    <cellStyle name="입력 2 2 3 2 2" xfId="4426"/>
    <cellStyle name="입력 2 2 3 2 2 2" xfId="8869"/>
    <cellStyle name="입력 2 2 3 2 2 3" xfId="10520"/>
    <cellStyle name="입력 2 2 3 2 2 4" xfId="10709"/>
    <cellStyle name="입력 2 2 3 2 2 5" xfId="10810"/>
    <cellStyle name="입력 2 2 3 2 3" xfId="6674"/>
    <cellStyle name="입력 2 2 3 2 4" xfId="9638"/>
    <cellStyle name="입력 2 2 3 2 5" xfId="9158"/>
    <cellStyle name="입력 2 2 3 2 6" xfId="10472"/>
    <cellStyle name="입력 2 2 3 3" xfId="3340"/>
    <cellStyle name="입력 2 2 3 3 2" xfId="7783"/>
    <cellStyle name="입력 2 2 3 3 3" xfId="10087"/>
    <cellStyle name="입력 2 2 3 3 4" xfId="9175"/>
    <cellStyle name="입력 2 2 3 3 5" xfId="9276"/>
    <cellStyle name="입력 2 2 3 4" xfId="5586"/>
    <cellStyle name="입력 2 2 3 5" xfId="9965"/>
    <cellStyle name="입력 2 2 4" xfId="1557"/>
    <cellStyle name="입력 2 2 4 2" xfId="3752"/>
    <cellStyle name="입력 2 2 4 2 2" xfId="8195"/>
    <cellStyle name="입력 2 2 4 2 3" xfId="10333"/>
    <cellStyle name="입력 2 2 4 2 4" xfId="9615"/>
    <cellStyle name="입력 2 2 4 2 5" xfId="10691"/>
    <cellStyle name="입력 2 2 4 3" xfId="6000"/>
    <cellStyle name="입력 2 2 4 4" xfId="9453"/>
    <cellStyle name="입력 2 2 4 5" xfId="10616"/>
    <cellStyle name="입력 2 2 4 6" xfId="9028"/>
    <cellStyle name="입력 2 2 5" xfId="2666"/>
    <cellStyle name="입력 2 2 5 2" xfId="7109"/>
    <cellStyle name="입력 2 2 5 3" xfId="9883"/>
    <cellStyle name="입력 2 2 5 4" xfId="9609"/>
    <cellStyle name="입력 2 2 5 5" xfId="10685"/>
    <cellStyle name="입력 2 2 6" xfId="4912"/>
    <cellStyle name="입력 2 2 7" xfId="9477"/>
    <cellStyle name="입력 2 3" xfId="1371"/>
    <cellStyle name="입력 2 3 2" xfId="3566"/>
    <cellStyle name="입력 2 3 2 2" xfId="8009"/>
    <cellStyle name="입력 2 3 2 3" xfId="10245"/>
    <cellStyle name="입력 2 3 2 4" xfId="10191"/>
    <cellStyle name="입력 2 3 2 5" xfId="9623"/>
    <cellStyle name="입력 2 3 3" xfId="5814"/>
    <cellStyle name="입력 2 3 4" xfId="9367"/>
    <cellStyle name="입력 2 3 5" xfId="9122"/>
    <cellStyle name="입력 2 3 6" xfId="10586"/>
    <cellStyle name="입력 2 4" xfId="2480"/>
    <cellStyle name="입력 2 4 2" xfId="6923"/>
    <cellStyle name="입력 2 4 3" xfId="9798"/>
    <cellStyle name="입력 2 4 4" xfId="9938"/>
    <cellStyle name="입력 2 4 5" xfId="10623"/>
    <cellStyle name="입력 2 5" xfId="4722"/>
    <cellStyle name="입력 2 6" xfId="9111"/>
    <cellStyle name="자리수" xfId="133"/>
    <cellStyle name="자리수0" xfId="134"/>
    <cellStyle name="제목 1 2" xfId="270"/>
    <cellStyle name="제목 2 2" xfId="271"/>
    <cellStyle name="제목 3 2" xfId="272"/>
    <cellStyle name="제목 4 2" xfId="273"/>
    <cellStyle name="좋음 2" xfId="274"/>
    <cellStyle name="출력 2" xfId="275"/>
    <cellStyle name="출력 2 2" xfId="467"/>
    <cellStyle name="출력 2 2 2" xfId="1198"/>
    <cellStyle name="출력 2 2 2 2" xfId="2289"/>
    <cellStyle name="출력 2 2 2 2 2" xfId="4484"/>
    <cellStyle name="출력 2 2 2 2 2 2" xfId="8927"/>
    <cellStyle name="출력 2 2 2 2 2 3" xfId="10578"/>
    <cellStyle name="출력 2 2 2 2 2 4" xfId="10767"/>
    <cellStyle name="출력 2 2 2 2 2 5" xfId="10868"/>
    <cellStyle name="출력 2 2 2 2 3" xfId="6732"/>
    <cellStyle name="출력 2 2 2 2 4" xfId="9695"/>
    <cellStyle name="출력 2 2 2 2 5" xfId="9941"/>
    <cellStyle name="출력 2 2 2 2 6" xfId="9121"/>
    <cellStyle name="출력 2 2 2 3" xfId="3398"/>
    <cellStyle name="출력 2 2 2 3 2" xfId="7841"/>
    <cellStyle name="출력 2 2 2 3 3" xfId="10145"/>
    <cellStyle name="출력 2 2 2 3 4" xfId="9386"/>
    <cellStyle name="출력 2 2 2 3 5" xfId="9115"/>
    <cellStyle name="출력 2 2 2 4" xfId="5644"/>
    <cellStyle name="출력 2 2 2 5" xfId="9186"/>
    <cellStyle name="출력 2 2 3" xfId="1213"/>
    <cellStyle name="출력 2 2 3 2" xfId="2304"/>
    <cellStyle name="출력 2 2 3 2 2" xfId="4499"/>
    <cellStyle name="출력 2 2 3 2 2 2" xfId="8942"/>
    <cellStyle name="출력 2 2 3 2 2 3" xfId="10588"/>
    <cellStyle name="출력 2 2 3 2 2 4" xfId="10774"/>
    <cellStyle name="출력 2 2 3 2 2 5" xfId="10874"/>
    <cellStyle name="출력 2 2 3 2 3" xfId="6747"/>
    <cellStyle name="출력 2 2 3 2 4" xfId="9703"/>
    <cellStyle name="출력 2 2 3 2 5" xfId="10072"/>
    <cellStyle name="출력 2 2 3 2 6" xfId="9739"/>
    <cellStyle name="출력 2 2 3 3" xfId="3413"/>
    <cellStyle name="출력 2 2 3 3 2" xfId="7856"/>
    <cellStyle name="출력 2 2 3 3 3" xfId="10151"/>
    <cellStyle name="출력 2 2 3 3 4" xfId="9190"/>
    <cellStyle name="출력 2 2 3 3 5" xfId="9258"/>
    <cellStyle name="출력 2 2 3 4" xfId="5659"/>
    <cellStyle name="출력 2 2 3 5" xfId="10647"/>
    <cellStyle name="출력 2 2 4" xfId="1558"/>
    <cellStyle name="출력 2 2 4 2" xfId="3753"/>
    <cellStyle name="출력 2 2 4 2 2" xfId="8196"/>
    <cellStyle name="출력 2 2 4 2 3" xfId="10334"/>
    <cellStyle name="출력 2 2 4 2 4" xfId="9257"/>
    <cellStyle name="출력 2 2 4 2 5" xfId="10414"/>
    <cellStyle name="출력 2 2 4 3" xfId="6001"/>
    <cellStyle name="출력 2 2 4 4" xfId="9454"/>
    <cellStyle name="출력 2 2 4 5" xfId="9731"/>
    <cellStyle name="출력 2 2 4 6" xfId="10799"/>
    <cellStyle name="출력 2 2 5" xfId="2667"/>
    <cellStyle name="출력 2 2 5 2" xfId="7110"/>
    <cellStyle name="출력 2 2 5 3" xfId="9884"/>
    <cellStyle name="출력 2 2 5 4" xfId="9245"/>
    <cellStyle name="출력 2 2 5 5" xfId="10426"/>
    <cellStyle name="출력 2 2 6" xfId="4913"/>
    <cellStyle name="출력 2 2 7" xfId="9564"/>
    <cellStyle name="출력 2 3" xfId="1372"/>
    <cellStyle name="출력 2 3 2" xfId="3567"/>
    <cellStyle name="출력 2 3 2 2" xfId="8010"/>
    <cellStyle name="출력 2 3 2 3" xfId="10246"/>
    <cellStyle name="출력 2 3 2 4" xfId="9312"/>
    <cellStyle name="출력 2 3 2 5" xfId="10040"/>
    <cellStyle name="출력 2 3 3" xfId="5815"/>
    <cellStyle name="출력 2 3 4" xfId="9368"/>
    <cellStyle name="출력 2 3 5" xfId="10001"/>
    <cellStyle name="출력 2 3 6" xfId="10055"/>
    <cellStyle name="출력 2 4" xfId="2481"/>
    <cellStyle name="출력 2 4 2" xfId="6924"/>
    <cellStyle name="출력 2 4 3" xfId="9799"/>
    <cellStyle name="출력 2 4 4" xfId="9153"/>
    <cellStyle name="출력 2 5" xfId="4725"/>
    <cellStyle name="출력 2 6" xfId="9065"/>
    <cellStyle name="콤마 [0]" xfId="135"/>
    <cellStyle name="콤마_(type)총괄" xfId="136"/>
    <cellStyle name="통화 [0] 2" xfId="4574"/>
    <cellStyle name="통화 [0] 2 2" xfId="9017"/>
    <cellStyle name="퍼센트" xfId="137"/>
    <cellStyle name="표준" xfId="0" builtinId="0"/>
    <cellStyle name="표준 10" xfId="49"/>
    <cellStyle name="표준 11" xfId="50"/>
    <cellStyle name="표준 12" xfId="41"/>
    <cellStyle name="표준 13" xfId="51"/>
    <cellStyle name="표준 14" xfId="79"/>
    <cellStyle name="표준 15" xfId="188"/>
    <cellStyle name="표준 16" xfId="283"/>
    <cellStyle name="표준 2" xfId="2"/>
    <cellStyle name="표준 2 10" xfId="138"/>
    <cellStyle name="표준 2 11" xfId="139"/>
    <cellStyle name="표준 2 12" xfId="140"/>
    <cellStyle name="표준 2 13" xfId="141"/>
    <cellStyle name="표준 2 14" xfId="142"/>
    <cellStyle name="표준 2 15" xfId="143"/>
    <cellStyle name="표준 2 16" xfId="144"/>
    <cellStyle name="표준 2 17" xfId="145"/>
    <cellStyle name="표준 2 18" xfId="146"/>
    <cellStyle name="표준 2 19" xfId="147"/>
    <cellStyle name="표준 2 2" xfId="25"/>
    <cellStyle name="표준 2 2 2" xfId="38"/>
    <cellStyle name="표준 2 2 3" xfId="73"/>
    <cellStyle name="표준 2 20" xfId="148"/>
    <cellStyle name="표준 2 21" xfId="149"/>
    <cellStyle name="표준 2 22" xfId="150"/>
    <cellStyle name="표준 2 23" xfId="151"/>
    <cellStyle name="표준 2 24" xfId="152"/>
    <cellStyle name="표준 2 25" xfId="153"/>
    <cellStyle name="표준 2 26" xfId="154"/>
    <cellStyle name="표준 2 27" xfId="155"/>
    <cellStyle name="표준 2 28" xfId="156"/>
    <cellStyle name="표준 2 29" xfId="281"/>
    <cellStyle name="표준 2 3" xfId="54"/>
    <cellStyle name="표준 2 30" xfId="1242"/>
    <cellStyle name="표준 2 31" xfId="1278"/>
    <cellStyle name="표준 2 32" xfId="24"/>
    <cellStyle name="표준 2 4" xfId="64"/>
    <cellStyle name="표준 2 5" xfId="61"/>
    <cellStyle name="표준 2 6" xfId="76"/>
    <cellStyle name="표준 2 7" xfId="77"/>
    <cellStyle name="표준 2 8" xfId="82"/>
    <cellStyle name="표준 2 9" xfId="157"/>
    <cellStyle name="표준 3" xfId="37"/>
    <cellStyle name="표준 3 10" xfId="158"/>
    <cellStyle name="표준 3 11" xfId="159"/>
    <cellStyle name="표준 3 12" xfId="160"/>
    <cellStyle name="표준 3 13" xfId="161"/>
    <cellStyle name="표준 3 14" xfId="162"/>
    <cellStyle name="표준 3 15" xfId="163"/>
    <cellStyle name="표준 3 16" xfId="164"/>
    <cellStyle name="표준 3 17" xfId="165"/>
    <cellStyle name="표준 3 18" xfId="166"/>
    <cellStyle name="표준 3 19" xfId="167"/>
    <cellStyle name="표준 3 2" xfId="168"/>
    <cellStyle name="표준 3 20" xfId="169"/>
    <cellStyle name="표준 3 21" xfId="170"/>
    <cellStyle name="표준 3 22" xfId="171"/>
    <cellStyle name="표준 3 23" xfId="172"/>
    <cellStyle name="표준 3 24" xfId="173"/>
    <cellStyle name="표준 3 25" xfId="174"/>
    <cellStyle name="표준 3 26" xfId="175"/>
    <cellStyle name="표준 3 27" xfId="176"/>
    <cellStyle name="표준 3 28" xfId="1245"/>
    <cellStyle name="표준 3 29" xfId="1286"/>
    <cellStyle name="표준 3 3" xfId="177"/>
    <cellStyle name="표준 3 4" xfId="178"/>
    <cellStyle name="표준 3 5" xfId="179"/>
    <cellStyle name="표준 3 6" xfId="180"/>
    <cellStyle name="표준 3 7" xfId="181"/>
    <cellStyle name="표준 3 8" xfId="182"/>
    <cellStyle name="표준 3 9" xfId="183"/>
    <cellStyle name="표준 4" xfId="71"/>
    <cellStyle name="표준 5" xfId="26"/>
    <cellStyle name="표준 6" xfId="27"/>
    <cellStyle name="표준 6 2" xfId="52"/>
    <cellStyle name="표준 6 3" xfId="75"/>
    <cellStyle name="표준 7" xfId="34"/>
    <cellStyle name="표준 8" xfId="35"/>
    <cellStyle name="표준 8 3" xfId="184"/>
    <cellStyle name="표준 9" xfId="9"/>
    <cellStyle name="표준 9 2" xfId="280"/>
    <cellStyle name="표준 9 3" xfId="86"/>
    <cellStyle name="합산" xfId="185"/>
    <cellStyle name="화폐기호" xfId="186"/>
    <cellStyle name="화폐기호0" xfId="18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b="1"/>
              <a:t>월별</a:t>
            </a:r>
            <a:r>
              <a:rPr lang="ko-KR" altLang="en-US" b="1" baseline="0"/>
              <a:t> </a:t>
            </a:r>
            <a:r>
              <a:rPr lang="ko-KR" altLang="en-US" b="1"/>
              <a:t>소각량 </a:t>
            </a:r>
            <a:r>
              <a:rPr lang="en-US" altLang="ko-KR" b="1"/>
              <a:t>(</a:t>
            </a:r>
            <a:r>
              <a:rPr lang="ko-KR" altLang="en-US" b="1"/>
              <a:t>톤</a:t>
            </a:r>
            <a:r>
              <a:rPr lang="en-US" altLang="ko-KR" b="1"/>
              <a:t>/</a:t>
            </a:r>
            <a:r>
              <a:rPr lang="ko-KR" altLang="en-US" b="1"/>
              <a:t>월</a:t>
            </a:r>
            <a:r>
              <a:rPr lang="en-US" altLang="ko-KR" b="1"/>
              <a:t>)</a:t>
            </a:r>
            <a:endParaRPr lang="ko-KR" alt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'3-1. 월별 운영내역'!$D$4</c:f>
              <c:strCache>
                <c:ptCount val="1"/>
                <c:pt idx="0">
                  <c:v>전체 소각량(톤)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'3-1. 월별 운영내역'!$A$5:$A$16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'3-1. 월별 운영내역'!$D$5:$D$16</c:f>
              <c:numCache>
                <c:formatCode>_-* #,##0.0_-;\-* #,##0.0_-;_-* "-"_-;_-@_-</c:formatCode>
                <c:ptCount val="12"/>
                <c:pt idx="0">
                  <c:v>6019.6140000000005</c:v>
                </c:pt>
                <c:pt idx="1">
                  <c:v>6151.8</c:v>
                </c:pt>
                <c:pt idx="2">
                  <c:v>7259.1280000000015</c:v>
                </c:pt>
                <c:pt idx="3">
                  <c:v>6203.061999999999</c:v>
                </c:pt>
                <c:pt idx="4">
                  <c:v>6969.59</c:v>
                </c:pt>
                <c:pt idx="5">
                  <c:v>5220.5260000000007</c:v>
                </c:pt>
                <c:pt idx="6">
                  <c:v>5691.9120000000003</c:v>
                </c:pt>
                <c:pt idx="7">
                  <c:v>5911.8239999999996</c:v>
                </c:pt>
                <c:pt idx="8">
                  <c:v>7635.3720000000012</c:v>
                </c:pt>
                <c:pt idx="9">
                  <c:v>6771.9120000000012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49-45F7-9BC7-9784C1AA5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2801152"/>
        <c:axId val="592801480"/>
      </c:barChart>
      <c:lineChart>
        <c:grouping val="standard"/>
        <c:varyColors val="0"/>
        <c:ser>
          <c:idx val="0"/>
          <c:order val="0"/>
          <c:tx>
            <c:strRef>
              <c:f>'3-1. 월별 운영내역'!$B$4</c:f>
              <c:strCache>
                <c:ptCount val="1"/>
                <c:pt idx="0">
                  <c:v>슬러지 소각량(톤)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2.473224162944079E-2"/>
                  <c:y val="-1.47252538472905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F0-46F0-B9CC-61C574C68E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'3-1. 월별 운영내역'!$A$5:$A$16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'3-1. 월별 운영내역'!$B$5:$B$16</c:f>
              <c:numCache>
                <c:formatCode>_-* #,##0.0_-;\-* #,##0.0_-;_-* "-"_-;_-@_-</c:formatCode>
                <c:ptCount val="12"/>
                <c:pt idx="0">
                  <c:v>4365.2000000000007</c:v>
                </c:pt>
                <c:pt idx="1">
                  <c:v>4650.1000000000004</c:v>
                </c:pt>
                <c:pt idx="2">
                  <c:v>5532.6000000000013</c:v>
                </c:pt>
                <c:pt idx="3">
                  <c:v>4539.1999999999989</c:v>
                </c:pt>
                <c:pt idx="4">
                  <c:v>4940.1000000000004</c:v>
                </c:pt>
                <c:pt idx="5">
                  <c:v>3515.6000000000004</c:v>
                </c:pt>
                <c:pt idx="6">
                  <c:v>3836.1</c:v>
                </c:pt>
                <c:pt idx="7">
                  <c:v>4272</c:v>
                </c:pt>
                <c:pt idx="8">
                  <c:v>5475.4000000000015</c:v>
                </c:pt>
                <c:pt idx="9">
                  <c:v>4734.9000000000005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49-45F7-9BC7-9784C1AA599D}"/>
            </c:ext>
          </c:extLst>
        </c:ser>
        <c:ser>
          <c:idx val="1"/>
          <c:order val="1"/>
          <c:tx>
            <c:strRef>
              <c:f>'3-1. 월별 운영내역'!$C$4</c:f>
              <c:strCache>
                <c:ptCount val="1"/>
                <c:pt idx="0">
                  <c:v>SRF소각량(톤)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'3-1. 월별 운영내역'!$A$5:$A$16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'3-1. 월별 운영내역'!$C$5:$C$16</c:f>
              <c:numCache>
                <c:formatCode>_-* #,##0.0_-;\-* #,##0.0_-;_-* "-"_-;_-@_-</c:formatCode>
                <c:ptCount val="12"/>
                <c:pt idx="0">
                  <c:v>1654.414</c:v>
                </c:pt>
                <c:pt idx="1">
                  <c:v>1501.7</c:v>
                </c:pt>
                <c:pt idx="2">
                  <c:v>1726.5280000000002</c:v>
                </c:pt>
                <c:pt idx="3">
                  <c:v>1663.8620000000003</c:v>
                </c:pt>
                <c:pt idx="4">
                  <c:v>2029.4899999999993</c:v>
                </c:pt>
                <c:pt idx="5">
                  <c:v>1704.9260000000004</c:v>
                </c:pt>
                <c:pt idx="6">
                  <c:v>1855.8119999999999</c:v>
                </c:pt>
                <c:pt idx="7">
                  <c:v>1639.8239999999998</c:v>
                </c:pt>
                <c:pt idx="8">
                  <c:v>2159.9720000000002</c:v>
                </c:pt>
                <c:pt idx="9">
                  <c:v>2037.0120000000006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49-45F7-9BC7-9784C1AA599D}"/>
            </c:ext>
          </c:extLst>
        </c:ser>
        <c:ser>
          <c:idx val="3"/>
          <c:order val="3"/>
          <c:tx>
            <c:strRef>
              <c:f>'3-1. 월별 운영내역'!$H$4</c:f>
              <c:strCache>
                <c:ptCount val="1"/>
                <c:pt idx="0">
                  <c:v>가동시간(Hr)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'3-1. 월별 운영내역'!$A$5:$A$16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'3-1. 월별 운영내역'!$H$5:$H$16</c:f>
              <c:numCache>
                <c:formatCode>_-* #,##0.0_-;\-* #,##0.0_-;_-* "-"_-;_-@_-</c:formatCode>
                <c:ptCount val="12"/>
                <c:pt idx="0">
                  <c:v>569.5</c:v>
                </c:pt>
                <c:pt idx="1">
                  <c:v>563.5</c:v>
                </c:pt>
                <c:pt idx="2">
                  <c:v>623</c:v>
                </c:pt>
                <c:pt idx="3">
                  <c:v>541.70000000000005</c:v>
                </c:pt>
                <c:pt idx="4">
                  <c:v>663.5</c:v>
                </c:pt>
                <c:pt idx="5">
                  <c:v>577</c:v>
                </c:pt>
                <c:pt idx="6">
                  <c:v>622.70000000000005</c:v>
                </c:pt>
                <c:pt idx="7">
                  <c:v>598.5</c:v>
                </c:pt>
                <c:pt idx="8">
                  <c:v>707</c:v>
                </c:pt>
                <c:pt idx="9">
                  <c:v>684.5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A4-4188-AAFF-433B8EE08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2801152"/>
        <c:axId val="592801480"/>
      </c:lineChart>
      <c:catAx>
        <c:axId val="59280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92801480"/>
        <c:crosses val="autoZero"/>
        <c:auto val="1"/>
        <c:lblAlgn val="ctr"/>
        <c:lblOffset val="100"/>
        <c:noMultiLvlLbl val="0"/>
      </c:catAx>
      <c:valAx>
        <c:axId val="592801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_-;\-* #,##0.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92801152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b="1"/>
              <a:t>월별 약품 구매비용</a:t>
            </a:r>
            <a:r>
              <a:rPr lang="en-US" altLang="ko-KR" b="1"/>
              <a:t>(</a:t>
            </a:r>
            <a:r>
              <a:rPr lang="ko-KR" altLang="en-US" b="1"/>
              <a:t>원</a:t>
            </a:r>
            <a:r>
              <a:rPr lang="en-US" altLang="ko-KR" b="1"/>
              <a:t>/</a:t>
            </a:r>
            <a:r>
              <a:rPr lang="ko-KR" altLang="en-US" b="1"/>
              <a:t>월</a:t>
            </a:r>
            <a:r>
              <a:rPr lang="en-US" altLang="ko-KR" b="1"/>
              <a:t>)</a:t>
            </a:r>
            <a:endParaRPr lang="ko-KR" alt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'3-1. 월별 운영내역'!$J$21:$M$21</c:f>
              <c:strCache>
                <c:ptCount val="1"/>
                <c:pt idx="0">
                  <c:v>청관제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'3-1. 월별 운영내역'!$A$5:$A$16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'3-1. 월별 운영내역'!$L$23:$L$34</c:f>
              <c:numCache>
                <c:formatCode>_(* #,##0_);_(* \(#,##0\);_(* "-"_);_(@_)</c:formatCode>
                <c:ptCount val="12"/>
                <c:pt idx="0">
                  <c:v>2301000</c:v>
                </c:pt>
                <c:pt idx="1">
                  <c:v>3120000</c:v>
                </c:pt>
                <c:pt idx="2">
                  <c:v>2366000</c:v>
                </c:pt>
                <c:pt idx="3">
                  <c:v>2080000</c:v>
                </c:pt>
                <c:pt idx="4">
                  <c:v>2860000</c:v>
                </c:pt>
                <c:pt idx="5">
                  <c:v>2561000</c:v>
                </c:pt>
                <c:pt idx="6">
                  <c:v>2470000</c:v>
                </c:pt>
                <c:pt idx="7">
                  <c:v>2743000</c:v>
                </c:pt>
                <c:pt idx="8">
                  <c:v>2210000</c:v>
                </c:pt>
                <c:pt idx="9">
                  <c:v>3744000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43-479A-860A-AC2A89A18209}"/>
            </c:ext>
          </c:extLst>
        </c:ser>
        <c:ser>
          <c:idx val="1"/>
          <c:order val="1"/>
          <c:tx>
            <c:strRef>
              <c:f>'3-1. 월별 운영내역'!$N$21:$Q$21</c:f>
              <c:strCache>
                <c:ptCount val="1"/>
                <c:pt idx="0">
                  <c:v>활성탄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'3-1. 월별 운영내역'!$A$5:$A$16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'3-1. 월별 운영내역'!$P$23:$P$34</c:f>
              <c:numCache>
                <c:formatCode>_(* #,##0_);_(* \(#,##0\);_(* "-"_);_(@_)</c:formatCode>
                <c:ptCount val="12"/>
                <c:pt idx="0">
                  <c:v>3300000</c:v>
                </c:pt>
                <c:pt idx="1">
                  <c:v>3300000</c:v>
                </c:pt>
                <c:pt idx="2">
                  <c:v>6600000</c:v>
                </c:pt>
                <c:pt idx="3">
                  <c:v>3300000</c:v>
                </c:pt>
                <c:pt idx="4">
                  <c:v>3300000</c:v>
                </c:pt>
                <c:pt idx="5">
                  <c:v>3201000</c:v>
                </c:pt>
                <c:pt idx="6">
                  <c:v>3300000</c:v>
                </c:pt>
                <c:pt idx="7">
                  <c:v>3300000</c:v>
                </c:pt>
                <c:pt idx="8">
                  <c:v>6600000</c:v>
                </c:pt>
                <c:pt idx="9">
                  <c:v>3300000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43-479A-860A-AC2A89A18209}"/>
            </c:ext>
          </c:extLst>
        </c:ser>
        <c:ser>
          <c:idx val="2"/>
          <c:order val="2"/>
          <c:tx>
            <c:strRef>
              <c:f>'3-1. 월별 운영내역'!$B$38:$E$38</c:f>
              <c:strCache>
                <c:ptCount val="1"/>
                <c:pt idx="0">
                  <c:v>소금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'3-1. 월별 운영내역'!$A$5:$A$16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'3-1. 월별 운영내역'!$D$40:$D$51</c:f>
              <c:numCache>
                <c:formatCode>_(* #,##0_);_(* \(#,##0\);_(* "-"_);_(@_)</c:formatCode>
                <c:ptCount val="12"/>
                <c:pt idx="0">
                  <c:v>806400</c:v>
                </c:pt>
                <c:pt idx="1">
                  <c:v>604800</c:v>
                </c:pt>
                <c:pt idx="2">
                  <c:v>806400</c:v>
                </c:pt>
                <c:pt idx="3">
                  <c:v>604800</c:v>
                </c:pt>
                <c:pt idx="4">
                  <c:v>806400</c:v>
                </c:pt>
                <c:pt idx="5">
                  <c:v>806400</c:v>
                </c:pt>
                <c:pt idx="6">
                  <c:v>770700</c:v>
                </c:pt>
                <c:pt idx="7">
                  <c:v>806400</c:v>
                </c:pt>
                <c:pt idx="8">
                  <c:v>806400</c:v>
                </c:pt>
                <c:pt idx="9">
                  <c:v>1008000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43-479A-860A-AC2A89A18209}"/>
            </c:ext>
          </c:extLst>
        </c:ser>
        <c:ser>
          <c:idx val="3"/>
          <c:order val="3"/>
          <c:tx>
            <c:strRef>
              <c:f>'3-1. 월별 운영내역'!$N$38:$Q$38</c:f>
              <c:strCache>
                <c:ptCount val="1"/>
                <c:pt idx="0">
                  <c:v>규사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'3-1. 월별 운영내역'!$A$5:$A$16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'3-1. 월별 운영내역'!$P$40:$P$51</c:f>
              <c:numCache>
                <c:formatCode>_(* #,##0_);_(* \(#,##0\);_(* "-"_);_(@_)</c:formatCode>
                <c:ptCount val="12"/>
                <c:pt idx="0">
                  <c:v>0</c:v>
                </c:pt>
                <c:pt idx="1">
                  <c:v>4070150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43-479A-860A-AC2A89A18209}"/>
            </c:ext>
          </c:extLst>
        </c:ser>
        <c:ser>
          <c:idx val="4"/>
          <c:order val="4"/>
          <c:tx>
            <c:strRef>
              <c:f>'3-1. 월별 운영내역'!$B$21:$E$21</c:f>
              <c:strCache>
                <c:ptCount val="1"/>
                <c:pt idx="0">
                  <c:v>경 유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'3-1. 월별 운영내역'!$A$5:$A$16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'3-1. 월별 운영내역'!$D$23:$D$34</c:f>
              <c:numCache>
                <c:formatCode>_(* #,##0_);_(* \(#,##0\);_(* "-"_);_(@_)</c:formatCode>
                <c:ptCount val="12"/>
                <c:pt idx="0">
                  <c:v>12861927</c:v>
                </c:pt>
                <c:pt idx="1">
                  <c:v>8683636</c:v>
                </c:pt>
                <c:pt idx="2">
                  <c:v>4246364</c:v>
                </c:pt>
                <c:pt idx="3">
                  <c:v>8329091</c:v>
                </c:pt>
                <c:pt idx="4">
                  <c:v>8170910</c:v>
                </c:pt>
                <c:pt idx="5">
                  <c:v>8116364</c:v>
                </c:pt>
                <c:pt idx="6">
                  <c:v>4161818</c:v>
                </c:pt>
                <c:pt idx="7">
                  <c:v>8356362.9999999991</c:v>
                </c:pt>
                <c:pt idx="8">
                  <c:v>4167272.9999999995</c:v>
                </c:pt>
                <c:pt idx="9">
                  <c:v>4170000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EB-4001-8BA1-031080F22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5472688"/>
        <c:axId val="635464816"/>
      </c:lineChart>
      <c:catAx>
        <c:axId val="63547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35464816"/>
        <c:crosses val="autoZero"/>
        <c:auto val="1"/>
        <c:lblAlgn val="ctr"/>
        <c:lblOffset val="100"/>
        <c:noMultiLvlLbl val="0"/>
      </c:catAx>
      <c:valAx>
        <c:axId val="635464816"/>
        <c:scaling>
          <c:orientation val="minMax"/>
          <c:max val="45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3547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b="1"/>
              <a:t>월별 탄산암모늄  구매비용 </a:t>
            </a:r>
            <a:r>
              <a:rPr lang="en-US" altLang="ko-KR" b="1"/>
              <a:t>(</a:t>
            </a:r>
            <a:r>
              <a:rPr lang="ko-KR" altLang="en-US" b="1"/>
              <a:t>원</a:t>
            </a:r>
            <a:r>
              <a:rPr lang="en-US" altLang="ko-KR" b="1"/>
              <a:t>/</a:t>
            </a:r>
            <a:r>
              <a:rPr lang="ko-KR" altLang="en-US" b="1"/>
              <a:t>월</a:t>
            </a:r>
            <a:r>
              <a:rPr lang="en-US" altLang="ko-KR" b="1"/>
              <a:t>)</a:t>
            </a:r>
            <a:endParaRPr lang="ko-KR" alt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0324429853982875"/>
          <c:y val="0.1191644204851752"/>
          <c:w val="0.88453729895857358"/>
          <c:h val="0.80597512575079056"/>
        </c:manualLayout>
      </c:layout>
      <c:lineChart>
        <c:grouping val="standard"/>
        <c:varyColors val="0"/>
        <c:ser>
          <c:idx val="0"/>
          <c:order val="0"/>
          <c:tx>
            <c:strRef>
              <c:f>'3-1. 월별 운영내역'!$F$21:$I$21</c:f>
              <c:strCache>
                <c:ptCount val="1"/>
                <c:pt idx="0">
                  <c:v>탄산암모늄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'3-1. 월별 운영내역'!$A$23:$A$34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'3-1. 월별 운영내역'!$H$23:$H$34</c:f>
              <c:numCache>
                <c:formatCode>_(* #,##0_);_(* \(#,##0\);_(* "-"_);_(@_)</c:formatCode>
                <c:ptCount val="12"/>
                <c:pt idx="0">
                  <c:v>29723600</c:v>
                </c:pt>
                <c:pt idx="1">
                  <c:v>36008800</c:v>
                </c:pt>
                <c:pt idx="2">
                  <c:v>33968200</c:v>
                </c:pt>
                <c:pt idx="3">
                  <c:v>36746000</c:v>
                </c:pt>
                <c:pt idx="4">
                  <c:v>35138600</c:v>
                </c:pt>
                <c:pt idx="5">
                  <c:v>25995800</c:v>
                </c:pt>
                <c:pt idx="6">
                  <c:v>34059400</c:v>
                </c:pt>
                <c:pt idx="7">
                  <c:v>28082000</c:v>
                </c:pt>
                <c:pt idx="8">
                  <c:v>40021600</c:v>
                </c:pt>
                <c:pt idx="9">
                  <c:v>37072800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F9-4A84-B11C-EBA105221806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35439560"/>
        <c:axId val="635439888"/>
      </c:lineChart>
      <c:catAx>
        <c:axId val="635439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35439888"/>
        <c:crosses val="autoZero"/>
        <c:auto val="1"/>
        <c:lblAlgn val="ctr"/>
        <c:lblOffset val="100"/>
        <c:noMultiLvlLbl val="0"/>
      </c:catAx>
      <c:valAx>
        <c:axId val="635439888"/>
        <c:scaling>
          <c:orientation val="minMax"/>
          <c:max val="70000000"/>
          <c:min val="1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35439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b="1">
                <a:latin typeface="+mj-ea"/>
                <a:ea typeface="+mj-ea"/>
              </a:rPr>
              <a:t>월별</a:t>
            </a:r>
            <a:r>
              <a:rPr lang="ko-KR" altLang="en-US" b="1"/>
              <a:t> 스팀량</a:t>
            </a:r>
            <a:r>
              <a:rPr lang="en-US" altLang="ko-KR" b="1"/>
              <a:t>(</a:t>
            </a:r>
            <a:r>
              <a:rPr lang="ko-KR" altLang="en-US" b="1"/>
              <a:t>톤</a:t>
            </a:r>
            <a:r>
              <a:rPr lang="en-US" altLang="ko-KR" b="1"/>
              <a:t>/</a:t>
            </a:r>
            <a:r>
              <a:rPr lang="ko-KR" altLang="en-US" b="1"/>
              <a:t>월</a:t>
            </a:r>
            <a:r>
              <a:rPr lang="en-US" altLang="ko-KR" b="1"/>
              <a:t>)</a:t>
            </a:r>
            <a:endParaRPr lang="ko-KR" alt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'3-1. 월별 운영내역'!$F$4</c:f>
              <c:strCache>
                <c:ptCount val="1"/>
                <c:pt idx="0">
                  <c:v>스팀 생산량(톤)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4.4393417527745914E-2"/>
                  <c:y val="-3.75880971025841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38B-4FDA-A428-0BE1C949DF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'3-1. 월별 운영내역'!$A$5:$A$16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'3-1. 월별 운영내역'!$F$5:$F$16</c:f>
              <c:numCache>
                <c:formatCode>_-* #,##0.0_-;\-* #,##0.0_-;_-* "-"_-;_-@_-</c:formatCode>
                <c:ptCount val="12"/>
                <c:pt idx="0">
                  <c:v>11589.599999999999</c:v>
                </c:pt>
                <c:pt idx="1">
                  <c:v>11559.5</c:v>
                </c:pt>
                <c:pt idx="2">
                  <c:v>12593.4</c:v>
                </c:pt>
                <c:pt idx="3">
                  <c:v>11568.400000000001</c:v>
                </c:pt>
                <c:pt idx="4">
                  <c:v>13682.400000000001</c:v>
                </c:pt>
                <c:pt idx="5">
                  <c:v>11544.099999999999</c:v>
                </c:pt>
                <c:pt idx="6">
                  <c:v>13116.1</c:v>
                </c:pt>
                <c:pt idx="7">
                  <c:v>11997.6</c:v>
                </c:pt>
                <c:pt idx="8">
                  <c:v>15311.032400000002</c:v>
                </c:pt>
                <c:pt idx="9">
                  <c:v>14223.599999999999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E5-4F80-9143-544EACFD053B}"/>
            </c:ext>
          </c:extLst>
        </c:ser>
        <c:ser>
          <c:idx val="1"/>
          <c:order val="1"/>
          <c:tx>
            <c:strRef>
              <c:f>'3-1. 월별 운영내역'!$G$4</c:f>
              <c:strCache>
                <c:ptCount val="1"/>
                <c:pt idx="0">
                  <c:v>스팀 송기량(톤)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7455032529659394E-2"/>
                  <c:y val="-2.19263899765074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7E5-4F80-9143-544EACFD05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'3-1. 월별 운영내역'!$A$5:$A$16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'3-1. 월별 운영내역'!$G$5:$G$16</c:f>
              <c:numCache>
                <c:formatCode>_-* #,##0.0_-;\-* #,##0.0_-;_-* "-"_-;_-@_-</c:formatCode>
                <c:ptCount val="12"/>
                <c:pt idx="0">
                  <c:v>7010</c:v>
                </c:pt>
                <c:pt idx="1">
                  <c:v>8436</c:v>
                </c:pt>
                <c:pt idx="2">
                  <c:v>7646</c:v>
                </c:pt>
                <c:pt idx="3">
                  <c:v>9397</c:v>
                </c:pt>
                <c:pt idx="4">
                  <c:v>9006</c:v>
                </c:pt>
                <c:pt idx="5">
                  <c:v>7500</c:v>
                </c:pt>
                <c:pt idx="6">
                  <c:v>7993</c:v>
                </c:pt>
                <c:pt idx="7">
                  <c:v>7816</c:v>
                </c:pt>
                <c:pt idx="8">
                  <c:v>10152</c:v>
                </c:pt>
                <c:pt idx="9">
                  <c:v>9138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E5-4F80-9143-544EACFD0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9488368"/>
        <c:axId val="639493616"/>
      </c:lineChart>
      <c:catAx>
        <c:axId val="63948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39493616"/>
        <c:crosses val="autoZero"/>
        <c:auto val="1"/>
        <c:lblAlgn val="ctr"/>
        <c:lblOffset val="100"/>
        <c:noMultiLvlLbl val="0"/>
      </c:catAx>
      <c:valAx>
        <c:axId val="63949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_-;\-* #,##0.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3948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1216024</xdr:colOff>
      <xdr:row>72</xdr:row>
      <xdr:rowOff>50800</xdr:rowOff>
    </xdr:from>
    <xdr:to>
      <xdr:col>9</xdr:col>
      <xdr:colOff>546100</xdr:colOff>
      <xdr:row>94</xdr:row>
      <xdr:rowOff>38100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19050</xdr:colOff>
      <xdr:row>72</xdr:row>
      <xdr:rowOff>31750</xdr:rowOff>
    </xdr:from>
    <xdr:to>
      <xdr:col>17</xdr:col>
      <xdr:colOff>844550</xdr:colOff>
      <xdr:row>93</xdr:row>
      <xdr:rowOff>190500</xdr:rowOff>
    </xdr:to>
    <xdr:graphicFrame macro="">
      <xdr:nvGraphicFramePr>
        <xdr:cNvPr id="6" name="차트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85724</xdr:colOff>
      <xdr:row>95</xdr:row>
      <xdr:rowOff>6350</xdr:rowOff>
    </xdr:from>
    <xdr:to>
      <xdr:col>17</xdr:col>
      <xdr:colOff>869950</xdr:colOff>
      <xdr:row>116</xdr:row>
      <xdr:rowOff>184150</xdr:rowOff>
    </xdr:to>
    <xdr:graphicFrame macro="">
      <xdr:nvGraphicFramePr>
        <xdr:cNvPr id="7" name="차트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41274</xdr:colOff>
      <xdr:row>95</xdr:row>
      <xdr:rowOff>66674</xdr:rowOff>
    </xdr:from>
    <xdr:to>
      <xdr:col>9</xdr:col>
      <xdr:colOff>723899</xdr:colOff>
      <xdr:row>116</xdr:row>
      <xdr:rowOff>196850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43"/>
  <sheetViews>
    <sheetView tabSelected="1" zoomScale="90" zoomScaleNormal="90" zoomScaleSheetLayoutView="90" workbookViewId="0">
      <selection activeCell="D11" sqref="D11"/>
    </sheetView>
  </sheetViews>
  <sheetFormatPr defaultColWidth="8.625" defaultRowHeight="16.5"/>
  <cols>
    <col min="1" max="1" width="16.5" style="42" bestFit="1" customWidth="1"/>
    <col min="2" max="22" width="10.625" style="42" customWidth="1"/>
    <col min="23" max="23" width="10.75" style="42" bestFit="1" customWidth="1"/>
    <col min="24" max="24" width="9.75" style="42" bestFit="1" customWidth="1"/>
    <col min="25" max="25" width="10.75" style="42" bestFit="1" customWidth="1"/>
    <col min="26" max="26" width="9.75" style="42" bestFit="1" customWidth="1"/>
    <col min="27" max="27" width="10.75" style="42" bestFit="1" customWidth="1"/>
    <col min="28" max="29" width="8.625" style="42"/>
    <col min="30" max="30" width="9.125" style="42" bestFit="1" customWidth="1"/>
    <col min="31" max="37" width="8.625" style="42"/>
    <col min="38" max="38" width="10.125" style="42" customWidth="1"/>
    <col min="39" max="16384" width="8.625" style="42"/>
  </cols>
  <sheetData>
    <row r="1" spans="1:40" s="34" customFormat="1" ht="17.25">
      <c r="A1" s="810" t="s">
        <v>132</v>
      </c>
      <c r="B1" s="810"/>
      <c r="C1" s="810"/>
      <c r="D1" s="810"/>
      <c r="E1" s="810"/>
      <c r="F1" s="810"/>
      <c r="G1" s="810"/>
      <c r="H1" s="810"/>
      <c r="I1" s="810"/>
      <c r="J1" s="810"/>
      <c r="K1" s="810"/>
      <c r="L1" s="810"/>
      <c r="M1" s="810"/>
      <c r="N1" s="810"/>
      <c r="O1" s="810"/>
    </row>
    <row r="2" spans="1:40" s="294" customFormat="1" ht="9.9499999999999993" customHeight="1" thickBot="1">
      <c r="A2" s="293"/>
      <c r="B2" s="293"/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  <c r="N2" s="293"/>
      <c r="O2" s="293"/>
    </row>
    <row r="3" spans="1:40">
      <c r="A3" s="824" t="s">
        <v>65</v>
      </c>
      <c r="B3" s="826" t="s">
        <v>123</v>
      </c>
      <c r="C3" s="827"/>
      <c r="D3" s="828"/>
      <c r="E3" s="826" t="s">
        <v>83</v>
      </c>
      <c r="F3" s="827"/>
      <c r="G3" s="828"/>
      <c r="H3" s="826" t="s">
        <v>84</v>
      </c>
      <c r="I3" s="827"/>
      <c r="J3" s="828"/>
      <c r="K3" s="826" t="s">
        <v>85</v>
      </c>
      <c r="L3" s="827"/>
      <c r="M3" s="828"/>
      <c r="N3" s="826" t="s">
        <v>86</v>
      </c>
      <c r="O3" s="827"/>
      <c r="P3" s="828"/>
      <c r="Q3" s="826" t="s">
        <v>87</v>
      </c>
      <c r="R3" s="827"/>
      <c r="S3" s="828"/>
      <c r="T3" s="826" t="s">
        <v>88</v>
      </c>
      <c r="U3" s="827"/>
      <c r="V3" s="828"/>
      <c r="W3" s="822" t="s">
        <v>67</v>
      </c>
      <c r="X3" s="822"/>
      <c r="Y3" s="822"/>
      <c r="Z3" s="822" t="s">
        <v>68</v>
      </c>
      <c r="AA3" s="822"/>
      <c r="AB3" s="822"/>
      <c r="AC3" s="822" t="s">
        <v>69</v>
      </c>
      <c r="AD3" s="822"/>
      <c r="AE3" s="822"/>
      <c r="AF3" s="822" t="s">
        <v>70</v>
      </c>
      <c r="AG3" s="822"/>
      <c r="AH3" s="822"/>
      <c r="AI3" s="822" t="s">
        <v>71</v>
      </c>
      <c r="AJ3" s="822"/>
      <c r="AK3" s="822"/>
      <c r="AL3" s="822" t="s">
        <v>72</v>
      </c>
      <c r="AM3" s="822"/>
      <c r="AN3" s="823"/>
    </row>
    <row r="4" spans="1:40" ht="18" customHeight="1" thickBot="1">
      <c r="A4" s="825"/>
      <c r="B4" s="207" t="s">
        <v>54</v>
      </c>
      <c r="C4" s="207" t="s">
        <v>59</v>
      </c>
      <c r="D4" s="207" t="s">
        <v>66</v>
      </c>
      <c r="E4" s="207" t="s">
        <v>54</v>
      </c>
      <c r="F4" s="207" t="s">
        <v>59</v>
      </c>
      <c r="G4" s="207" t="s">
        <v>66</v>
      </c>
      <c r="H4" s="207" t="s">
        <v>54</v>
      </c>
      <c r="I4" s="207" t="s">
        <v>59</v>
      </c>
      <c r="J4" s="207" t="s">
        <v>66</v>
      </c>
      <c r="K4" s="207" t="s">
        <v>54</v>
      </c>
      <c r="L4" s="207" t="s">
        <v>59</v>
      </c>
      <c r="M4" s="207" t="s">
        <v>66</v>
      </c>
      <c r="N4" s="207" t="s">
        <v>54</v>
      </c>
      <c r="O4" s="207" t="s">
        <v>59</v>
      </c>
      <c r="P4" s="207" t="s">
        <v>66</v>
      </c>
      <c r="Q4" s="207" t="s">
        <v>54</v>
      </c>
      <c r="R4" s="207" t="s">
        <v>59</v>
      </c>
      <c r="S4" s="207" t="s">
        <v>66</v>
      </c>
      <c r="T4" s="207" t="s">
        <v>54</v>
      </c>
      <c r="U4" s="207" t="s">
        <v>59</v>
      </c>
      <c r="V4" s="207" t="s">
        <v>66</v>
      </c>
      <c r="W4" s="207" t="s">
        <v>54</v>
      </c>
      <c r="X4" s="207" t="s">
        <v>59</v>
      </c>
      <c r="Y4" s="207" t="s">
        <v>66</v>
      </c>
      <c r="Z4" s="207" t="s">
        <v>54</v>
      </c>
      <c r="AA4" s="207" t="s">
        <v>59</v>
      </c>
      <c r="AB4" s="207" t="s">
        <v>66</v>
      </c>
      <c r="AC4" s="207" t="s">
        <v>54</v>
      </c>
      <c r="AD4" s="207" t="s">
        <v>59</v>
      </c>
      <c r="AE4" s="207" t="s">
        <v>66</v>
      </c>
      <c r="AF4" s="207" t="s">
        <v>54</v>
      </c>
      <c r="AG4" s="207" t="s">
        <v>59</v>
      </c>
      <c r="AH4" s="207" t="s">
        <v>66</v>
      </c>
      <c r="AI4" s="207" t="s">
        <v>54</v>
      </c>
      <c r="AJ4" s="207" t="s">
        <v>59</v>
      </c>
      <c r="AK4" s="207" t="s">
        <v>66</v>
      </c>
      <c r="AL4" s="207" t="s">
        <v>54</v>
      </c>
      <c r="AM4" s="207" t="s">
        <v>59</v>
      </c>
      <c r="AN4" s="208" t="s">
        <v>66</v>
      </c>
    </row>
    <row r="5" spans="1:40" ht="18" customHeight="1" thickTop="1">
      <c r="A5" s="209" t="s">
        <v>56</v>
      </c>
      <c r="B5" s="210">
        <v>345</v>
      </c>
      <c r="C5" s="211">
        <v>290.9316</v>
      </c>
      <c r="D5" s="211">
        <f>C5-B5</f>
        <v>-54.068399999999997</v>
      </c>
      <c r="E5" s="210">
        <v>333.78559999999999</v>
      </c>
      <c r="F5" s="211">
        <v>287.18551600000001</v>
      </c>
      <c r="G5" s="211">
        <f>F5-E5</f>
        <v>-46.600083999999981</v>
      </c>
      <c r="H5" s="210">
        <v>293.2448</v>
      </c>
      <c r="I5" s="210">
        <v>305.132184</v>
      </c>
      <c r="J5" s="211">
        <f>I5-H5</f>
        <v>11.887383999999997</v>
      </c>
      <c r="K5" s="210">
        <v>354.05599999999998</v>
      </c>
      <c r="L5" s="210">
        <v>288.286134</v>
      </c>
      <c r="M5" s="211">
        <f>L5-K5</f>
        <v>-65.769865999999979</v>
      </c>
      <c r="N5" s="210">
        <v>293.2448</v>
      </c>
      <c r="O5" s="210">
        <v>324.712874</v>
      </c>
      <c r="P5" s="211">
        <f>O5-N5</f>
        <v>31.468074000000001</v>
      </c>
      <c r="Q5" s="210">
        <v>283.1096</v>
      </c>
      <c r="R5" s="210">
        <v>289.447316</v>
      </c>
      <c r="S5" s="211">
        <f>R5-Q5</f>
        <v>6.3377160000000003</v>
      </c>
      <c r="T5" s="210">
        <v>364.19119999999998</v>
      </c>
      <c r="U5" s="210">
        <v>314.93803600000001</v>
      </c>
      <c r="V5" s="211">
        <f>U5-T5</f>
        <v>-49.25316399999997</v>
      </c>
      <c r="W5" s="212">
        <v>364.19119999999998</v>
      </c>
      <c r="X5" s="212">
        <v>298.23334599999998</v>
      </c>
      <c r="Y5" s="213">
        <f>X5-W5</f>
        <v>-65.957853999999998</v>
      </c>
      <c r="Z5" s="212">
        <v>354.05599999999998</v>
      </c>
      <c r="AA5" s="212">
        <v>339.31496782400001</v>
      </c>
      <c r="AB5" s="213">
        <f>AA5-Z5</f>
        <v>-14.741032175999976</v>
      </c>
      <c r="AC5" s="212">
        <v>274.14319999999998</v>
      </c>
      <c r="AD5" s="212">
        <f>'3. 세부 운영내역'!AK17/10^6</f>
        <v>326.354736</v>
      </c>
      <c r="AE5" s="213">
        <f>AD5-AC5</f>
        <v>52.211536000000024</v>
      </c>
      <c r="AF5" s="212">
        <v>354.05599999999998</v>
      </c>
      <c r="AG5" s="212"/>
      <c r="AH5" s="213">
        <f>AG5-AF5</f>
        <v>-354.05599999999998</v>
      </c>
      <c r="AI5" s="212">
        <v>364.19119999999998</v>
      </c>
      <c r="AJ5" s="212"/>
      <c r="AK5" s="213">
        <f>AJ5-AI5</f>
        <v>-364.19119999999998</v>
      </c>
      <c r="AL5" s="299">
        <f t="shared" ref="AL5:AM8" si="0">SUM(B5,E5,H5,K5,N5,Q5,T5,W5,Z5,AC5,AF5,AI5)</f>
        <v>3977.2695999999996</v>
      </c>
      <c r="AM5" s="214">
        <f t="shared" si="0"/>
        <v>3064.5367098240004</v>
      </c>
      <c r="AN5" s="215">
        <f>AM5-AL5</f>
        <v>-912.73289017599927</v>
      </c>
    </row>
    <row r="6" spans="1:40" ht="18" customHeight="1">
      <c r="A6" s="175" t="s">
        <v>55</v>
      </c>
      <c r="B6" s="216">
        <v>121.26568543099579</v>
      </c>
      <c r="C6" s="217">
        <v>108.49331826000001</v>
      </c>
      <c r="D6" s="217">
        <f>C6-B6</f>
        <v>-12.772367170995778</v>
      </c>
      <c r="E6" s="216">
        <v>124.41983704782696</v>
      </c>
      <c r="F6" s="217">
        <v>102.03770016000001</v>
      </c>
      <c r="G6" s="217">
        <f>F6-E6</f>
        <v>-22.382136887826945</v>
      </c>
      <c r="H6" s="216">
        <v>92.278154491511188</v>
      </c>
      <c r="I6" s="216">
        <v>94.075848899999997</v>
      </c>
      <c r="J6" s="217">
        <f>I6-H6</f>
        <v>1.7976944084888089</v>
      </c>
      <c r="K6" s="216">
        <v>120.17816884320381</v>
      </c>
      <c r="L6" s="216">
        <v>90.347481000000002</v>
      </c>
      <c r="M6" s="217">
        <f>L6-K6</f>
        <v>-29.830687843203805</v>
      </c>
      <c r="N6" s="216">
        <v>95.566077304927887</v>
      </c>
      <c r="O6" s="216">
        <v>101.11099583430264</v>
      </c>
      <c r="P6" s="217">
        <f>O6-N6</f>
        <v>5.5449185293747547</v>
      </c>
      <c r="Q6" s="216">
        <v>103.46577336170436</v>
      </c>
      <c r="R6" s="216">
        <v>104.25797573999999</v>
      </c>
      <c r="S6" s="217">
        <f>R6-Q6</f>
        <v>0.79220237829562734</v>
      </c>
      <c r="T6" s="216">
        <v>145.53625941381912</v>
      </c>
      <c r="U6" s="216">
        <v>115.87644432</v>
      </c>
      <c r="V6" s="217">
        <f>U6-T6</f>
        <v>-29.65981509381912</v>
      </c>
      <c r="W6" s="218">
        <v>142.5757684717436</v>
      </c>
      <c r="X6" s="218">
        <v>106.51199460000001</v>
      </c>
      <c r="Y6" s="219">
        <f>X6-W6</f>
        <v>-36.063773871743592</v>
      </c>
      <c r="Z6" s="218">
        <v>123.55265625909713</v>
      </c>
      <c r="AA6" s="218">
        <v>101.85733703999999</v>
      </c>
      <c r="AB6" s="219">
        <f>AA6-Z6</f>
        <v>-21.695319219097144</v>
      </c>
      <c r="AC6" s="218">
        <v>87.491179010499707</v>
      </c>
      <c r="AD6" s="323">
        <f>'3. 세부 운영내역'!AK65/10^6</f>
        <v>102.10438503</v>
      </c>
      <c r="AE6" s="219">
        <f>AD6-AC6</f>
        <v>14.613206019500296</v>
      </c>
      <c r="AF6" s="218">
        <v>141.94793174599064</v>
      </c>
      <c r="AG6" s="218"/>
      <c r="AH6" s="219">
        <f>AG6-AF6</f>
        <v>-141.94793174599064</v>
      </c>
      <c r="AI6" s="218">
        <v>146.90363551268001</v>
      </c>
      <c r="AJ6" s="218"/>
      <c r="AK6" s="219">
        <f>AJ6-AI6</f>
        <v>-146.90363551268001</v>
      </c>
      <c r="AL6" s="299">
        <f t="shared" si="0"/>
        <v>1445.1811268940003</v>
      </c>
      <c r="AM6" s="214">
        <f t="shared" si="0"/>
        <v>1026.6734808843025</v>
      </c>
      <c r="AN6" s="220">
        <f>AM6-AL6</f>
        <v>-418.50764600969774</v>
      </c>
    </row>
    <row r="7" spans="1:40" ht="18" customHeight="1">
      <c r="A7" s="175" t="s">
        <v>57</v>
      </c>
      <c r="B7" s="216">
        <v>45.798371600194812</v>
      </c>
      <c r="C7" s="217">
        <v>36.411349999999999</v>
      </c>
      <c r="D7" s="217">
        <f>C7-B7</f>
        <v>-9.3870216001948137</v>
      </c>
      <c r="E7" s="216">
        <v>45.798371600194812</v>
      </c>
      <c r="F7" s="217">
        <v>33.959490000000002</v>
      </c>
      <c r="G7" s="217">
        <f>F7-E7</f>
        <v>-11.83888160019481</v>
      </c>
      <c r="H7" s="216">
        <v>39.255747085881261</v>
      </c>
      <c r="I7" s="216">
        <v>42.165970000000002</v>
      </c>
      <c r="J7" s="217">
        <f>I7-H7</f>
        <v>2.9102229141187408</v>
      </c>
      <c r="K7" s="216">
        <v>49.069683857351585</v>
      </c>
      <c r="L7" s="216">
        <v>30.236429999999995</v>
      </c>
      <c r="M7" s="217">
        <f>L7-K7</f>
        <v>-18.83325385735159</v>
      </c>
      <c r="N7" s="216">
        <v>39.255747085881261</v>
      </c>
      <c r="O7" s="216">
        <v>44.268120000000003</v>
      </c>
      <c r="P7" s="217">
        <f>O7-N7</f>
        <v>5.0123729141187425</v>
      </c>
      <c r="Q7" s="216">
        <v>37.620090957302885</v>
      </c>
      <c r="R7" s="216">
        <v>36.387929999999997</v>
      </c>
      <c r="S7" s="217">
        <f>R7-Q7</f>
        <v>-1.232160957302888</v>
      </c>
      <c r="T7" s="216">
        <v>50.705339985929967</v>
      </c>
      <c r="U7" s="216">
        <v>41.693719999999999</v>
      </c>
      <c r="V7" s="217">
        <f>U7-T7</f>
        <v>-9.0116199859299684</v>
      </c>
      <c r="W7" s="218">
        <v>50.705339985929967</v>
      </c>
      <c r="X7" s="218">
        <v>36.643230000000003</v>
      </c>
      <c r="Y7" s="219">
        <f>X7-W7</f>
        <v>-14.062109985929965</v>
      </c>
      <c r="Z7" s="218">
        <v>49.069683857351585</v>
      </c>
      <c r="AA7" s="218">
        <v>47.509439999999998</v>
      </c>
      <c r="AB7" s="219">
        <f>AA7-Z7</f>
        <v>-1.5602438573515869</v>
      </c>
      <c r="AC7" s="218">
        <v>34.348778700146106</v>
      </c>
      <c r="AD7" s="323">
        <f>SUM('3. 세부 운영내역'!AK49:AK62)/10^6</f>
        <v>50.445210000000003</v>
      </c>
      <c r="AE7" s="219">
        <f>AD7-AC7</f>
        <v>16.096431299853897</v>
      </c>
      <c r="AF7" s="218">
        <v>49.069683857351585</v>
      </c>
      <c r="AG7" s="218"/>
      <c r="AH7" s="219">
        <f>AG7-AF7</f>
        <v>-49.069683857351585</v>
      </c>
      <c r="AI7" s="218">
        <v>50.705339985929967</v>
      </c>
      <c r="AJ7" s="218"/>
      <c r="AK7" s="219">
        <f>AJ7-AI7</f>
        <v>-50.705339985929967</v>
      </c>
      <c r="AL7" s="299">
        <f t="shared" si="0"/>
        <v>541.40217855944582</v>
      </c>
      <c r="AM7" s="214">
        <f t="shared" si="0"/>
        <v>399.72088999999994</v>
      </c>
      <c r="AN7" s="220">
        <f>AM7-AL7</f>
        <v>-141.68128855944587</v>
      </c>
    </row>
    <row r="8" spans="1:40" ht="18" customHeight="1">
      <c r="A8" s="221" t="s">
        <v>136</v>
      </c>
      <c r="B8" s="222">
        <v>-50.039404729693167</v>
      </c>
      <c r="C8" s="222">
        <v>-56.456110000000002</v>
      </c>
      <c r="D8" s="222">
        <f>C8-B8</f>
        <v>-6.416705270306835</v>
      </c>
      <c r="E8" s="222">
        <v>-50.039404729693167</v>
      </c>
      <c r="F8" s="222">
        <v>-53.560090000000002</v>
      </c>
      <c r="G8" s="217">
        <f>F8-E8</f>
        <v>-3.520685270306835</v>
      </c>
      <c r="H8" s="222">
        <v>-42.890918339736999</v>
      </c>
      <c r="I8" s="222">
        <v>-62.877920000000003</v>
      </c>
      <c r="J8" s="217">
        <f>I8-H8</f>
        <v>-19.987001660263005</v>
      </c>
      <c r="K8" s="222">
        <v>-53.613647924671248</v>
      </c>
      <c r="L8" s="222">
        <v>-56.573970000000003</v>
      </c>
      <c r="M8" s="222">
        <f>L8-K8</f>
        <v>-2.9603220753287545</v>
      </c>
      <c r="N8" s="222">
        <v>-42.890918339736999</v>
      </c>
      <c r="O8" s="222">
        <v>-68.723140000000001</v>
      </c>
      <c r="P8" s="222">
        <f>O8-N8</f>
        <v>-25.832221660263002</v>
      </c>
      <c r="Q8" s="222">
        <v>-41.103796742247958</v>
      </c>
      <c r="R8" s="222">
        <v>-62.10351</v>
      </c>
      <c r="S8" s="222">
        <f>R8-Q8</f>
        <v>-20.999713257752042</v>
      </c>
      <c r="T8" s="222">
        <v>-55.400769522160289</v>
      </c>
      <c r="U8" s="222">
        <v>-64.373440000000002</v>
      </c>
      <c r="V8" s="222">
        <f>U8-T8</f>
        <v>-8.9726704778397135</v>
      </c>
      <c r="W8" s="222">
        <v>-55.400769522160289</v>
      </c>
      <c r="X8" s="222">
        <v>-65.427400000000006</v>
      </c>
      <c r="Y8" s="219">
        <f>X8-W8</f>
        <v>-10.026630477839717</v>
      </c>
      <c r="Z8" s="222">
        <v>-53.613647924671248</v>
      </c>
      <c r="AA8" s="223">
        <v>-84.562989999999999</v>
      </c>
      <c r="AB8" s="219">
        <f>AA8-Z8</f>
        <v>-30.949342075328751</v>
      </c>
      <c r="AC8" s="222">
        <v>-37.52955354726987</v>
      </c>
      <c r="AD8" s="324">
        <f>'3. 세부 운영내역'!AK46/10^6</f>
        <v>-72.265529999999998</v>
      </c>
      <c r="AE8" s="219">
        <f>AD8-AC8</f>
        <v>-34.735976452730128</v>
      </c>
      <c r="AF8" s="222">
        <v>-53.613647924671248</v>
      </c>
      <c r="AG8" s="223"/>
      <c r="AH8" s="219">
        <f>AG8-AF8</f>
        <v>53.613647924671248</v>
      </c>
      <c r="AI8" s="222">
        <v>-55.400769522160289</v>
      </c>
      <c r="AJ8" s="223"/>
      <c r="AK8" s="219">
        <f>AJ8-AI8</f>
        <v>55.400769522160289</v>
      </c>
      <c r="AL8" s="224">
        <f t="shared" si="0"/>
        <v>-591.53724876887281</v>
      </c>
      <c r="AM8" s="220">
        <f t="shared" si="0"/>
        <v>-646.92410000000007</v>
      </c>
      <c r="AN8" s="220">
        <f>AM8-AL8</f>
        <v>-55.386851231127253</v>
      </c>
    </row>
    <row r="9" spans="1:40" ht="22.5" customHeight="1" thickBot="1">
      <c r="A9" s="225" t="s">
        <v>58</v>
      </c>
      <c r="B9" s="226">
        <f>SUM(B5:B8)</f>
        <v>462.02465230149744</v>
      </c>
      <c r="C9" s="227">
        <f>SUM(C5:C8)</f>
        <v>379.38015825999997</v>
      </c>
      <c r="D9" s="227">
        <f t="shared" ref="D9:J9" si="1">SUM(D5:D8)</f>
        <v>-82.644494041497424</v>
      </c>
      <c r="E9" s="226">
        <f>SUM(E5:E8)</f>
        <v>453.96440391832857</v>
      </c>
      <c r="F9" s="227">
        <f>SUM(F5:F8)</f>
        <v>369.62261616000001</v>
      </c>
      <c r="G9" s="227">
        <f t="shared" si="1"/>
        <v>-84.341787758328564</v>
      </c>
      <c r="H9" s="226">
        <f>SUM(H5:H8)</f>
        <v>381.88778323765541</v>
      </c>
      <c r="I9" s="226">
        <f>SUM(I5:I8)</f>
        <v>378.49608289999998</v>
      </c>
      <c r="J9" s="227">
        <f t="shared" si="1"/>
        <v>-3.3917003376554575</v>
      </c>
      <c r="K9" s="226">
        <f t="shared" ref="K9:X9" si="2">SUM(K5:K8)</f>
        <v>469.69020477588413</v>
      </c>
      <c r="L9" s="226">
        <f>SUM(L5:L8)</f>
        <v>352.29607499999997</v>
      </c>
      <c r="M9" s="227">
        <f t="shared" si="2"/>
        <v>-117.39412977588412</v>
      </c>
      <c r="N9" s="226">
        <f t="shared" si="2"/>
        <v>385.1757060510721</v>
      </c>
      <c r="O9" s="226">
        <f t="shared" si="2"/>
        <v>401.36884983430264</v>
      </c>
      <c r="P9" s="227">
        <f t="shared" si="2"/>
        <v>16.193143783230497</v>
      </c>
      <c r="Q9" s="226">
        <f t="shared" si="2"/>
        <v>383.09166757675928</v>
      </c>
      <c r="R9" s="226">
        <f t="shared" si="2"/>
        <v>367.98971173999996</v>
      </c>
      <c r="S9" s="227">
        <f t="shared" si="2"/>
        <v>-15.101955836759302</v>
      </c>
      <c r="T9" s="226">
        <f t="shared" si="2"/>
        <v>505.0320298775888</v>
      </c>
      <c r="U9" s="226">
        <f t="shared" si="2"/>
        <v>408.13476032</v>
      </c>
      <c r="V9" s="227">
        <f t="shared" si="2"/>
        <v>-96.897269557588771</v>
      </c>
      <c r="W9" s="228">
        <f t="shared" si="2"/>
        <v>502.07153893551322</v>
      </c>
      <c r="X9" s="228">
        <f t="shared" si="2"/>
        <v>375.96117059999995</v>
      </c>
      <c r="Y9" s="229">
        <f>X9-W9</f>
        <v>-126.11036833551327</v>
      </c>
      <c r="Z9" s="228">
        <f>SUM(Z5:Z8)</f>
        <v>473.06469219177745</v>
      </c>
      <c r="AA9" s="228">
        <f>SUM(AA5:AA8)</f>
        <v>404.11875486399998</v>
      </c>
      <c r="AB9" s="229">
        <f>AA9-Z9</f>
        <v>-68.945937327777472</v>
      </c>
      <c r="AC9" s="228">
        <f>SUM(AC5:AC8)</f>
        <v>358.45360416337593</v>
      </c>
      <c r="AD9" s="228">
        <f>SUM(AD5:AD8)</f>
        <v>406.63880102999997</v>
      </c>
      <c r="AE9" s="229">
        <f>AD9-AC9</f>
        <v>48.18519686662404</v>
      </c>
      <c r="AF9" s="228">
        <f>SUM(AF5:AF8)</f>
        <v>491.45996767867098</v>
      </c>
      <c r="AG9" s="228">
        <f>SUM(AG5:AG8)</f>
        <v>0</v>
      </c>
      <c r="AH9" s="229">
        <f>AG9-AF9</f>
        <v>-491.45996767867098</v>
      </c>
      <c r="AI9" s="228">
        <f>SUM(AI5:AI8)</f>
        <v>506.39940597644966</v>
      </c>
      <c r="AJ9" s="228">
        <f>SUM(AJ5:AJ8)</f>
        <v>0</v>
      </c>
      <c r="AK9" s="229">
        <f>AJ9-AI9</f>
        <v>-506.39940597644966</v>
      </c>
      <c r="AL9" s="230">
        <f>SUM(AL5:AL8)</f>
        <v>5372.3156566845728</v>
      </c>
      <c r="AM9" s="231">
        <f>SUM(AM5:AM8)</f>
        <v>3844.0069807083028</v>
      </c>
      <c r="AN9" s="232">
        <f>AM9-AL9</f>
        <v>-1528.30867597627</v>
      </c>
    </row>
    <row r="10" spans="1:40">
      <c r="F10" s="233"/>
      <c r="I10" s="234"/>
    </row>
    <row r="11" spans="1:40" ht="17.25" thickBot="1"/>
    <row r="12" spans="1:40" s="237" customFormat="1" ht="20.100000000000001" customHeight="1">
      <c r="A12" s="811" t="s">
        <v>60</v>
      </c>
      <c r="B12" s="813" t="s">
        <v>496</v>
      </c>
      <c r="C12" s="814"/>
      <c r="D12" s="815"/>
      <c r="E12" s="816" t="s">
        <v>377</v>
      </c>
      <c r="F12" s="817"/>
      <c r="G12" s="818"/>
      <c r="H12" s="235" t="s">
        <v>479</v>
      </c>
      <c r="I12" s="291" t="s">
        <v>61</v>
      </c>
      <c r="J12" s="292"/>
      <c r="K12" s="236" t="s">
        <v>73</v>
      </c>
    </row>
    <row r="13" spans="1:40" s="237" customFormat="1" ht="20.100000000000001" customHeight="1">
      <c r="A13" s="812"/>
      <c r="B13" s="238" t="s">
        <v>62</v>
      </c>
      <c r="C13" s="238" t="s">
        <v>63</v>
      </c>
      <c r="D13" s="239" t="s">
        <v>74</v>
      </c>
      <c r="E13" s="239" t="s">
        <v>75</v>
      </c>
      <c r="F13" s="239" t="s">
        <v>76</v>
      </c>
      <c r="G13" s="239" t="s">
        <v>77</v>
      </c>
      <c r="H13" s="238" t="s">
        <v>76</v>
      </c>
      <c r="I13" s="238" t="s">
        <v>64</v>
      </c>
      <c r="J13" s="238" t="s">
        <v>78</v>
      </c>
      <c r="K13" s="518"/>
      <c r="N13" s="240"/>
    </row>
    <row r="14" spans="1:40" s="237" customFormat="1" ht="24" customHeight="1" thickBot="1">
      <c r="A14" s="241" t="s">
        <v>79</v>
      </c>
      <c r="B14" s="242">
        <f>AC9</f>
        <v>358.45360416337593</v>
      </c>
      <c r="C14" s="512">
        <f>AD9</f>
        <v>406.63880102999997</v>
      </c>
      <c r="D14" s="242">
        <f>C14-B14</f>
        <v>48.18519686662404</v>
      </c>
      <c r="E14" s="242">
        <f>AL9</f>
        <v>5372.3156566845728</v>
      </c>
      <c r="F14" s="242">
        <f>AM9</f>
        <v>3844.0069807083028</v>
      </c>
      <c r="G14" s="243">
        <f>F14-E14</f>
        <v>-1528.30867597627</v>
      </c>
      <c r="H14" s="242">
        <f>AA9</f>
        <v>404.11875486399998</v>
      </c>
      <c r="I14" s="242">
        <f>C14-H14</f>
        <v>2.520046165999986</v>
      </c>
      <c r="J14" s="302">
        <f>I14/H14</f>
        <v>6.2359050048248054E-3</v>
      </c>
      <c r="K14" s="244"/>
    </row>
    <row r="15" spans="1:40">
      <c r="V15" s="754"/>
    </row>
    <row r="16" spans="1:40" s="75" customFormat="1" ht="20.25">
      <c r="A16" s="810" t="s">
        <v>133</v>
      </c>
      <c r="B16" s="810"/>
      <c r="C16" s="810"/>
      <c r="D16" s="810"/>
      <c r="E16" s="810"/>
      <c r="F16" s="810"/>
      <c r="G16" s="810"/>
      <c r="H16" s="810"/>
      <c r="I16" s="810"/>
      <c r="J16" s="810"/>
      <c r="K16" s="810"/>
      <c r="L16" s="810"/>
      <c r="M16" s="810"/>
      <c r="N16" s="810"/>
      <c r="O16" s="810"/>
    </row>
    <row r="17" spans="1:28" s="245" customFormat="1" ht="8.1" customHeight="1" thickBot="1">
      <c r="C17" s="246"/>
      <c r="N17" s="807"/>
      <c r="O17" s="807"/>
    </row>
    <row r="18" spans="1:28" s="245" customFormat="1" ht="20.100000000000001" customHeight="1" thickBot="1">
      <c r="A18" s="247" t="s">
        <v>129</v>
      </c>
      <c r="B18" s="248" t="s">
        <v>130</v>
      </c>
      <c r="C18" s="249" t="s">
        <v>99</v>
      </c>
      <c r="D18" s="249" t="s">
        <v>83</v>
      </c>
      <c r="E18" s="249" t="s">
        <v>84</v>
      </c>
      <c r="F18" s="248" t="s">
        <v>85</v>
      </c>
      <c r="G18" s="250" t="s">
        <v>86</v>
      </c>
      <c r="H18" s="250" t="s">
        <v>87</v>
      </c>
      <c r="I18" s="249" t="s">
        <v>103</v>
      </c>
      <c r="J18" s="249" t="s">
        <v>89</v>
      </c>
      <c r="K18" s="251" t="s">
        <v>90</v>
      </c>
      <c r="L18" s="248" t="s">
        <v>91</v>
      </c>
      <c r="M18" s="252" t="s">
        <v>92</v>
      </c>
      <c r="N18" s="249" t="s">
        <v>93</v>
      </c>
      <c r="O18" s="253" t="s">
        <v>95</v>
      </c>
    </row>
    <row r="19" spans="1:28" s="245" customFormat="1" ht="18" customHeight="1" thickTop="1">
      <c r="A19" s="808" t="s">
        <v>134</v>
      </c>
      <c r="B19" s="254" t="s">
        <v>315</v>
      </c>
      <c r="C19" s="255">
        <v>392.68759863999998</v>
      </c>
      <c r="D19" s="255">
        <v>383.068511</v>
      </c>
      <c r="E19" s="255">
        <v>369.99181848000001</v>
      </c>
      <c r="F19" s="255">
        <v>320.64201734</v>
      </c>
      <c r="G19" s="255">
        <v>402.87264016</v>
      </c>
      <c r="H19" s="255">
        <v>256.90537500000005</v>
      </c>
      <c r="I19" s="255">
        <v>407.01462279999998</v>
      </c>
      <c r="J19" s="255">
        <v>381.04337440000006</v>
      </c>
      <c r="K19" s="255">
        <v>374.89037536000006</v>
      </c>
      <c r="L19" s="255">
        <v>323.17678984999998</v>
      </c>
      <c r="M19" s="255">
        <v>378.64492095999998</v>
      </c>
      <c r="N19" s="255">
        <v>314.01668728000004</v>
      </c>
      <c r="O19" s="76">
        <f>SUM(C19:N19)</f>
        <v>4304.9547312699997</v>
      </c>
    </row>
    <row r="20" spans="1:28" s="245" customFormat="1" ht="18" customHeight="1">
      <c r="A20" s="809"/>
      <c r="B20" s="256" t="s">
        <v>376</v>
      </c>
      <c r="C20" s="257">
        <f>C9</f>
        <v>379.38015825999997</v>
      </c>
      <c r="D20" s="258">
        <f>F9</f>
        <v>369.62261616000001</v>
      </c>
      <c r="E20" s="258">
        <f>I9</f>
        <v>378.49608289999998</v>
      </c>
      <c r="F20" s="259">
        <f>L9</f>
        <v>352.29607499999997</v>
      </c>
      <c r="G20" s="260">
        <f>O9</f>
        <v>401.36884983430264</v>
      </c>
      <c r="H20" s="261">
        <f>R9</f>
        <v>367.98971173999996</v>
      </c>
      <c r="I20" s="262">
        <f>U9</f>
        <v>408.13476032</v>
      </c>
      <c r="J20" s="262">
        <f>X9</f>
        <v>375.96117059999995</v>
      </c>
      <c r="K20" s="263">
        <f>AA9</f>
        <v>404.11875486399998</v>
      </c>
      <c r="L20" s="262">
        <f>AD9</f>
        <v>406.63880102999997</v>
      </c>
      <c r="M20" s="262">
        <f>AG9</f>
        <v>0</v>
      </c>
      <c r="N20" s="262">
        <f>AJ9</f>
        <v>0</v>
      </c>
      <c r="O20" s="264">
        <f>SUM(C20:N20)</f>
        <v>3844.0069807083028</v>
      </c>
    </row>
    <row r="21" spans="1:28" s="269" customFormat="1" ht="18" customHeight="1" thickBot="1">
      <c r="A21" s="265"/>
      <c r="B21" s="266" t="s">
        <v>131</v>
      </c>
      <c r="C21" s="267">
        <f>C20-C19</f>
        <v>-13.307440380000003</v>
      </c>
      <c r="D21" s="267">
        <f t="shared" ref="D21:N21" si="3">D20-D19</f>
        <v>-13.445894839999994</v>
      </c>
      <c r="E21" s="267">
        <f t="shared" si="3"/>
        <v>8.50426441999997</v>
      </c>
      <c r="F21" s="267">
        <f t="shared" si="3"/>
        <v>31.654057659999978</v>
      </c>
      <c r="G21" s="267">
        <f t="shared" si="3"/>
        <v>-1.5037903256973664</v>
      </c>
      <c r="H21" s="267">
        <f t="shared" si="3"/>
        <v>111.08433673999991</v>
      </c>
      <c r="I21" s="267">
        <f t="shared" si="3"/>
        <v>1.1201375200000143</v>
      </c>
      <c r="J21" s="267">
        <f t="shared" si="3"/>
        <v>-5.0822038000001157</v>
      </c>
      <c r="K21" s="267">
        <f t="shared" si="3"/>
        <v>29.228379503999918</v>
      </c>
      <c r="L21" s="267">
        <f t="shared" si="3"/>
        <v>83.46201117999999</v>
      </c>
      <c r="M21" s="267">
        <f t="shared" si="3"/>
        <v>-378.64492095999998</v>
      </c>
      <c r="N21" s="267">
        <f t="shared" si="3"/>
        <v>-314.01668728000004</v>
      </c>
      <c r="O21" s="268">
        <f>O20-O19</f>
        <v>-460.94775056169692</v>
      </c>
    </row>
    <row r="22" spans="1:28" ht="17.25" thickBot="1"/>
    <row r="23" spans="1:28" s="273" customFormat="1" ht="18" customHeight="1">
      <c r="A23" s="819" t="s">
        <v>224</v>
      </c>
      <c r="B23" s="442" t="s">
        <v>99</v>
      </c>
      <c r="C23" s="270" t="s">
        <v>378</v>
      </c>
      <c r="D23" s="271"/>
      <c r="E23" s="271"/>
      <c r="F23" s="271"/>
      <c r="G23" s="271"/>
      <c r="H23" s="271"/>
      <c r="I23" s="271"/>
      <c r="J23" s="271"/>
      <c r="K23" s="271"/>
      <c r="L23" s="271"/>
      <c r="M23" s="272"/>
    </row>
    <row r="24" spans="1:28" s="278" customFormat="1" ht="18" customHeight="1">
      <c r="A24" s="820"/>
      <c r="B24" s="453" t="s">
        <v>100</v>
      </c>
      <c r="C24" s="275" t="s">
        <v>380</v>
      </c>
      <c r="D24" s="276"/>
      <c r="E24" s="276"/>
      <c r="F24" s="276"/>
      <c r="G24" s="276"/>
      <c r="H24" s="276"/>
      <c r="I24" s="276"/>
      <c r="J24" s="276"/>
      <c r="K24" s="276"/>
      <c r="L24" s="276"/>
      <c r="M24" s="277"/>
    </row>
    <row r="25" spans="1:28" s="273" customFormat="1" ht="18" customHeight="1">
      <c r="A25" s="820"/>
      <c r="B25" s="274" t="s">
        <v>84</v>
      </c>
      <c r="C25" s="275" t="s">
        <v>419</v>
      </c>
      <c r="D25" s="279"/>
      <c r="E25" s="279"/>
      <c r="F25" s="279"/>
      <c r="G25" s="279"/>
      <c r="H25" s="279"/>
      <c r="I25" s="279"/>
      <c r="J25" s="279"/>
      <c r="K25" s="279"/>
      <c r="L25" s="279"/>
      <c r="M25" s="280"/>
    </row>
    <row r="26" spans="1:28" s="273" customFormat="1" ht="18" customHeight="1">
      <c r="A26" s="820"/>
      <c r="B26" s="274" t="s">
        <v>85</v>
      </c>
      <c r="C26" s="275" t="s">
        <v>423</v>
      </c>
      <c r="D26" s="279"/>
      <c r="E26" s="279"/>
      <c r="F26" s="279"/>
      <c r="G26" s="279"/>
      <c r="H26" s="279"/>
      <c r="I26" s="279"/>
      <c r="J26" s="279"/>
      <c r="K26" s="279"/>
      <c r="L26" s="279"/>
      <c r="M26" s="280"/>
    </row>
    <row r="27" spans="1:28" s="273" customFormat="1" ht="18" customHeight="1">
      <c r="A27" s="820"/>
      <c r="B27" s="274" t="s">
        <v>86</v>
      </c>
      <c r="C27" s="275" t="s">
        <v>451</v>
      </c>
      <c r="D27" s="279"/>
      <c r="E27" s="279"/>
      <c r="F27" s="279"/>
      <c r="G27" s="279"/>
      <c r="H27" s="279"/>
      <c r="I27" s="279"/>
      <c r="J27" s="279"/>
      <c r="K27" s="279"/>
      <c r="L27" s="279"/>
      <c r="M27" s="280"/>
    </row>
    <row r="28" spans="1:28" s="273" customFormat="1" ht="18" customHeight="1">
      <c r="A28" s="820"/>
      <c r="B28" s="274" t="s">
        <v>87</v>
      </c>
      <c r="C28" s="275" t="s">
        <v>453</v>
      </c>
      <c r="D28" s="279"/>
      <c r="E28" s="279"/>
      <c r="F28" s="279"/>
      <c r="G28" s="279"/>
      <c r="H28" s="279"/>
      <c r="I28" s="279"/>
      <c r="J28" s="279"/>
      <c r="K28" s="279"/>
      <c r="L28" s="279"/>
      <c r="M28" s="280"/>
    </row>
    <row r="29" spans="1:28" s="273" customFormat="1" ht="18" customHeight="1">
      <c r="A29" s="820"/>
      <c r="B29" s="274" t="s">
        <v>88</v>
      </c>
      <c r="C29" s="281" t="s">
        <v>456</v>
      </c>
      <c r="D29" s="279"/>
      <c r="E29" s="279"/>
      <c r="F29" s="279"/>
      <c r="G29" s="279"/>
      <c r="H29" s="279"/>
      <c r="I29" s="279"/>
      <c r="J29" s="279"/>
      <c r="K29" s="279"/>
      <c r="L29" s="279"/>
      <c r="M29" s="280"/>
    </row>
    <row r="30" spans="1:28" s="273" customFormat="1" ht="18" customHeight="1">
      <c r="A30" s="820"/>
      <c r="B30" s="274" t="s">
        <v>89</v>
      </c>
      <c r="C30" s="275" t="s">
        <v>463</v>
      </c>
      <c r="D30" s="282"/>
      <c r="E30" s="282"/>
      <c r="F30" s="282"/>
      <c r="G30" s="282"/>
      <c r="H30" s="282"/>
      <c r="I30" s="282"/>
      <c r="J30" s="282"/>
      <c r="K30" s="282"/>
      <c r="L30" s="282"/>
      <c r="M30" s="283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  <c r="AA30" s="284"/>
      <c r="AB30" s="284"/>
    </row>
    <row r="31" spans="1:28" s="273" customFormat="1" ht="18" customHeight="1">
      <c r="A31" s="820"/>
      <c r="B31" s="274" t="s">
        <v>90</v>
      </c>
      <c r="C31" s="761" t="s">
        <v>469</v>
      </c>
      <c r="D31" s="279"/>
      <c r="E31" s="279"/>
      <c r="F31" s="279"/>
      <c r="G31" s="279"/>
      <c r="H31" s="279"/>
      <c r="I31" s="279"/>
      <c r="J31" s="279"/>
      <c r="K31" s="279"/>
      <c r="L31" s="279"/>
      <c r="M31" s="280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  <c r="AA31" s="284"/>
      <c r="AB31" s="284"/>
    </row>
    <row r="32" spans="1:28" s="273" customFormat="1" ht="18" customHeight="1">
      <c r="A32" s="820"/>
      <c r="B32" s="285" t="s">
        <v>91</v>
      </c>
      <c r="C32" s="275" t="s">
        <v>483</v>
      </c>
      <c r="D32" s="279"/>
      <c r="E32" s="279"/>
      <c r="F32" s="279"/>
      <c r="G32" s="279"/>
      <c r="H32" s="279"/>
      <c r="I32" s="279"/>
      <c r="J32" s="279"/>
      <c r="K32" s="279"/>
      <c r="L32" s="279"/>
      <c r="M32" s="280"/>
      <c r="P32" s="284"/>
      <c r="Q32" s="284"/>
      <c r="R32" s="284"/>
      <c r="S32" s="284"/>
      <c r="T32" s="284"/>
      <c r="U32" s="284"/>
      <c r="V32" s="284"/>
      <c r="W32" s="284"/>
      <c r="X32" s="284"/>
      <c r="Y32" s="284"/>
      <c r="Z32" s="284"/>
      <c r="AA32" s="284"/>
      <c r="AB32" s="284"/>
    </row>
    <row r="33" spans="1:13" s="273" customFormat="1" ht="18" customHeight="1">
      <c r="A33" s="820"/>
      <c r="B33" s="286" t="s">
        <v>92</v>
      </c>
      <c r="C33" s="275"/>
      <c r="D33" s="279"/>
      <c r="E33" s="279"/>
      <c r="F33" s="279"/>
      <c r="G33" s="279"/>
      <c r="H33" s="279"/>
      <c r="I33" s="279"/>
      <c r="J33" s="279"/>
      <c r="K33" s="279"/>
      <c r="L33" s="279"/>
      <c r="M33" s="280"/>
    </row>
    <row r="34" spans="1:13" s="273" customFormat="1" ht="18" customHeight="1" thickBot="1">
      <c r="A34" s="821"/>
      <c r="B34" s="287" t="s">
        <v>164</v>
      </c>
      <c r="C34" s="288"/>
      <c r="D34" s="289"/>
      <c r="E34" s="289"/>
      <c r="F34" s="289"/>
      <c r="G34" s="289"/>
      <c r="H34" s="289"/>
      <c r="I34" s="289"/>
      <c r="J34" s="289"/>
      <c r="K34" s="289"/>
      <c r="L34" s="289"/>
      <c r="M34" s="290"/>
    </row>
    <row r="36" spans="1:13">
      <c r="C36" s="234"/>
    </row>
    <row r="37" spans="1:13">
      <c r="C37" s="234"/>
    </row>
    <row r="38" spans="1:13">
      <c r="C38" s="234"/>
    </row>
    <row r="39" spans="1:13">
      <c r="C39" s="234"/>
    </row>
    <row r="40" spans="1:13">
      <c r="C40" s="234"/>
    </row>
    <row r="41" spans="1:13">
      <c r="C41" s="234"/>
    </row>
    <row r="42" spans="1:13">
      <c r="C42" s="234"/>
    </row>
    <row r="43" spans="1:13">
      <c r="C43" s="234"/>
    </row>
  </sheetData>
  <mergeCells count="22">
    <mergeCell ref="A23:A34"/>
    <mergeCell ref="AL3:AN3"/>
    <mergeCell ref="A3:A4"/>
    <mergeCell ref="W3:Y3"/>
    <mergeCell ref="Z3:AB3"/>
    <mergeCell ref="AC3:AE3"/>
    <mergeCell ref="B3:D3"/>
    <mergeCell ref="E3:G3"/>
    <mergeCell ref="H3:J3"/>
    <mergeCell ref="K3:M3"/>
    <mergeCell ref="N3:P3"/>
    <mergeCell ref="Q3:S3"/>
    <mergeCell ref="T3:V3"/>
    <mergeCell ref="AF3:AH3"/>
    <mergeCell ref="AI3:AK3"/>
    <mergeCell ref="A16:O16"/>
    <mergeCell ref="N17:O17"/>
    <mergeCell ref="A19:A20"/>
    <mergeCell ref="A1:O1"/>
    <mergeCell ref="A12:A13"/>
    <mergeCell ref="B12:D12"/>
    <mergeCell ref="E12:G12"/>
  </mergeCells>
  <phoneticPr fontId="2" type="noConversion"/>
  <pageMargins left="0.7" right="0.7" top="0.75" bottom="0.75" header="0.3" footer="0.3"/>
  <pageSetup paperSize="9" scale="29" orientation="landscape" r:id="rId1"/>
  <ignoredErrors>
    <ignoredError sqref="Y9 AB9 AE9 AH9 AK9 D14" formula="1"/>
    <ignoredError sqref="J14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47"/>
  <sheetViews>
    <sheetView topLeftCell="A5" zoomScale="85" zoomScaleNormal="85" workbookViewId="0">
      <selection activeCell="J14" sqref="J14"/>
    </sheetView>
  </sheetViews>
  <sheetFormatPr defaultColWidth="8.875" defaultRowHeight="16.5"/>
  <cols>
    <col min="1" max="1" width="4.625" style="539" customWidth="1"/>
    <col min="2" max="2" width="13.625" style="539" customWidth="1"/>
    <col min="3" max="3" width="14.375" style="539" customWidth="1"/>
    <col min="4" max="4" width="14.875" style="539" customWidth="1"/>
    <col min="5" max="7" width="14.375" style="539" customWidth="1"/>
    <col min="8" max="8" width="15.125" style="539" bestFit="1" customWidth="1"/>
    <col min="9" max="10" width="14.375" style="539" customWidth="1"/>
    <col min="11" max="11" width="16.375" style="539" bestFit="1" customWidth="1"/>
    <col min="12" max="12" width="15.625" style="539" bestFit="1" customWidth="1"/>
    <col min="13" max="14" width="12.75" style="539" bestFit="1" customWidth="1"/>
    <col min="15" max="15" width="8.875" style="539"/>
    <col min="16" max="16" width="9" style="539" bestFit="1" customWidth="1"/>
    <col min="17" max="250" width="8.875" style="539"/>
    <col min="251" max="251" width="4.625" style="539" customWidth="1"/>
    <col min="252" max="252" width="13.625" style="539" customWidth="1"/>
    <col min="253" max="266" width="14.375" style="539" customWidth="1"/>
    <col min="267" max="267" width="16.25" style="539" bestFit="1" customWidth="1"/>
    <col min="268" max="268" width="15" style="539" bestFit="1" customWidth="1"/>
    <col min="269" max="506" width="8.875" style="539"/>
    <col min="507" max="507" width="4.625" style="539" customWidth="1"/>
    <col min="508" max="508" width="13.625" style="539" customWidth="1"/>
    <col min="509" max="522" width="14.375" style="539" customWidth="1"/>
    <col min="523" max="523" width="16.25" style="539" bestFit="1" customWidth="1"/>
    <col min="524" max="524" width="15" style="539" bestFit="1" customWidth="1"/>
    <col min="525" max="762" width="8.875" style="539"/>
    <col min="763" max="763" width="4.625" style="539" customWidth="1"/>
    <col min="764" max="764" width="13.625" style="539" customWidth="1"/>
    <col min="765" max="778" width="14.375" style="539" customWidth="1"/>
    <col min="779" max="779" width="16.25" style="539" bestFit="1" customWidth="1"/>
    <col min="780" max="780" width="15" style="539" bestFit="1" customWidth="1"/>
    <col min="781" max="1018" width="8.875" style="539"/>
    <col min="1019" max="1019" width="4.625" style="539" customWidth="1"/>
    <col min="1020" max="1020" width="13.625" style="539" customWidth="1"/>
    <col min="1021" max="1034" width="14.375" style="539" customWidth="1"/>
    <col min="1035" max="1035" width="16.25" style="539" bestFit="1" customWidth="1"/>
    <col min="1036" max="1036" width="15" style="539" bestFit="1" customWidth="1"/>
    <col min="1037" max="1274" width="8.875" style="539"/>
    <col min="1275" max="1275" width="4.625" style="539" customWidth="1"/>
    <col min="1276" max="1276" width="13.625" style="539" customWidth="1"/>
    <col min="1277" max="1290" width="14.375" style="539" customWidth="1"/>
    <col min="1291" max="1291" width="16.25" style="539" bestFit="1" customWidth="1"/>
    <col min="1292" max="1292" width="15" style="539" bestFit="1" customWidth="1"/>
    <col min="1293" max="1530" width="8.875" style="539"/>
    <col min="1531" max="1531" width="4.625" style="539" customWidth="1"/>
    <col min="1532" max="1532" width="13.625" style="539" customWidth="1"/>
    <col min="1533" max="1546" width="14.375" style="539" customWidth="1"/>
    <col min="1547" max="1547" width="16.25" style="539" bestFit="1" customWidth="1"/>
    <col min="1548" max="1548" width="15" style="539" bestFit="1" customWidth="1"/>
    <col min="1549" max="1786" width="8.875" style="539"/>
    <col min="1787" max="1787" width="4.625" style="539" customWidth="1"/>
    <col min="1788" max="1788" width="13.625" style="539" customWidth="1"/>
    <col min="1789" max="1802" width="14.375" style="539" customWidth="1"/>
    <col min="1803" max="1803" width="16.25" style="539" bestFit="1" customWidth="1"/>
    <col min="1804" max="1804" width="15" style="539" bestFit="1" customWidth="1"/>
    <col min="1805" max="2042" width="8.875" style="539"/>
    <col min="2043" max="2043" width="4.625" style="539" customWidth="1"/>
    <col min="2044" max="2044" width="13.625" style="539" customWidth="1"/>
    <col min="2045" max="2058" width="14.375" style="539" customWidth="1"/>
    <col min="2059" max="2059" width="16.25" style="539" bestFit="1" customWidth="1"/>
    <col min="2060" max="2060" width="15" style="539" bestFit="1" customWidth="1"/>
    <col min="2061" max="2298" width="8.875" style="539"/>
    <col min="2299" max="2299" width="4.625" style="539" customWidth="1"/>
    <col min="2300" max="2300" width="13.625" style="539" customWidth="1"/>
    <col min="2301" max="2314" width="14.375" style="539" customWidth="1"/>
    <col min="2315" max="2315" width="16.25" style="539" bestFit="1" customWidth="1"/>
    <col min="2316" max="2316" width="15" style="539" bestFit="1" customWidth="1"/>
    <col min="2317" max="2554" width="8.875" style="539"/>
    <col min="2555" max="2555" width="4.625" style="539" customWidth="1"/>
    <col min="2556" max="2556" width="13.625" style="539" customWidth="1"/>
    <col min="2557" max="2570" width="14.375" style="539" customWidth="1"/>
    <col min="2571" max="2571" width="16.25" style="539" bestFit="1" customWidth="1"/>
    <col min="2572" max="2572" width="15" style="539" bestFit="1" customWidth="1"/>
    <col min="2573" max="2810" width="8.875" style="539"/>
    <col min="2811" max="2811" width="4.625" style="539" customWidth="1"/>
    <col min="2812" max="2812" width="13.625" style="539" customWidth="1"/>
    <col min="2813" max="2826" width="14.375" style="539" customWidth="1"/>
    <col min="2827" max="2827" width="16.25" style="539" bestFit="1" customWidth="1"/>
    <col min="2828" max="2828" width="15" style="539" bestFit="1" customWidth="1"/>
    <col min="2829" max="3066" width="8.875" style="539"/>
    <col min="3067" max="3067" width="4.625" style="539" customWidth="1"/>
    <col min="3068" max="3068" width="13.625" style="539" customWidth="1"/>
    <col min="3069" max="3082" width="14.375" style="539" customWidth="1"/>
    <col min="3083" max="3083" width="16.25" style="539" bestFit="1" customWidth="1"/>
    <col min="3084" max="3084" width="15" style="539" bestFit="1" customWidth="1"/>
    <col min="3085" max="3322" width="8.875" style="539"/>
    <col min="3323" max="3323" width="4.625" style="539" customWidth="1"/>
    <col min="3324" max="3324" width="13.625" style="539" customWidth="1"/>
    <col min="3325" max="3338" width="14.375" style="539" customWidth="1"/>
    <col min="3339" max="3339" width="16.25" style="539" bestFit="1" customWidth="1"/>
    <col min="3340" max="3340" width="15" style="539" bestFit="1" customWidth="1"/>
    <col min="3341" max="3578" width="8.875" style="539"/>
    <col min="3579" max="3579" width="4.625" style="539" customWidth="1"/>
    <col min="3580" max="3580" width="13.625" style="539" customWidth="1"/>
    <col min="3581" max="3594" width="14.375" style="539" customWidth="1"/>
    <col min="3595" max="3595" width="16.25" style="539" bestFit="1" customWidth="1"/>
    <col min="3596" max="3596" width="15" style="539" bestFit="1" customWidth="1"/>
    <col min="3597" max="3834" width="8.875" style="539"/>
    <col min="3835" max="3835" width="4.625" style="539" customWidth="1"/>
    <col min="3836" max="3836" width="13.625" style="539" customWidth="1"/>
    <col min="3837" max="3850" width="14.375" style="539" customWidth="1"/>
    <col min="3851" max="3851" width="16.25" style="539" bestFit="1" customWidth="1"/>
    <col min="3852" max="3852" width="15" style="539" bestFit="1" customWidth="1"/>
    <col min="3853" max="4090" width="8.875" style="539"/>
    <col min="4091" max="4091" width="4.625" style="539" customWidth="1"/>
    <col min="4092" max="4092" width="13.625" style="539" customWidth="1"/>
    <col min="4093" max="4106" width="14.375" style="539" customWidth="1"/>
    <col min="4107" max="4107" width="16.25" style="539" bestFit="1" customWidth="1"/>
    <col min="4108" max="4108" width="15" style="539" bestFit="1" customWidth="1"/>
    <col min="4109" max="4346" width="8.875" style="539"/>
    <col min="4347" max="4347" width="4.625" style="539" customWidth="1"/>
    <col min="4348" max="4348" width="13.625" style="539" customWidth="1"/>
    <col min="4349" max="4362" width="14.375" style="539" customWidth="1"/>
    <col min="4363" max="4363" width="16.25" style="539" bestFit="1" customWidth="1"/>
    <col min="4364" max="4364" width="15" style="539" bestFit="1" customWidth="1"/>
    <col min="4365" max="4602" width="8.875" style="539"/>
    <col min="4603" max="4603" width="4.625" style="539" customWidth="1"/>
    <col min="4604" max="4604" width="13.625" style="539" customWidth="1"/>
    <col min="4605" max="4618" width="14.375" style="539" customWidth="1"/>
    <col min="4619" max="4619" width="16.25" style="539" bestFit="1" customWidth="1"/>
    <col min="4620" max="4620" width="15" style="539" bestFit="1" customWidth="1"/>
    <col min="4621" max="4858" width="8.875" style="539"/>
    <col min="4859" max="4859" width="4.625" style="539" customWidth="1"/>
    <col min="4860" max="4860" width="13.625" style="539" customWidth="1"/>
    <col min="4861" max="4874" width="14.375" style="539" customWidth="1"/>
    <col min="4875" max="4875" width="16.25" style="539" bestFit="1" customWidth="1"/>
    <col min="4876" max="4876" width="15" style="539" bestFit="1" customWidth="1"/>
    <col min="4877" max="5114" width="8.875" style="539"/>
    <col min="5115" max="5115" width="4.625" style="539" customWidth="1"/>
    <col min="5116" max="5116" width="13.625" style="539" customWidth="1"/>
    <col min="5117" max="5130" width="14.375" style="539" customWidth="1"/>
    <col min="5131" max="5131" width="16.25" style="539" bestFit="1" customWidth="1"/>
    <col min="5132" max="5132" width="15" style="539" bestFit="1" customWidth="1"/>
    <col min="5133" max="5370" width="8.875" style="539"/>
    <col min="5371" max="5371" width="4.625" style="539" customWidth="1"/>
    <col min="5372" max="5372" width="13.625" style="539" customWidth="1"/>
    <col min="5373" max="5386" width="14.375" style="539" customWidth="1"/>
    <col min="5387" max="5387" width="16.25" style="539" bestFit="1" customWidth="1"/>
    <col min="5388" max="5388" width="15" style="539" bestFit="1" customWidth="1"/>
    <col min="5389" max="5626" width="8.875" style="539"/>
    <col min="5627" max="5627" width="4.625" style="539" customWidth="1"/>
    <col min="5628" max="5628" width="13.625" style="539" customWidth="1"/>
    <col min="5629" max="5642" width="14.375" style="539" customWidth="1"/>
    <col min="5643" max="5643" width="16.25" style="539" bestFit="1" customWidth="1"/>
    <col min="5644" max="5644" width="15" style="539" bestFit="1" customWidth="1"/>
    <col min="5645" max="5882" width="8.875" style="539"/>
    <col min="5883" max="5883" width="4.625" style="539" customWidth="1"/>
    <col min="5884" max="5884" width="13.625" style="539" customWidth="1"/>
    <col min="5885" max="5898" width="14.375" style="539" customWidth="1"/>
    <col min="5899" max="5899" width="16.25" style="539" bestFit="1" customWidth="1"/>
    <col min="5900" max="5900" width="15" style="539" bestFit="1" customWidth="1"/>
    <col min="5901" max="6138" width="8.875" style="539"/>
    <col min="6139" max="6139" width="4.625" style="539" customWidth="1"/>
    <col min="6140" max="6140" width="13.625" style="539" customWidth="1"/>
    <col min="6141" max="6154" width="14.375" style="539" customWidth="1"/>
    <col min="6155" max="6155" width="16.25" style="539" bestFit="1" customWidth="1"/>
    <col min="6156" max="6156" width="15" style="539" bestFit="1" customWidth="1"/>
    <col min="6157" max="6394" width="8.875" style="539"/>
    <col min="6395" max="6395" width="4.625" style="539" customWidth="1"/>
    <col min="6396" max="6396" width="13.625" style="539" customWidth="1"/>
    <col min="6397" max="6410" width="14.375" style="539" customWidth="1"/>
    <col min="6411" max="6411" width="16.25" style="539" bestFit="1" customWidth="1"/>
    <col min="6412" max="6412" width="15" style="539" bestFit="1" customWidth="1"/>
    <col min="6413" max="6650" width="8.875" style="539"/>
    <col min="6651" max="6651" width="4.625" style="539" customWidth="1"/>
    <col min="6652" max="6652" width="13.625" style="539" customWidth="1"/>
    <col min="6653" max="6666" width="14.375" style="539" customWidth="1"/>
    <col min="6667" max="6667" width="16.25" style="539" bestFit="1" customWidth="1"/>
    <col min="6668" max="6668" width="15" style="539" bestFit="1" customWidth="1"/>
    <col min="6669" max="6906" width="8.875" style="539"/>
    <col min="6907" max="6907" width="4.625" style="539" customWidth="1"/>
    <col min="6908" max="6908" width="13.625" style="539" customWidth="1"/>
    <col min="6909" max="6922" width="14.375" style="539" customWidth="1"/>
    <col min="6923" max="6923" width="16.25" style="539" bestFit="1" customWidth="1"/>
    <col min="6924" max="6924" width="15" style="539" bestFit="1" customWidth="1"/>
    <col min="6925" max="7162" width="8.875" style="539"/>
    <col min="7163" max="7163" width="4.625" style="539" customWidth="1"/>
    <col min="7164" max="7164" width="13.625" style="539" customWidth="1"/>
    <col min="7165" max="7178" width="14.375" style="539" customWidth="1"/>
    <col min="7179" max="7179" width="16.25" style="539" bestFit="1" customWidth="1"/>
    <col min="7180" max="7180" width="15" style="539" bestFit="1" customWidth="1"/>
    <col min="7181" max="7418" width="8.875" style="539"/>
    <col min="7419" max="7419" width="4.625" style="539" customWidth="1"/>
    <col min="7420" max="7420" width="13.625" style="539" customWidth="1"/>
    <col min="7421" max="7434" width="14.375" style="539" customWidth="1"/>
    <col min="7435" max="7435" width="16.25" style="539" bestFit="1" customWidth="1"/>
    <col min="7436" max="7436" width="15" style="539" bestFit="1" customWidth="1"/>
    <col min="7437" max="7674" width="8.875" style="539"/>
    <col min="7675" max="7675" width="4.625" style="539" customWidth="1"/>
    <col min="7676" max="7676" width="13.625" style="539" customWidth="1"/>
    <col min="7677" max="7690" width="14.375" style="539" customWidth="1"/>
    <col min="7691" max="7691" width="16.25" style="539" bestFit="1" customWidth="1"/>
    <col min="7692" max="7692" width="15" style="539" bestFit="1" customWidth="1"/>
    <col min="7693" max="7930" width="8.875" style="539"/>
    <col min="7931" max="7931" width="4.625" style="539" customWidth="1"/>
    <col min="7932" max="7932" width="13.625" style="539" customWidth="1"/>
    <col min="7933" max="7946" width="14.375" style="539" customWidth="1"/>
    <col min="7947" max="7947" width="16.25" style="539" bestFit="1" customWidth="1"/>
    <col min="7948" max="7948" width="15" style="539" bestFit="1" customWidth="1"/>
    <col min="7949" max="8186" width="8.875" style="539"/>
    <col min="8187" max="8187" width="4.625" style="539" customWidth="1"/>
    <col min="8188" max="8188" width="13.625" style="539" customWidth="1"/>
    <col min="8189" max="8202" width="14.375" style="539" customWidth="1"/>
    <col min="8203" max="8203" width="16.25" style="539" bestFit="1" customWidth="1"/>
    <col min="8204" max="8204" width="15" style="539" bestFit="1" customWidth="1"/>
    <col min="8205" max="8442" width="8.875" style="539"/>
    <col min="8443" max="8443" width="4.625" style="539" customWidth="1"/>
    <col min="8444" max="8444" width="13.625" style="539" customWidth="1"/>
    <col min="8445" max="8458" width="14.375" style="539" customWidth="1"/>
    <col min="8459" max="8459" width="16.25" style="539" bestFit="1" customWidth="1"/>
    <col min="8460" max="8460" width="15" style="539" bestFit="1" customWidth="1"/>
    <col min="8461" max="8698" width="8.875" style="539"/>
    <col min="8699" max="8699" width="4.625" style="539" customWidth="1"/>
    <col min="8700" max="8700" width="13.625" style="539" customWidth="1"/>
    <col min="8701" max="8714" width="14.375" style="539" customWidth="1"/>
    <col min="8715" max="8715" width="16.25" style="539" bestFit="1" customWidth="1"/>
    <col min="8716" max="8716" width="15" style="539" bestFit="1" customWidth="1"/>
    <col min="8717" max="8954" width="8.875" style="539"/>
    <col min="8955" max="8955" width="4.625" style="539" customWidth="1"/>
    <col min="8956" max="8956" width="13.625" style="539" customWidth="1"/>
    <col min="8957" max="8970" width="14.375" style="539" customWidth="1"/>
    <col min="8971" max="8971" width="16.25" style="539" bestFit="1" customWidth="1"/>
    <col min="8972" max="8972" width="15" style="539" bestFit="1" customWidth="1"/>
    <col min="8973" max="9210" width="8.875" style="539"/>
    <col min="9211" max="9211" width="4.625" style="539" customWidth="1"/>
    <col min="9212" max="9212" width="13.625" style="539" customWidth="1"/>
    <col min="9213" max="9226" width="14.375" style="539" customWidth="1"/>
    <col min="9227" max="9227" width="16.25" style="539" bestFit="1" customWidth="1"/>
    <col min="9228" max="9228" width="15" style="539" bestFit="1" customWidth="1"/>
    <col min="9229" max="9466" width="8.875" style="539"/>
    <col min="9467" max="9467" width="4.625" style="539" customWidth="1"/>
    <col min="9468" max="9468" width="13.625" style="539" customWidth="1"/>
    <col min="9469" max="9482" width="14.375" style="539" customWidth="1"/>
    <col min="9483" max="9483" width="16.25" style="539" bestFit="1" customWidth="1"/>
    <col min="9484" max="9484" width="15" style="539" bestFit="1" customWidth="1"/>
    <col min="9485" max="9722" width="8.875" style="539"/>
    <col min="9723" max="9723" width="4.625" style="539" customWidth="1"/>
    <col min="9724" max="9724" width="13.625" style="539" customWidth="1"/>
    <col min="9725" max="9738" width="14.375" style="539" customWidth="1"/>
    <col min="9739" max="9739" width="16.25" style="539" bestFit="1" customWidth="1"/>
    <col min="9740" max="9740" width="15" style="539" bestFit="1" customWidth="1"/>
    <col min="9741" max="9978" width="8.875" style="539"/>
    <col min="9979" max="9979" width="4.625" style="539" customWidth="1"/>
    <col min="9980" max="9980" width="13.625" style="539" customWidth="1"/>
    <col min="9981" max="9994" width="14.375" style="539" customWidth="1"/>
    <col min="9995" max="9995" width="16.25" style="539" bestFit="1" customWidth="1"/>
    <col min="9996" max="9996" width="15" style="539" bestFit="1" customWidth="1"/>
    <col min="9997" max="10234" width="8.875" style="539"/>
    <col min="10235" max="10235" width="4.625" style="539" customWidth="1"/>
    <col min="10236" max="10236" width="13.625" style="539" customWidth="1"/>
    <col min="10237" max="10250" width="14.375" style="539" customWidth="1"/>
    <col min="10251" max="10251" width="16.25" style="539" bestFit="1" customWidth="1"/>
    <col min="10252" max="10252" width="15" style="539" bestFit="1" customWidth="1"/>
    <col min="10253" max="10490" width="8.875" style="539"/>
    <col min="10491" max="10491" width="4.625" style="539" customWidth="1"/>
    <col min="10492" max="10492" width="13.625" style="539" customWidth="1"/>
    <col min="10493" max="10506" width="14.375" style="539" customWidth="1"/>
    <col min="10507" max="10507" width="16.25" style="539" bestFit="1" customWidth="1"/>
    <col min="10508" max="10508" width="15" style="539" bestFit="1" customWidth="1"/>
    <col min="10509" max="10746" width="8.875" style="539"/>
    <col min="10747" max="10747" width="4.625" style="539" customWidth="1"/>
    <col min="10748" max="10748" width="13.625" style="539" customWidth="1"/>
    <col min="10749" max="10762" width="14.375" style="539" customWidth="1"/>
    <col min="10763" max="10763" width="16.25" style="539" bestFit="1" customWidth="1"/>
    <col min="10764" max="10764" width="15" style="539" bestFit="1" customWidth="1"/>
    <col min="10765" max="11002" width="8.875" style="539"/>
    <col min="11003" max="11003" width="4.625" style="539" customWidth="1"/>
    <col min="11004" max="11004" width="13.625" style="539" customWidth="1"/>
    <col min="11005" max="11018" width="14.375" style="539" customWidth="1"/>
    <col min="11019" max="11019" width="16.25" style="539" bestFit="1" customWidth="1"/>
    <col min="11020" max="11020" width="15" style="539" bestFit="1" customWidth="1"/>
    <col min="11021" max="11258" width="8.875" style="539"/>
    <col min="11259" max="11259" width="4.625" style="539" customWidth="1"/>
    <col min="11260" max="11260" width="13.625" style="539" customWidth="1"/>
    <col min="11261" max="11274" width="14.375" style="539" customWidth="1"/>
    <col min="11275" max="11275" width="16.25" style="539" bestFit="1" customWidth="1"/>
    <col min="11276" max="11276" width="15" style="539" bestFit="1" customWidth="1"/>
    <col min="11277" max="11514" width="8.875" style="539"/>
    <col min="11515" max="11515" width="4.625" style="539" customWidth="1"/>
    <col min="11516" max="11516" width="13.625" style="539" customWidth="1"/>
    <col min="11517" max="11530" width="14.375" style="539" customWidth="1"/>
    <col min="11531" max="11531" width="16.25" style="539" bestFit="1" customWidth="1"/>
    <col min="11532" max="11532" width="15" style="539" bestFit="1" customWidth="1"/>
    <col min="11533" max="11770" width="8.875" style="539"/>
    <col min="11771" max="11771" width="4.625" style="539" customWidth="1"/>
    <col min="11772" max="11772" width="13.625" style="539" customWidth="1"/>
    <col min="11773" max="11786" width="14.375" style="539" customWidth="1"/>
    <col min="11787" max="11787" width="16.25" style="539" bestFit="1" customWidth="1"/>
    <col min="11788" max="11788" width="15" style="539" bestFit="1" customWidth="1"/>
    <col min="11789" max="12026" width="8.875" style="539"/>
    <col min="12027" max="12027" width="4.625" style="539" customWidth="1"/>
    <col min="12028" max="12028" width="13.625" style="539" customWidth="1"/>
    <col min="12029" max="12042" width="14.375" style="539" customWidth="1"/>
    <col min="12043" max="12043" width="16.25" style="539" bestFit="1" customWidth="1"/>
    <col min="12044" max="12044" width="15" style="539" bestFit="1" customWidth="1"/>
    <col min="12045" max="12282" width="8.875" style="539"/>
    <col min="12283" max="12283" width="4.625" style="539" customWidth="1"/>
    <col min="12284" max="12284" width="13.625" style="539" customWidth="1"/>
    <col min="12285" max="12298" width="14.375" style="539" customWidth="1"/>
    <col min="12299" max="12299" width="16.25" style="539" bestFit="1" customWidth="1"/>
    <col min="12300" max="12300" width="15" style="539" bestFit="1" customWidth="1"/>
    <col min="12301" max="12538" width="8.875" style="539"/>
    <col min="12539" max="12539" width="4.625" style="539" customWidth="1"/>
    <col min="12540" max="12540" width="13.625" style="539" customWidth="1"/>
    <col min="12541" max="12554" width="14.375" style="539" customWidth="1"/>
    <col min="12555" max="12555" width="16.25" style="539" bestFit="1" customWidth="1"/>
    <col min="12556" max="12556" width="15" style="539" bestFit="1" customWidth="1"/>
    <col min="12557" max="12794" width="8.875" style="539"/>
    <col min="12795" max="12795" width="4.625" style="539" customWidth="1"/>
    <col min="12796" max="12796" width="13.625" style="539" customWidth="1"/>
    <col min="12797" max="12810" width="14.375" style="539" customWidth="1"/>
    <col min="12811" max="12811" width="16.25" style="539" bestFit="1" customWidth="1"/>
    <col min="12812" max="12812" width="15" style="539" bestFit="1" customWidth="1"/>
    <col min="12813" max="13050" width="8.875" style="539"/>
    <col min="13051" max="13051" width="4.625" style="539" customWidth="1"/>
    <col min="13052" max="13052" width="13.625" style="539" customWidth="1"/>
    <col min="13053" max="13066" width="14.375" style="539" customWidth="1"/>
    <col min="13067" max="13067" width="16.25" style="539" bestFit="1" customWidth="1"/>
    <col min="13068" max="13068" width="15" style="539" bestFit="1" customWidth="1"/>
    <col min="13069" max="13306" width="8.875" style="539"/>
    <col min="13307" max="13307" width="4.625" style="539" customWidth="1"/>
    <col min="13308" max="13308" width="13.625" style="539" customWidth="1"/>
    <col min="13309" max="13322" width="14.375" style="539" customWidth="1"/>
    <col min="13323" max="13323" width="16.25" style="539" bestFit="1" customWidth="1"/>
    <col min="13324" max="13324" width="15" style="539" bestFit="1" customWidth="1"/>
    <col min="13325" max="13562" width="8.875" style="539"/>
    <col min="13563" max="13563" width="4.625" style="539" customWidth="1"/>
    <col min="13564" max="13564" width="13.625" style="539" customWidth="1"/>
    <col min="13565" max="13578" width="14.375" style="539" customWidth="1"/>
    <col min="13579" max="13579" width="16.25" style="539" bestFit="1" customWidth="1"/>
    <col min="13580" max="13580" width="15" style="539" bestFit="1" customWidth="1"/>
    <col min="13581" max="13818" width="8.875" style="539"/>
    <col min="13819" max="13819" width="4.625" style="539" customWidth="1"/>
    <col min="13820" max="13820" width="13.625" style="539" customWidth="1"/>
    <col min="13821" max="13834" width="14.375" style="539" customWidth="1"/>
    <col min="13835" max="13835" width="16.25" style="539" bestFit="1" customWidth="1"/>
    <col min="13836" max="13836" width="15" style="539" bestFit="1" customWidth="1"/>
    <col min="13837" max="14074" width="8.875" style="539"/>
    <col min="14075" max="14075" width="4.625" style="539" customWidth="1"/>
    <col min="14076" max="14076" width="13.625" style="539" customWidth="1"/>
    <col min="14077" max="14090" width="14.375" style="539" customWidth="1"/>
    <col min="14091" max="14091" width="16.25" style="539" bestFit="1" customWidth="1"/>
    <col min="14092" max="14092" width="15" style="539" bestFit="1" customWidth="1"/>
    <col min="14093" max="14330" width="8.875" style="539"/>
    <col min="14331" max="14331" width="4.625" style="539" customWidth="1"/>
    <col min="14332" max="14332" width="13.625" style="539" customWidth="1"/>
    <col min="14333" max="14346" width="14.375" style="539" customWidth="1"/>
    <col min="14347" max="14347" width="16.25" style="539" bestFit="1" customWidth="1"/>
    <col min="14348" max="14348" width="15" style="539" bestFit="1" customWidth="1"/>
    <col min="14349" max="14586" width="8.875" style="539"/>
    <col min="14587" max="14587" width="4.625" style="539" customWidth="1"/>
    <col min="14588" max="14588" width="13.625" style="539" customWidth="1"/>
    <col min="14589" max="14602" width="14.375" style="539" customWidth="1"/>
    <col min="14603" max="14603" width="16.25" style="539" bestFit="1" customWidth="1"/>
    <col min="14604" max="14604" width="15" style="539" bestFit="1" customWidth="1"/>
    <col min="14605" max="14842" width="8.875" style="539"/>
    <col min="14843" max="14843" width="4.625" style="539" customWidth="1"/>
    <col min="14844" max="14844" width="13.625" style="539" customWidth="1"/>
    <col min="14845" max="14858" width="14.375" style="539" customWidth="1"/>
    <col min="14859" max="14859" width="16.25" style="539" bestFit="1" customWidth="1"/>
    <col min="14860" max="14860" width="15" style="539" bestFit="1" customWidth="1"/>
    <col min="14861" max="15098" width="8.875" style="539"/>
    <col min="15099" max="15099" width="4.625" style="539" customWidth="1"/>
    <col min="15100" max="15100" width="13.625" style="539" customWidth="1"/>
    <col min="15101" max="15114" width="14.375" style="539" customWidth="1"/>
    <col min="15115" max="15115" width="16.25" style="539" bestFit="1" customWidth="1"/>
    <col min="15116" max="15116" width="15" style="539" bestFit="1" customWidth="1"/>
    <col min="15117" max="15354" width="8.875" style="539"/>
    <col min="15355" max="15355" width="4.625" style="539" customWidth="1"/>
    <col min="15356" max="15356" width="13.625" style="539" customWidth="1"/>
    <col min="15357" max="15370" width="14.375" style="539" customWidth="1"/>
    <col min="15371" max="15371" width="16.25" style="539" bestFit="1" customWidth="1"/>
    <col min="15372" max="15372" width="15" style="539" bestFit="1" customWidth="1"/>
    <col min="15373" max="15610" width="8.875" style="539"/>
    <col min="15611" max="15611" width="4.625" style="539" customWidth="1"/>
    <col min="15612" max="15612" width="13.625" style="539" customWidth="1"/>
    <col min="15613" max="15626" width="14.375" style="539" customWidth="1"/>
    <col min="15627" max="15627" width="16.25" style="539" bestFit="1" customWidth="1"/>
    <col min="15628" max="15628" width="15" style="539" bestFit="1" customWidth="1"/>
    <col min="15629" max="15866" width="8.875" style="539"/>
    <col min="15867" max="15867" width="4.625" style="539" customWidth="1"/>
    <col min="15868" max="15868" width="13.625" style="539" customWidth="1"/>
    <col min="15869" max="15882" width="14.375" style="539" customWidth="1"/>
    <col min="15883" max="15883" width="16.25" style="539" bestFit="1" customWidth="1"/>
    <col min="15884" max="15884" width="15" style="539" bestFit="1" customWidth="1"/>
    <col min="15885" max="16122" width="8.875" style="539"/>
    <col min="16123" max="16123" width="4.625" style="539" customWidth="1"/>
    <col min="16124" max="16124" width="13.625" style="539" customWidth="1"/>
    <col min="16125" max="16138" width="14.375" style="539" customWidth="1"/>
    <col min="16139" max="16139" width="16.25" style="539" bestFit="1" customWidth="1"/>
    <col min="16140" max="16140" width="15" style="539" bestFit="1" customWidth="1"/>
    <col min="16141" max="16384" width="8.875" style="539"/>
  </cols>
  <sheetData>
    <row r="1" spans="2:12" s="538" customFormat="1" ht="21" customHeight="1">
      <c r="B1" s="829" t="s">
        <v>481</v>
      </c>
      <c r="C1" s="829"/>
      <c r="D1" s="829"/>
      <c r="E1" s="829"/>
      <c r="F1" s="829"/>
      <c r="G1" s="829"/>
      <c r="H1" s="829"/>
      <c r="I1" s="829"/>
    </row>
    <row r="2" spans="2:12" ht="20.100000000000001" customHeight="1" thickBot="1"/>
    <row r="3" spans="2:12" ht="20.100000000000001" customHeight="1">
      <c r="B3" s="831" t="s">
        <v>356</v>
      </c>
      <c r="C3" s="657" t="s">
        <v>357</v>
      </c>
      <c r="D3" s="658"/>
      <c r="E3" s="658"/>
      <c r="F3" s="658"/>
      <c r="G3" s="658"/>
      <c r="H3" s="658"/>
      <c r="I3" s="658"/>
      <c r="J3" s="659"/>
    </row>
    <row r="4" spans="2:12" ht="20.100000000000001" customHeight="1" thickBot="1">
      <c r="B4" s="832"/>
      <c r="C4" s="654" t="s">
        <v>358</v>
      </c>
      <c r="D4" s="655"/>
      <c r="E4" s="655"/>
      <c r="F4" s="655"/>
      <c r="G4" s="655"/>
      <c r="H4" s="655"/>
      <c r="I4" s="656"/>
      <c r="J4" s="834" t="s">
        <v>359</v>
      </c>
    </row>
    <row r="5" spans="2:12" ht="20.100000000000001" customHeight="1">
      <c r="B5" s="832"/>
      <c r="C5" s="661" t="s">
        <v>373</v>
      </c>
      <c r="D5" s="660"/>
      <c r="E5" s="837" t="s">
        <v>360</v>
      </c>
      <c r="F5" s="839" t="s">
        <v>361</v>
      </c>
      <c r="G5" s="839" t="s">
        <v>362</v>
      </c>
      <c r="H5" s="837" t="s">
        <v>363</v>
      </c>
      <c r="I5" s="839" t="s">
        <v>361</v>
      </c>
      <c r="J5" s="835"/>
    </row>
    <row r="6" spans="2:12" ht="33" customHeight="1" thickBot="1">
      <c r="B6" s="833"/>
      <c r="C6" s="540" t="s">
        <v>371</v>
      </c>
      <c r="D6" s="653" t="s">
        <v>372</v>
      </c>
      <c r="E6" s="838"/>
      <c r="F6" s="840"/>
      <c r="G6" s="840"/>
      <c r="H6" s="838"/>
      <c r="I6" s="840"/>
      <c r="J6" s="836"/>
    </row>
    <row r="7" spans="2:12" ht="20.100000000000001" customHeight="1">
      <c r="B7" s="541" t="s">
        <v>364</v>
      </c>
      <c r="C7" s="768"/>
      <c r="D7" s="712">
        <f>C7/24</f>
        <v>0</v>
      </c>
      <c r="E7" s="713"/>
      <c r="F7" s="713">
        <f t="shared" ref="F7:F36" si="0">C7*E7</f>
        <v>0</v>
      </c>
      <c r="G7" s="731">
        <v>0</v>
      </c>
      <c r="H7" s="713"/>
      <c r="I7" s="713">
        <f>G7*H7</f>
        <v>0</v>
      </c>
      <c r="J7" s="714">
        <f>F7+I7</f>
        <v>0</v>
      </c>
      <c r="L7" s="675"/>
    </row>
    <row r="8" spans="2:12" ht="20.100000000000001" customHeight="1">
      <c r="B8" s="541" t="s">
        <v>286</v>
      </c>
      <c r="C8" s="768"/>
      <c r="D8" s="712">
        <f t="shared" ref="D8:D36" si="1">C8/24</f>
        <v>0</v>
      </c>
      <c r="E8" s="713"/>
      <c r="F8" s="713">
        <f t="shared" si="0"/>
        <v>0</v>
      </c>
      <c r="G8" s="731">
        <v>0</v>
      </c>
      <c r="H8" s="713"/>
      <c r="I8" s="713">
        <f t="shared" ref="I8:I32" si="2">G8*H8</f>
        <v>0</v>
      </c>
      <c r="J8" s="714">
        <f t="shared" ref="J8:J36" si="3">F8+I8</f>
        <v>0</v>
      </c>
      <c r="L8" s="675"/>
    </row>
    <row r="9" spans="2:12" ht="20.100000000000001" customHeight="1">
      <c r="B9" s="541" t="s">
        <v>287</v>
      </c>
      <c r="C9" s="768"/>
      <c r="D9" s="712">
        <f t="shared" si="1"/>
        <v>0</v>
      </c>
      <c r="E9" s="713"/>
      <c r="F9" s="713">
        <f t="shared" si="0"/>
        <v>0</v>
      </c>
      <c r="G9" s="731">
        <v>0</v>
      </c>
      <c r="H9" s="713"/>
      <c r="I9" s="713">
        <f t="shared" si="2"/>
        <v>0</v>
      </c>
      <c r="J9" s="714">
        <f t="shared" si="3"/>
        <v>0</v>
      </c>
      <c r="L9" s="675"/>
    </row>
    <row r="10" spans="2:12" ht="20.100000000000001" customHeight="1">
      <c r="B10" s="541" t="s">
        <v>288</v>
      </c>
      <c r="C10" s="768"/>
      <c r="D10" s="712">
        <f t="shared" si="1"/>
        <v>0</v>
      </c>
      <c r="E10" s="713"/>
      <c r="F10" s="713">
        <f t="shared" si="0"/>
        <v>0</v>
      </c>
      <c r="G10" s="731">
        <v>0</v>
      </c>
      <c r="H10" s="713"/>
      <c r="I10" s="713">
        <f t="shared" si="2"/>
        <v>0</v>
      </c>
      <c r="J10" s="714">
        <f t="shared" si="3"/>
        <v>0</v>
      </c>
      <c r="K10" s="674"/>
      <c r="L10" s="675"/>
    </row>
    <row r="11" spans="2:12" ht="20.100000000000001" customHeight="1">
      <c r="B11" s="541" t="s">
        <v>289</v>
      </c>
      <c r="C11" s="768"/>
      <c r="D11" s="712">
        <f t="shared" si="1"/>
        <v>0</v>
      </c>
      <c r="E11" s="713"/>
      <c r="F11" s="713">
        <f t="shared" si="0"/>
        <v>0</v>
      </c>
      <c r="G11" s="731">
        <v>0</v>
      </c>
      <c r="H11" s="713"/>
      <c r="I11" s="713">
        <f t="shared" si="2"/>
        <v>0</v>
      </c>
      <c r="J11" s="714">
        <f t="shared" si="3"/>
        <v>0</v>
      </c>
      <c r="L11" s="675"/>
    </row>
    <row r="12" spans="2:12" ht="20.100000000000001" customHeight="1">
      <c r="B12" s="541" t="s">
        <v>290</v>
      </c>
      <c r="C12" s="768"/>
      <c r="D12" s="712">
        <f t="shared" si="1"/>
        <v>0</v>
      </c>
      <c r="E12" s="713"/>
      <c r="F12" s="713">
        <f t="shared" si="0"/>
        <v>0</v>
      </c>
      <c r="G12" s="731">
        <v>0</v>
      </c>
      <c r="H12" s="713"/>
      <c r="I12" s="713">
        <f t="shared" si="2"/>
        <v>0</v>
      </c>
      <c r="J12" s="714">
        <f t="shared" si="3"/>
        <v>0</v>
      </c>
      <c r="L12" s="675"/>
    </row>
    <row r="13" spans="2:12" ht="20.100000000000001" customHeight="1">
      <c r="B13" s="541" t="s">
        <v>291</v>
      </c>
      <c r="C13" s="768"/>
      <c r="D13" s="712">
        <f t="shared" si="1"/>
        <v>0</v>
      </c>
      <c r="E13" s="713"/>
      <c r="F13" s="713">
        <f t="shared" si="0"/>
        <v>0</v>
      </c>
      <c r="G13" s="731">
        <v>0</v>
      </c>
      <c r="H13" s="713"/>
      <c r="I13" s="713">
        <f t="shared" si="2"/>
        <v>0</v>
      </c>
      <c r="J13" s="714">
        <f t="shared" si="3"/>
        <v>0</v>
      </c>
      <c r="L13" s="675"/>
    </row>
    <row r="14" spans="2:12" ht="20.100000000000001" customHeight="1">
      <c r="B14" s="541" t="s">
        <v>292</v>
      </c>
      <c r="C14" s="768"/>
      <c r="D14" s="712">
        <f t="shared" si="1"/>
        <v>0</v>
      </c>
      <c r="E14" s="713"/>
      <c r="F14" s="713">
        <f t="shared" si="0"/>
        <v>0</v>
      </c>
      <c r="G14" s="731">
        <v>0</v>
      </c>
      <c r="H14" s="713"/>
      <c r="I14" s="713">
        <f t="shared" si="2"/>
        <v>0</v>
      </c>
      <c r="J14" s="714">
        <f t="shared" si="3"/>
        <v>0</v>
      </c>
      <c r="L14" s="675"/>
    </row>
    <row r="15" spans="2:12" ht="20.45" customHeight="1">
      <c r="B15" s="541" t="s">
        <v>293</v>
      </c>
      <c r="C15" s="768"/>
      <c r="D15" s="712">
        <f t="shared" si="1"/>
        <v>0</v>
      </c>
      <c r="E15" s="713"/>
      <c r="F15" s="713">
        <f t="shared" si="0"/>
        <v>0</v>
      </c>
      <c r="G15" s="731">
        <v>0</v>
      </c>
      <c r="H15" s="713"/>
      <c r="I15" s="713">
        <f t="shared" si="2"/>
        <v>0</v>
      </c>
      <c r="J15" s="714">
        <f t="shared" si="3"/>
        <v>0</v>
      </c>
      <c r="L15" s="675"/>
    </row>
    <row r="16" spans="2:12" ht="20.100000000000001" customHeight="1">
      <c r="B16" s="541" t="s">
        <v>294</v>
      </c>
      <c r="C16" s="768"/>
      <c r="D16" s="712">
        <f t="shared" si="1"/>
        <v>0</v>
      </c>
      <c r="E16" s="713"/>
      <c r="F16" s="713">
        <f t="shared" si="0"/>
        <v>0</v>
      </c>
      <c r="G16" s="731">
        <v>0</v>
      </c>
      <c r="H16" s="713"/>
      <c r="I16" s="713">
        <f t="shared" si="2"/>
        <v>0</v>
      </c>
      <c r="J16" s="714">
        <f t="shared" si="3"/>
        <v>0</v>
      </c>
      <c r="L16" s="675"/>
    </row>
    <row r="17" spans="2:12" ht="20.100000000000001" customHeight="1">
      <c r="B17" s="541" t="s">
        <v>295</v>
      </c>
      <c r="C17" s="768"/>
      <c r="D17" s="712">
        <f t="shared" si="1"/>
        <v>0</v>
      </c>
      <c r="E17" s="713"/>
      <c r="F17" s="713">
        <f t="shared" si="0"/>
        <v>0</v>
      </c>
      <c r="G17" s="731">
        <v>0</v>
      </c>
      <c r="H17" s="713"/>
      <c r="I17" s="713">
        <f t="shared" si="2"/>
        <v>0</v>
      </c>
      <c r="J17" s="714">
        <f t="shared" si="3"/>
        <v>0</v>
      </c>
      <c r="L17" s="675"/>
    </row>
    <row r="18" spans="2:12" ht="20.100000000000001" customHeight="1">
      <c r="B18" s="541" t="s">
        <v>296</v>
      </c>
      <c r="C18" s="768"/>
      <c r="D18" s="712">
        <f t="shared" si="1"/>
        <v>0</v>
      </c>
      <c r="E18" s="713"/>
      <c r="F18" s="713">
        <f t="shared" si="0"/>
        <v>0</v>
      </c>
      <c r="G18" s="731">
        <v>0</v>
      </c>
      <c r="H18" s="713"/>
      <c r="I18" s="713">
        <f t="shared" si="2"/>
        <v>0</v>
      </c>
      <c r="J18" s="714">
        <f t="shared" si="3"/>
        <v>0</v>
      </c>
      <c r="L18" s="675"/>
    </row>
    <row r="19" spans="2:12" ht="20.100000000000001" customHeight="1">
      <c r="B19" s="541" t="s">
        <v>297</v>
      </c>
      <c r="C19" s="769"/>
      <c r="D19" s="712">
        <f t="shared" si="1"/>
        <v>0</v>
      </c>
      <c r="E19" s="713"/>
      <c r="F19" s="713">
        <f t="shared" si="0"/>
        <v>0</v>
      </c>
      <c r="G19" s="731">
        <v>0</v>
      </c>
      <c r="H19" s="713"/>
      <c r="I19" s="713">
        <f t="shared" si="2"/>
        <v>0</v>
      </c>
      <c r="J19" s="714">
        <f t="shared" si="3"/>
        <v>0</v>
      </c>
      <c r="L19" s="675"/>
    </row>
    <row r="20" spans="2:12" ht="20.100000000000001" customHeight="1">
      <c r="B20" s="541" t="s">
        <v>298</v>
      </c>
      <c r="C20" s="768"/>
      <c r="D20" s="712">
        <f t="shared" si="1"/>
        <v>0</v>
      </c>
      <c r="E20" s="713"/>
      <c r="F20" s="713">
        <f t="shared" si="0"/>
        <v>0</v>
      </c>
      <c r="G20" s="731">
        <v>0</v>
      </c>
      <c r="H20" s="713"/>
      <c r="I20" s="713">
        <f t="shared" si="2"/>
        <v>0</v>
      </c>
      <c r="J20" s="714">
        <f t="shared" si="3"/>
        <v>0</v>
      </c>
      <c r="L20" s="675"/>
    </row>
    <row r="21" spans="2:12" ht="20.100000000000001" customHeight="1">
      <c r="B21" s="541" t="s">
        <v>299</v>
      </c>
      <c r="C21" s="768"/>
      <c r="D21" s="712">
        <f t="shared" si="1"/>
        <v>0</v>
      </c>
      <c r="E21" s="713"/>
      <c r="F21" s="713">
        <f t="shared" si="0"/>
        <v>0</v>
      </c>
      <c r="G21" s="731">
        <v>0</v>
      </c>
      <c r="H21" s="713"/>
      <c r="I21" s="713">
        <f t="shared" si="2"/>
        <v>0</v>
      </c>
      <c r="J21" s="714">
        <f t="shared" si="3"/>
        <v>0</v>
      </c>
      <c r="L21" s="675"/>
    </row>
    <row r="22" spans="2:12" ht="20.100000000000001" customHeight="1">
      <c r="B22" s="541" t="s">
        <v>300</v>
      </c>
      <c r="C22" s="768"/>
      <c r="D22" s="712">
        <f t="shared" si="1"/>
        <v>0</v>
      </c>
      <c r="E22" s="713"/>
      <c r="F22" s="713">
        <f t="shared" si="0"/>
        <v>0</v>
      </c>
      <c r="G22" s="731">
        <v>0</v>
      </c>
      <c r="H22" s="713"/>
      <c r="I22" s="713">
        <f t="shared" si="2"/>
        <v>0</v>
      </c>
      <c r="J22" s="714">
        <f t="shared" si="3"/>
        <v>0</v>
      </c>
      <c r="L22" s="675"/>
    </row>
    <row r="23" spans="2:12" ht="20.100000000000001" customHeight="1">
      <c r="B23" s="541" t="s">
        <v>301</v>
      </c>
      <c r="C23" s="768"/>
      <c r="D23" s="712">
        <f t="shared" si="1"/>
        <v>0</v>
      </c>
      <c r="E23" s="713"/>
      <c r="F23" s="713">
        <f t="shared" si="0"/>
        <v>0</v>
      </c>
      <c r="G23" s="731">
        <v>0</v>
      </c>
      <c r="H23" s="713"/>
      <c r="I23" s="713">
        <f t="shared" si="2"/>
        <v>0</v>
      </c>
      <c r="J23" s="714">
        <f t="shared" si="3"/>
        <v>0</v>
      </c>
      <c r="L23" s="675"/>
    </row>
    <row r="24" spans="2:12" ht="20.100000000000001" customHeight="1">
      <c r="B24" s="541" t="s">
        <v>302</v>
      </c>
      <c r="C24" s="768"/>
      <c r="D24" s="712">
        <f t="shared" si="1"/>
        <v>0</v>
      </c>
      <c r="E24" s="713"/>
      <c r="F24" s="713">
        <f t="shared" si="0"/>
        <v>0</v>
      </c>
      <c r="G24" s="731">
        <v>0</v>
      </c>
      <c r="H24" s="713"/>
      <c r="I24" s="713">
        <f t="shared" si="2"/>
        <v>0</v>
      </c>
      <c r="J24" s="714">
        <f t="shared" si="3"/>
        <v>0</v>
      </c>
      <c r="L24" s="675"/>
    </row>
    <row r="25" spans="2:12" ht="20.100000000000001" customHeight="1">
      <c r="B25" s="541" t="s">
        <v>303</v>
      </c>
      <c r="C25" s="768"/>
      <c r="D25" s="712">
        <f t="shared" si="1"/>
        <v>0</v>
      </c>
      <c r="E25" s="713"/>
      <c r="F25" s="713">
        <f t="shared" si="0"/>
        <v>0</v>
      </c>
      <c r="G25" s="731">
        <v>0</v>
      </c>
      <c r="H25" s="713"/>
      <c r="I25" s="713">
        <f t="shared" si="2"/>
        <v>0</v>
      </c>
      <c r="J25" s="714">
        <f t="shared" si="3"/>
        <v>0</v>
      </c>
      <c r="L25" s="675"/>
    </row>
    <row r="26" spans="2:12" ht="20.100000000000001" customHeight="1">
      <c r="B26" s="541" t="s">
        <v>304</v>
      </c>
      <c r="C26" s="768"/>
      <c r="D26" s="712">
        <f t="shared" si="1"/>
        <v>0</v>
      </c>
      <c r="E26" s="713"/>
      <c r="F26" s="713">
        <f t="shared" si="0"/>
        <v>0</v>
      </c>
      <c r="G26" s="731">
        <v>0</v>
      </c>
      <c r="H26" s="713"/>
      <c r="I26" s="713">
        <f t="shared" si="2"/>
        <v>0</v>
      </c>
      <c r="J26" s="714">
        <f t="shared" si="3"/>
        <v>0</v>
      </c>
      <c r="L26" s="675"/>
    </row>
    <row r="27" spans="2:12" ht="20.100000000000001" customHeight="1">
      <c r="B27" s="541" t="s">
        <v>305</v>
      </c>
      <c r="C27" s="768"/>
      <c r="D27" s="712">
        <f t="shared" si="1"/>
        <v>0</v>
      </c>
      <c r="E27" s="713"/>
      <c r="F27" s="713">
        <f t="shared" si="0"/>
        <v>0</v>
      </c>
      <c r="G27" s="731">
        <v>0</v>
      </c>
      <c r="H27" s="713"/>
      <c r="I27" s="713">
        <f t="shared" si="2"/>
        <v>0</v>
      </c>
      <c r="J27" s="714">
        <f t="shared" si="3"/>
        <v>0</v>
      </c>
      <c r="L27" s="675"/>
    </row>
    <row r="28" spans="2:12" ht="20.100000000000001" customHeight="1">
      <c r="B28" s="541" t="s">
        <v>306</v>
      </c>
      <c r="C28" s="768"/>
      <c r="D28" s="712">
        <f t="shared" si="1"/>
        <v>0</v>
      </c>
      <c r="E28" s="713"/>
      <c r="F28" s="713">
        <f t="shared" si="0"/>
        <v>0</v>
      </c>
      <c r="G28" s="731">
        <v>0</v>
      </c>
      <c r="H28" s="713"/>
      <c r="I28" s="713">
        <f t="shared" si="2"/>
        <v>0</v>
      </c>
      <c r="J28" s="714">
        <f t="shared" si="3"/>
        <v>0</v>
      </c>
      <c r="L28" s="675"/>
    </row>
    <row r="29" spans="2:12" ht="20.100000000000001" customHeight="1">
      <c r="B29" s="541" t="s">
        <v>307</v>
      </c>
      <c r="C29" s="768"/>
      <c r="D29" s="712">
        <f t="shared" si="1"/>
        <v>0</v>
      </c>
      <c r="E29" s="713"/>
      <c r="F29" s="713">
        <f t="shared" si="0"/>
        <v>0</v>
      </c>
      <c r="G29" s="731">
        <v>0</v>
      </c>
      <c r="H29" s="713"/>
      <c r="I29" s="713">
        <f t="shared" si="2"/>
        <v>0</v>
      </c>
      <c r="J29" s="714">
        <f t="shared" si="3"/>
        <v>0</v>
      </c>
      <c r="L29" s="675"/>
    </row>
    <row r="30" spans="2:12" ht="20.100000000000001" customHeight="1">
      <c r="B30" s="541" t="s">
        <v>308</v>
      </c>
      <c r="C30" s="768"/>
      <c r="D30" s="712">
        <f t="shared" si="1"/>
        <v>0</v>
      </c>
      <c r="E30" s="713"/>
      <c r="F30" s="713">
        <f t="shared" si="0"/>
        <v>0</v>
      </c>
      <c r="G30" s="731">
        <v>0</v>
      </c>
      <c r="H30" s="713"/>
      <c r="I30" s="713">
        <f t="shared" si="2"/>
        <v>0</v>
      </c>
      <c r="J30" s="714">
        <f t="shared" si="3"/>
        <v>0</v>
      </c>
      <c r="L30" s="675"/>
    </row>
    <row r="31" spans="2:12" ht="20.100000000000001" customHeight="1">
      <c r="B31" s="541" t="s">
        <v>309</v>
      </c>
      <c r="C31" s="768"/>
      <c r="D31" s="712">
        <f t="shared" si="1"/>
        <v>0</v>
      </c>
      <c r="E31" s="713"/>
      <c r="F31" s="713">
        <f t="shared" si="0"/>
        <v>0</v>
      </c>
      <c r="G31" s="731">
        <v>0</v>
      </c>
      <c r="H31" s="713"/>
      <c r="I31" s="713">
        <f t="shared" si="2"/>
        <v>0</v>
      </c>
      <c r="J31" s="714">
        <f t="shared" si="3"/>
        <v>0</v>
      </c>
      <c r="L31" s="674"/>
    </row>
    <row r="32" spans="2:12" ht="20.100000000000001" customHeight="1">
      <c r="B32" s="541" t="s">
        <v>310</v>
      </c>
      <c r="C32" s="768"/>
      <c r="D32" s="712">
        <f t="shared" si="1"/>
        <v>0</v>
      </c>
      <c r="E32" s="713"/>
      <c r="F32" s="713">
        <f t="shared" si="0"/>
        <v>0</v>
      </c>
      <c r="G32" s="731">
        <v>0</v>
      </c>
      <c r="H32" s="713"/>
      <c r="I32" s="713">
        <f t="shared" si="2"/>
        <v>0</v>
      </c>
      <c r="J32" s="714">
        <f t="shared" si="3"/>
        <v>0</v>
      </c>
    </row>
    <row r="33" spans="2:14" ht="20.100000000000001" customHeight="1">
      <c r="B33" s="541" t="s">
        <v>311</v>
      </c>
      <c r="C33" s="768"/>
      <c r="D33" s="712">
        <f t="shared" si="1"/>
        <v>0</v>
      </c>
      <c r="E33" s="713"/>
      <c r="F33" s="713">
        <f t="shared" si="0"/>
        <v>0</v>
      </c>
      <c r="G33" s="731">
        <v>0</v>
      </c>
      <c r="H33" s="713"/>
      <c r="I33" s="713">
        <f>G33*H33</f>
        <v>0</v>
      </c>
      <c r="J33" s="714">
        <f t="shared" si="3"/>
        <v>0</v>
      </c>
    </row>
    <row r="34" spans="2:14" ht="20.100000000000001" customHeight="1">
      <c r="B34" s="541" t="s">
        <v>312</v>
      </c>
      <c r="C34" s="768"/>
      <c r="D34" s="712">
        <f t="shared" si="1"/>
        <v>0</v>
      </c>
      <c r="E34" s="713"/>
      <c r="F34" s="713">
        <f t="shared" si="0"/>
        <v>0</v>
      </c>
      <c r="G34" s="731">
        <v>0</v>
      </c>
      <c r="H34" s="713"/>
      <c r="I34" s="713">
        <f>G34*H34</f>
        <v>0</v>
      </c>
      <c r="J34" s="714">
        <f t="shared" si="3"/>
        <v>0</v>
      </c>
    </row>
    <row r="35" spans="2:14" ht="20.100000000000001" customHeight="1">
      <c r="B35" s="541" t="s">
        <v>411</v>
      </c>
      <c r="C35" s="768"/>
      <c r="D35" s="712">
        <f t="shared" ref="D35" si="4">C35/24</f>
        <v>0</v>
      </c>
      <c r="E35" s="713"/>
      <c r="F35" s="713">
        <f t="shared" ref="F35" si="5">C35*E35</f>
        <v>0</v>
      </c>
      <c r="G35" s="731">
        <v>0</v>
      </c>
      <c r="H35" s="713"/>
      <c r="I35" s="713"/>
      <c r="J35" s="714">
        <f t="shared" si="3"/>
        <v>0</v>
      </c>
    </row>
    <row r="36" spans="2:14" ht="20.100000000000001" customHeight="1">
      <c r="B36" s="541" t="s">
        <v>412</v>
      </c>
      <c r="C36" s="768"/>
      <c r="D36" s="712">
        <f t="shared" si="1"/>
        <v>0</v>
      </c>
      <c r="E36" s="713"/>
      <c r="F36" s="713">
        <f t="shared" si="0"/>
        <v>0</v>
      </c>
      <c r="G36" s="731">
        <v>0</v>
      </c>
      <c r="H36" s="713"/>
      <c r="I36" s="713">
        <f t="shared" ref="I36" si="6">G36*H36</f>
        <v>0</v>
      </c>
      <c r="J36" s="714">
        <f t="shared" si="3"/>
        <v>0</v>
      </c>
    </row>
    <row r="37" spans="2:14" ht="20.100000000000001" customHeight="1" thickBot="1">
      <c r="B37" s="541" t="s">
        <v>482</v>
      </c>
      <c r="C37" s="768"/>
      <c r="D37" s="712">
        <f t="shared" ref="D37" si="7">C37/24</f>
        <v>0</v>
      </c>
      <c r="E37" s="713"/>
      <c r="F37" s="713">
        <f t="shared" ref="F37" si="8">C37*E37</f>
        <v>0</v>
      </c>
      <c r="G37" s="731">
        <v>0</v>
      </c>
      <c r="H37" s="713"/>
      <c r="I37" s="713">
        <f t="shared" ref="I37" si="9">G37*H37</f>
        <v>0</v>
      </c>
      <c r="J37" s="714">
        <f t="shared" ref="J37" si="10">F37+I37</f>
        <v>0</v>
      </c>
    </row>
    <row r="38" spans="2:14" ht="20.100000000000001" customHeight="1">
      <c r="B38" s="543" t="s">
        <v>313</v>
      </c>
      <c r="C38" s="715">
        <f>SUM(C7:C37)</f>
        <v>0</v>
      </c>
      <c r="D38" s="715"/>
      <c r="E38" s="544"/>
      <c r="F38" s="544">
        <f>SUM(F7:F37)</f>
        <v>0</v>
      </c>
      <c r="G38" s="715">
        <f>SUM(G7:G36)</f>
        <v>0</v>
      </c>
      <c r="H38" s="544"/>
      <c r="I38" s="544">
        <f>SUM(I7:I37)</f>
        <v>0</v>
      </c>
      <c r="J38" s="545">
        <f>SUM(J7:J37)</f>
        <v>0</v>
      </c>
      <c r="K38" s="596"/>
    </row>
    <row r="39" spans="2:14" ht="20.100000000000001" customHeight="1" thickBot="1">
      <c r="B39" s="546" t="s">
        <v>314</v>
      </c>
      <c r="C39" s="716" t="e">
        <f>AVERAGE(C7:C36)</f>
        <v>#DIV/0!</v>
      </c>
      <c r="D39" s="717" t="e">
        <f>C39/24</f>
        <v>#DIV/0!</v>
      </c>
      <c r="E39" s="716"/>
      <c r="F39" s="716">
        <f>AVERAGE(F7:F36)</f>
        <v>0</v>
      </c>
      <c r="G39" s="716">
        <f>AVERAGE(G7:G36)</f>
        <v>0</v>
      </c>
      <c r="H39" s="716"/>
      <c r="I39" s="716">
        <f>AVERAGE(I7:I36)</f>
        <v>0</v>
      </c>
      <c r="J39" s="718">
        <f>AVERAGE(J7:J36)</f>
        <v>0</v>
      </c>
      <c r="N39" s="674"/>
    </row>
    <row r="40" spans="2:14" ht="20.100000000000001" customHeight="1">
      <c r="B40" s="830"/>
      <c r="C40" s="830"/>
      <c r="D40" s="830"/>
      <c r="E40" s="830"/>
      <c r="F40" s="830"/>
      <c r="G40" s="830"/>
      <c r="H40" s="830"/>
      <c r="I40" s="830"/>
      <c r="J40" s="542"/>
      <c r="L40" s="703"/>
    </row>
    <row r="41" spans="2:14" ht="20.100000000000001" customHeight="1" thickBot="1">
      <c r="C41" s="646"/>
      <c r="D41" s="646"/>
      <c r="E41" s="646"/>
      <c r="F41" s="646"/>
      <c r="G41" s="646"/>
      <c r="H41" s="647" t="s">
        <v>365</v>
      </c>
      <c r="I41" s="646"/>
      <c r="J41" s="646"/>
      <c r="K41" s="703"/>
    </row>
    <row r="42" spans="2:14">
      <c r="D42" s="552" t="s">
        <v>366</v>
      </c>
      <c r="E42" s="544" t="s">
        <v>367</v>
      </c>
      <c r="F42" s="544" t="s">
        <v>368</v>
      </c>
      <c r="G42" s="550" t="s">
        <v>330</v>
      </c>
      <c r="H42" s="545" t="s">
        <v>369</v>
      </c>
      <c r="I42" s="547"/>
      <c r="J42" s="547"/>
      <c r="K42" s="547"/>
    </row>
    <row r="43" spans="2:14" ht="35.1" customHeight="1" thickBot="1">
      <c r="D43" s="553" t="s">
        <v>370</v>
      </c>
      <c r="E43" s="548">
        <v>122450000</v>
      </c>
      <c r="F43" s="548">
        <f>H43-E43</f>
        <v>-72450000</v>
      </c>
      <c r="G43" s="551">
        <v>50000000</v>
      </c>
      <c r="H43" s="549">
        <f>J38+G43</f>
        <v>50000000</v>
      </c>
      <c r="I43" s="547"/>
      <c r="J43" s="547"/>
      <c r="K43" s="542"/>
    </row>
    <row r="44" spans="2:14" ht="20.100000000000001" customHeight="1">
      <c r="C44" s="547"/>
      <c r="D44" s="547"/>
      <c r="E44" s="547"/>
      <c r="F44" s="547"/>
      <c r="G44" s="547"/>
      <c r="H44" s="547"/>
      <c r="I44" s="547"/>
      <c r="J44" s="547"/>
      <c r="K44" s="547"/>
      <c r="L44" s="542"/>
    </row>
    <row r="45" spans="2:14" ht="20.100000000000001" customHeight="1">
      <c r="B45" s="547"/>
      <c r="C45" s="547"/>
      <c r="D45" s="547"/>
      <c r="E45" s="547"/>
      <c r="F45" s="547"/>
      <c r="G45" s="547"/>
      <c r="I45" s="542"/>
      <c r="J45" s="542"/>
      <c r="K45" s="542"/>
      <c r="M45" s="542"/>
    </row>
    <row r="46" spans="2:14" ht="20.100000000000001" customHeight="1">
      <c r="B46" s="547"/>
      <c r="C46" s="547"/>
      <c r="D46" s="547"/>
      <c r="E46" s="547"/>
      <c r="F46" s="547"/>
      <c r="G46" s="547"/>
      <c r="I46" s="542"/>
      <c r="J46" s="542"/>
      <c r="K46" s="542"/>
    </row>
    <row r="47" spans="2:14" ht="20.100000000000001" customHeight="1">
      <c r="B47" s="547"/>
      <c r="C47" s="547"/>
      <c r="D47" s="547"/>
      <c r="E47" s="547"/>
      <c r="F47" s="547"/>
      <c r="G47" s="547"/>
      <c r="H47" s="547"/>
      <c r="I47" s="547"/>
    </row>
    <row r="48" spans="2:14" ht="20.100000000000001" customHeight="1">
      <c r="B48" s="547"/>
      <c r="C48" s="547"/>
      <c r="D48" s="547"/>
      <c r="E48" s="547"/>
      <c r="F48" s="547"/>
      <c r="G48" s="547"/>
      <c r="H48" s="547"/>
    </row>
    <row r="49" spans="2:9" ht="20.100000000000001" customHeight="1">
      <c r="B49" s="547"/>
      <c r="C49" s="547"/>
      <c r="D49" s="547"/>
      <c r="E49" s="547"/>
      <c r="F49" s="547"/>
      <c r="G49" s="547"/>
      <c r="H49" s="547"/>
    </row>
    <row r="50" spans="2:9" ht="20.100000000000001" customHeight="1">
      <c r="B50" s="547"/>
      <c r="C50" s="547"/>
      <c r="D50" s="547"/>
      <c r="E50" s="547"/>
      <c r="F50" s="547"/>
      <c r="G50" s="547"/>
      <c r="H50" s="547"/>
    </row>
    <row r="51" spans="2:9" ht="20.100000000000001" customHeight="1">
      <c r="B51" s="547"/>
      <c r="C51" s="547"/>
      <c r="D51" s="547"/>
      <c r="E51" s="547"/>
      <c r="F51" s="547"/>
      <c r="G51" s="547"/>
      <c r="H51" s="547"/>
    </row>
    <row r="52" spans="2:9" ht="20.100000000000001" customHeight="1">
      <c r="B52" s="547"/>
      <c r="C52" s="547"/>
      <c r="D52" s="547"/>
      <c r="E52" s="547"/>
      <c r="F52" s="547"/>
      <c r="G52" s="547"/>
      <c r="H52" s="547"/>
    </row>
    <row r="53" spans="2:9" ht="20.100000000000001" customHeight="1">
      <c r="B53" s="547"/>
      <c r="C53" s="547"/>
      <c r="D53" s="547"/>
      <c r="E53" s="547"/>
      <c r="F53" s="547"/>
      <c r="G53" s="547"/>
      <c r="H53" s="547"/>
    </row>
    <row r="54" spans="2:9" ht="20.100000000000001" customHeight="1">
      <c r="B54" s="547"/>
      <c r="C54" s="547"/>
      <c r="D54" s="547"/>
      <c r="E54" s="547"/>
      <c r="F54" s="547"/>
      <c r="G54" s="547"/>
      <c r="H54" s="547"/>
    </row>
    <row r="55" spans="2:9" ht="20.100000000000001" customHeight="1">
      <c r="B55" s="547"/>
      <c r="C55" s="547"/>
      <c r="D55" s="547"/>
      <c r="E55" s="547"/>
      <c r="F55" s="547"/>
      <c r="G55" s="547"/>
      <c r="H55" s="547"/>
    </row>
    <row r="56" spans="2:9" ht="20.100000000000001" customHeight="1">
      <c r="B56" s="547"/>
      <c r="C56" s="547"/>
      <c r="D56" s="547"/>
      <c r="E56" s="547"/>
      <c r="F56" s="547"/>
      <c r="G56" s="547"/>
      <c r="H56" s="547"/>
    </row>
    <row r="57" spans="2:9" ht="20.100000000000001" customHeight="1">
      <c r="B57" s="547"/>
      <c r="C57" s="547"/>
      <c r="D57" s="547"/>
      <c r="E57" s="547"/>
      <c r="F57" s="547"/>
      <c r="G57" s="547"/>
      <c r="H57" s="547"/>
    </row>
    <row r="58" spans="2:9" ht="20.100000000000001" customHeight="1">
      <c r="B58" s="547"/>
      <c r="C58" s="547"/>
      <c r="D58" s="547"/>
      <c r="E58" s="547"/>
      <c r="F58" s="547"/>
      <c r="G58" s="547"/>
      <c r="H58" s="547"/>
    </row>
    <row r="59" spans="2:9" ht="20.100000000000001" customHeight="1">
      <c r="B59" s="547"/>
      <c r="C59" s="547"/>
      <c r="D59" s="547"/>
      <c r="E59" s="547"/>
      <c r="F59" s="547"/>
      <c r="G59" s="547"/>
      <c r="H59" s="547"/>
    </row>
    <row r="60" spans="2:9" ht="20.100000000000001" customHeight="1">
      <c r="B60" s="547"/>
      <c r="C60" s="547"/>
      <c r="D60" s="547"/>
      <c r="E60" s="547"/>
      <c r="F60" s="547"/>
      <c r="G60" s="547"/>
      <c r="H60" s="547"/>
    </row>
    <row r="61" spans="2:9" ht="20.100000000000001" customHeight="1">
      <c r="B61" s="547"/>
      <c r="C61" s="547"/>
      <c r="D61" s="547"/>
      <c r="E61" s="547"/>
      <c r="F61" s="547"/>
      <c r="G61" s="547"/>
      <c r="H61" s="547"/>
    </row>
    <row r="62" spans="2:9" ht="20.100000000000001" customHeight="1">
      <c r="B62" s="547"/>
      <c r="C62" s="547"/>
      <c r="D62" s="547"/>
      <c r="E62" s="547"/>
      <c r="F62" s="547"/>
      <c r="G62" s="547"/>
      <c r="H62" s="547"/>
    </row>
    <row r="63" spans="2:9" ht="20.100000000000001" customHeight="1">
      <c r="B63" s="547"/>
      <c r="C63" s="547"/>
      <c r="D63" s="547"/>
      <c r="E63" s="547"/>
      <c r="F63" s="547"/>
      <c r="G63" s="547"/>
      <c r="H63" s="547"/>
    </row>
    <row r="64" spans="2:9" ht="20.100000000000001" customHeight="1">
      <c r="B64" s="547"/>
      <c r="C64" s="547"/>
      <c r="D64" s="547"/>
      <c r="E64" s="547"/>
      <c r="F64" s="547"/>
      <c r="G64" s="547"/>
      <c r="H64" s="547"/>
      <c r="I64" s="547"/>
    </row>
    <row r="65" spans="2:9" ht="20.100000000000001" customHeight="1">
      <c r="B65" s="547"/>
      <c r="C65" s="547"/>
      <c r="D65" s="547"/>
      <c r="E65" s="547"/>
      <c r="F65" s="547"/>
      <c r="G65" s="547"/>
      <c r="H65" s="547"/>
      <c r="I65" s="547"/>
    </row>
    <row r="66" spans="2:9" ht="20.100000000000001" customHeight="1">
      <c r="B66" s="547"/>
      <c r="C66" s="547"/>
      <c r="D66" s="547"/>
      <c r="E66" s="547"/>
      <c r="F66" s="547"/>
      <c r="G66" s="547"/>
      <c r="H66" s="547"/>
      <c r="I66" s="547"/>
    </row>
    <row r="67" spans="2:9" ht="20.100000000000001" customHeight="1">
      <c r="B67" s="547"/>
      <c r="C67" s="547"/>
      <c r="D67" s="547"/>
      <c r="E67" s="547"/>
      <c r="F67" s="547"/>
      <c r="G67" s="547"/>
      <c r="H67" s="547"/>
      <c r="I67" s="547"/>
    </row>
    <row r="68" spans="2:9" ht="20.100000000000001" customHeight="1">
      <c r="B68" s="547"/>
      <c r="C68" s="547"/>
      <c r="D68" s="547"/>
      <c r="E68" s="547"/>
      <c r="F68" s="547"/>
      <c r="G68" s="547"/>
      <c r="H68" s="547"/>
      <c r="I68" s="547"/>
    </row>
    <row r="69" spans="2:9" ht="20.100000000000001" customHeight="1">
      <c r="B69" s="547"/>
      <c r="C69" s="547"/>
      <c r="D69" s="547"/>
      <c r="E69" s="547"/>
      <c r="F69" s="547"/>
      <c r="G69" s="547"/>
      <c r="H69" s="547"/>
      <c r="I69" s="547"/>
    </row>
    <row r="70" spans="2:9" ht="20.100000000000001" customHeight="1">
      <c r="B70" s="547"/>
      <c r="C70" s="547"/>
      <c r="D70" s="547"/>
      <c r="E70" s="547"/>
      <c r="F70" s="547"/>
      <c r="G70" s="547"/>
      <c r="H70" s="547"/>
      <c r="I70" s="547"/>
    </row>
    <row r="71" spans="2:9" ht="20.100000000000001" customHeight="1">
      <c r="B71" s="547"/>
      <c r="C71" s="547"/>
      <c r="D71" s="547"/>
      <c r="E71" s="547"/>
      <c r="F71" s="547"/>
      <c r="G71" s="547"/>
      <c r="H71" s="547"/>
      <c r="I71" s="547"/>
    </row>
    <row r="72" spans="2:9" ht="20.100000000000001" customHeight="1"/>
    <row r="73" spans="2:9" ht="20.100000000000001" customHeight="1"/>
    <row r="74" spans="2:9" ht="20.100000000000001" customHeight="1"/>
    <row r="75" spans="2:9" ht="20.100000000000001" customHeight="1"/>
    <row r="76" spans="2:9" ht="20.100000000000001" customHeight="1"/>
    <row r="77" spans="2:9" ht="20.100000000000001" customHeight="1"/>
    <row r="78" spans="2:9" ht="20.100000000000001" customHeight="1"/>
    <row r="79" spans="2:9" ht="20.100000000000001" customHeight="1"/>
    <row r="80" spans="2:9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</sheetData>
  <mergeCells count="9">
    <mergeCell ref="B1:I1"/>
    <mergeCell ref="B40:I40"/>
    <mergeCell ref="B3:B6"/>
    <mergeCell ref="J4:J6"/>
    <mergeCell ref="E5:E6"/>
    <mergeCell ref="F5:F6"/>
    <mergeCell ref="I5:I6"/>
    <mergeCell ref="H5:H6"/>
    <mergeCell ref="G5:G6"/>
  </mergeCells>
  <phoneticPr fontId="2" type="noConversion"/>
  <pageMargins left="0.7" right="0.7" top="0.75" bottom="0.75" header="0.3" footer="0.3"/>
  <pageSetup paperSize="9" orientation="portrait" r:id="rId1"/>
  <ignoredErrors>
    <ignoredError sqref="G38:G39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113"/>
  <sheetViews>
    <sheetView showGridLines="0" zoomScaleNormal="100" workbookViewId="0">
      <pane xSplit="2" ySplit="3" topLeftCell="W60" activePane="bottomRight" state="frozen"/>
      <selection activeCell="C34" sqref="C34"/>
      <selection pane="topRight" activeCell="C34" sqref="C34"/>
      <selection pane="bottomLeft" activeCell="C34" sqref="C34"/>
      <selection pane="bottomRight" activeCell="AK65" sqref="AK65"/>
    </sheetView>
  </sheetViews>
  <sheetFormatPr defaultColWidth="9" defaultRowHeight="20.100000000000001" customHeight="1"/>
  <cols>
    <col min="1" max="1" width="17.875" style="5" bestFit="1" customWidth="1"/>
    <col min="2" max="2" width="21.5" style="5" customWidth="1"/>
    <col min="3" max="3" width="11.875" style="5" bestFit="1" customWidth="1"/>
    <col min="4" max="6" width="12.875" style="5" bestFit="1" customWidth="1"/>
    <col min="7" max="7" width="11.875" style="5" bestFit="1" customWidth="1"/>
    <col min="8" max="8" width="12.5" style="5" bestFit="1" customWidth="1"/>
    <col min="9" max="9" width="12.875" style="5" bestFit="1" customWidth="1"/>
    <col min="10" max="10" width="12.5" style="5" bestFit="1" customWidth="1"/>
    <col min="11" max="15" width="9.75" style="5" bestFit="1" customWidth="1"/>
    <col min="16" max="16" width="10.875" style="5" bestFit="1" customWidth="1"/>
    <col min="17" max="17" width="10" style="386" bestFit="1" customWidth="1"/>
    <col min="18" max="18" width="10.875" style="5" customWidth="1"/>
    <col min="19" max="19" width="10.625" style="5" customWidth="1"/>
    <col min="20" max="20" width="11.25" style="5" customWidth="1"/>
    <col min="21" max="21" width="11.375" style="5" customWidth="1"/>
    <col min="22" max="28" width="9.75" style="5" bestFit="1" customWidth="1"/>
    <col min="29" max="33" width="9.75" style="5" customWidth="1"/>
    <col min="34" max="34" width="11.125" style="5" bestFit="1" customWidth="1"/>
    <col min="35" max="35" width="9.625" style="5" bestFit="1" customWidth="1"/>
    <col min="36" max="36" width="12.875" style="329" bestFit="1" customWidth="1"/>
    <col min="37" max="37" width="12.875" style="340" bestFit="1" customWidth="1"/>
    <col min="38" max="38" width="12.125" style="5" bestFit="1" customWidth="1"/>
    <col min="39" max="39" width="11.125" style="5" bestFit="1" customWidth="1"/>
    <col min="40" max="16384" width="9" style="5"/>
  </cols>
  <sheetData>
    <row r="1" spans="1:39" ht="20.100000000000001" customHeight="1">
      <c r="B1" s="865" t="s">
        <v>480</v>
      </c>
      <c r="C1" s="865"/>
      <c r="D1" s="865"/>
      <c r="E1" s="865"/>
      <c r="F1" s="865"/>
      <c r="G1" s="865"/>
      <c r="H1" s="865"/>
      <c r="I1" s="865"/>
      <c r="J1" s="865"/>
      <c r="K1" s="865"/>
      <c r="L1" s="865"/>
      <c r="M1" s="865"/>
      <c r="N1" s="865"/>
      <c r="O1" s="865"/>
      <c r="P1" s="865"/>
      <c r="Q1" s="865"/>
      <c r="R1" s="865"/>
      <c r="S1" s="865"/>
      <c r="T1" s="865"/>
      <c r="U1" s="865"/>
      <c r="V1" s="865"/>
      <c r="W1" s="865"/>
      <c r="X1" s="865"/>
      <c r="Y1" s="865"/>
      <c r="Z1" s="865"/>
      <c r="AA1" s="865"/>
      <c r="AB1" s="865"/>
      <c r="AC1" s="865"/>
      <c r="AD1" s="865"/>
      <c r="AE1" s="865"/>
      <c r="AF1" s="865"/>
      <c r="AG1" s="865"/>
      <c r="AH1" s="865"/>
      <c r="AI1" s="865"/>
    </row>
    <row r="2" spans="1:39" ht="18" customHeight="1" thickBot="1">
      <c r="C2" s="873"/>
      <c r="D2" s="873"/>
      <c r="E2" s="873"/>
      <c r="F2" s="873"/>
      <c r="G2" s="341"/>
      <c r="H2" s="341"/>
      <c r="I2" s="341"/>
      <c r="J2" s="341"/>
      <c r="K2" s="341"/>
      <c r="L2" s="341"/>
      <c r="M2" s="341"/>
      <c r="N2" s="341"/>
      <c r="O2" s="341"/>
      <c r="P2" s="341"/>
      <c r="Q2" s="341"/>
      <c r="R2" s="341"/>
      <c r="S2" s="341"/>
      <c r="T2" s="341"/>
      <c r="U2" s="341"/>
      <c r="V2" s="341"/>
      <c r="W2" s="341"/>
      <c r="X2" s="341"/>
      <c r="Y2" s="341"/>
      <c r="Z2" s="341"/>
      <c r="AA2" s="341"/>
      <c r="AB2" s="341"/>
      <c r="AC2" s="341"/>
      <c r="AD2" s="341"/>
      <c r="AE2" s="341"/>
      <c r="AF2" s="341"/>
      <c r="AG2" s="341"/>
      <c r="AH2" s="508"/>
      <c r="AK2" s="391"/>
    </row>
    <row r="3" spans="1:39" ht="24" customHeight="1" thickBot="1">
      <c r="A3" s="403" t="s">
        <v>65</v>
      </c>
      <c r="B3" s="404"/>
      <c r="C3" s="405">
        <v>1</v>
      </c>
      <c r="D3" s="405">
        <v>2</v>
      </c>
      <c r="E3" s="405">
        <v>3</v>
      </c>
      <c r="F3" s="405">
        <v>4</v>
      </c>
      <c r="G3" s="405">
        <v>5</v>
      </c>
      <c r="H3" s="405">
        <v>6</v>
      </c>
      <c r="I3" s="405">
        <v>7</v>
      </c>
      <c r="J3" s="405">
        <v>8</v>
      </c>
      <c r="K3" s="405">
        <v>9</v>
      </c>
      <c r="L3" s="405">
        <v>10</v>
      </c>
      <c r="M3" s="405">
        <v>11</v>
      </c>
      <c r="N3" s="405">
        <v>12</v>
      </c>
      <c r="O3" s="405">
        <v>13</v>
      </c>
      <c r="P3" s="405">
        <v>14</v>
      </c>
      <c r="Q3" s="405">
        <v>15</v>
      </c>
      <c r="R3" s="405">
        <v>16</v>
      </c>
      <c r="S3" s="405">
        <v>17</v>
      </c>
      <c r="T3" s="405">
        <v>18</v>
      </c>
      <c r="U3" s="405">
        <v>19</v>
      </c>
      <c r="V3" s="405">
        <v>20</v>
      </c>
      <c r="W3" s="405">
        <v>21</v>
      </c>
      <c r="X3" s="405">
        <v>22</v>
      </c>
      <c r="Y3" s="405">
        <v>23</v>
      </c>
      <c r="Z3" s="405">
        <v>24</v>
      </c>
      <c r="AA3" s="405">
        <v>25</v>
      </c>
      <c r="AB3" s="405">
        <v>26</v>
      </c>
      <c r="AC3" s="405">
        <v>27</v>
      </c>
      <c r="AD3" s="405">
        <v>28</v>
      </c>
      <c r="AE3" s="405">
        <v>29</v>
      </c>
      <c r="AF3" s="405">
        <v>30</v>
      </c>
      <c r="AG3" s="405">
        <v>31</v>
      </c>
      <c r="AH3" s="406" t="s">
        <v>0</v>
      </c>
      <c r="AI3" s="407" t="s">
        <v>1</v>
      </c>
      <c r="AJ3" s="408" t="s">
        <v>26</v>
      </c>
      <c r="AK3" s="409" t="s">
        <v>27</v>
      </c>
    </row>
    <row r="4" spans="1:39" ht="22.5" customHeight="1">
      <c r="A4" s="601" t="s">
        <v>48</v>
      </c>
      <c r="B4" s="877" t="s">
        <v>49</v>
      </c>
      <c r="C4" s="758">
        <v>24</v>
      </c>
      <c r="D4" s="758">
        <v>24</v>
      </c>
      <c r="E4" s="758">
        <v>24</v>
      </c>
      <c r="F4" s="758">
        <v>24</v>
      </c>
      <c r="G4" s="758">
        <v>24</v>
      </c>
      <c r="H4" s="758">
        <v>0</v>
      </c>
      <c r="I4" s="758">
        <v>0</v>
      </c>
      <c r="J4" s="758">
        <v>12.5</v>
      </c>
      <c r="K4" s="758">
        <v>24</v>
      </c>
      <c r="L4" s="758">
        <v>24</v>
      </c>
      <c r="M4" s="758">
        <v>24</v>
      </c>
      <c r="N4" s="758">
        <v>24</v>
      </c>
      <c r="O4" s="758">
        <v>24</v>
      </c>
      <c r="P4" s="758">
        <v>24</v>
      </c>
      <c r="Q4" s="758">
        <v>24</v>
      </c>
      <c r="R4" s="758">
        <v>24</v>
      </c>
      <c r="S4" s="758">
        <v>24</v>
      </c>
      <c r="T4" s="758">
        <v>24</v>
      </c>
      <c r="U4" s="758">
        <v>24</v>
      </c>
      <c r="V4" s="758">
        <v>24</v>
      </c>
      <c r="W4" s="758">
        <v>24</v>
      </c>
      <c r="X4" s="758">
        <v>24</v>
      </c>
      <c r="Y4" s="758">
        <v>24</v>
      </c>
      <c r="Z4" s="758">
        <v>24</v>
      </c>
      <c r="AA4" s="758">
        <v>24</v>
      </c>
      <c r="AB4" s="758">
        <v>24</v>
      </c>
      <c r="AC4" s="758">
        <v>24</v>
      </c>
      <c r="AD4" s="758">
        <v>24</v>
      </c>
      <c r="AE4" s="758">
        <v>24</v>
      </c>
      <c r="AF4" s="758">
        <v>24</v>
      </c>
      <c r="AG4" s="758">
        <v>24</v>
      </c>
      <c r="AH4" s="651">
        <f t="shared" ref="AH4:AH10" si="0">SUM(C4:AG4)</f>
        <v>684.5</v>
      </c>
      <c r="AI4" s="652">
        <f t="shared" ref="AI4:AI10" si="1">AVERAGE(C4:AG4)</f>
        <v>22.080645161290324</v>
      </c>
      <c r="AJ4" s="602"/>
      <c r="AK4" s="603"/>
      <c r="AM4" s="508"/>
    </row>
    <row r="5" spans="1:39" ht="22.5" customHeight="1" thickBot="1">
      <c r="A5" s="604" t="s">
        <v>341</v>
      </c>
      <c r="B5" s="878"/>
      <c r="C5" s="774">
        <f>24-C4</f>
        <v>0</v>
      </c>
      <c r="D5" s="774">
        <f t="shared" ref="D5:K5" si="2">24-D4</f>
        <v>0</v>
      </c>
      <c r="E5" s="774">
        <f t="shared" si="2"/>
        <v>0</v>
      </c>
      <c r="F5" s="774">
        <f t="shared" si="2"/>
        <v>0</v>
      </c>
      <c r="G5" s="774">
        <f t="shared" si="2"/>
        <v>0</v>
      </c>
      <c r="H5" s="774">
        <f t="shared" si="2"/>
        <v>24</v>
      </c>
      <c r="I5" s="774">
        <f t="shared" si="2"/>
        <v>24</v>
      </c>
      <c r="J5" s="774">
        <f t="shared" si="2"/>
        <v>11.5</v>
      </c>
      <c r="K5" s="774">
        <f t="shared" si="2"/>
        <v>0</v>
      </c>
      <c r="L5" s="774">
        <f t="shared" ref="L5:AG5" si="3">24-L4</f>
        <v>0</v>
      </c>
      <c r="M5" s="774">
        <f t="shared" si="3"/>
        <v>0</v>
      </c>
      <c r="N5" s="774">
        <f t="shared" si="3"/>
        <v>0</v>
      </c>
      <c r="O5" s="774">
        <f t="shared" si="3"/>
        <v>0</v>
      </c>
      <c r="P5" s="774">
        <f t="shared" si="3"/>
        <v>0</v>
      </c>
      <c r="Q5" s="774">
        <f t="shared" si="3"/>
        <v>0</v>
      </c>
      <c r="R5" s="774">
        <f t="shared" si="3"/>
        <v>0</v>
      </c>
      <c r="S5" s="774">
        <f t="shared" si="3"/>
        <v>0</v>
      </c>
      <c r="T5" s="774">
        <f t="shared" si="3"/>
        <v>0</v>
      </c>
      <c r="U5" s="774">
        <f t="shared" si="3"/>
        <v>0</v>
      </c>
      <c r="V5" s="774">
        <f t="shared" si="3"/>
        <v>0</v>
      </c>
      <c r="W5" s="774">
        <f t="shared" si="3"/>
        <v>0</v>
      </c>
      <c r="X5" s="774">
        <f t="shared" si="3"/>
        <v>0</v>
      </c>
      <c r="Y5" s="774">
        <f t="shared" si="3"/>
        <v>0</v>
      </c>
      <c r="Z5" s="774">
        <f t="shared" si="3"/>
        <v>0</v>
      </c>
      <c r="AA5" s="774">
        <f t="shared" si="3"/>
        <v>0</v>
      </c>
      <c r="AB5" s="774">
        <f t="shared" si="3"/>
        <v>0</v>
      </c>
      <c r="AC5" s="774">
        <f t="shared" si="3"/>
        <v>0</v>
      </c>
      <c r="AD5" s="774">
        <f t="shared" si="3"/>
        <v>0</v>
      </c>
      <c r="AE5" s="774">
        <f t="shared" si="3"/>
        <v>0</v>
      </c>
      <c r="AF5" s="774">
        <f t="shared" si="3"/>
        <v>0</v>
      </c>
      <c r="AG5" s="774">
        <f t="shared" si="3"/>
        <v>0</v>
      </c>
      <c r="AH5" s="662">
        <f t="shared" si="0"/>
        <v>59.5</v>
      </c>
      <c r="AI5" s="663">
        <f t="shared" si="1"/>
        <v>1.9193548387096775</v>
      </c>
      <c r="AJ5" s="605"/>
      <c r="AK5" s="606"/>
      <c r="AM5" s="508"/>
    </row>
    <row r="6" spans="1:39" ht="22.5" customHeight="1">
      <c r="A6" s="871" t="s">
        <v>209</v>
      </c>
      <c r="B6" s="1" t="s">
        <v>82</v>
      </c>
      <c r="C6" s="775">
        <v>504.3</v>
      </c>
      <c r="D6" s="775">
        <v>462.7</v>
      </c>
      <c r="E6" s="775">
        <v>492</v>
      </c>
      <c r="F6" s="775">
        <v>488.4</v>
      </c>
      <c r="G6" s="775">
        <v>480.8</v>
      </c>
      <c r="H6" s="775">
        <v>23.6</v>
      </c>
      <c r="I6" s="775">
        <v>0</v>
      </c>
      <c r="J6" s="776">
        <v>260.7</v>
      </c>
      <c r="K6" s="776">
        <v>470.6</v>
      </c>
      <c r="L6" s="776">
        <v>480.8</v>
      </c>
      <c r="M6" s="776">
        <v>468</v>
      </c>
      <c r="N6" s="776">
        <v>489</v>
      </c>
      <c r="O6" s="776">
        <v>483.4</v>
      </c>
      <c r="P6" s="776">
        <v>495.8</v>
      </c>
      <c r="Q6" s="776">
        <v>502.7</v>
      </c>
      <c r="R6" s="776">
        <v>495.7</v>
      </c>
      <c r="S6" s="776">
        <v>496.9</v>
      </c>
      <c r="T6" s="776">
        <v>514.1</v>
      </c>
      <c r="U6" s="776">
        <v>515.29999999999995</v>
      </c>
      <c r="V6" s="776">
        <v>553.4</v>
      </c>
      <c r="W6" s="776">
        <v>542.1</v>
      </c>
      <c r="X6" s="776">
        <v>533.79999999999995</v>
      </c>
      <c r="Y6" s="776">
        <v>530.70000000000005</v>
      </c>
      <c r="Z6" s="776">
        <v>513.29999999999995</v>
      </c>
      <c r="AA6" s="776">
        <v>489.5</v>
      </c>
      <c r="AB6" s="776">
        <v>489.5</v>
      </c>
      <c r="AC6" s="776">
        <v>512.5</v>
      </c>
      <c r="AD6" s="775">
        <v>496.9</v>
      </c>
      <c r="AE6" s="775">
        <v>452.2</v>
      </c>
      <c r="AF6" s="775">
        <v>490.6</v>
      </c>
      <c r="AG6" s="775">
        <v>494.3</v>
      </c>
      <c r="AH6" s="607">
        <f t="shared" si="0"/>
        <v>14223.599999999999</v>
      </c>
      <c r="AI6" s="608">
        <f t="shared" si="1"/>
        <v>458.82580645161283</v>
      </c>
      <c r="AJ6" s="609"/>
      <c r="AK6" s="638">
        <f t="shared" ref="AK6:AK9" si="4">AJ6*AH6</f>
        <v>0</v>
      </c>
      <c r="AM6" s="508"/>
    </row>
    <row r="7" spans="1:39" ht="22.5" customHeight="1">
      <c r="A7" s="872"/>
      <c r="B7" s="39" t="s">
        <v>215</v>
      </c>
      <c r="C7" s="777">
        <v>293</v>
      </c>
      <c r="D7" s="777">
        <v>161</v>
      </c>
      <c r="E7" s="777">
        <v>234</v>
      </c>
      <c r="F7" s="777">
        <v>245</v>
      </c>
      <c r="G7" s="777">
        <v>231</v>
      </c>
      <c r="H7" s="777">
        <v>0</v>
      </c>
      <c r="I7" s="777">
        <v>0</v>
      </c>
      <c r="J7" s="777">
        <v>158</v>
      </c>
      <c r="K7" s="777">
        <v>288</v>
      </c>
      <c r="L7" s="777">
        <v>285</v>
      </c>
      <c r="M7" s="777">
        <v>273</v>
      </c>
      <c r="N7" s="777">
        <v>318</v>
      </c>
      <c r="O7" s="777">
        <v>368</v>
      </c>
      <c r="P7" s="777">
        <v>310</v>
      </c>
      <c r="Q7" s="777">
        <v>409</v>
      </c>
      <c r="R7" s="777">
        <v>329</v>
      </c>
      <c r="S7" s="777">
        <v>417</v>
      </c>
      <c r="T7" s="777">
        <v>409</v>
      </c>
      <c r="U7" s="777">
        <v>419</v>
      </c>
      <c r="V7" s="777">
        <v>464</v>
      </c>
      <c r="W7" s="777">
        <v>430</v>
      </c>
      <c r="X7" s="777">
        <v>434</v>
      </c>
      <c r="Y7" s="777">
        <v>440</v>
      </c>
      <c r="Z7" s="777">
        <v>397</v>
      </c>
      <c r="AA7" s="777">
        <v>296</v>
      </c>
      <c r="AB7" s="777">
        <v>208</v>
      </c>
      <c r="AC7" s="777">
        <v>210</v>
      </c>
      <c r="AD7" s="777">
        <v>300</v>
      </c>
      <c r="AE7" s="777">
        <v>210</v>
      </c>
      <c r="AF7" s="777">
        <v>315</v>
      </c>
      <c r="AG7" s="777">
        <v>287</v>
      </c>
      <c r="AH7" s="23">
        <f t="shared" si="0"/>
        <v>9138</v>
      </c>
      <c r="AI7" s="9">
        <f t="shared" si="1"/>
        <v>294.77419354838707</v>
      </c>
      <c r="AJ7" s="6"/>
      <c r="AK7" s="639">
        <f t="shared" si="4"/>
        <v>0</v>
      </c>
    </row>
    <row r="8" spans="1:39" ht="22.5" customHeight="1">
      <c r="A8" s="869" t="s">
        <v>29</v>
      </c>
      <c r="B8" s="401" t="s">
        <v>30</v>
      </c>
      <c r="C8" s="778">
        <v>190</v>
      </c>
      <c r="D8" s="778">
        <v>165.1</v>
      </c>
      <c r="E8" s="779">
        <v>174.5</v>
      </c>
      <c r="F8" s="778">
        <v>165.7</v>
      </c>
      <c r="G8" s="778">
        <v>161.30000000000001</v>
      </c>
      <c r="H8" s="778">
        <v>0</v>
      </c>
      <c r="I8" s="778">
        <v>0</v>
      </c>
      <c r="J8" s="778">
        <v>81</v>
      </c>
      <c r="K8" s="780">
        <v>148.80000000000001</v>
      </c>
      <c r="L8" s="780">
        <v>129.80000000000001</v>
      </c>
      <c r="M8" s="780">
        <v>122.5</v>
      </c>
      <c r="N8" s="780">
        <v>176.6</v>
      </c>
      <c r="O8" s="780">
        <v>160.19999999999999</v>
      </c>
      <c r="P8" s="780">
        <v>152</v>
      </c>
      <c r="Q8" s="780">
        <v>186.9</v>
      </c>
      <c r="R8" s="781">
        <v>174.1</v>
      </c>
      <c r="S8" s="781">
        <v>192.4</v>
      </c>
      <c r="T8" s="779">
        <v>172.4</v>
      </c>
      <c r="U8" s="778">
        <v>147.1</v>
      </c>
      <c r="V8" s="778">
        <v>166.9</v>
      </c>
      <c r="W8" s="778">
        <v>160.80000000000001</v>
      </c>
      <c r="X8" s="778">
        <v>182</v>
      </c>
      <c r="Y8" s="778">
        <v>177.4</v>
      </c>
      <c r="Z8" s="778">
        <v>194.9</v>
      </c>
      <c r="AA8" s="778">
        <v>164.2</v>
      </c>
      <c r="AB8" s="778">
        <v>187</v>
      </c>
      <c r="AC8" s="782">
        <v>164.2</v>
      </c>
      <c r="AD8" s="782">
        <v>169.6</v>
      </c>
      <c r="AE8" s="782">
        <v>146.19999999999999</v>
      </c>
      <c r="AF8" s="782">
        <v>142.80000000000001</v>
      </c>
      <c r="AG8" s="782">
        <v>178.5</v>
      </c>
      <c r="AH8" s="173">
        <f t="shared" si="0"/>
        <v>4734.9000000000005</v>
      </c>
      <c r="AI8" s="308">
        <f t="shared" si="1"/>
        <v>152.73870967741937</v>
      </c>
      <c r="AJ8" s="342"/>
      <c r="AK8" s="27">
        <f t="shared" si="4"/>
        <v>0</v>
      </c>
    </row>
    <row r="9" spans="1:39" ht="22.5" customHeight="1" thickBot="1">
      <c r="A9" s="870"/>
      <c r="B9" s="343" t="s">
        <v>31</v>
      </c>
      <c r="C9" s="783">
        <v>63.052</v>
      </c>
      <c r="D9" s="783">
        <v>70.504000000000005</v>
      </c>
      <c r="E9" s="783">
        <v>72.323999999999998</v>
      </c>
      <c r="F9" s="783">
        <v>61.984000000000002</v>
      </c>
      <c r="G9" s="783">
        <v>73.191999999999993</v>
      </c>
      <c r="H9" s="783">
        <v>0</v>
      </c>
      <c r="I9" s="783">
        <v>0</v>
      </c>
      <c r="J9" s="783">
        <v>34.594000000000001</v>
      </c>
      <c r="K9" s="783">
        <v>70.263999999999996</v>
      </c>
      <c r="L9" s="783">
        <v>76.522000000000006</v>
      </c>
      <c r="M9" s="783">
        <v>67.010000000000005</v>
      </c>
      <c r="N9" s="783">
        <v>55.744</v>
      </c>
      <c r="O9" s="783">
        <v>59.933999999999997</v>
      </c>
      <c r="P9" s="783">
        <v>72.725999999999999</v>
      </c>
      <c r="Q9" s="783">
        <v>60.634</v>
      </c>
      <c r="R9" s="784">
        <v>72.245999999999995</v>
      </c>
      <c r="S9" s="784">
        <v>68.59</v>
      </c>
      <c r="T9" s="784">
        <v>72.596000000000004</v>
      </c>
      <c r="U9" s="783">
        <v>74.650000000000006</v>
      </c>
      <c r="V9" s="783">
        <v>84.841999999999999</v>
      </c>
      <c r="W9" s="783">
        <v>81.385999999999996</v>
      </c>
      <c r="X9" s="783">
        <v>82.864000000000004</v>
      </c>
      <c r="Y9" s="783">
        <v>75.652000000000001</v>
      </c>
      <c r="Z9" s="783">
        <v>71.085999999999999</v>
      </c>
      <c r="AA9" s="783">
        <v>67.864000000000004</v>
      </c>
      <c r="AB9" s="783">
        <v>77.024000000000001</v>
      </c>
      <c r="AC9" s="783">
        <v>82.57</v>
      </c>
      <c r="AD9" s="783">
        <v>72.304000000000002</v>
      </c>
      <c r="AE9" s="783">
        <v>70.623999999999995</v>
      </c>
      <c r="AF9" s="783">
        <v>79.358000000000004</v>
      </c>
      <c r="AG9" s="783">
        <v>64.872</v>
      </c>
      <c r="AH9" s="174">
        <f t="shared" si="0"/>
        <v>2037.0120000000006</v>
      </c>
      <c r="AI9" s="309">
        <f t="shared" si="1"/>
        <v>65.710064516129052</v>
      </c>
      <c r="AJ9" s="344"/>
      <c r="AK9" s="28">
        <f t="shared" si="4"/>
        <v>0</v>
      </c>
      <c r="AM9" s="319"/>
    </row>
    <row r="10" spans="1:39" ht="22.5" customHeight="1" thickBot="1">
      <c r="A10" s="3"/>
      <c r="B10" s="4" t="s">
        <v>29</v>
      </c>
      <c r="C10" s="765">
        <f>C8+C9</f>
        <v>253.05199999999999</v>
      </c>
      <c r="D10" s="765">
        <f t="shared" ref="D10:AG10" si="5">D8+D9</f>
        <v>235.60399999999998</v>
      </c>
      <c r="E10" s="765">
        <f t="shared" si="5"/>
        <v>246.82400000000001</v>
      </c>
      <c r="F10" s="765">
        <f t="shared" si="5"/>
        <v>227.684</v>
      </c>
      <c r="G10" s="765">
        <f t="shared" si="5"/>
        <v>234.49200000000002</v>
      </c>
      <c r="H10" s="765">
        <f t="shared" si="5"/>
        <v>0</v>
      </c>
      <c r="I10" s="765">
        <f t="shared" si="5"/>
        <v>0</v>
      </c>
      <c r="J10" s="765">
        <f t="shared" si="5"/>
        <v>115.59399999999999</v>
      </c>
      <c r="K10" s="765">
        <f t="shared" si="5"/>
        <v>219.06400000000002</v>
      </c>
      <c r="L10" s="765">
        <f t="shared" si="5"/>
        <v>206.322</v>
      </c>
      <c r="M10" s="765">
        <f t="shared" si="5"/>
        <v>189.51</v>
      </c>
      <c r="N10" s="765">
        <f t="shared" si="5"/>
        <v>232.34399999999999</v>
      </c>
      <c r="O10" s="765">
        <f t="shared" si="5"/>
        <v>220.13399999999999</v>
      </c>
      <c r="P10" s="765">
        <f t="shared" si="5"/>
        <v>224.726</v>
      </c>
      <c r="Q10" s="765">
        <f t="shared" si="5"/>
        <v>247.53399999999999</v>
      </c>
      <c r="R10" s="765">
        <f t="shared" si="5"/>
        <v>246.346</v>
      </c>
      <c r="S10" s="765">
        <f t="shared" si="5"/>
        <v>260.99</v>
      </c>
      <c r="T10" s="765">
        <f t="shared" si="5"/>
        <v>244.99600000000001</v>
      </c>
      <c r="U10" s="765">
        <f t="shared" si="5"/>
        <v>221.75</v>
      </c>
      <c r="V10" s="765">
        <f t="shared" si="5"/>
        <v>251.74200000000002</v>
      </c>
      <c r="W10" s="765">
        <f t="shared" si="5"/>
        <v>242.18600000000001</v>
      </c>
      <c r="X10" s="765">
        <f t="shared" si="5"/>
        <v>264.86400000000003</v>
      </c>
      <c r="Y10" s="765">
        <f t="shared" si="5"/>
        <v>253.05200000000002</v>
      </c>
      <c r="Z10" s="765">
        <f t="shared" si="5"/>
        <v>265.98599999999999</v>
      </c>
      <c r="AA10" s="765">
        <f>AA8+AA9</f>
        <v>232.06399999999999</v>
      </c>
      <c r="AB10" s="765">
        <f t="shared" si="5"/>
        <v>264.024</v>
      </c>
      <c r="AC10" s="765">
        <f t="shared" si="5"/>
        <v>246.76999999999998</v>
      </c>
      <c r="AD10" s="765">
        <f t="shared" si="5"/>
        <v>241.904</v>
      </c>
      <c r="AE10" s="765">
        <f t="shared" si="5"/>
        <v>216.82399999999998</v>
      </c>
      <c r="AF10" s="765">
        <f t="shared" si="5"/>
        <v>222.15800000000002</v>
      </c>
      <c r="AG10" s="765">
        <f t="shared" si="5"/>
        <v>243.37200000000001</v>
      </c>
      <c r="AH10" s="755">
        <f t="shared" si="0"/>
        <v>6771.9120000000012</v>
      </c>
      <c r="AI10" s="756">
        <f t="shared" si="1"/>
        <v>218.44877419354842</v>
      </c>
      <c r="AJ10" s="2"/>
      <c r="AK10" s="26"/>
      <c r="AM10" s="508"/>
    </row>
    <row r="11" spans="1:39" ht="22.5" customHeight="1">
      <c r="A11" s="874" t="s">
        <v>331</v>
      </c>
      <c r="B11" s="573" t="s">
        <v>337</v>
      </c>
      <c r="C11" s="574">
        <v>18760</v>
      </c>
      <c r="D11" s="574">
        <v>18760</v>
      </c>
      <c r="E11" s="574">
        <v>18760</v>
      </c>
      <c r="F11" s="574">
        <v>18760</v>
      </c>
      <c r="G11" s="574">
        <v>18760</v>
      </c>
      <c r="H11" s="574">
        <v>18760</v>
      </c>
      <c r="I11" s="574">
        <v>18760</v>
      </c>
      <c r="J11" s="574">
        <v>18760</v>
      </c>
      <c r="K11" s="574">
        <v>18760</v>
      </c>
      <c r="L11" s="574">
        <v>18760</v>
      </c>
      <c r="M11" s="574">
        <v>18760</v>
      </c>
      <c r="N11" s="574">
        <v>18760</v>
      </c>
      <c r="O11" s="574">
        <v>18760</v>
      </c>
      <c r="P11" s="574">
        <v>18760</v>
      </c>
      <c r="Q11" s="574">
        <v>18760</v>
      </c>
      <c r="R11" s="574">
        <v>18760</v>
      </c>
      <c r="S11" s="574">
        <v>18760</v>
      </c>
      <c r="T11" s="574">
        <v>18760</v>
      </c>
      <c r="U11" s="574">
        <v>18760</v>
      </c>
      <c r="V11" s="574">
        <v>18760</v>
      </c>
      <c r="W11" s="574">
        <v>18760</v>
      </c>
      <c r="X11" s="574">
        <v>18760</v>
      </c>
      <c r="Y11" s="574">
        <v>18760</v>
      </c>
      <c r="Z11" s="574">
        <v>18760</v>
      </c>
      <c r="AA11" s="574">
        <v>18760</v>
      </c>
      <c r="AB11" s="574">
        <v>18760</v>
      </c>
      <c r="AC11" s="574">
        <v>18760</v>
      </c>
      <c r="AD11" s="574">
        <v>18760</v>
      </c>
      <c r="AE11" s="574">
        <v>18760</v>
      </c>
      <c r="AF11" s="574">
        <v>18760</v>
      </c>
      <c r="AG11" s="574">
        <v>18760</v>
      </c>
      <c r="AH11" s="672"/>
      <c r="AI11" s="673"/>
      <c r="AJ11" s="574"/>
      <c r="AK11" s="575"/>
    </row>
    <row r="12" spans="1:39" ht="22.5" customHeight="1">
      <c r="A12" s="875"/>
      <c r="B12" s="576" t="s">
        <v>338</v>
      </c>
      <c r="C12" s="577">
        <f>C6*C11</f>
        <v>9460668</v>
      </c>
      <c r="D12" s="577">
        <f t="shared" ref="D12:AC12" si="6">D6*D11</f>
        <v>8680252</v>
      </c>
      <c r="E12" s="577">
        <f t="shared" si="6"/>
        <v>9229920</v>
      </c>
      <c r="F12" s="577">
        <f t="shared" si="6"/>
        <v>9162384</v>
      </c>
      <c r="G12" s="577">
        <f t="shared" si="6"/>
        <v>9019808</v>
      </c>
      <c r="H12" s="577">
        <f t="shared" si="6"/>
        <v>442736</v>
      </c>
      <c r="I12" s="577">
        <f t="shared" si="6"/>
        <v>0</v>
      </c>
      <c r="J12" s="577">
        <f t="shared" si="6"/>
        <v>4890732</v>
      </c>
      <c r="K12" s="577">
        <f t="shared" si="6"/>
        <v>8828456</v>
      </c>
      <c r="L12" s="577">
        <f t="shared" si="6"/>
        <v>9019808</v>
      </c>
      <c r="M12" s="577">
        <f t="shared" si="6"/>
        <v>8779680</v>
      </c>
      <c r="N12" s="577">
        <f t="shared" si="6"/>
        <v>9173640</v>
      </c>
      <c r="O12" s="577">
        <f t="shared" si="6"/>
        <v>9068584</v>
      </c>
      <c r="P12" s="577">
        <f t="shared" si="6"/>
        <v>9301208</v>
      </c>
      <c r="Q12" s="577">
        <f t="shared" si="6"/>
        <v>9430652</v>
      </c>
      <c r="R12" s="577">
        <f t="shared" si="6"/>
        <v>9299332</v>
      </c>
      <c r="S12" s="577">
        <f t="shared" si="6"/>
        <v>9321844</v>
      </c>
      <c r="T12" s="577">
        <f t="shared" si="6"/>
        <v>9644516</v>
      </c>
      <c r="U12" s="577">
        <f t="shared" si="6"/>
        <v>9667028</v>
      </c>
      <c r="V12" s="577">
        <f t="shared" si="6"/>
        <v>10381784</v>
      </c>
      <c r="W12" s="577">
        <f t="shared" si="6"/>
        <v>10169796</v>
      </c>
      <c r="X12" s="577">
        <f t="shared" si="6"/>
        <v>10014088</v>
      </c>
      <c r="Y12" s="577">
        <f t="shared" si="6"/>
        <v>9955932</v>
      </c>
      <c r="Z12" s="577">
        <f t="shared" si="6"/>
        <v>9629508</v>
      </c>
      <c r="AA12" s="577">
        <f t="shared" si="6"/>
        <v>9183020</v>
      </c>
      <c r="AB12" s="577">
        <f t="shared" si="6"/>
        <v>9183020</v>
      </c>
      <c r="AC12" s="577">
        <f t="shared" si="6"/>
        <v>9614500</v>
      </c>
      <c r="AD12" s="577">
        <f t="shared" ref="AD12:AE12" si="7">AD6*AD11</f>
        <v>9321844</v>
      </c>
      <c r="AE12" s="577">
        <f t="shared" si="7"/>
        <v>8483272</v>
      </c>
      <c r="AF12" s="577">
        <f t="shared" ref="AF12" si="8">AF6*AF11</f>
        <v>9203656</v>
      </c>
      <c r="AG12" s="577">
        <f t="shared" ref="AG12" si="9">AG6*AG11</f>
        <v>9273068</v>
      </c>
      <c r="AH12" s="669">
        <f>SUM(C12:AG12)</f>
        <v>266834736</v>
      </c>
      <c r="AI12" s="670">
        <f>AVERAGE(C12:AG12)</f>
        <v>8607572.1290322579</v>
      </c>
      <c r="AJ12" s="577"/>
      <c r="AK12" s="578">
        <f>AH12</f>
        <v>266834736</v>
      </c>
      <c r="AL12" s="508"/>
      <c r="AM12" s="319"/>
    </row>
    <row r="13" spans="1:39" ht="22.5" customHeight="1">
      <c r="A13" s="875"/>
      <c r="B13" s="576" t="s">
        <v>339</v>
      </c>
      <c r="C13" s="577">
        <v>160000</v>
      </c>
      <c r="D13" s="577">
        <v>160000</v>
      </c>
      <c r="E13" s="577">
        <v>160000</v>
      </c>
      <c r="F13" s="577">
        <v>160000</v>
      </c>
      <c r="G13" s="577">
        <v>160000</v>
      </c>
      <c r="H13" s="577">
        <v>160000</v>
      </c>
      <c r="I13" s="577">
        <v>160000</v>
      </c>
      <c r="J13" s="577">
        <v>160000</v>
      </c>
      <c r="K13" s="577">
        <v>160000</v>
      </c>
      <c r="L13" s="577">
        <v>160000</v>
      </c>
      <c r="M13" s="577">
        <v>160000</v>
      </c>
      <c r="N13" s="577">
        <v>160000</v>
      </c>
      <c r="O13" s="577">
        <v>160000</v>
      </c>
      <c r="P13" s="577">
        <v>160000</v>
      </c>
      <c r="Q13" s="577">
        <v>160000</v>
      </c>
      <c r="R13" s="577">
        <v>160000</v>
      </c>
      <c r="S13" s="577">
        <v>160000</v>
      </c>
      <c r="T13" s="577">
        <v>160000</v>
      </c>
      <c r="U13" s="577">
        <v>160000</v>
      </c>
      <c r="V13" s="577">
        <v>160000</v>
      </c>
      <c r="W13" s="577">
        <v>160000</v>
      </c>
      <c r="X13" s="577">
        <v>160000</v>
      </c>
      <c r="Y13" s="577">
        <v>160000</v>
      </c>
      <c r="Z13" s="577">
        <v>160000</v>
      </c>
      <c r="AA13" s="577">
        <v>160000</v>
      </c>
      <c r="AB13" s="577">
        <v>160000</v>
      </c>
      <c r="AC13" s="577">
        <v>160000</v>
      </c>
      <c r="AD13" s="577">
        <v>160000</v>
      </c>
      <c r="AE13" s="577">
        <v>160000</v>
      </c>
      <c r="AF13" s="577">
        <v>160000</v>
      </c>
      <c r="AG13" s="577">
        <v>160000</v>
      </c>
      <c r="AH13" s="669"/>
      <c r="AI13" s="670"/>
      <c r="AJ13" s="577"/>
      <c r="AK13" s="578"/>
      <c r="AL13" s="508"/>
      <c r="AM13" s="319"/>
    </row>
    <row r="14" spans="1:39" ht="22.5" customHeight="1">
      <c r="A14" s="875"/>
      <c r="B14" s="576" t="s">
        <v>340</v>
      </c>
      <c r="C14" s="577">
        <f>C13*C5</f>
        <v>0</v>
      </c>
      <c r="D14" s="577">
        <f t="shared" ref="D14:AG14" si="10">D13*D5</f>
        <v>0</v>
      </c>
      <c r="E14" s="577">
        <f t="shared" si="10"/>
        <v>0</v>
      </c>
      <c r="F14" s="577">
        <f t="shared" si="10"/>
        <v>0</v>
      </c>
      <c r="G14" s="577">
        <f t="shared" si="10"/>
        <v>0</v>
      </c>
      <c r="H14" s="577">
        <f t="shared" si="10"/>
        <v>3840000</v>
      </c>
      <c r="I14" s="577">
        <f t="shared" si="10"/>
        <v>3840000</v>
      </c>
      <c r="J14" s="577">
        <f t="shared" si="10"/>
        <v>1840000</v>
      </c>
      <c r="K14" s="577">
        <f t="shared" si="10"/>
        <v>0</v>
      </c>
      <c r="L14" s="577">
        <f t="shared" si="10"/>
        <v>0</v>
      </c>
      <c r="M14" s="577">
        <f t="shared" si="10"/>
        <v>0</v>
      </c>
      <c r="N14" s="577">
        <f t="shared" si="10"/>
        <v>0</v>
      </c>
      <c r="O14" s="577">
        <f t="shared" si="10"/>
        <v>0</v>
      </c>
      <c r="P14" s="577">
        <f t="shared" si="10"/>
        <v>0</v>
      </c>
      <c r="Q14" s="577">
        <f t="shared" si="10"/>
        <v>0</v>
      </c>
      <c r="R14" s="577">
        <f t="shared" si="10"/>
        <v>0</v>
      </c>
      <c r="S14" s="577">
        <f t="shared" si="10"/>
        <v>0</v>
      </c>
      <c r="T14" s="577">
        <f t="shared" si="10"/>
        <v>0</v>
      </c>
      <c r="U14" s="577">
        <f t="shared" si="10"/>
        <v>0</v>
      </c>
      <c r="V14" s="577">
        <f t="shared" si="10"/>
        <v>0</v>
      </c>
      <c r="W14" s="577">
        <f t="shared" si="10"/>
        <v>0</v>
      </c>
      <c r="X14" s="577">
        <f t="shared" si="10"/>
        <v>0</v>
      </c>
      <c r="Y14" s="577">
        <f t="shared" si="10"/>
        <v>0</v>
      </c>
      <c r="Z14" s="577">
        <f t="shared" si="10"/>
        <v>0</v>
      </c>
      <c r="AA14" s="577">
        <f t="shared" si="10"/>
        <v>0</v>
      </c>
      <c r="AB14" s="577">
        <f t="shared" si="10"/>
        <v>0</v>
      </c>
      <c r="AC14" s="577">
        <f t="shared" si="10"/>
        <v>0</v>
      </c>
      <c r="AD14" s="577">
        <f t="shared" si="10"/>
        <v>0</v>
      </c>
      <c r="AE14" s="577">
        <f t="shared" si="10"/>
        <v>0</v>
      </c>
      <c r="AF14" s="767"/>
      <c r="AG14" s="577">
        <f t="shared" si="10"/>
        <v>0</v>
      </c>
      <c r="AH14" s="669">
        <f>SUM(C14:AG14)</f>
        <v>9520000</v>
      </c>
      <c r="AI14" s="670">
        <f>AVERAGE(C14:AG14)</f>
        <v>317333.33333333331</v>
      </c>
      <c r="AJ14" s="577"/>
      <c r="AK14" s="578">
        <f>AH14</f>
        <v>9520000</v>
      </c>
      <c r="AL14" s="508"/>
      <c r="AM14" s="319"/>
    </row>
    <row r="15" spans="1:39" ht="22.5" customHeight="1">
      <c r="A15" s="875"/>
      <c r="B15" s="579" t="s">
        <v>330</v>
      </c>
      <c r="C15" s="580"/>
      <c r="D15" s="580"/>
      <c r="E15" s="580"/>
      <c r="F15" s="580"/>
      <c r="G15" s="580"/>
      <c r="H15" s="580"/>
      <c r="I15" s="580"/>
      <c r="J15" s="580"/>
      <c r="K15" s="580"/>
      <c r="L15" s="580"/>
      <c r="M15" s="580"/>
      <c r="N15" s="580"/>
      <c r="O15" s="580"/>
      <c r="P15" s="580"/>
      <c r="Q15" s="580"/>
      <c r="R15" s="580"/>
      <c r="S15" s="580"/>
      <c r="T15" s="580"/>
      <c r="U15" s="580"/>
      <c r="V15" s="580"/>
      <c r="W15" s="580"/>
      <c r="X15" s="580"/>
      <c r="Y15" s="580"/>
      <c r="Z15" s="580"/>
      <c r="AA15" s="580"/>
      <c r="AB15" s="580"/>
      <c r="AC15" s="580"/>
      <c r="AD15" s="580"/>
      <c r="AE15" s="580"/>
      <c r="AF15" s="580"/>
      <c r="AG15" s="580"/>
      <c r="AH15" s="581"/>
      <c r="AI15" s="582"/>
      <c r="AJ15" s="580"/>
      <c r="AK15" s="583">
        <v>50000000</v>
      </c>
      <c r="AL15" s="508"/>
      <c r="AM15" s="319"/>
    </row>
    <row r="16" spans="1:39" ht="22.5" customHeight="1">
      <c r="A16" s="875"/>
      <c r="B16" s="805" t="s">
        <v>501</v>
      </c>
      <c r="C16" s="767"/>
      <c r="D16" s="767"/>
      <c r="E16" s="767"/>
      <c r="F16" s="767"/>
      <c r="G16" s="767"/>
      <c r="H16" s="767"/>
      <c r="I16" s="767"/>
      <c r="J16" s="767"/>
      <c r="K16" s="767"/>
      <c r="L16" s="767"/>
      <c r="M16" s="767"/>
      <c r="N16" s="767"/>
      <c r="O16" s="767"/>
      <c r="P16" s="767"/>
      <c r="Q16" s="767"/>
      <c r="R16" s="767"/>
      <c r="S16" s="767"/>
      <c r="T16" s="767"/>
      <c r="U16" s="767"/>
      <c r="V16" s="767"/>
      <c r="W16" s="767"/>
      <c r="X16" s="767"/>
      <c r="Y16" s="767"/>
      <c r="Z16" s="767"/>
      <c r="AA16" s="767"/>
      <c r="AB16" s="767"/>
      <c r="AC16" s="767"/>
      <c r="AD16" s="767"/>
      <c r="AE16" s="767"/>
      <c r="AF16" s="767"/>
      <c r="AG16" s="767"/>
      <c r="AH16" s="669"/>
      <c r="AI16" s="806"/>
      <c r="AJ16" s="767"/>
      <c r="AK16" s="578"/>
      <c r="AL16" s="508"/>
      <c r="AM16" s="319"/>
    </row>
    <row r="17" spans="1:39" ht="22.5" customHeight="1" thickBot="1">
      <c r="A17" s="876"/>
      <c r="B17" s="584" t="s">
        <v>332</v>
      </c>
      <c r="C17" s="650"/>
      <c r="D17" s="650"/>
      <c r="E17" s="650"/>
      <c r="F17" s="650"/>
      <c r="G17" s="650"/>
      <c r="H17" s="650"/>
      <c r="I17" s="650"/>
      <c r="J17" s="650"/>
      <c r="K17" s="650"/>
      <c r="L17" s="650"/>
      <c r="M17" s="650"/>
      <c r="N17" s="650"/>
      <c r="O17" s="650"/>
      <c r="P17" s="650"/>
      <c r="Q17" s="650"/>
      <c r="R17" s="650"/>
      <c r="S17" s="650"/>
      <c r="T17" s="650"/>
      <c r="U17" s="650"/>
      <c r="V17" s="650"/>
      <c r="W17" s="650"/>
      <c r="X17" s="650"/>
      <c r="Y17" s="650"/>
      <c r="Z17" s="650"/>
      <c r="AA17" s="650"/>
      <c r="AB17" s="650"/>
      <c r="AC17" s="650"/>
      <c r="AD17" s="650"/>
      <c r="AE17" s="650"/>
      <c r="AF17" s="650"/>
      <c r="AG17" s="650"/>
      <c r="AH17" s="586"/>
      <c r="AI17" s="587"/>
      <c r="AJ17" s="585"/>
      <c r="AK17" s="588">
        <f>SUM(AK12:AK15)</f>
        <v>326354736</v>
      </c>
      <c r="AL17" s="508"/>
      <c r="AM17" s="319"/>
    </row>
    <row r="18" spans="1:39" ht="20.100000000000001" customHeight="1">
      <c r="A18" s="857" t="s">
        <v>125</v>
      </c>
      <c r="B18" s="397" t="s">
        <v>3</v>
      </c>
      <c r="C18" s="785">
        <v>6200</v>
      </c>
      <c r="D18" s="785">
        <v>7350</v>
      </c>
      <c r="E18" s="785">
        <v>0</v>
      </c>
      <c r="F18" s="785">
        <v>0</v>
      </c>
      <c r="G18" s="785">
        <v>8040</v>
      </c>
      <c r="H18" s="785">
        <v>0</v>
      </c>
      <c r="I18" s="785">
        <v>0</v>
      </c>
      <c r="J18" s="785">
        <v>0</v>
      </c>
      <c r="K18" s="785">
        <v>0</v>
      </c>
      <c r="L18" s="785">
        <v>7980</v>
      </c>
      <c r="M18" s="785">
        <v>0</v>
      </c>
      <c r="N18" s="785">
        <v>0</v>
      </c>
      <c r="O18" s="785">
        <v>10420</v>
      </c>
      <c r="P18" s="785">
        <v>0</v>
      </c>
      <c r="Q18" s="785">
        <v>5390</v>
      </c>
      <c r="R18" s="785">
        <v>0</v>
      </c>
      <c r="S18" s="785">
        <v>6890</v>
      </c>
      <c r="T18" s="785">
        <v>0</v>
      </c>
      <c r="U18" s="785">
        <v>0</v>
      </c>
      <c r="V18" s="785">
        <v>7890</v>
      </c>
      <c r="W18" s="785">
        <v>0</v>
      </c>
      <c r="X18" s="785">
        <v>6250</v>
      </c>
      <c r="Y18" s="785">
        <v>0</v>
      </c>
      <c r="Z18" s="785">
        <v>10000</v>
      </c>
      <c r="AA18" s="785">
        <v>0</v>
      </c>
      <c r="AB18" s="785">
        <v>0</v>
      </c>
      <c r="AC18" s="786">
        <v>8120</v>
      </c>
      <c r="AD18" s="786">
        <v>0</v>
      </c>
      <c r="AE18" s="786">
        <v>7260</v>
      </c>
      <c r="AF18" s="786">
        <v>0</v>
      </c>
      <c r="AG18" s="786">
        <v>5770</v>
      </c>
      <c r="AH18" s="489">
        <f>SUM(C18:AG18)</f>
        <v>97560</v>
      </c>
      <c r="AI18" s="345">
        <f t="shared" ref="AI18:AI40" si="11">IFERROR(AVERAGE(C18:AG18),"")</f>
        <v>3147.0967741935483</v>
      </c>
      <c r="AJ18" s="346">
        <v>380</v>
      </c>
      <c r="AK18" s="29">
        <f>AH18*AJ18</f>
        <v>37072800</v>
      </c>
    </row>
    <row r="19" spans="1:39" ht="20.100000000000001" customHeight="1">
      <c r="A19" s="855"/>
      <c r="B19" s="398" t="s">
        <v>2</v>
      </c>
      <c r="C19" s="735">
        <v>3427</v>
      </c>
      <c r="D19" s="735">
        <v>3129</v>
      </c>
      <c r="E19" s="735">
        <v>3773</v>
      </c>
      <c r="F19" s="735">
        <v>3506</v>
      </c>
      <c r="G19" s="735">
        <v>3085</v>
      </c>
      <c r="H19" s="735">
        <v>0</v>
      </c>
      <c r="I19" s="735">
        <v>0</v>
      </c>
      <c r="J19" s="735">
        <v>1682</v>
      </c>
      <c r="K19" s="735">
        <v>3048</v>
      </c>
      <c r="L19" s="735">
        <v>2250</v>
      </c>
      <c r="M19" s="735">
        <v>3182</v>
      </c>
      <c r="N19" s="735">
        <v>3064</v>
      </c>
      <c r="O19" s="735">
        <v>3372</v>
      </c>
      <c r="P19" s="735">
        <v>3455</v>
      </c>
      <c r="Q19" s="735">
        <v>3229</v>
      </c>
      <c r="R19" s="735">
        <v>3727</v>
      </c>
      <c r="S19" s="735">
        <v>2984</v>
      </c>
      <c r="T19" s="735">
        <v>3773</v>
      </c>
      <c r="U19" s="735">
        <v>3439</v>
      </c>
      <c r="V19" s="735">
        <v>3178</v>
      </c>
      <c r="W19" s="735">
        <v>3227</v>
      </c>
      <c r="X19" s="735">
        <v>2674</v>
      </c>
      <c r="Y19" s="735">
        <v>3455</v>
      </c>
      <c r="Z19" s="735">
        <v>3209</v>
      </c>
      <c r="AA19" s="735">
        <v>3182</v>
      </c>
      <c r="AB19" s="735">
        <v>2636</v>
      </c>
      <c r="AC19" s="736">
        <v>2935</v>
      </c>
      <c r="AD19" s="736">
        <v>3545</v>
      </c>
      <c r="AE19" s="736">
        <v>2690</v>
      </c>
      <c r="AF19" s="736">
        <v>3045</v>
      </c>
      <c r="AG19" s="736">
        <v>2876</v>
      </c>
      <c r="AH19" s="173">
        <f>SUM(C19:AG19)</f>
        <v>90777</v>
      </c>
      <c r="AI19" s="347">
        <f t="shared" si="11"/>
        <v>2928.2903225806454</v>
      </c>
      <c r="AJ19" s="342">
        <f>AJ18</f>
        <v>380</v>
      </c>
      <c r="AK19" s="40">
        <f>AH19*AJ19</f>
        <v>34495260</v>
      </c>
    </row>
    <row r="20" spans="1:39" ht="19.5" customHeight="1" thickBot="1">
      <c r="A20" s="856"/>
      <c r="B20" s="399" t="s">
        <v>4</v>
      </c>
      <c r="C20" s="737">
        <f>9441+C18-C19</f>
        <v>12214</v>
      </c>
      <c r="D20" s="737">
        <f>C20+D18-D19</f>
        <v>16435</v>
      </c>
      <c r="E20" s="737">
        <f t="shared" ref="E20:AB20" si="12">D20+E18-E19</f>
        <v>12662</v>
      </c>
      <c r="F20" s="737">
        <f t="shared" si="12"/>
        <v>9156</v>
      </c>
      <c r="G20" s="737">
        <f t="shared" si="12"/>
        <v>14111</v>
      </c>
      <c r="H20" s="737">
        <f t="shared" si="12"/>
        <v>14111</v>
      </c>
      <c r="I20" s="737">
        <f t="shared" si="12"/>
        <v>14111</v>
      </c>
      <c r="J20" s="737">
        <f t="shared" si="12"/>
        <v>12429</v>
      </c>
      <c r="K20" s="737">
        <f t="shared" si="12"/>
        <v>9381</v>
      </c>
      <c r="L20" s="737">
        <f t="shared" si="12"/>
        <v>15111</v>
      </c>
      <c r="M20" s="737">
        <f t="shared" si="12"/>
        <v>11929</v>
      </c>
      <c r="N20" s="737">
        <f t="shared" si="12"/>
        <v>8865</v>
      </c>
      <c r="O20" s="737">
        <f t="shared" si="12"/>
        <v>15913</v>
      </c>
      <c r="P20" s="737">
        <f t="shared" si="12"/>
        <v>12458</v>
      </c>
      <c r="Q20" s="737">
        <f t="shared" si="12"/>
        <v>14619</v>
      </c>
      <c r="R20" s="737">
        <f t="shared" si="12"/>
        <v>10892</v>
      </c>
      <c r="S20" s="737">
        <f t="shared" si="12"/>
        <v>14798</v>
      </c>
      <c r="T20" s="737">
        <f t="shared" si="12"/>
        <v>11025</v>
      </c>
      <c r="U20" s="737">
        <f t="shared" si="12"/>
        <v>7586</v>
      </c>
      <c r="V20" s="737">
        <f t="shared" si="12"/>
        <v>12298</v>
      </c>
      <c r="W20" s="737">
        <f t="shared" si="12"/>
        <v>9071</v>
      </c>
      <c r="X20" s="737">
        <f t="shared" si="12"/>
        <v>12647</v>
      </c>
      <c r="Y20" s="737">
        <f t="shared" si="12"/>
        <v>9192</v>
      </c>
      <c r="Z20" s="737">
        <f t="shared" si="12"/>
        <v>15983</v>
      </c>
      <c r="AA20" s="737">
        <f t="shared" si="12"/>
        <v>12801</v>
      </c>
      <c r="AB20" s="737">
        <f t="shared" si="12"/>
        <v>10165</v>
      </c>
      <c r="AC20" s="737">
        <f t="shared" ref="AC20" si="13">AB20+AC18-AC19</f>
        <v>15350</v>
      </c>
      <c r="AD20" s="737">
        <f t="shared" ref="AD20" si="14">AC20+AD18-AD19</f>
        <v>11805</v>
      </c>
      <c r="AE20" s="737">
        <f t="shared" ref="AE20" si="15">AD20+AE18-AE19</f>
        <v>16375</v>
      </c>
      <c r="AF20" s="737">
        <f t="shared" ref="AF20" si="16">AE20+AF18-AF19</f>
        <v>13330</v>
      </c>
      <c r="AG20" s="737">
        <f t="shared" ref="AG20" si="17">AF20+AG18-AG19</f>
        <v>16224</v>
      </c>
      <c r="AH20" s="348"/>
      <c r="AI20" s="349">
        <f t="shared" si="11"/>
        <v>12678.935483870968</v>
      </c>
      <c r="AJ20" s="350"/>
      <c r="AK20" s="30">
        <f t="shared" ref="AK20:AK48" si="18">AJ20*AH20</f>
        <v>0</v>
      </c>
    </row>
    <row r="21" spans="1:39" ht="20.100000000000001" customHeight="1" thickTop="1">
      <c r="A21" s="858" t="s">
        <v>119</v>
      </c>
      <c r="B21" s="400" t="s">
        <v>3</v>
      </c>
      <c r="C21" s="787">
        <v>660</v>
      </c>
      <c r="D21" s="787">
        <v>0</v>
      </c>
      <c r="E21" s="787">
        <v>0</v>
      </c>
      <c r="F21" s="787">
        <v>0</v>
      </c>
      <c r="G21" s="787">
        <v>0</v>
      </c>
      <c r="H21" s="787">
        <v>0</v>
      </c>
      <c r="I21" s="787">
        <v>0</v>
      </c>
      <c r="J21" s="787">
        <v>0</v>
      </c>
      <c r="K21" s="787">
        <v>0</v>
      </c>
      <c r="L21" s="787">
        <v>610</v>
      </c>
      <c r="M21" s="787">
        <v>0</v>
      </c>
      <c r="N21" s="787">
        <v>0</v>
      </c>
      <c r="O21" s="787">
        <v>0</v>
      </c>
      <c r="P21" s="787">
        <v>0</v>
      </c>
      <c r="Q21" s="787">
        <v>0</v>
      </c>
      <c r="R21" s="787">
        <v>0</v>
      </c>
      <c r="S21" s="787">
        <v>600</v>
      </c>
      <c r="T21" s="787">
        <v>0</v>
      </c>
      <c r="U21" s="787">
        <v>0</v>
      </c>
      <c r="V21" s="787">
        <v>0</v>
      </c>
      <c r="W21" s="787">
        <v>0</v>
      </c>
      <c r="X21" s="787">
        <v>410</v>
      </c>
      <c r="Y21" s="787">
        <v>0</v>
      </c>
      <c r="Z21" s="787">
        <v>0</v>
      </c>
      <c r="AA21" s="787">
        <v>0</v>
      </c>
      <c r="AB21" s="787">
        <v>0</v>
      </c>
      <c r="AC21" s="787">
        <v>0</v>
      </c>
      <c r="AD21" s="787">
        <v>0</v>
      </c>
      <c r="AE21" s="787">
        <v>0</v>
      </c>
      <c r="AF21" s="787">
        <v>0</v>
      </c>
      <c r="AG21" s="787">
        <v>600</v>
      </c>
      <c r="AH21" s="490">
        <f>SUM(C21:AG21)</f>
        <v>2880</v>
      </c>
      <c r="AI21" s="351">
        <f t="shared" si="11"/>
        <v>92.903225806451616</v>
      </c>
      <c r="AJ21" s="352">
        <v>1300</v>
      </c>
      <c r="AK21" s="31">
        <f>AH21*AJ21</f>
        <v>3744000</v>
      </c>
      <c r="AM21" s="319"/>
    </row>
    <row r="22" spans="1:39" ht="20.100000000000001" customHeight="1">
      <c r="A22" s="855"/>
      <c r="B22" s="398" t="s">
        <v>2</v>
      </c>
      <c r="C22" s="788">
        <v>100</v>
      </c>
      <c r="D22" s="788">
        <v>70</v>
      </c>
      <c r="E22" s="788">
        <v>80</v>
      </c>
      <c r="F22" s="788">
        <v>70</v>
      </c>
      <c r="G22" s="788">
        <v>70</v>
      </c>
      <c r="H22" s="788">
        <v>80</v>
      </c>
      <c r="I22" s="788">
        <v>100</v>
      </c>
      <c r="J22" s="788">
        <v>60</v>
      </c>
      <c r="K22" s="788">
        <v>80</v>
      </c>
      <c r="L22" s="788">
        <v>90</v>
      </c>
      <c r="M22" s="788">
        <v>80</v>
      </c>
      <c r="N22" s="788">
        <v>70</v>
      </c>
      <c r="O22" s="788">
        <v>70</v>
      </c>
      <c r="P22" s="788">
        <v>70</v>
      </c>
      <c r="Q22" s="788">
        <v>80</v>
      </c>
      <c r="R22" s="788">
        <v>70</v>
      </c>
      <c r="S22" s="788">
        <v>90</v>
      </c>
      <c r="T22" s="788">
        <v>80</v>
      </c>
      <c r="U22" s="788">
        <v>70</v>
      </c>
      <c r="V22" s="788">
        <v>80</v>
      </c>
      <c r="W22" s="788">
        <v>80</v>
      </c>
      <c r="X22" s="788">
        <v>90</v>
      </c>
      <c r="Y22" s="788">
        <v>70</v>
      </c>
      <c r="Z22" s="788">
        <v>70</v>
      </c>
      <c r="AA22" s="788">
        <v>70</v>
      </c>
      <c r="AB22" s="788">
        <v>70</v>
      </c>
      <c r="AC22" s="789">
        <v>50</v>
      </c>
      <c r="AD22" s="789">
        <v>80</v>
      </c>
      <c r="AE22" s="789">
        <v>60</v>
      </c>
      <c r="AF22" s="789">
        <v>60</v>
      </c>
      <c r="AG22" s="789">
        <v>60</v>
      </c>
      <c r="AH22" s="353">
        <f>SUM(C22:AG22)</f>
        <v>2320</v>
      </c>
      <c r="AI22" s="353">
        <f t="shared" si="11"/>
        <v>74.838709677419359</v>
      </c>
      <c r="AJ22" s="342">
        <v>1300</v>
      </c>
      <c r="AK22" s="27">
        <f>AH22*AJ22</f>
        <v>3016000</v>
      </c>
    </row>
    <row r="23" spans="1:39" ht="19.5" customHeight="1" thickBot="1">
      <c r="A23" s="856"/>
      <c r="B23" s="399" t="s">
        <v>4</v>
      </c>
      <c r="C23" s="759">
        <f>380+C21-C22</f>
        <v>940</v>
      </c>
      <c r="D23" s="759">
        <f>C23+D21-D22</f>
        <v>870</v>
      </c>
      <c r="E23" s="759">
        <f t="shared" ref="E23:X23" si="19">D23+E21-E22</f>
        <v>790</v>
      </c>
      <c r="F23" s="759">
        <f t="shared" si="19"/>
        <v>720</v>
      </c>
      <c r="G23" s="759">
        <f t="shared" si="19"/>
        <v>650</v>
      </c>
      <c r="H23" s="759">
        <f t="shared" si="19"/>
        <v>570</v>
      </c>
      <c r="I23" s="759">
        <f t="shared" si="19"/>
        <v>470</v>
      </c>
      <c r="J23" s="759">
        <f t="shared" si="19"/>
        <v>410</v>
      </c>
      <c r="K23" s="759">
        <f t="shared" si="19"/>
        <v>330</v>
      </c>
      <c r="L23" s="759">
        <f t="shared" si="19"/>
        <v>850</v>
      </c>
      <c r="M23" s="759">
        <f t="shared" si="19"/>
        <v>770</v>
      </c>
      <c r="N23" s="759">
        <f t="shared" si="19"/>
        <v>700</v>
      </c>
      <c r="O23" s="759">
        <f t="shared" si="19"/>
        <v>630</v>
      </c>
      <c r="P23" s="759">
        <f t="shared" si="19"/>
        <v>560</v>
      </c>
      <c r="Q23" s="759">
        <f t="shared" si="19"/>
        <v>480</v>
      </c>
      <c r="R23" s="759">
        <f t="shared" si="19"/>
        <v>410</v>
      </c>
      <c r="S23" s="759">
        <f t="shared" si="19"/>
        <v>920</v>
      </c>
      <c r="T23" s="759">
        <f t="shared" si="19"/>
        <v>840</v>
      </c>
      <c r="U23" s="759">
        <f t="shared" si="19"/>
        <v>770</v>
      </c>
      <c r="V23" s="759">
        <f t="shared" si="19"/>
        <v>690</v>
      </c>
      <c r="W23" s="759">
        <f t="shared" si="19"/>
        <v>610</v>
      </c>
      <c r="X23" s="759">
        <f t="shared" si="19"/>
        <v>930</v>
      </c>
      <c r="Y23" s="759">
        <f t="shared" ref="Y23:AB23" si="20">X23+Y21-Y22</f>
        <v>860</v>
      </c>
      <c r="Z23" s="759">
        <f t="shared" si="20"/>
        <v>790</v>
      </c>
      <c r="AA23" s="759">
        <f t="shared" si="20"/>
        <v>720</v>
      </c>
      <c r="AB23" s="759">
        <f t="shared" si="20"/>
        <v>650</v>
      </c>
      <c r="AC23" s="759">
        <f t="shared" ref="AC23" si="21">AB23+AC21-AC22</f>
        <v>600</v>
      </c>
      <c r="AD23" s="759">
        <f t="shared" ref="AD23" si="22">AC23+AD21-AD22</f>
        <v>520</v>
      </c>
      <c r="AE23" s="759">
        <f t="shared" ref="AE23" si="23">AD23+AE21-AE22</f>
        <v>460</v>
      </c>
      <c r="AF23" s="759">
        <f t="shared" ref="AF23" si="24">AE23+AF21-AF22</f>
        <v>400</v>
      </c>
      <c r="AG23" s="759">
        <f t="shared" ref="AG23" si="25">AF23+AG21-AG22</f>
        <v>940</v>
      </c>
      <c r="AH23" s="354"/>
      <c r="AI23" s="354">
        <f t="shared" si="11"/>
        <v>672.58064516129036</v>
      </c>
      <c r="AJ23" s="350"/>
      <c r="AK23" s="30">
        <f t="shared" si="18"/>
        <v>0</v>
      </c>
    </row>
    <row r="24" spans="1:39" ht="20.100000000000001" customHeight="1" thickTop="1">
      <c r="A24" s="858" t="s">
        <v>188</v>
      </c>
      <c r="B24" s="400" t="s">
        <v>3</v>
      </c>
      <c r="C24" s="738">
        <v>0</v>
      </c>
      <c r="D24" s="738">
        <v>0</v>
      </c>
      <c r="E24" s="738">
        <v>0</v>
      </c>
      <c r="F24" s="738">
        <v>0</v>
      </c>
      <c r="G24" s="738">
        <v>0</v>
      </c>
      <c r="H24" s="738">
        <v>0</v>
      </c>
      <c r="I24" s="738">
        <v>0</v>
      </c>
      <c r="J24" s="738">
        <v>0</v>
      </c>
      <c r="K24" s="738">
        <v>0</v>
      </c>
      <c r="L24" s="738">
        <v>0</v>
      </c>
      <c r="M24" s="738">
        <v>0</v>
      </c>
      <c r="N24" s="738">
        <v>0</v>
      </c>
      <c r="O24" s="738">
        <v>0</v>
      </c>
      <c r="P24" s="738">
        <v>0</v>
      </c>
      <c r="Q24" s="738">
        <v>0</v>
      </c>
      <c r="R24" s="738">
        <v>0</v>
      </c>
      <c r="S24" s="738">
        <v>0</v>
      </c>
      <c r="T24" s="738">
        <v>0</v>
      </c>
      <c r="U24" s="738">
        <v>0</v>
      </c>
      <c r="V24" s="738">
        <v>0</v>
      </c>
      <c r="W24" s="738">
        <v>0</v>
      </c>
      <c r="X24" s="738">
        <v>0</v>
      </c>
      <c r="Y24" s="738">
        <v>2000</v>
      </c>
      <c r="Z24" s="738">
        <v>0</v>
      </c>
      <c r="AA24" s="738">
        <v>0</v>
      </c>
      <c r="AB24" s="738">
        <v>0</v>
      </c>
      <c r="AC24" s="738">
        <v>0</v>
      </c>
      <c r="AD24" s="738">
        <v>0</v>
      </c>
      <c r="AE24" s="738">
        <v>0</v>
      </c>
      <c r="AF24" s="738">
        <v>0</v>
      </c>
      <c r="AG24" s="738">
        <v>0</v>
      </c>
      <c r="AH24" s="490">
        <f>SUM(C24:AG24)</f>
        <v>2000</v>
      </c>
      <c r="AI24" s="355">
        <f t="shared" si="11"/>
        <v>64.516129032258064</v>
      </c>
      <c r="AJ24" s="352">
        <v>1650</v>
      </c>
      <c r="AK24" s="31">
        <f t="shared" si="18"/>
        <v>3300000</v>
      </c>
    </row>
    <row r="25" spans="1:39" ht="20.100000000000001" customHeight="1">
      <c r="A25" s="855"/>
      <c r="B25" s="398" t="s">
        <v>2</v>
      </c>
      <c r="C25" s="735">
        <v>120</v>
      </c>
      <c r="D25" s="735">
        <v>120</v>
      </c>
      <c r="E25" s="735">
        <v>120</v>
      </c>
      <c r="F25" s="735">
        <v>120</v>
      </c>
      <c r="G25" s="735">
        <v>120</v>
      </c>
      <c r="H25" s="735">
        <v>0</v>
      </c>
      <c r="I25" s="735">
        <v>0</v>
      </c>
      <c r="J25" s="735">
        <v>60</v>
      </c>
      <c r="K25" s="735">
        <v>80</v>
      </c>
      <c r="L25" s="735">
        <v>80</v>
      </c>
      <c r="M25" s="735">
        <v>80</v>
      </c>
      <c r="N25" s="735">
        <v>80</v>
      </c>
      <c r="O25" s="735">
        <v>80</v>
      </c>
      <c r="P25" s="735">
        <v>80</v>
      </c>
      <c r="Q25" s="735">
        <v>80</v>
      </c>
      <c r="R25" s="735">
        <v>80</v>
      </c>
      <c r="S25" s="735">
        <v>80</v>
      </c>
      <c r="T25" s="735">
        <v>80</v>
      </c>
      <c r="U25" s="735">
        <v>80</v>
      </c>
      <c r="V25" s="735">
        <v>120</v>
      </c>
      <c r="W25" s="735">
        <v>120</v>
      </c>
      <c r="X25" s="735">
        <v>120</v>
      </c>
      <c r="Y25" s="735">
        <v>120</v>
      </c>
      <c r="Z25" s="735">
        <v>120</v>
      </c>
      <c r="AA25" s="735">
        <v>120</v>
      </c>
      <c r="AB25" s="735">
        <v>120</v>
      </c>
      <c r="AC25" s="736">
        <v>120</v>
      </c>
      <c r="AD25" s="736">
        <v>120</v>
      </c>
      <c r="AE25" s="736">
        <v>120</v>
      </c>
      <c r="AF25" s="736">
        <v>120</v>
      </c>
      <c r="AG25" s="736">
        <v>120</v>
      </c>
      <c r="AH25" s="353">
        <f>SUM(C25:AG25)</f>
        <v>2980</v>
      </c>
      <c r="AI25" s="347">
        <f t="shared" si="11"/>
        <v>96.129032258064512</v>
      </c>
      <c r="AJ25" s="342">
        <v>1650</v>
      </c>
      <c r="AK25" s="27">
        <f t="shared" si="18"/>
        <v>4917000</v>
      </c>
    </row>
    <row r="26" spans="1:39" ht="19.5" customHeight="1" thickBot="1">
      <c r="A26" s="856"/>
      <c r="B26" s="399" t="s">
        <v>4</v>
      </c>
      <c r="C26" s="737">
        <f>1970+C24-C25</f>
        <v>1850</v>
      </c>
      <c r="D26" s="737">
        <f>C26+D24-D25</f>
        <v>1730</v>
      </c>
      <c r="E26" s="737">
        <f t="shared" ref="E26:U26" si="26">D26+E24-E25</f>
        <v>1610</v>
      </c>
      <c r="F26" s="737">
        <f t="shared" si="26"/>
        <v>1490</v>
      </c>
      <c r="G26" s="737">
        <f t="shared" si="26"/>
        <v>1370</v>
      </c>
      <c r="H26" s="737">
        <f t="shared" si="26"/>
        <v>1370</v>
      </c>
      <c r="I26" s="737">
        <f t="shared" si="26"/>
        <v>1370</v>
      </c>
      <c r="J26" s="737">
        <f t="shared" si="26"/>
        <v>1310</v>
      </c>
      <c r="K26" s="737">
        <f t="shared" si="26"/>
        <v>1230</v>
      </c>
      <c r="L26" s="737">
        <f t="shared" si="26"/>
        <v>1150</v>
      </c>
      <c r="M26" s="737">
        <f t="shared" si="26"/>
        <v>1070</v>
      </c>
      <c r="N26" s="737">
        <f t="shared" si="26"/>
        <v>990</v>
      </c>
      <c r="O26" s="737">
        <f t="shared" si="26"/>
        <v>910</v>
      </c>
      <c r="P26" s="737">
        <f t="shared" si="26"/>
        <v>830</v>
      </c>
      <c r="Q26" s="737">
        <f t="shared" si="26"/>
        <v>750</v>
      </c>
      <c r="R26" s="737">
        <f t="shared" si="26"/>
        <v>670</v>
      </c>
      <c r="S26" s="737">
        <f t="shared" si="26"/>
        <v>590</v>
      </c>
      <c r="T26" s="737">
        <f t="shared" si="26"/>
        <v>510</v>
      </c>
      <c r="U26" s="737">
        <f t="shared" si="26"/>
        <v>430</v>
      </c>
      <c r="V26" s="737">
        <f t="shared" ref="V26:AB26" si="27">U26+V24-V25</f>
        <v>310</v>
      </c>
      <c r="W26" s="737">
        <f t="shared" si="27"/>
        <v>190</v>
      </c>
      <c r="X26" s="737">
        <f t="shared" si="27"/>
        <v>70</v>
      </c>
      <c r="Y26" s="737">
        <f t="shared" si="27"/>
        <v>1950</v>
      </c>
      <c r="Z26" s="737">
        <f t="shared" si="27"/>
        <v>1830</v>
      </c>
      <c r="AA26" s="737">
        <f t="shared" si="27"/>
        <v>1710</v>
      </c>
      <c r="AB26" s="737">
        <f t="shared" si="27"/>
        <v>1590</v>
      </c>
      <c r="AC26" s="737">
        <f t="shared" ref="AC26" si="28">AB26+AC24-AC25</f>
        <v>1470</v>
      </c>
      <c r="AD26" s="737">
        <f t="shared" ref="AD26" si="29">AC26+AD24-AD25</f>
        <v>1350</v>
      </c>
      <c r="AE26" s="737">
        <f t="shared" ref="AE26" si="30">AD26+AE24-AE25</f>
        <v>1230</v>
      </c>
      <c r="AF26" s="737">
        <f t="shared" ref="AF26" si="31">AE26+AF24-AF25</f>
        <v>1110</v>
      </c>
      <c r="AG26" s="737">
        <f t="shared" ref="AG26" si="32">AF26+AG24-AG25</f>
        <v>990</v>
      </c>
      <c r="AH26" s="354"/>
      <c r="AI26" s="349">
        <f t="shared" si="11"/>
        <v>1130</v>
      </c>
      <c r="AJ26" s="350"/>
      <c r="AK26" s="30">
        <f t="shared" si="18"/>
        <v>0</v>
      </c>
    </row>
    <row r="27" spans="1:39" ht="20.100000000000001" customHeight="1" thickTop="1">
      <c r="A27" s="858" t="s">
        <v>23</v>
      </c>
      <c r="B27" s="400" t="s">
        <v>3</v>
      </c>
      <c r="C27" s="738">
        <v>0</v>
      </c>
      <c r="D27" s="738">
        <v>0</v>
      </c>
      <c r="E27" s="738">
        <v>0</v>
      </c>
      <c r="F27" s="738">
        <v>0</v>
      </c>
      <c r="G27" s="738">
        <v>0</v>
      </c>
      <c r="H27" s="738">
        <v>0</v>
      </c>
      <c r="I27" s="738">
        <v>0</v>
      </c>
      <c r="J27" s="738">
        <v>0</v>
      </c>
      <c r="K27" s="738">
        <v>0</v>
      </c>
      <c r="L27" s="738">
        <v>0</v>
      </c>
      <c r="M27" s="738">
        <v>0</v>
      </c>
      <c r="N27" s="738">
        <v>0</v>
      </c>
      <c r="O27" s="738">
        <v>0</v>
      </c>
      <c r="P27" s="738">
        <v>0</v>
      </c>
      <c r="Q27" s="738">
        <v>0</v>
      </c>
      <c r="R27" s="738">
        <v>0</v>
      </c>
      <c r="S27" s="738">
        <v>0</v>
      </c>
      <c r="T27" s="738">
        <v>0</v>
      </c>
      <c r="U27" s="738">
        <v>0</v>
      </c>
      <c r="V27" s="738">
        <v>0</v>
      </c>
      <c r="W27" s="738">
        <v>0</v>
      </c>
      <c r="X27" s="738">
        <v>0</v>
      </c>
      <c r="Y27" s="738">
        <v>0</v>
      </c>
      <c r="Z27" s="738">
        <v>0</v>
      </c>
      <c r="AA27" s="738">
        <v>0</v>
      </c>
      <c r="AB27" s="738">
        <v>0</v>
      </c>
      <c r="AC27" s="738">
        <v>0</v>
      </c>
      <c r="AD27" s="738">
        <v>0</v>
      </c>
      <c r="AE27" s="738">
        <v>0</v>
      </c>
      <c r="AF27" s="738"/>
      <c r="AG27" s="738">
        <v>0</v>
      </c>
      <c r="AH27" s="351">
        <f>SUM(C27:AG27)</f>
        <v>0</v>
      </c>
      <c r="AI27" s="356">
        <f t="shared" si="11"/>
        <v>0</v>
      </c>
      <c r="AJ27" s="352">
        <v>460</v>
      </c>
      <c r="AK27" s="31">
        <f t="shared" si="18"/>
        <v>0</v>
      </c>
    </row>
    <row r="28" spans="1:39" ht="20.100000000000001" customHeight="1">
      <c r="A28" s="855"/>
      <c r="B28" s="398" t="s">
        <v>2</v>
      </c>
      <c r="C28" s="735">
        <v>0</v>
      </c>
      <c r="D28" s="735">
        <v>0</v>
      </c>
      <c r="E28" s="735">
        <v>0</v>
      </c>
      <c r="F28" s="735">
        <v>0</v>
      </c>
      <c r="G28" s="735">
        <v>0</v>
      </c>
      <c r="H28" s="735">
        <v>0</v>
      </c>
      <c r="I28" s="735">
        <v>0</v>
      </c>
      <c r="J28" s="735">
        <v>0</v>
      </c>
      <c r="K28" s="735">
        <v>0</v>
      </c>
      <c r="L28" s="735">
        <v>0</v>
      </c>
      <c r="M28" s="735">
        <v>0</v>
      </c>
      <c r="N28" s="735">
        <v>0</v>
      </c>
      <c r="O28" s="735">
        <v>0</v>
      </c>
      <c r="P28" s="735">
        <v>0</v>
      </c>
      <c r="Q28" s="735">
        <v>0</v>
      </c>
      <c r="R28" s="735">
        <v>0</v>
      </c>
      <c r="S28" s="735">
        <v>0</v>
      </c>
      <c r="T28" s="735">
        <v>0</v>
      </c>
      <c r="U28" s="735">
        <v>0</v>
      </c>
      <c r="V28" s="735">
        <v>0</v>
      </c>
      <c r="W28" s="735">
        <v>0</v>
      </c>
      <c r="X28" s="735">
        <v>0</v>
      </c>
      <c r="Y28" s="735">
        <v>0</v>
      </c>
      <c r="Z28" s="735">
        <v>0</v>
      </c>
      <c r="AA28" s="735">
        <v>0</v>
      </c>
      <c r="AB28" s="735">
        <v>0</v>
      </c>
      <c r="AC28" s="735">
        <v>0</v>
      </c>
      <c r="AD28" s="735">
        <v>0</v>
      </c>
      <c r="AE28" s="735">
        <v>0</v>
      </c>
      <c r="AF28" s="736"/>
      <c r="AG28" s="735">
        <v>0</v>
      </c>
      <c r="AH28" s="353">
        <f>SUM(C28:AG28)</f>
        <v>0</v>
      </c>
      <c r="AI28" s="308">
        <f t="shared" si="11"/>
        <v>0</v>
      </c>
      <c r="AJ28" s="342">
        <v>460</v>
      </c>
      <c r="AK28" s="27">
        <f t="shared" si="18"/>
        <v>0</v>
      </c>
    </row>
    <row r="29" spans="1:39" ht="19.5" customHeight="1" thickBot="1">
      <c r="A29" s="856"/>
      <c r="B29" s="399" t="s">
        <v>4</v>
      </c>
      <c r="C29" s="737">
        <f>0+C27-C28</f>
        <v>0</v>
      </c>
      <c r="D29" s="737">
        <f>C29+D27-D28</f>
        <v>0</v>
      </c>
      <c r="E29" s="737">
        <f t="shared" ref="E29:AB29" si="33">D29+E27-E28</f>
        <v>0</v>
      </c>
      <c r="F29" s="737">
        <f t="shared" si="33"/>
        <v>0</v>
      </c>
      <c r="G29" s="737">
        <f t="shared" si="33"/>
        <v>0</v>
      </c>
      <c r="H29" s="737">
        <f t="shared" si="33"/>
        <v>0</v>
      </c>
      <c r="I29" s="737">
        <f t="shared" si="33"/>
        <v>0</v>
      </c>
      <c r="J29" s="737">
        <f t="shared" si="33"/>
        <v>0</v>
      </c>
      <c r="K29" s="737">
        <f t="shared" si="33"/>
        <v>0</v>
      </c>
      <c r="L29" s="737">
        <f t="shared" si="33"/>
        <v>0</v>
      </c>
      <c r="M29" s="737">
        <f t="shared" si="33"/>
        <v>0</v>
      </c>
      <c r="N29" s="737">
        <f t="shared" si="33"/>
        <v>0</v>
      </c>
      <c r="O29" s="737">
        <f t="shared" si="33"/>
        <v>0</v>
      </c>
      <c r="P29" s="737">
        <f t="shared" si="33"/>
        <v>0</v>
      </c>
      <c r="Q29" s="737">
        <f t="shared" si="33"/>
        <v>0</v>
      </c>
      <c r="R29" s="737">
        <f t="shared" si="33"/>
        <v>0</v>
      </c>
      <c r="S29" s="737">
        <f t="shared" si="33"/>
        <v>0</v>
      </c>
      <c r="T29" s="737">
        <f t="shared" si="33"/>
        <v>0</v>
      </c>
      <c r="U29" s="737">
        <f t="shared" si="33"/>
        <v>0</v>
      </c>
      <c r="V29" s="737">
        <f t="shared" si="33"/>
        <v>0</v>
      </c>
      <c r="W29" s="737">
        <f t="shared" si="33"/>
        <v>0</v>
      </c>
      <c r="X29" s="737">
        <f t="shared" si="33"/>
        <v>0</v>
      </c>
      <c r="Y29" s="737">
        <f t="shared" si="33"/>
        <v>0</v>
      </c>
      <c r="Z29" s="737">
        <f t="shared" si="33"/>
        <v>0</v>
      </c>
      <c r="AA29" s="737">
        <f t="shared" si="33"/>
        <v>0</v>
      </c>
      <c r="AB29" s="737">
        <f t="shared" si="33"/>
        <v>0</v>
      </c>
      <c r="AC29" s="737">
        <f t="shared" ref="AC29" si="34">AB29+AC27-AC28</f>
        <v>0</v>
      </c>
      <c r="AD29" s="737">
        <f t="shared" ref="AD29" si="35">AC29+AD27-AD28</f>
        <v>0</v>
      </c>
      <c r="AE29" s="737">
        <f t="shared" ref="AE29" si="36">AD29+AE27-AE28</f>
        <v>0</v>
      </c>
      <c r="AF29" s="737"/>
      <c r="AG29" s="737">
        <f t="shared" ref="AG29" si="37">AE29+AG27-AG28</f>
        <v>0</v>
      </c>
      <c r="AH29" s="354"/>
      <c r="AI29" s="354">
        <f t="shared" si="11"/>
        <v>0</v>
      </c>
      <c r="AJ29" s="350"/>
      <c r="AK29" s="30">
        <f t="shared" si="18"/>
        <v>0</v>
      </c>
    </row>
    <row r="30" spans="1:39" ht="20.100000000000001" customHeight="1" thickTop="1">
      <c r="A30" s="858" t="s">
        <v>24</v>
      </c>
      <c r="B30" s="591" t="s">
        <v>3</v>
      </c>
      <c r="C30" s="738">
        <v>0</v>
      </c>
      <c r="D30" s="738">
        <v>0</v>
      </c>
      <c r="E30" s="738">
        <v>0</v>
      </c>
      <c r="F30" s="738">
        <v>0</v>
      </c>
      <c r="G30" s="738">
        <v>0</v>
      </c>
      <c r="H30" s="738">
        <v>0</v>
      </c>
      <c r="I30" s="738">
        <v>0</v>
      </c>
      <c r="J30" s="738">
        <v>0</v>
      </c>
      <c r="K30" s="738">
        <v>0</v>
      </c>
      <c r="L30" s="738">
        <v>0</v>
      </c>
      <c r="M30" s="738">
        <v>0</v>
      </c>
      <c r="N30" s="738">
        <v>0</v>
      </c>
      <c r="O30" s="738">
        <v>0</v>
      </c>
      <c r="P30" s="738">
        <v>0</v>
      </c>
      <c r="Q30" s="738">
        <v>0</v>
      </c>
      <c r="R30" s="738">
        <v>0</v>
      </c>
      <c r="S30" s="738">
        <v>0</v>
      </c>
      <c r="T30" s="738">
        <v>0</v>
      </c>
      <c r="U30" s="738">
        <v>0</v>
      </c>
      <c r="V30" s="738">
        <v>0</v>
      </c>
      <c r="W30" s="738">
        <v>0</v>
      </c>
      <c r="X30" s="738">
        <v>0</v>
      </c>
      <c r="Y30" s="738">
        <v>0</v>
      </c>
      <c r="Z30" s="738">
        <v>0</v>
      </c>
      <c r="AA30" s="738">
        <v>0</v>
      </c>
      <c r="AB30" s="738">
        <v>0</v>
      </c>
      <c r="AC30" s="738">
        <v>0</v>
      </c>
      <c r="AD30" s="738">
        <v>0</v>
      </c>
      <c r="AE30" s="738">
        <v>0</v>
      </c>
      <c r="AF30" s="738">
        <v>0</v>
      </c>
      <c r="AG30" s="738">
        <v>0</v>
      </c>
      <c r="AH30" s="490">
        <f>SUM(C30:AG30)</f>
        <v>0</v>
      </c>
      <c r="AI30" s="351">
        <f t="shared" si="11"/>
        <v>0</v>
      </c>
      <c r="AJ30" s="352">
        <v>580</v>
      </c>
      <c r="AK30" s="31">
        <f t="shared" si="18"/>
        <v>0</v>
      </c>
    </row>
    <row r="31" spans="1:39" ht="20.100000000000001" customHeight="1">
      <c r="A31" s="855"/>
      <c r="B31" s="589" t="s">
        <v>2</v>
      </c>
      <c r="C31" s="735">
        <v>20</v>
      </c>
      <c r="D31" s="735">
        <v>20</v>
      </c>
      <c r="E31" s="735">
        <v>20</v>
      </c>
      <c r="F31" s="735">
        <v>20</v>
      </c>
      <c r="G31" s="735">
        <v>20</v>
      </c>
      <c r="H31" s="735">
        <v>0</v>
      </c>
      <c r="I31" s="735">
        <v>0</v>
      </c>
      <c r="J31" s="735">
        <v>0</v>
      </c>
      <c r="K31" s="735">
        <v>20</v>
      </c>
      <c r="L31" s="735">
        <v>20</v>
      </c>
      <c r="M31" s="735">
        <v>20</v>
      </c>
      <c r="N31" s="735">
        <v>20</v>
      </c>
      <c r="O31" s="735">
        <v>20</v>
      </c>
      <c r="P31" s="735">
        <v>20</v>
      </c>
      <c r="Q31" s="735">
        <v>20</v>
      </c>
      <c r="R31" s="735">
        <v>20</v>
      </c>
      <c r="S31" s="735">
        <v>20</v>
      </c>
      <c r="T31" s="735">
        <v>20</v>
      </c>
      <c r="U31" s="735">
        <v>20</v>
      </c>
      <c r="V31" s="735">
        <v>20</v>
      </c>
      <c r="W31" s="735">
        <v>20</v>
      </c>
      <c r="X31" s="735">
        <v>20</v>
      </c>
      <c r="Y31" s="735">
        <v>20</v>
      </c>
      <c r="Z31" s="735">
        <v>20</v>
      </c>
      <c r="AA31" s="735">
        <v>20</v>
      </c>
      <c r="AB31" s="735">
        <v>20</v>
      </c>
      <c r="AC31" s="735">
        <v>20</v>
      </c>
      <c r="AD31" s="736">
        <v>20</v>
      </c>
      <c r="AE31" s="736">
        <v>20</v>
      </c>
      <c r="AF31" s="736">
        <v>20</v>
      </c>
      <c r="AG31" s="736">
        <v>20</v>
      </c>
      <c r="AH31" s="353">
        <f>SUM(C31:AG31)</f>
        <v>560</v>
      </c>
      <c r="AI31" s="353">
        <f t="shared" si="11"/>
        <v>18.06451612903226</v>
      </c>
      <c r="AJ31" s="342">
        <f>AJ30</f>
        <v>580</v>
      </c>
      <c r="AK31" s="27">
        <f t="shared" si="18"/>
        <v>324800</v>
      </c>
      <c r="AM31" s="319"/>
    </row>
    <row r="32" spans="1:39" ht="19.5" customHeight="1" thickBot="1">
      <c r="A32" s="856"/>
      <c r="B32" s="590" t="s">
        <v>4</v>
      </c>
      <c r="C32" s="737">
        <f>1480+C30-C31</f>
        <v>1460</v>
      </c>
      <c r="D32" s="737">
        <f>C32+D30-D31</f>
        <v>1440</v>
      </c>
      <c r="E32" s="737">
        <f t="shared" ref="E32:AB32" si="38">D32+E30-E31</f>
        <v>1420</v>
      </c>
      <c r="F32" s="737">
        <f t="shared" si="38"/>
        <v>1400</v>
      </c>
      <c r="G32" s="737">
        <f t="shared" si="38"/>
        <v>1380</v>
      </c>
      <c r="H32" s="737">
        <f t="shared" si="38"/>
        <v>1380</v>
      </c>
      <c r="I32" s="737">
        <f t="shared" si="38"/>
        <v>1380</v>
      </c>
      <c r="J32" s="737">
        <f t="shared" si="38"/>
        <v>1380</v>
      </c>
      <c r="K32" s="737">
        <f t="shared" si="38"/>
        <v>1360</v>
      </c>
      <c r="L32" s="737">
        <f t="shared" si="38"/>
        <v>1340</v>
      </c>
      <c r="M32" s="737">
        <f t="shared" si="38"/>
        <v>1320</v>
      </c>
      <c r="N32" s="737">
        <f t="shared" si="38"/>
        <v>1300</v>
      </c>
      <c r="O32" s="737">
        <f t="shared" si="38"/>
        <v>1280</v>
      </c>
      <c r="P32" s="737">
        <f t="shared" si="38"/>
        <v>1260</v>
      </c>
      <c r="Q32" s="737">
        <f t="shared" si="38"/>
        <v>1240</v>
      </c>
      <c r="R32" s="737">
        <f t="shared" si="38"/>
        <v>1220</v>
      </c>
      <c r="S32" s="737">
        <f t="shared" si="38"/>
        <v>1200</v>
      </c>
      <c r="T32" s="737">
        <f t="shared" si="38"/>
        <v>1180</v>
      </c>
      <c r="U32" s="737">
        <f t="shared" si="38"/>
        <v>1160</v>
      </c>
      <c r="V32" s="737">
        <f t="shared" si="38"/>
        <v>1140</v>
      </c>
      <c r="W32" s="737">
        <f t="shared" si="38"/>
        <v>1120</v>
      </c>
      <c r="X32" s="737">
        <f t="shared" si="38"/>
        <v>1100</v>
      </c>
      <c r="Y32" s="737">
        <f t="shared" si="38"/>
        <v>1080</v>
      </c>
      <c r="Z32" s="737">
        <f t="shared" si="38"/>
        <v>1060</v>
      </c>
      <c r="AA32" s="737">
        <f t="shared" si="38"/>
        <v>1040</v>
      </c>
      <c r="AB32" s="737">
        <f t="shared" si="38"/>
        <v>1020</v>
      </c>
      <c r="AC32" s="737">
        <f t="shared" ref="AC32" si="39">AB32+AC30-AC31</f>
        <v>1000</v>
      </c>
      <c r="AD32" s="737">
        <f t="shared" ref="AD32" si="40">AC32+AD30-AD31</f>
        <v>980</v>
      </c>
      <c r="AE32" s="737">
        <f t="shared" ref="AE32" si="41">AD32+AE30-AE31</f>
        <v>960</v>
      </c>
      <c r="AF32" s="737">
        <f t="shared" ref="AF32" si="42">AE32+AF30-AF31</f>
        <v>940</v>
      </c>
      <c r="AG32" s="737">
        <f t="shared" ref="AG32" si="43">AF32+AG30-AG31</f>
        <v>920</v>
      </c>
      <c r="AH32" s="645"/>
      <c r="AI32" s="354">
        <f t="shared" si="11"/>
        <v>1208.3870967741937</v>
      </c>
      <c r="AJ32" s="350"/>
      <c r="AK32" s="30">
        <f t="shared" si="18"/>
        <v>0</v>
      </c>
      <c r="AM32" s="319"/>
    </row>
    <row r="33" spans="1:39" ht="20.100000000000001" customHeight="1" thickTop="1">
      <c r="A33" s="859" t="s">
        <v>22</v>
      </c>
      <c r="B33" s="400" t="s">
        <v>3</v>
      </c>
      <c r="C33" s="738">
        <v>1440</v>
      </c>
      <c r="D33" s="738">
        <v>0</v>
      </c>
      <c r="E33" s="738">
        <v>0</v>
      </c>
      <c r="F33" s="738">
        <v>0</v>
      </c>
      <c r="G33" s="738">
        <v>0</v>
      </c>
      <c r="H33" s="738">
        <v>0</v>
      </c>
      <c r="I33" s="738">
        <v>1440</v>
      </c>
      <c r="J33" s="738">
        <v>0</v>
      </c>
      <c r="K33" s="738">
        <v>0</v>
      </c>
      <c r="L33" s="738">
        <v>0</v>
      </c>
      <c r="M33" s="738">
        <v>0</v>
      </c>
      <c r="N33" s="738">
        <v>0</v>
      </c>
      <c r="O33" s="738">
        <v>0</v>
      </c>
      <c r="P33" s="738">
        <v>1440</v>
      </c>
      <c r="Q33" s="738">
        <v>0</v>
      </c>
      <c r="R33" s="738">
        <v>0</v>
      </c>
      <c r="S33" s="738">
        <v>0</v>
      </c>
      <c r="T33" s="738">
        <v>0</v>
      </c>
      <c r="U33" s="738">
        <v>0</v>
      </c>
      <c r="V33" s="738">
        <v>0</v>
      </c>
      <c r="W33" s="738">
        <v>1440</v>
      </c>
      <c r="X33" s="738">
        <v>0</v>
      </c>
      <c r="Y33" s="738">
        <v>0</v>
      </c>
      <c r="Z33" s="738">
        <v>0</v>
      </c>
      <c r="AA33" s="738">
        <v>0</v>
      </c>
      <c r="AB33" s="738">
        <v>0</v>
      </c>
      <c r="AC33" s="738">
        <v>0</v>
      </c>
      <c r="AD33" s="738">
        <v>0</v>
      </c>
      <c r="AE33" s="738">
        <v>1440</v>
      </c>
      <c r="AF33" s="738">
        <v>0</v>
      </c>
      <c r="AG33" s="738">
        <v>0</v>
      </c>
      <c r="AH33" s="490">
        <f>SUM(C33:AG33)</f>
        <v>7200</v>
      </c>
      <c r="AI33" s="351">
        <f t="shared" si="11"/>
        <v>232.25806451612902</v>
      </c>
      <c r="AJ33" s="393">
        <v>140</v>
      </c>
      <c r="AK33" s="31">
        <f t="shared" si="18"/>
        <v>1008000</v>
      </c>
      <c r="AM33" s="319"/>
    </row>
    <row r="34" spans="1:39" ht="20.100000000000001" customHeight="1">
      <c r="A34" s="855"/>
      <c r="B34" s="398" t="s">
        <v>2</v>
      </c>
      <c r="C34" s="735">
        <v>200</v>
      </c>
      <c r="D34" s="735">
        <v>200</v>
      </c>
      <c r="E34" s="735">
        <v>200</v>
      </c>
      <c r="F34" s="735">
        <v>200</v>
      </c>
      <c r="G34" s="735">
        <v>200</v>
      </c>
      <c r="H34" s="735">
        <v>20</v>
      </c>
      <c r="I34" s="735">
        <v>200</v>
      </c>
      <c r="J34" s="735">
        <v>200</v>
      </c>
      <c r="K34" s="735">
        <v>200</v>
      </c>
      <c r="L34" s="735">
        <v>200</v>
      </c>
      <c r="M34" s="735">
        <v>200</v>
      </c>
      <c r="N34" s="735">
        <v>200</v>
      </c>
      <c r="O34" s="735">
        <v>200</v>
      </c>
      <c r="P34" s="735">
        <v>200</v>
      </c>
      <c r="Q34" s="735">
        <v>200</v>
      </c>
      <c r="R34" s="735">
        <v>200</v>
      </c>
      <c r="S34" s="735">
        <v>200</v>
      </c>
      <c r="T34" s="735">
        <v>200</v>
      </c>
      <c r="U34" s="735">
        <v>200</v>
      </c>
      <c r="V34" s="735">
        <v>200</v>
      </c>
      <c r="W34" s="735">
        <v>200</v>
      </c>
      <c r="X34" s="735">
        <v>200</v>
      </c>
      <c r="Y34" s="735">
        <v>200</v>
      </c>
      <c r="Z34" s="735">
        <v>200</v>
      </c>
      <c r="AA34" s="735">
        <v>200</v>
      </c>
      <c r="AB34" s="735">
        <v>200</v>
      </c>
      <c r="AC34" s="736">
        <v>200</v>
      </c>
      <c r="AD34" s="736">
        <v>200</v>
      </c>
      <c r="AE34" s="736">
        <v>200</v>
      </c>
      <c r="AF34" s="736">
        <v>200</v>
      </c>
      <c r="AG34" s="736">
        <v>200</v>
      </c>
      <c r="AH34" s="353">
        <f>SUM(C34:AG34)</f>
        <v>6020</v>
      </c>
      <c r="AI34" s="353">
        <f t="shared" si="11"/>
        <v>194.19354838709677</v>
      </c>
      <c r="AJ34" s="342">
        <f>AJ33</f>
        <v>140</v>
      </c>
      <c r="AK34" s="27">
        <f t="shared" si="18"/>
        <v>842800</v>
      </c>
    </row>
    <row r="35" spans="1:39" ht="19.5" customHeight="1" thickBot="1">
      <c r="A35" s="856"/>
      <c r="B35" s="399" t="s">
        <v>4</v>
      </c>
      <c r="C35" s="737">
        <f>470+C33-C34</f>
        <v>1710</v>
      </c>
      <c r="D35" s="737">
        <f>C35+D33-D34</f>
        <v>1510</v>
      </c>
      <c r="E35" s="737">
        <f t="shared" ref="E35:T35" si="44">D35+E33-E34</f>
        <v>1310</v>
      </c>
      <c r="F35" s="737">
        <f t="shared" si="44"/>
        <v>1110</v>
      </c>
      <c r="G35" s="737">
        <f t="shared" si="44"/>
        <v>910</v>
      </c>
      <c r="H35" s="737">
        <f t="shared" si="44"/>
        <v>890</v>
      </c>
      <c r="I35" s="737">
        <f t="shared" si="44"/>
        <v>2130</v>
      </c>
      <c r="J35" s="737">
        <f t="shared" si="44"/>
        <v>1930</v>
      </c>
      <c r="K35" s="737">
        <f t="shared" si="44"/>
        <v>1730</v>
      </c>
      <c r="L35" s="737">
        <f t="shared" si="44"/>
        <v>1530</v>
      </c>
      <c r="M35" s="737">
        <f t="shared" si="44"/>
        <v>1330</v>
      </c>
      <c r="N35" s="737">
        <f t="shared" si="44"/>
        <v>1130</v>
      </c>
      <c r="O35" s="737">
        <f t="shared" si="44"/>
        <v>930</v>
      </c>
      <c r="P35" s="737">
        <f t="shared" si="44"/>
        <v>2170</v>
      </c>
      <c r="Q35" s="737">
        <f t="shared" si="44"/>
        <v>1970</v>
      </c>
      <c r="R35" s="737">
        <f t="shared" si="44"/>
        <v>1770</v>
      </c>
      <c r="S35" s="737">
        <f t="shared" si="44"/>
        <v>1570</v>
      </c>
      <c r="T35" s="737">
        <f t="shared" si="44"/>
        <v>1370</v>
      </c>
      <c r="U35" s="737">
        <f t="shared" ref="U35:AB35" si="45">T35+U33-U34</f>
        <v>1170</v>
      </c>
      <c r="V35" s="737">
        <f t="shared" si="45"/>
        <v>970</v>
      </c>
      <c r="W35" s="737">
        <f t="shared" si="45"/>
        <v>2210</v>
      </c>
      <c r="X35" s="737">
        <f t="shared" si="45"/>
        <v>2010</v>
      </c>
      <c r="Y35" s="737">
        <f t="shared" si="45"/>
        <v>1810</v>
      </c>
      <c r="Z35" s="737">
        <f t="shared" si="45"/>
        <v>1610</v>
      </c>
      <c r="AA35" s="737">
        <f t="shared" si="45"/>
        <v>1410</v>
      </c>
      <c r="AB35" s="737">
        <f t="shared" si="45"/>
        <v>1210</v>
      </c>
      <c r="AC35" s="737">
        <f t="shared" ref="AC35" si="46">AB35+AC33-AC34</f>
        <v>1010</v>
      </c>
      <c r="AD35" s="737">
        <f t="shared" ref="AD35" si="47">AC35+AD33-AD34</f>
        <v>810</v>
      </c>
      <c r="AE35" s="737">
        <f t="shared" ref="AE35" si="48">AD35+AE33-AE34</f>
        <v>2050</v>
      </c>
      <c r="AF35" s="737">
        <f t="shared" ref="AF35" si="49">AE35+AF33-AF34</f>
        <v>1850</v>
      </c>
      <c r="AG35" s="737">
        <f t="shared" ref="AG35" si="50">AF35+AG33-AG34</f>
        <v>1650</v>
      </c>
      <c r="AH35" s="354">
        <v>0</v>
      </c>
      <c r="AI35" s="354">
        <f t="shared" si="11"/>
        <v>1508.7096774193549</v>
      </c>
      <c r="AJ35" s="394"/>
      <c r="AK35" s="395">
        <f t="shared" si="18"/>
        <v>0</v>
      </c>
    </row>
    <row r="36" spans="1:39" ht="20.100000000000001" customHeight="1" thickTop="1">
      <c r="A36" s="859" t="s">
        <v>19</v>
      </c>
      <c r="B36" s="400" t="s">
        <v>3</v>
      </c>
      <c r="C36" s="738">
        <v>0</v>
      </c>
      <c r="D36" s="738">
        <v>0</v>
      </c>
      <c r="E36" s="738">
        <v>3000</v>
      </c>
      <c r="F36" s="738">
        <v>0</v>
      </c>
      <c r="G36" s="738">
        <v>0</v>
      </c>
      <c r="H36" s="738">
        <v>0</v>
      </c>
      <c r="I36" s="738">
        <v>0</v>
      </c>
      <c r="J36" s="738">
        <v>0</v>
      </c>
      <c r="K36" s="738">
        <v>0</v>
      </c>
      <c r="L36" s="738">
        <v>0</v>
      </c>
      <c r="M36" s="738">
        <v>0</v>
      </c>
      <c r="N36" s="738">
        <v>0</v>
      </c>
      <c r="O36" s="738">
        <v>0</v>
      </c>
      <c r="P36" s="738">
        <v>0</v>
      </c>
      <c r="Q36" s="738">
        <v>0</v>
      </c>
      <c r="R36" s="738">
        <v>0</v>
      </c>
      <c r="S36" s="738">
        <v>0</v>
      </c>
      <c r="T36" s="738">
        <v>0</v>
      </c>
      <c r="U36" s="738">
        <v>0</v>
      </c>
      <c r="V36" s="738">
        <v>0</v>
      </c>
      <c r="W36" s="738">
        <v>0</v>
      </c>
      <c r="X36" s="738">
        <v>0</v>
      </c>
      <c r="Y36" s="738">
        <v>0</v>
      </c>
      <c r="Z36" s="738">
        <v>0</v>
      </c>
      <c r="AA36" s="738">
        <v>0</v>
      </c>
      <c r="AB36" s="738">
        <v>0</v>
      </c>
      <c r="AC36" s="738">
        <v>0</v>
      </c>
      <c r="AD36" s="738">
        <v>0</v>
      </c>
      <c r="AE36" s="738">
        <v>0</v>
      </c>
      <c r="AF36" s="738">
        <v>0</v>
      </c>
      <c r="AG36" s="738">
        <v>0</v>
      </c>
      <c r="AH36" s="490">
        <f>SUM(C36:AG36)</f>
        <v>3000</v>
      </c>
      <c r="AI36" s="351">
        <f t="shared" si="11"/>
        <v>96.774193548387103</v>
      </c>
      <c r="AJ36" s="396">
        <v>1390</v>
      </c>
      <c r="AK36" s="25">
        <f>AH36*AJ36</f>
        <v>4170000</v>
      </c>
    </row>
    <row r="37" spans="1:39" ht="20.100000000000001" customHeight="1">
      <c r="A37" s="855"/>
      <c r="B37" s="398" t="s">
        <v>2</v>
      </c>
      <c r="C37" s="735">
        <v>0</v>
      </c>
      <c r="D37" s="735">
        <v>0</v>
      </c>
      <c r="E37" s="735">
        <v>0</v>
      </c>
      <c r="F37" s="735">
        <v>0</v>
      </c>
      <c r="G37" s="735">
        <v>0</v>
      </c>
      <c r="H37" s="735">
        <v>0</v>
      </c>
      <c r="I37" s="735">
        <v>0</v>
      </c>
      <c r="J37" s="735">
        <v>4220</v>
      </c>
      <c r="K37" s="735">
        <v>0</v>
      </c>
      <c r="L37" s="735">
        <v>0</v>
      </c>
      <c r="M37" s="735">
        <v>0</v>
      </c>
      <c r="N37" s="735">
        <v>0</v>
      </c>
      <c r="O37" s="735">
        <v>0</v>
      </c>
      <c r="P37" s="735">
        <v>0</v>
      </c>
      <c r="Q37" s="735">
        <v>0</v>
      </c>
      <c r="R37" s="735">
        <v>0</v>
      </c>
      <c r="S37" s="735">
        <v>0</v>
      </c>
      <c r="T37" s="735">
        <v>0</v>
      </c>
      <c r="U37" s="735">
        <v>0</v>
      </c>
      <c r="V37" s="735">
        <v>0</v>
      </c>
      <c r="W37" s="735">
        <v>0</v>
      </c>
      <c r="X37" s="735">
        <v>0</v>
      </c>
      <c r="Y37" s="735">
        <v>0</v>
      </c>
      <c r="Z37" s="735">
        <v>0</v>
      </c>
      <c r="AA37" s="735">
        <v>0</v>
      </c>
      <c r="AB37" s="735">
        <v>0</v>
      </c>
      <c r="AC37" s="735">
        <v>0</v>
      </c>
      <c r="AD37" s="736">
        <v>0</v>
      </c>
      <c r="AE37" s="736">
        <v>0</v>
      </c>
      <c r="AF37" s="736">
        <v>0</v>
      </c>
      <c r="AG37" s="736">
        <v>0</v>
      </c>
      <c r="AH37" s="353">
        <f>SUM(C37:AG37)</f>
        <v>4220</v>
      </c>
      <c r="AI37" s="353">
        <f t="shared" si="11"/>
        <v>136.12903225806451</v>
      </c>
      <c r="AJ37" s="342">
        <f>AJ36</f>
        <v>1390</v>
      </c>
      <c r="AK37" s="27">
        <f>AJ37*AH37</f>
        <v>5865800</v>
      </c>
    </row>
    <row r="38" spans="1:39" ht="19.5" customHeight="1" thickBot="1">
      <c r="A38" s="856"/>
      <c r="B38" s="399" t="s">
        <v>4</v>
      </c>
      <c r="C38" s="737">
        <f>4090+C36-C37</f>
        <v>4090</v>
      </c>
      <c r="D38" s="737">
        <f>C38+D36-D37</f>
        <v>4090</v>
      </c>
      <c r="E38" s="737">
        <f t="shared" ref="E38:Y38" si="51">D38+E36-E37</f>
        <v>7090</v>
      </c>
      <c r="F38" s="737">
        <f t="shared" si="51"/>
        <v>7090</v>
      </c>
      <c r="G38" s="737">
        <f t="shared" si="51"/>
        <v>7090</v>
      </c>
      <c r="H38" s="737">
        <f t="shared" si="51"/>
        <v>7090</v>
      </c>
      <c r="I38" s="737">
        <f t="shared" si="51"/>
        <v>7090</v>
      </c>
      <c r="J38" s="737">
        <f t="shared" si="51"/>
        <v>2870</v>
      </c>
      <c r="K38" s="737">
        <f t="shared" si="51"/>
        <v>2870</v>
      </c>
      <c r="L38" s="737">
        <f t="shared" si="51"/>
        <v>2870</v>
      </c>
      <c r="M38" s="737">
        <f t="shared" si="51"/>
        <v>2870</v>
      </c>
      <c r="N38" s="737">
        <f t="shared" si="51"/>
        <v>2870</v>
      </c>
      <c r="O38" s="737">
        <f t="shared" si="51"/>
        <v>2870</v>
      </c>
      <c r="P38" s="737">
        <f t="shared" si="51"/>
        <v>2870</v>
      </c>
      <c r="Q38" s="737">
        <f t="shared" si="51"/>
        <v>2870</v>
      </c>
      <c r="R38" s="737">
        <f t="shared" si="51"/>
        <v>2870</v>
      </c>
      <c r="S38" s="737">
        <f t="shared" si="51"/>
        <v>2870</v>
      </c>
      <c r="T38" s="737">
        <f t="shared" si="51"/>
        <v>2870</v>
      </c>
      <c r="U38" s="737">
        <f t="shared" si="51"/>
        <v>2870</v>
      </c>
      <c r="V38" s="737">
        <f t="shared" si="51"/>
        <v>2870</v>
      </c>
      <c r="W38" s="737">
        <f t="shared" si="51"/>
        <v>2870</v>
      </c>
      <c r="X38" s="737">
        <f t="shared" si="51"/>
        <v>2870</v>
      </c>
      <c r="Y38" s="737">
        <f t="shared" si="51"/>
        <v>2870</v>
      </c>
      <c r="Z38" s="737">
        <f t="shared" ref="Z38" si="52">Y38+Z36-Z37</f>
        <v>2870</v>
      </c>
      <c r="AA38" s="737">
        <f t="shared" ref="AA38" si="53">Z38+AA36-AA37</f>
        <v>2870</v>
      </c>
      <c r="AB38" s="737">
        <f t="shared" ref="AB38" si="54">AA38+AB36-AB37</f>
        <v>2870</v>
      </c>
      <c r="AC38" s="737">
        <f t="shared" ref="AC38" si="55">AB38+AC36-AC37</f>
        <v>2870</v>
      </c>
      <c r="AD38" s="737">
        <f t="shared" ref="AD38" si="56">AC38+AD36-AD37</f>
        <v>2870</v>
      </c>
      <c r="AE38" s="737">
        <f t="shared" ref="AE38:AG38" si="57">AD38+AE36-AE37</f>
        <v>2870</v>
      </c>
      <c r="AF38" s="737">
        <f t="shared" si="57"/>
        <v>2870</v>
      </c>
      <c r="AG38" s="737">
        <f t="shared" si="57"/>
        <v>2870</v>
      </c>
      <c r="AH38" s="354"/>
      <c r="AI38" s="354">
        <f t="shared" si="11"/>
        <v>3629.3548387096776</v>
      </c>
      <c r="AJ38" s="350"/>
      <c r="AK38" s="30">
        <f>AJ38*AH38</f>
        <v>0</v>
      </c>
    </row>
    <row r="39" spans="1:39" ht="20.100000000000001" customHeight="1" thickTop="1">
      <c r="A39" s="859" t="s">
        <v>21</v>
      </c>
      <c r="B39" s="357" t="s">
        <v>3</v>
      </c>
      <c r="C39" s="358">
        <v>0</v>
      </c>
      <c r="D39" s="358">
        <v>0</v>
      </c>
      <c r="E39" s="358">
        <v>0</v>
      </c>
      <c r="F39" s="358">
        <v>0</v>
      </c>
      <c r="G39" s="358">
        <v>0</v>
      </c>
      <c r="H39" s="358">
        <v>0</v>
      </c>
      <c r="I39" s="358">
        <v>0</v>
      </c>
      <c r="J39" s="358">
        <v>0</v>
      </c>
      <c r="K39" s="358">
        <v>0</v>
      </c>
      <c r="L39" s="358">
        <v>0</v>
      </c>
      <c r="M39" s="358">
        <v>0</v>
      </c>
      <c r="N39" s="358">
        <v>0</v>
      </c>
      <c r="O39" s="358">
        <v>0</v>
      </c>
      <c r="P39" s="358">
        <v>0</v>
      </c>
      <c r="Q39" s="358">
        <v>0</v>
      </c>
      <c r="R39" s="358">
        <v>0</v>
      </c>
      <c r="S39" s="358">
        <v>0</v>
      </c>
      <c r="T39" s="358">
        <v>0</v>
      </c>
      <c r="U39" s="358">
        <v>0</v>
      </c>
      <c r="V39" s="358">
        <v>0</v>
      </c>
      <c r="W39" s="358">
        <v>0</v>
      </c>
      <c r="X39" s="358">
        <v>0</v>
      </c>
      <c r="Y39" s="358">
        <v>0</v>
      </c>
      <c r="Z39" s="358">
        <v>0</v>
      </c>
      <c r="AA39" s="358">
        <v>0</v>
      </c>
      <c r="AB39" s="358">
        <v>0</v>
      </c>
      <c r="AC39" s="358">
        <v>0</v>
      </c>
      <c r="AD39" s="358">
        <v>0</v>
      </c>
      <c r="AE39" s="358">
        <v>0</v>
      </c>
      <c r="AF39" s="358"/>
      <c r="AG39" s="358"/>
      <c r="AH39" s="615">
        <f>SUM(C39:AG39)</f>
        <v>0</v>
      </c>
      <c r="AI39" s="359">
        <f t="shared" si="11"/>
        <v>0</v>
      </c>
      <c r="AJ39" s="360">
        <v>145</v>
      </c>
      <c r="AK39" s="32">
        <f>AJ39*AH39</f>
        <v>0</v>
      </c>
    </row>
    <row r="40" spans="1:39" ht="20.100000000000001" customHeight="1" thickBot="1">
      <c r="A40" s="860"/>
      <c r="B40" s="361" t="s">
        <v>2</v>
      </c>
      <c r="C40" s="866" t="s">
        <v>25</v>
      </c>
      <c r="D40" s="866"/>
      <c r="E40" s="866"/>
      <c r="F40" s="866"/>
      <c r="G40" s="866"/>
      <c r="H40" s="866"/>
      <c r="I40" s="866"/>
      <c r="J40" s="866"/>
      <c r="K40" s="866"/>
      <c r="L40" s="866"/>
      <c r="M40" s="866"/>
      <c r="N40" s="866"/>
      <c r="O40" s="866"/>
      <c r="P40" s="866"/>
      <c r="Q40" s="866"/>
      <c r="R40" s="866"/>
      <c r="S40" s="866"/>
      <c r="T40" s="866"/>
      <c r="U40" s="866"/>
      <c r="V40" s="866"/>
      <c r="W40" s="866"/>
      <c r="X40" s="866"/>
      <c r="Y40" s="866"/>
      <c r="Z40" s="866"/>
      <c r="AA40" s="866"/>
      <c r="AB40" s="866"/>
      <c r="AC40" s="867"/>
      <c r="AD40" s="867"/>
      <c r="AE40" s="867"/>
      <c r="AF40" s="868"/>
      <c r="AG40" s="868"/>
      <c r="AH40" s="362"/>
      <c r="AI40" s="309" t="str">
        <f t="shared" si="11"/>
        <v/>
      </c>
      <c r="AJ40" s="344"/>
      <c r="AK40" s="28">
        <f>AJ40*AH40</f>
        <v>0</v>
      </c>
    </row>
    <row r="41" spans="1:39" ht="25.5" thickTop="1" thickBot="1">
      <c r="A41" s="363" t="s">
        <v>188</v>
      </c>
      <c r="B41" s="364" t="s">
        <v>195</v>
      </c>
      <c r="C41" s="365"/>
      <c r="D41" s="365"/>
      <c r="E41" s="365"/>
      <c r="F41" s="365"/>
      <c r="G41" s="365"/>
      <c r="H41" s="365"/>
      <c r="I41" s="365"/>
      <c r="J41" s="365"/>
      <c r="K41" s="365"/>
      <c r="L41" s="365"/>
      <c r="M41" s="365"/>
      <c r="N41" s="365"/>
      <c r="O41" s="365"/>
      <c r="P41" s="365"/>
      <c r="Q41" s="365"/>
      <c r="R41" s="365"/>
      <c r="S41" s="365"/>
      <c r="T41" s="365"/>
      <c r="U41" s="365"/>
      <c r="V41" s="365"/>
      <c r="W41" s="365"/>
      <c r="X41" s="365"/>
      <c r="Y41" s="365"/>
      <c r="Z41" s="365"/>
      <c r="AA41" s="365"/>
      <c r="AB41" s="365"/>
      <c r="AC41" s="365"/>
      <c r="AD41" s="365"/>
      <c r="AE41" s="365"/>
      <c r="AF41" s="365"/>
      <c r="AG41" s="365"/>
      <c r="AH41" s="366">
        <f>SUM(C41:AG41)</f>
        <v>0</v>
      </c>
      <c r="AI41" s="367"/>
      <c r="AJ41" s="368">
        <v>5900</v>
      </c>
      <c r="AK41" s="325">
        <f>AH41*AJ41</f>
        <v>0</v>
      </c>
    </row>
    <row r="42" spans="1:39" ht="31.5" customHeight="1" thickBot="1">
      <c r="A42" s="369" t="s">
        <v>225</v>
      </c>
      <c r="B42" s="370" t="s">
        <v>195</v>
      </c>
      <c r="C42" s="371"/>
      <c r="D42" s="371"/>
      <c r="E42" s="371"/>
      <c r="F42" s="371"/>
      <c r="G42" s="371"/>
      <c r="H42" s="371"/>
      <c r="I42" s="371"/>
      <c r="J42" s="371"/>
      <c r="K42" s="371"/>
      <c r="L42" s="371"/>
      <c r="M42" s="371"/>
      <c r="N42" s="371"/>
      <c r="O42" s="371"/>
      <c r="P42" s="371"/>
      <c r="Q42" s="371"/>
      <c r="R42" s="371"/>
      <c r="S42" s="371"/>
      <c r="T42" s="371"/>
      <c r="U42" s="371"/>
      <c r="V42" s="371"/>
      <c r="W42" s="371"/>
      <c r="X42" s="371"/>
      <c r="Y42" s="371"/>
      <c r="Z42" s="371"/>
      <c r="AA42" s="371"/>
      <c r="AB42" s="371"/>
      <c r="AC42" s="371"/>
      <c r="AD42" s="371"/>
      <c r="AE42" s="371"/>
      <c r="AF42" s="371"/>
      <c r="AG42" s="371"/>
      <c r="AH42" s="372">
        <f>SUM(C42:AG42)</f>
        <v>0</v>
      </c>
      <c r="AI42" s="373"/>
      <c r="AJ42" s="374">
        <f>1788/1.1</f>
        <v>1625.4545454545453</v>
      </c>
      <c r="AK42" s="326">
        <f>AH42*AJ42</f>
        <v>0</v>
      </c>
    </row>
    <row r="43" spans="1:39" ht="31.5" customHeight="1" thickBot="1">
      <c r="A43" s="369" t="s">
        <v>281</v>
      </c>
      <c r="B43" s="370" t="s">
        <v>195</v>
      </c>
      <c r="C43" s="371"/>
      <c r="D43" s="371"/>
      <c r="E43" s="371"/>
      <c r="F43" s="371"/>
      <c r="G43" s="371"/>
      <c r="H43" s="371"/>
      <c r="I43" s="371"/>
      <c r="J43" s="371"/>
      <c r="K43" s="371"/>
      <c r="L43" s="371"/>
      <c r="M43" s="371"/>
      <c r="N43" s="371"/>
      <c r="O43" s="371"/>
      <c r="P43" s="371"/>
      <c r="Q43" s="371"/>
      <c r="R43" s="371"/>
      <c r="S43" s="371"/>
      <c r="T43" s="371"/>
      <c r="U43" s="371"/>
      <c r="V43" s="371"/>
      <c r="W43" s="371"/>
      <c r="X43" s="371"/>
      <c r="Y43" s="371"/>
      <c r="Z43" s="371"/>
      <c r="AA43" s="371"/>
      <c r="AB43" s="371"/>
      <c r="AC43" s="371"/>
      <c r="AD43" s="371"/>
      <c r="AE43" s="371"/>
      <c r="AF43" s="371"/>
      <c r="AG43" s="371"/>
      <c r="AH43" s="372"/>
      <c r="AI43" s="373">
        <v>0</v>
      </c>
      <c r="AJ43" s="374">
        <v>1035.4545454545455</v>
      </c>
      <c r="AK43" s="326">
        <f>AH43*AJ43</f>
        <v>0</v>
      </c>
    </row>
    <row r="44" spans="1:39" s="8" customFormat="1" ht="34.5" customHeight="1" thickBot="1">
      <c r="A44" s="861" t="s">
        <v>497</v>
      </c>
      <c r="B44" s="862"/>
      <c r="C44" s="7">
        <f>SUM(C18,C21,C24,C27,C30,C33,C36,C39)</f>
        <v>8300</v>
      </c>
      <c r="D44" s="7">
        <f t="shared" ref="D44:AC44" si="58">SUM(D18,D21,D24,D27,D30,D33,D36,D39)</f>
        <v>7350</v>
      </c>
      <c r="E44" s="7">
        <f t="shared" si="58"/>
        <v>3000</v>
      </c>
      <c r="F44" s="7">
        <f t="shared" si="58"/>
        <v>0</v>
      </c>
      <c r="G44" s="7">
        <f t="shared" si="58"/>
        <v>8040</v>
      </c>
      <c r="H44" s="7">
        <f t="shared" si="58"/>
        <v>0</v>
      </c>
      <c r="I44" s="7">
        <f t="shared" si="58"/>
        <v>1440</v>
      </c>
      <c r="J44" s="7">
        <f t="shared" si="58"/>
        <v>0</v>
      </c>
      <c r="K44" s="7">
        <f t="shared" si="58"/>
        <v>0</v>
      </c>
      <c r="L44" s="7">
        <f t="shared" si="58"/>
        <v>8590</v>
      </c>
      <c r="M44" s="7">
        <f t="shared" si="58"/>
        <v>0</v>
      </c>
      <c r="N44" s="7">
        <f t="shared" si="58"/>
        <v>0</v>
      </c>
      <c r="O44" s="7">
        <f t="shared" si="58"/>
        <v>10420</v>
      </c>
      <c r="P44" s="7">
        <f t="shared" si="58"/>
        <v>1440</v>
      </c>
      <c r="Q44" s="7">
        <f t="shared" si="58"/>
        <v>5390</v>
      </c>
      <c r="R44" s="7">
        <f t="shared" si="58"/>
        <v>0</v>
      </c>
      <c r="S44" s="7">
        <f t="shared" si="58"/>
        <v>7490</v>
      </c>
      <c r="T44" s="7">
        <f t="shared" si="58"/>
        <v>0</v>
      </c>
      <c r="U44" s="7">
        <f t="shared" si="58"/>
        <v>0</v>
      </c>
      <c r="V44" s="7">
        <f t="shared" si="58"/>
        <v>7890</v>
      </c>
      <c r="W44" s="7">
        <f t="shared" si="58"/>
        <v>1440</v>
      </c>
      <c r="X44" s="7">
        <f t="shared" si="58"/>
        <v>6660</v>
      </c>
      <c r="Y44" s="7">
        <f t="shared" si="58"/>
        <v>2000</v>
      </c>
      <c r="Z44" s="7">
        <f t="shared" si="58"/>
        <v>10000</v>
      </c>
      <c r="AA44" s="7">
        <f t="shared" si="58"/>
        <v>0</v>
      </c>
      <c r="AB44" s="7">
        <f t="shared" si="58"/>
        <v>0</v>
      </c>
      <c r="AC44" s="7">
        <f t="shared" si="58"/>
        <v>8120</v>
      </c>
      <c r="AD44" s="7">
        <f t="shared" ref="AD44:AE44" si="59">SUM(AD18,AD21,AD24,AD27,AD30,AD33,AD36,AD39)</f>
        <v>0</v>
      </c>
      <c r="AE44" s="7">
        <f t="shared" si="59"/>
        <v>8700</v>
      </c>
      <c r="AF44" s="7">
        <f t="shared" ref="AF44:AG44" si="60">SUM(AF18,AF21,AF24,AF27,AF30,AF33,AF36,AF39)</f>
        <v>0</v>
      </c>
      <c r="AG44" s="7">
        <f t="shared" si="60"/>
        <v>6370</v>
      </c>
      <c r="AH44" s="35">
        <f>SUM(AH18,AH21,AH24,AH27,AH30,AH33,AH36,AH39,AH41,AH42,AH43)</f>
        <v>112640</v>
      </c>
      <c r="AI44" s="35">
        <f>SUM(AI18,AI21,AI24,AI27,AI30,AI33,AI36,AI39)</f>
        <v>3633.5483870967746</v>
      </c>
      <c r="AJ44" s="7">
        <v>0</v>
      </c>
      <c r="AK44" s="327">
        <f>AK18+AK21+AK24+AK27+AK30+AK33+AK36+AK39+AK41+AK42+AK43</f>
        <v>49294800</v>
      </c>
      <c r="AM44" s="448"/>
    </row>
    <row r="45" spans="1:39" s="8" customFormat="1" ht="34.5" customHeight="1" thickBot="1">
      <c r="A45" s="863" t="s">
        <v>498</v>
      </c>
      <c r="B45" s="864"/>
      <c r="C45" s="664">
        <f>SUM(C19,C22,C25,C28,C31,C34,C37)</f>
        <v>3867</v>
      </c>
      <c r="D45" s="664">
        <f t="shared" ref="D45:AC45" si="61">SUM(D19,D22,D25,D28,D31,D34,D37)</f>
        <v>3539</v>
      </c>
      <c r="E45" s="664">
        <f t="shared" si="61"/>
        <v>4193</v>
      </c>
      <c r="F45" s="664">
        <f t="shared" si="61"/>
        <v>3916</v>
      </c>
      <c r="G45" s="664">
        <f t="shared" si="61"/>
        <v>3495</v>
      </c>
      <c r="H45" s="664">
        <f t="shared" si="61"/>
        <v>100</v>
      </c>
      <c r="I45" s="664">
        <f t="shared" si="61"/>
        <v>300</v>
      </c>
      <c r="J45" s="664">
        <f t="shared" si="61"/>
        <v>6222</v>
      </c>
      <c r="K45" s="664">
        <f t="shared" si="61"/>
        <v>3428</v>
      </c>
      <c r="L45" s="664">
        <f t="shared" si="61"/>
        <v>2640</v>
      </c>
      <c r="M45" s="664">
        <f t="shared" si="61"/>
        <v>3562</v>
      </c>
      <c r="N45" s="664">
        <f t="shared" si="61"/>
        <v>3434</v>
      </c>
      <c r="O45" s="664">
        <f t="shared" si="61"/>
        <v>3742</v>
      </c>
      <c r="P45" s="664">
        <f t="shared" si="61"/>
        <v>3825</v>
      </c>
      <c r="Q45" s="664">
        <f t="shared" si="61"/>
        <v>3609</v>
      </c>
      <c r="R45" s="664">
        <f t="shared" si="61"/>
        <v>4097</v>
      </c>
      <c r="S45" s="664">
        <f t="shared" si="61"/>
        <v>3374</v>
      </c>
      <c r="T45" s="664">
        <f t="shared" si="61"/>
        <v>4153</v>
      </c>
      <c r="U45" s="664">
        <f t="shared" si="61"/>
        <v>3809</v>
      </c>
      <c r="V45" s="664">
        <f t="shared" si="61"/>
        <v>3598</v>
      </c>
      <c r="W45" s="664">
        <f t="shared" si="61"/>
        <v>3647</v>
      </c>
      <c r="X45" s="664">
        <f t="shared" si="61"/>
        <v>3104</v>
      </c>
      <c r="Y45" s="664">
        <f t="shared" si="61"/>
        <v>3865</v>
      </c>
      <c r="Z45" s="664">
        <f t="shared" si="61"/>
        <v>3619</v>
      </c>
      <c r="AA45" s="664">
        <f t="shared" si="61"/>
        <v>3592</v>
      </c>
      <c r="AB45" s="664">
        <f t="shared" si="61"/>
        <v>3046</v>
      </c>
      <c r="AC45" s="664">
        <f t="shared" si="61"/>
        <v>3325</v>
      </c>
      <c r="AD45" s="664">
        <f t="shared" ref="AD45:AE45" si="62">SUM(AD19,AD22,AD25,AD28,AD31,AD34,AD37)</f>
        <v>3965</v>
      </c>
      <c r="AE45" s="664">
        <f t="shared" si="62"/>
        <v>3090</v>
      </c>
      <c r="AF45" s="664">
        <f t="shared" ref="AF45:AG45" si="63">SUM(AF19,AF22,AF25,AF28,AF31,AF34,AF37)</f>
        <v>3445</v>
      </c>
      <c r="AG45" s="664">
        <f t="shared" si="63"/>
        <v>3276</v>
      </c>
      <c r="AH45" s="665">
        <f>SUM(AH19,AH22,AH25,AH28,AH31,AH34,AH37)</f>
        <v>106877</v>
      </c>
      <c r="AI45" s="665">
        <f>SUM(AI19,AI22,AI25,AI28,AI31,AI34,AI37,AI39)</f>
        <v>3447.6451612903224</v>
      </c>
      <c r="AJ45" s="664">
        <v>0</v>
      </c>
      <c r="AK45" s="666">
        <f>SUM(AK19,AK22,AK25,AK28,AK31,AK34,AK37)</f>
        <v>49461660</v>
      </c>
      <c r="AM45" s="448"/>
    </row>
    <row r="46" spans="1:39" s="388" customFormat="1" ht="20.100000000000001" customHeight="1">
      <c r="A46" s="854" t="s">
        <v>20</v>
      </c>
      <c r="B46" s="732" t="s">
        <v>3</v>
      </c>
      <c r="C46" s="790">
        <v>72.12</v>
      </c>
      <c r="D46" s="790">
        <v>87.65</v>
      </c>
      <c r="E46" s="790">
        <v>67.17</v>
      </c>
      <c r="F46" s="790">
        <v>59.54</v>
      </c>
      <c r="G46" s="790">
        <v>45.88</v>
      </c>
      <c r="H46" s="790">
        <v>0</v>
      </c>
      <c r="I46" s="790">
        <v>0</v>
      </c>
      <c r="J46" s="790">
        <v>64.260000000000005</v>
      </c>
      <c r="K46" s="790">
        <v>39.659999999999997</v>
      </c>
      <c r="L46" s="790">
        <v>62.69</v>
      </c>
      <c r="M46" s="790">
        <v>86.92</v>
      </c>
      <c r="N46" s="790">
        <v>71.09</v>
      </c>
      <c r="O46" s="790">
        <v>66.930000000000007</v>
      </c>
      <c r="P46" s="790">
        <v>64.06</v>
      </c>
      <c r="Q46" s="790">
        <v>65.33</v>
      </c>
      <c r="R46" s="790">
        <v>72.64</v>
      </c>
      <c r="S46" s="790">
        <v>67.92</v>
      </c>
      <c r="T46" s="790">
        <v>66.41</v>
      </c>
      <c r="U46" s="790">
        <v>67.89</v>
      </c>
      <c r="V46" s="790">
        <v>88.56</v>
      </c>
      <c r="W46" s="790">
        <v>90.48</v>
      </c>
      <c r="X46" s="790">
        <v>86.6</v>
      </c>
      <c r="Y46" s="790">
        <v>85.95</v>
      </c>
      <c r="Z46" s="790">
        <v>80.209999999999994</v>
      </c>
      <c r="AA46" s="790">
        <v>61.02</v>
      </c>
      <c r="AB46" s="790">
        <v>70.400000000000006</v>
      </c>
      <c r="AC46" s="790">
        <v>88.05</v>
      </c>
      <c r="AD46" s="791">
        <v>83.13</v>
      </c>
      <c r="AE46" s="791">
        <v>87.18</v>
      </c>
      <c r="AF46" s="791">
        <v>67.89</v>
      </c>
      <c r="AG46" s="791">
        <v>83.56</v>
      </c>
      <c r="AH46" s="375">
        <f>SUM(C46:AG46)</f>
        <v>2101.19</v>
      </c>
      <c r="AI46" s="375">
        <f t="shared" ref="AI46:AI63" si="64">IFERROR(AVERAGE(C46:AG46),"")</f>
        <v>67.780322580645162</v>
      </c>
      <c r="AJ46" s="346">
        <f>AK46/AH46</f>
        <v>-34392.667964344015</v>
      </c>
      <c r="AK46" s="744">
        <f>-'4. SRF입고내역'!M38</f>
        <v>-72265530</v>
      </c>
    </row>
    <row r="47" spans="1:39" s="388" customFormat="1" ht="20.100000000000001" customHeight="1">
      <c r="A47" s="855"/>
      <c r="B47" s="733" t="s">
        <v>2</v>
      </c>
      <c r="C47" s="792">
        <f t="shared" ref="C47:AG47" si="65">C9</f>
        <v>63.052</v>
      </c>
      <c r="D47" s="792">
        <f t="shared" si="65"/>
        <v>70.504000000000005</v>
      </c>
      <c r="E47" s="792">
        <f t="shared" si="65"/>
        <v>72.323999999999998</v>
      </c>
      <c r="F47" s="792">
        <f t="shared" si="65"/>
        <v>61.984000000000002</v>
      </c>
      <c r="G47" s="792">
        <f t="shared" si="65"/>
        <v>73.191999999999993</v>
      </c>
      <c r="H47" s="792">
        <f t="shared" si="65"/>
        <v>0</v>
      </c>
      <c r="I47" s="792">
        <f t="shared" si="65"/>
        <v>0</v>
      </c>
      <c r="J47" s="792">
        <f t="shared" si="65"/>
        <v>34.594000000000001</v>
      </c>
      <c r="K47" s="792">
        <f t="shared" si="65"/>
        <v>70.263999999999996</v>
      </c>
      <c r="L47" s="792">
        <f t="shared" si="65"/>
        <v>76.522000000000006</v>
      </c>
      <c r="M47" s="792">
        <f t="shared" si="65"/>
        <v>67.010000000000005</v>
      </c>
      <c r="N47" s="792">
        <f t="shared" si="65"/>
        <v>55.744</v>
      </c>
      <c r="O47" s="792">
        <f t="shared" si="65"/>
        <v>59.933999999999997</v>
      </c>
      <c r="P47" s="792">
        <f t="shared" si="65"/>
        <v>72.725999999999999</v>
      </c>
      <c r="Q47" s="792">
        <f t="shared" si="65"/>
        <v>60.634</v>
      </c>
      <c r="R47" s="792">
        <f t="shared" si="65"/>
        <v>72.245999999999995</v>
      </c>
      <c r="S47" s="792">
        <f t="shared" si="65"/>
        <v>68.59</v>
      </c>
      <c r="T47" s="792">
        <f t="shared" si="65"/>
        <v>72.596000000000004</v>
      </c>
      <c r="U47" s="792">
        <f t="shared" si="65"/>
        <v>74.650000000000006</v>
      </c>
      <c r="V47" s="792">
        <f t="shared" si="65"/>
        <v>84.841999999999999</v>
      </c>
      <c r="W47" s="792">
        <f t="shared" si="65"/>
        <v>81.385999999999996</v>
      </c>
      <c r="X47" s="792">
        <f t="shared" si="65"/>
        <v>82.864000000000004</v>
      </c>
      <c r="Y47" s="792">
        <f t="shared" si="65"/>
        <v>75.652000000000001</v>
      </c>
      <c r="Z47" s="792">
        <f t="shared" si="65"/>
        <v>71.085999999999999</v>
      </c>
      <c r="AA47" s="792">
        <f t="shared" si="65"/>
        <v>67.864000000000004</v>
      </c>
      <c r="AB47" s="792">
        <f t="shared" si="65"/>
        <v>77.024000000000001</v>
      </c>
      <c r="AC47" s="792">
        <f t="shared" si="65"/>
        <v>82.57</v>
      </c>
      <c r="AD47" s="792">
        <f t="shared" si="65"/>
        <v>72.304000000000002</v>
      </c>
      <c r="AE47" s="792">
        <f t="shared" si="65"/>
        <v>70.623999999999995</v>
      </c>
      <c r="AF47" s="792">
        <f t="shared" si="65"/>
        <v>79.358000000000004</v>
      </c>
      <c r="AG47" s="792">
        <f t="shared" si="65"/>
        <v>64.872</v>
      </c>
      <c r="AH47" s="308">
        <f>SUM(C47:AG47)</f>
        <v>2037.0120000000006</v>
      </c>
      <c r="AI47" s="308">
        <f t="shared" si="64"/>
        <v>65.710064516129052</v>
      </c>
      <c r="AJ47" s="342">
        <f>AJ46</f>
        <v>-34392.667964344015</v>
      </c>
      <c r="AK47" s="744">
        <f>-AJ47*AH47</f>
        <v>70058277.35538435</v>
      </c>
    </row>
    <row r="48" spans="1:39" s="388" customFormat="1" ht="19.5" customHeight="1" thickBot="1">
      <c r="A48" s="856"/>
      <c r="B48" s="734" t="s">
        <v>4</v>
      </c>
      <c r="C48" s="793">
        <f>3035.263+C46-C47</f>
        <v>3044.3309999999997</v>
      </c>
      <c r="D48" s="793">
        <f>C48+D46-D47</f>
        <v>3061.4769999999999</v>
      </c>
      <c r="E48" s="793">
        <f t="shared" ref="E48:Y48" si="66">D48+E46-E47</f>
        <v>3056.3229999999999</v>
      </c>
      <c r="F48" s="793">
        <f t="shared" si="66"/>
        <v>3053.8789999999999</v>
      </c>
      <c r="G48" s="793">
        <f t="shared" si="66"/>
        <v>3026.567</v>
      </c>
      <c r="H48" s="793">
        <f t="shared" si="66"/>
        <v>3026.567</v>
      </c>
      <c r="I48" s="793">
        <f t="shared" si="66"/>
        <v>3026.567</v>
      </c>
      <c r="J48" s="793">
        <f t="shared" si="66"/>
        <v>3056.2330000000002</v>
      </c>
      <c r="K48" s="793">
        <f t="shared" si="66"/>
        <v>3025.6289999999999</v>
      </c>
      <c r="L48" s="793">
        <f t="shared" si="66"/>
        <v>3011.797</v>
      </c>
      <c r="M48" s="793">
        <f t="shared" si="66"/>
        <v>3031.7069999999999</v>
      </c>
      <c r="N48" s="793">
        <f t="shared" si="66"/>
        <v>3047.0529999999999</v>
      </c>
      <c r="O48" s="793">
        <f t="shared" si="66"/>
        <v>3054.0489999999995</v>
      </c>
      <c r="P48" s="793">
        <f t="shared" si="66"/>
        <v>3045.3829999999994</v>
      </c>
      <c r="Q48" s="793">
        <f t="shared" si="66"/>
        <v>3050.0789999999993</v>
      </c>
      <c r="R48" s="793">
        <f t="shared" si="66"/>
        <v>3050.472999999999</v>
      </c>
      <c r="S48" s="793">
        <f t="shared" si="66"/>
        <v>3049.802999999999</v>
      </c>
      <c r="T48" s="793">
        <f t="shared" si="66"/>
        <v>3043.6169999999988</v>
      </c>
      <c r="U48" s="793">
        <f t="shared" si="66"/>
        <v>3036.8569999999986</v>
      </c>
      <c r="V48" s="793">
        <f t="shared" si="66"/>
        <v>3040.5749999999985</v>
      </c>
      <c r="W48" s="793">
        <f t="shared" si="66"/>
        <v>3049.6689999999985</v>
      </c>
      <c r="X48" s="793">
        <f t="shared" si="66"/>
        <v>3053.4049999999984</v>
      </c>
      <c r="Y48" s="793">
        <f t="shared" si="66"/>
        <v>3063.7029999999982</v>
      </c>
      <c r="Z48" s="793">
        <f t="shared" ref="Z48" si="67">Y48+Z46-Z47</f>
        <v>3072.8269999999984</v>
      </c>
      <c r="AA48" s="793">
        <f t="shared" ref="AA48" si="68">Z48+AA46-AA47</f>
        <v>3065.9829999999984</v>
      </c>
      <c r="AB48" s="793">
        <f t="shared" ref="AB48" si="69">AA48+AB46-AB47</f>
        <v>3059.3589999999986</v>
      </c>
      <c r="AC48" s="793">
        <f t="shared" ref="AC48" si="70">AB48+AC46-AC47</f>
        <v>3064.8389999999986</v>
      </c>
      <c r="AD48" s="793">
        <f t="shared" ref="AD48" si="71">AC48+AD46-AD47</f>
        <v>3075.6649999999986</v>
      </c>
      <c r="AE48" s="793">
        <f t="shared" ref="AE48:AF48" si="72">AD48+AE46-AE47</f>
        <v>3092.2209999999986</v>
      </c>
      <c r="AF48" s="793">
        <f t="shared" si="72"/>
        <v>3080.7529999999983</v>
      </c>
      <c r="AG48" s="793">
        <f t="shared" ref="AG48" si="73">AE48+AG46-AG47</f>
        <v>3110.9089999999987</v>
      </c>
      <c r="AH48" s="348"/>
      <c r="AI48" s="348">
        <f t="shared" si="64"/>
        <v>3052.525774193547</v>
      </c>
      <c r="AJ48" s="376"/>
      <c r="AK48" s="745">
        <f t="shared" si="18"/>
        <v>0</v>
      </c>
    </row>
    <row r="49" spans="1:39" ht="24.95" customHeight="1" thickTop="1">
      <c r="A49" s="841" t="s">
        <v>50</v>
      </c>
      <c r="B49" s="377" t="s">
        <v>17</v>
      </c>
      <c r="C49" s="787"/>
      <c r="D49" s="787"/>
      <c r="E49" s="787"/>
      <c r="F49" s="787"/>
      <c r="G49" s="787"/>
      <c r="H49" s="787"/>
      <c r="I49" s="787"/>
      <c r="J49" s="787"/>
      <c r="K49" s="787"/>
      <c r="L49" s="787"/>
      <c r="M49" s="787"/>
      <c r="N49" s="787"/>
      <c r="O49" s="787"/>
      <c r="P49" s="787"/>
      <c r="Q49" s="787"/>
      <c r="R49" s="787"/>
      <c r="S49" s="787"/>
      <c r="T49" s="787"/>
      <c r="U49" s="787"/>
      <c r="V49" s="787"/>
      <c r="W49" s="787"/>
      <c r="X49" s="787"/>
      <c r="Y49" s="787"/>
      <c r="Z49" s="787"/>
      <c r="AA49" s="787"/>
      <c r="AB49" s="787"/>
      <c r="AC49" s="787"/>
      <c r="AD49" s="787"/>
      <c r="AE49" s="787"/>
      <c r="AF49" s="787"/>
      <c r="AG49" s="787"/>
      <c r="AH49" s="356">
        <f t="shared" ref="AH49:AH72" si="74">SUM(C49:AG49)</f>
        <v>0</v>
      </c>
      <c r="AI49" s="356" t="str">
        <f t="shared" si="64"/>
        <v/>
      </c>
      <c r="AJ49" s="393"/>
      <c r="AK49" s="31">
        <f t="shared" ref="AK49:AK56" si="75">AJ49*AH49</f>
        <v>0</v>
      </c>
      <c r="AL49" s="337"/>
    </row>
    <row r="50" spans="1:39" ht="24.95" customHeight="1">
      <c r="A50" s="842"/>
      <c r="B50" s="401" t="s">
        <v>32</v>
      </c>
      <c r="C50" s="378"/>
      <c r="D50" s="792"/>
      <c r="E50" s="378"/>
      <c r="F50" s="378"/>
      <c r="G50" s="378"/>
      <c r="H50" s="378"/>
      <c r="I50" s="378"/>
      <c r="J50" s="378"/>
      <c r="K50" s="378"/>
      <c r="L50" s="378"/>
      <c r="M50" s="378"/>
      <c r="N50" s="378"/>
      <c r="O50" s="378"/>
      <c r="P50" s="378"/>
      <c r="Q50" s="378"/>
      <c r="R50" s="378"/>
      <c r="S50" s="378"/>
      <c r="T50" s="378"/>
      <c r="U50" s="378"/>
      <c r="V50" s="378">
        <v>27.52</v>
      </c>
      <c r="W50" s="378"/>
      <c r="X50" s="378">
        <v>26.92</v>
      </c>
      <c r="Y50" s="378"/>
      <c r="Z50" s="378"/>
      <c r="AA50" s="378"/>
      <c r="AB50" s="378"/>
      <c r="AC50" s="378"/>
      <c r="AD50" s="379"/>
      <c r="AE50" s="379">
        <v>28.28</v>
      </c>
      <c r="AF50" s="379"/>
      <c r="AG50" s="379"/>
      <c r="AH50" s="308">
        <f t="shared" si="74"/>
        <v>82.72</v>
      </c>
      <c r="AI50" s="308">
        <f t="shared" si="64"/>
        <v>27.573333333333334</v>
      </c>
      <c r="AJ50" s="342">
        <v>31000</v>
      </c>
      <c r="AK50" s="25">
        <f t="shared" si="75"/>
        <v>2564320</v>
      </c>
    </row>
    <row r="51" spans="1:39" ht="24.95" customHeight="1">
      <c r="A51" s="842"/>
      <c r="B51" s="401" t="s">
        <v>166</v>
      </c>
      <c r="C51" s="378">
        <v>52.760000000000005</v>
      </c>
      <c r="D51" s="378"/>
      <c r="E51" s="378"/>
      <c r="F51" s="378"/>
      <c r="G51" s="378">
        <v>28.32</v>
      </c>
      <c r="H51" s="378"/>
      <c r="I51" s="378"/>
      <c r="J51" s="378">
        <v>28.46</v>
      </c>
      <c r="K51" s="378"/>
      <c r="L51" s="378"/>
      <c r="M51" s="378">
        <v>28.23</v>
      </c>
      <c r="N51" s="378"/>
      <c r="O51" s="378"/>
      <c r="P51" s="378">
        <v>27.25</v>
      </c>
      <c r="Q51" s="794">
        <v>27.36</v>
      </c>
      <c r="R51" s="378"/>
      <c r="S51" s="378">
        <v>26.96</v>
      </c>
      <c r="T51" s="378"/>
      <c r="U51" s="378"/>
      <c r="V51" s="378"/>
      <c r="W51" s="378">
        <v>29.48</v>
      </c>
      <c r="X51" s="378"/>
      <c r="Y51" s="378">
        <v>26.57</v>
      </c>
      <c r="Z51" s="378"/>
      <c r="AA51" s="378">
        <v>25.78</v>
      </c>
      <c r="AB51" s="378"/>
      <c r="AC51" s="378">
        <v>29.77</v>
      </c>
      <c r="AD51" s="379">
        <v>29.44</v>
      </c>
      <c r="AE51" s="379"/>
      <c r="AF51" s="379">
        <v>28.94</v>
      </c>
      <c r="AG51" s="379">
        <v>29.05</v>
      </c>
      <c r="AH51" s="308">
        <f t="shared" si="74"/>
        <v>418.36999999999995</v>
      </c>
      <c r="AI51" s="308">
        <f t="shared" si="64"/>
        <v>29.883571428571425</v>
      </c>
      <c r="AJ51" s="342">
        <v>27000</v>
      </c>
      <c r="AK51" s="25">
        <f t="shared" si="75"/>
        <v>11295989.999999998</v>
      </c>
    </row>
    <row r="52" spans="1:39" ht="24.95" customHeight="1">
      <c r="A52" s="842"/>
      <c r="B52" s="401" t="s">
        <v>156</v>
      </c>
      <c r="C52" s="378"/>
      <c r="D52" s="378"/>
      <c r="E52" s="378"/>
      <c r="F52" s="378"/>
      <c r="G52" s="378"/>
      <c r="H52" s="378"/>
      <c r="I52" s="378"/>
      <c r="J52" s="378"/>
      <c r="K52" s="378"/>
      <c r="L52" s="378"/>
      <c r="M52" s="378"/>
      <c r="N52" s="378"/>
      <c r="O52" s="378"/>
      <c r="P52" s="378"/>
      <c r="Q52" s="378"/>
      <c r="R52" s="378"/>
      <c r="S52" s="378"/>
      <c r="T52" s="378"/>
      <c r="U52" s="378"/>
      <c r="V52" s="378"/>
      <c r="W52" s="378"/>
      <c r="X52" s="378"/>
      <c r="Y52" s="378"/>
      <c r="Z52" s="378"/>
      <c r="AA52" s="378"/>
      <c r="AB52" s="378"/>
      <c r="AC52" s="378"/>
      <c r="AD52" s="379"/>
      <c r="AE52" s="379"/>
      <c r="AF52" s="379"/>
      <c r="AG52" s="379"/>
      <c r="AH52" s="308">
        <f t="shared" si="74"/>
        <v>0</v>
      </c>
      <c r="AI52" s="308" t="str">
        <f t="shared" si="64"/>
        <v/>
      </c>
      <c r="AJ52" s="342">
        <v>55000</v>
      </c>
      <c r="AK52" s="25">
        <f t="shared" si="75"/>
        <v>0</v>
      </c>
    </row>
    <row r="53" spans="1:39" ht="24.95" customHeight="1">
      <c r="A53" s="842"/>
      <c r="B53" s="401" t="s">
        <v>167</v>
      </c>
      <c r="C53" s="378"/>
      <c r="D53" s="378"/>
      <c r="E53" s="378"/>
      <c r="F53" s="378"/>
      <c r="G53" s="378"/>
      <c r="H53" s="378"/>
      <c r="I53" s="378"/>
      <c r="J53" s="378"/>
      <c r="K53" s="378"/>
      <c r="L53" s="378"/>
      <c r="M53" s="378"/>
      <c r="N53" s="378"/>
      <c r="O53" s="378"/>
      <c r="P53" s="378"/>
      <c r="Q53" s="378"/>
      <c r="R53" s="378"/>
      <c r="S53" s="378"/>
      <c r="T53" s="378"/>
      <c r="U53" s="378"/>
      <c r="V53" s="378"/>
      <c r="W53" s="378"/>
      <c r="X53" s="378"/>
      <c r="Y53" s="378"/>
      <c r="Z53" s="378"/>
      <c r="AA53" s="378"/>
      <c r="AB53" s="378"/>
      <c r="AC53" s="378"/>
      <c r="AD53" s="379"/>
      <c r="AE53" s="379"/>
      <c r="AF53" s="379"/>
      <c r="AG53" s="379"/>
      <c r="AH53" s="308">
        <f t="shared" si="74"/>
        <v>0</v>
      </c>
      <c r="AI53" s="308" t="str">
        <f t="shared" si="64"/>
        <v/>
      </c>
      <c r="AJ53" s="342">
        <v>36000</v>
      </c>
      <c r="AK53" s="25">
        <f t="shared" si="75"/>
        <v>0</v>
      </c>
    </row>
    <row r="54" spans="1:39" ht="24.95" customHeight="1">
      <c r="A54" s="842"/>
      <c r="B54" s="401" t="s">
        <v>183</v>
      </c>
      <c r="C54" s="378"/>
      <c r="D54" s="378">
        <v>27.02</v>
      </c>
      <c r="E54" s="378"/>
      <c r="F54" s="378">
        <v>27.68</v>
      </c>
      <c r="G54" s="378"/>
      <c r="H54" s="378"/>
      <c r="I54" s="378"/>
      <c r="J54" s="378"/>
      <c r="K54" s="378"/>
      <c r="L54" s="378"/>
      <c r="M54" s="378">
        <v>28.78</v>
      </c>
      <c r="N54" s="378"/>
      <c r="O54" s="378"/>
      <c r="P54" s="378"/>
      <c r="Q54" s="378"/>
      <c r="R54" s="378"/>
      <c r="S54" s="378"/>
      <c r="T54" s="378"/>
      <c r="U54" s="378"/>
      <c r="V54" s="378"/>
      <c r="W54" s="378"/>
      <c r="X54" s="378"/>
      <c r="Y54" s="378"/>
      <c r="Z54" s="378"/>
      <c r="AA54" s="378"/>
      <c r="AB54" s="378"/>
      <c r="AC54" s="378"/>
      <c r="AD54" s="379">
        <v>28.45</v>
      </c>
      <c r="AE54" s="379"/>
      <c r="AF54" s="379">
        <v>28.28</v>
      </c>
      <c r="AG54" s="379"/>
      <c r="AH54" s="308">
        <f t="shared" si="74"/>
        <v>140.21</v>
      </c>
      <c r="AI54" s="308">
        <f t="shared" si="64"/>
        <v>28.042000000000002</v>
      </c>
      <c r="AJ54" s="342">
        <v>22000</v>
      </c>
      <c r="AK54" s="25">
        <f t="shared" si="75"/>
        <v>3084620</v>
      </c>
    </row>
    <row r="55" spans="1:39" ht="24.95" customHeight="1">
      <c r="A55" s="842"/>
      <c r="B55" s="401" t="s">
        <v>439</v>
      </c>
      <c r="C55" s="378"/>
      <c r="D55" s="378"/>
      <c r="E55" s="378"/>
      <c r="F55" s="379"/>
      <c r="G55" s="379"/>
      <c r="H55" s="378"/>
      <c r="I55" s="379"/>
      <c r="J55" s="378"/>
      <c r="K55" s="378"/>
      <c r="L55" s="378"/>
      <c r="M55" s="378"/>
      <c r="N55" s="378"/>
      <c r="O55" s="378"/>
      <c r="P55" s="378"/>
      <c r="Q55" s="379"/>
      <c r="R55" s="378"/>
      <c r="S55" s="378"/>
      <c r="T55" s="378"/>
      <c r="U55" s="379"/>
      <c r="V55" s="378"/>
      <c r="W55" s="379"/>
      <c r="X55" s="379"/>
      <c r="Y55" s="378"/>
      <c r="Z55" s="378"/>
      <c r="AA55" s="379"/>
      <c r="AB55" s="378"/>
      <c r="AC55" s="379"/>
      <c r="AD55" s="379"/>
      <c r="AE55" s="379"/>
      <c r="AF55" s="379"/>
      <c r="AG55" s="379"/>
      <c r="AH55" s="308">
        <f t="shared" si="74"/>
        <v>0</v>
      </c>
      <c r="AI55" s="308" t="str">
        <f t="shared" si="64"/>
        <v/>
      </c>
      <c r="AJ55" s="598">
        <v>29000</v>
      </c>
      <c r="AK55" s="25">
        <f t="shared" si="75"/>
        <v>0</v>
      </c>
      <c r="AM55" s="319"/>
    </row>
    <row r="56" spans="1:39" ht="24.95" customHeight="1">
      <c r="A56" s="842"/>
      <c r="B56" s="401" t="s">
        <v>440</v>
      </c>
      <c r="C56" s="378">
        <v>54.709999999999994</v>
      </c>
      <c r="D56" s="378"/>
      <c r="E56" s="378">
        <v>54.769999999999996</v>
      </c>
      <c r="F56" s="378"/>
      <c r="G56" s="378">
        <v>26.96</v>
      </c>
      <c r="H56" s="378"/>
      <c r="I56" s="378"/>
      <c r="J56" s="378"/>
      <c r="K56" s="378">
        <v>28.29</v>
      </c>
      <c r="L56" s="378">
        <v>28.82</v>
      </c>
      <c r="M56" s="378"/>
      <c r="N56" s="378"/>
      <c r="O56" s="378">
        <v>29.28</v>
      </c>
      <c r="P56" s="378">
        <v>26.57</v>
      </c>
      <c r="Q56" s="378">
        <v>27.05</v>
      </c>
      <c r="R56" s="378">
        <v>27.62</v>
      </c>
      <c r="S56" s="378">
        <v>54.6</v>
      </c>
      <c r="T56" s="378">
        <v>54.11</v>
      </c>
      <c r="U56" s="378">
        <v>26.66</v>
      </c>
      <c r="V56" s="378">
        <v>27.55</v>
      </c>
      <c r="W56" s="378">
        <v>28.01</v>
      </c>
      <c r="X56" s="378"/>
      <c r="Y56" s="378">
        <v>28.19</v>
      </c>
      <c r="Z56" s="378">
        <v>28.65</v>
      </c>
      <c r="AA56" s="378">
        <v>27.71</v>
      </c>
      <c r="AB56" s="378"/>
      <c r="AC56" s="378">
        <v>26.98</v>
      </c>
      <c r="AD56" s="379"/>
      <c r="AE56" s="379"/>
      <c r="AF56" s="379"/>
      <c r="AG56" s="379">
        <v>56.09</v>
      </c>
      <c r="AH56" s="308">
        <f t="shared" si="74"/>
        <v>662.62000000000012</v>
      </c>
      <c r="AI56" s="308">
        <f t="shared" si="64"/>
        <v>34.874736842105271</v>
      </c>
      <c r="AJ56" s="598">
        <v>41000</v>
      </c>
      <c r="AK56" s="25">
        <f t="shared" si="75"/>
        <v>27167420.000000004</v>
      </c>
    </row>
    <row r="57" spans="1:39" ht="24.95" customHeight="1">
      <c r="A57" s="842"/>
      <c r="B57" s="401" t="s">
        <v>194</v>
      </c>
      <c r="C57" s="378"/>
      <c r="D57" s="378"/>
      <c r="E57" s="378"/>
      <c r="F57" s="378"/>
      <c r="G57" s="378"/>
      <c r="H57" s="378"/>
      <c r="I57" s="378"/>
      <c r="J57" s="378"/>
      <c r="K57" s="378"/>
      <c r="L57" s="378"/>
      <c r="M57" s="378"/>
      <c r="N57" s="378"/>
      <c r="O57" s="378"/>
      <c r="P57" s="378"/>
      <c r="Q57" s="378"/>
      <c r="R57" s="378"/>
      <c r="S57" s="378"/>
      <c r="T57" s="378"/>
      <c r="U57" s="378"/>
      <c r="V57" s="378"/>
      <c r="W57" s="378"/>
      <c r="X57" s="378"/>
      <c r="Y57" s="378"/>
      <c r="Z57" s="378"/>
      <c r="AA57" s="378"/>
      <c r="AB57" s="378"/>
      <c r="AC57" s="378"/>
      <c r="AD57" s="379"/>
      <c r="AE57" s="379"/>
      <c r="AF57" s="379"/>
      <c r="AG57" s="379"/>
      <c r="AH57" s="308">
        <f t="shared" si="74"/>
        <v>0</v>
      </c>
      <c r="AI57" s="308" t="str">
        <f t="shared" si="64"/>
        <v/>
      </c>
      <c r="AJ57" s="598">
        <v>43000</v>
      </c>
      <c r="AK57" s="25">
        <f t="shared" ref="AK57" si="76">AJ57*AH57</f>
        <v>0</v>
      </c>
    </row>
    <row r="58" spans="1:39" ht="24.95" customHeight="1">
      <c r="A58" s="842"/>
      <c r="B58" s="401" t="s">
        <v>18</v>
      </c>
      <c r="C58" s="378"/>
      <c r="D58" s="378"/>
      <c r="E58" s="378"/>
      <c r="F58" s="378"/>
      <c r="G58" s="378"/>
      <c r="H58" s="378"/>
      <c r="I58" s="378"/>
      <c r="J58" s="378"/>
      <c r="K58" s="378"/>
      <c r="L58" s="378"/>
      <c r="M58" s="378"/>
      <c r="N58" s="378"/>
      <c r="O58" s="378"/>
      <c r="P58" s="378"/>
      <c r="Q58" s="378"/>
      <c r="R58" s="378"/>
      <c r="S58" s="378"/>
      <c r="T58" s="378"/>
      <c r="U58" s="378"/>
      <c r="V58" s="378"/>
      <c r="W58" s="378"/>
      <c r="X58" s="378"/>
      <c r="Y58" s="378"/>
      <c r="Z58" s="378"/>
      <c r="AA58" s="378"/>
      <c r="AB58" s="378"/>
      <c r="AC58" s="378"/>
      <c r="AD58" s="379"/>
      <c r="AE58" s="379"/>
      <c r="AF58" s="379"/>
      <c r="AG58" s="379"/>
      <c r="AH58" s="308">
        <f t="shared" si="74"/>
        <v>0</v>
      </c>
      <c r="AI58" s="308" t="str">
        <f t="shared" si="64"/>
        <v/>
      </c>
      <c r="AJ58" s="342" t="s">
        <v>28</v>
      </c>
      <c r="AK58" s="25"/>
    </row>
    <row r="59" spans="1:39" ht="24.95" customHeight="1">
      <c r="A59" s="842"/>
      <c r="B59" s="401" t="s">
        <v>190</v>
      </c>
      <c r="C59" s="378"/>
      <c r="D59" s="792"/>
      <c r="E59" s="378"/>
      <c r="F59" s="378"/>
      <c r="G59" s="378"/>
      <c r="H59" s="378"/>
      <c r="I59" s="378"/>
      <c r="J59" s="378"/>
      <c r="K59" s="378"/>
      <c r="L59" s="378"/>
      <c r="M59" s="378"/>
      <c r="N59" s="378"/>
      <c r="O59" s="378"/>
      <c r="P59" s="378"/>
      <c r="Q59" s="378"/>
      <c r="R59" s="378"/>
      <c r="S59" s="378"/>
      <c r="T59" s="378"/>
      <c r="U59" s="378"/>
      <c r="V59" s="378"/>
      <c r="W59" s="378"/>
      <c r="X59" s="378"/>
      <c r="Y59" s="378"/>
      <c r="Z59" s="378"/>
      <c r="AA59" s="378"/>
      <c r="AB59" s="378"/>
      <c r="AC59" s="379"/>
      <c r="AD59" s="379"/>
      <c r="AE59" s="379"/>
      <c r="AF59" s="379"/>
      <c r="AG59" s="379"/>
      <c r="AH59" s="308">
        <f t="shared" si="74"/>
        <v>0</v>
      </c>
      <c r="AI59" s="308" t="str">
        <f t="shared" si="64"/>
        <v/>
      </c>
      <c r="AJ59" s="342">
        <v>53000</v>
      </c>
      <c r="AK59" s="25">
        <f>AJ59*AH59</f>
        <v>0</v>
      </c>
    </row>
    <row r="60" spans="1:39" ht="24.95" customHeight="1">
      <c r="A60" s="842"/>
      <c r="B60" s="401" t="s">
        <v>268</v>
      </c>
      <c r="C60" s="378"/>
      <c r="D60" s="378"/>
      <c r="E60" s="378"/>
      <c r="F60" s="378"/>
      <c r="G60" s="378"/>
      <c r="H60" s="378"/>
      <c r="I60" s="378"/>
      <c r="J60" s="378"/>
      <c r="K60" s="378"/>
      <c r="L60" s="378"/>
      <c r="M60" s="378"/>
      <c r="N60" s="378"/>
      <c r="O60" s="378"/>
      <c r="P60" s="378"/>
      <c r="Q60" s="378"/>
      <c r="R60" s="378"/>
      <c r="S60" s="378"/>
      <c r="T60" s="378"/>
      <c r="U60" s="378"/>
      <c r="V60" s="378"/>
      <c r="W60" s="378"/>
      <c r="X60" s="378"/>
      <c r="Y60" s="378"/>
      <c r="Z60" s="378"/>
      <c r="AA60" s="378"/>
      <c r="AB60" s="378"/>
      <c r="AC60" s="378"/>
      <c r="AD60" s="379"/>
      <c r="AE60" s="379"/>
      <c r="AF60" s="379"/>
      <c r="AG60" s="379"/>
      <c r="AH60" s="308">
        <f t="shared" si="74"/>
        <v>0</v>
      </c>
      <c r="AI60" s="308" t="str">
        <f t="shared" si="64"/>
        <v/>
      </c>
      <c r="AJ60" s="342">
        <v>66000</v>
      </c>
      <c r="AK60" s="25">
        <f>AJ60*AH60</f>
        <v>0</v>
      </c>
    </row>
    <row r="61" spans="1:39" ht="24.95" customHeight="1">
      <c r="A61" s="842"/>
      <c r="B61" s="558" t="s">
        <v>323</v>
      </c>
      <c r="C61" s="379"/>
      <c r="D61" s="379"/>
      <c r="E61" s="379"/>
      <c r="F61" s="379">
        <v>27.48</v>
      </c>
      <c r="G61" s="379"/>
      <c r="H61" s="379"/>
      <c r="I61" s="379"/>
      <c r="J61" s="379"/>
      <c r="K61" s="379"/>
      <c r="L61" s="379"/>
      <c r="M61" s="379">
        <v>24.25</v>
      </c>
      <c r="N61" s="379"/>
      <c r="O61" s="379"/>
      <c r="P61" s="379"/>
      <c r="Q61" s="379">
        <v>23.02</v>
      </c>
      <c r="R61" s="379"/>
      <c r="S61" s="379"/>
      <c r="T61" s="379"/>
      <c r="U61" s="379"/>
      <c r="V61" s="379"/>
      <c r="W61" s="379"/>
      <c r="X61" s="379"/>
      <c r="Y61" s="379"/>
      <c r="Z61" s="379"/>
      <c r="AA61" s="379">
        <v>26.75</v>
      </c>
      <c r="AB61" s="379"/>
      <c r="AC61" s="379"/>
      <c r="AD61" s="379"/>
      <c r="AE61" s="379">
        <v>24.18</v>
      </c>
      <c r="AF61" s="379"/>
      <c r="AG61" s="379"/>
      <c r="AH61" s="308">
        <f t="shared" si="74"/>
        <v>125.68</v>
      </c>
      <c r="AI61" s="308">
        <f t="shared" si="64"/>
        <v>25.136000000000003</v>
      </c>
      <c r="AJ61" s="599">
        <v>41000</v>
      </c>
      <c r="AK61" s="25">
        <f>AJ61*AH61</f>
        <v>5152880</v>
      </c>
    </row>
    <row r="62" spans="1:39" ht="24.95" customHeight="1">
      <c r="A62" s="842"/>
      <c r="B62" s="729" t="s">
        <v>438</v>
      </c>
      <c r="C62" s="379"/>
      <c r="D62" s="379"/>
      <c r="E62" s="379"/>
      <c r="F62" s="379"/>
      <c r="G62" s="379"/>
      <c r="H62" s="37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>
        <v>28.78</v>
      </c>
      <c r="X62" s="379"/>
      <c r="Y62" s="379"/>
      <c r="Z62" s="379"/>
      <c r="AA62" s="379"/>
      <c r="AB62" s="379"/>
      <c r="AC62" s="379"/>
      <c r="AD62" s="379"/>
      <c r="AE62" s="379"/>
      <c r="AF62" s="379"/>
      <c r="AG62" s="379"/>
      <c r="AH62" s="308">
        <f t="shared" si="74"/>
        <v>28.78</v>
      </c>
      <c r="AI62" s="308">
        <f t="shared" si="64"/>
        <v>28.78</v>
      </c>
      <c r="AJ62" s="730">
        <v>41000</v>
      </c>
      <c r="AK62" s="25">
        <f>AJ62*AH62</f>
        <v>1179980</v>
      </c>
    </row>
    <row r="63" spans="1:39" ht="24.95" customHeight="1" thickBot="1">
      <c r="A63" s="843"/>
      <c r="B63" s="343" t="s">
        <v>137</v>
      </c>
      <c r="C63" s="378"/>
      <c r="D63" s="378"/>
      <c r="E63" s="378"/>
      <c r="F63" s="378"/>
      <c r="G63" s="378"/>
      <c r="H63" s="378"/>
      <c r="I63" s="378"/>
      <c r="J63" s="378"/>
      <c r="K63" s="378"/>
      <c r="L63" s="378"/>
      <c r="M63" s="378"/>
      <c r="N63" s="378"/>
      <c r="O63" s="378"/>
      <c r="P63" s="378"/>
      <c r="Q63" s="378"/>
      <c r="R63" s="378"/>
      <c r="S63" s="378"/>
      <c r="T63" s="378"/>
      <c r="U63" s="378"/>
      <c r="V63" s="378"/>
      <c r="W63" s="378"/>
      <c r="X63" s="378"/>
      <c r="Y63" s="378"/>
      <c r="Z63" s="378"/>
      <c r="AA63" s="378"/>
      <c r="AB63" s="378"/>
      <c r="AC63" s="378"/>
      <c r="AD63" s="379"/>
      <c r="AE63" s="379"/>
      <c r="AF63" s="379"/>
      <c r="AG63" s="379"/>
      <c r="AH63" s="308">
        <f t="shared" si="74"/>
        <v>0</v>
      </c>
      <c r="AI63" s="308" t="str">
        <f t="shared" si="64"/>
        <v/>
      </c>
      <c r="AJ63" s="600">
        <v>49000</v>
      </c>
      <c r="AK63" s="597">
        <f>AJ63*AH63</f>
        <v>0</v>
      </c>
      <c r="AL63" s="319"/>
    </row>
    <row r="64" spans="1:39" s="8" customFormat="1" ht="19.5" customHeight="1" thickBot="1">
      <c r="A64" s="847" t="s">
        <v>33</v>
      </c>
      <c r="B64" s="848"/>
      <c r="C64" s="35">
        <f t="shared" ref="C64:AG64" si="77">C50*$AJ$50+C51*$AJ$51+C52*$AJ$52+C53*$AJ$53+C54*$AJ$54+C55*$AJ$55+C56*$AJ$56+C57*$AJ$57+C59*$AJ$59+C60*$AJ$60+C61*$AJ$61+C62*$AJ$62+C63*$AJ$63</f>
        <v>3667630</v>
      </c>
      <c r="D64" s="35">
        <f t="shared" si="77"/>
        <v>594440</v>
      </c>
      <c r="E64" s="35">
        <f t="shared" si="77"/>
        <v>2245570</v>
      </c>
      <c r="F64" s="35">
        <f t="shared" si="77"/>
        <v>1735640</v>
      </c>
      <c r="G64" s="35">
        <f t="shared" si="77"/>
        <v>1870000</v>
      </c>
      <c r="H64" s="35">
        <f t="shared" si="77"/>
        <v>0</v>
      </c>
      <c r="I64" s="35">
        <f t="shared" si="77"/>
        <v>0</v>
      </c>
      <c r="J64" s="35">
        <f t="shared" si="77"/>
        <v>768420</v>
      </c>
      <c r="K64" s="35">
        <f t="shared" si="77"/>
        <v>1159890</v>
      </c>
      <c r="L64" s="35">
        <f t="shared" si="77"/>
        <v>1181620</v>
      </c>
      <c r="M64" s="35">
        <f t="shared" si="77"/>
        <v>2389620</v>
      </c>
      <c r="N64" s="35">
        <f t="shared" si="77"/>
        <v>0</v>
      </c>
      <c r="O64" s="35">
        <f t="shared" si="77"/>
        <v>1200480</v>
      </c>
      <c r="P64" s="35">
        <f t="shared" si="77"/>
        <v>1825120</v>
      </c>
      <c r="Q64" s="35">
        <f t="shared" si="77"/>
        <v>2791590</v>
      </c>
      <c r="R64" s="35">
        <f t="shared" si="77"/>
        <v>1132420</v>
      </c>
      <c r="S64" s="35">
        <f t="shared" si="77"/>
        <v>2966520</v>
      </c>
      <c r="T64" s="35">
        <f t="shared" si="77"/>
        <v>2218510</v>
      </c>
      <c r="U64" s="35">
        <f t="shared" si="77"/>
        <v>1093060</v>
      </c>
      <c r="V64" s="35">
        <f t="shared" si="77"/>
        <v>1982670</v>
      </c>
      <c r="W64" s="35">
        <f t="shared" si="77"/>
        <v>3124350</v>
      </c>
      <c r="X64" s="35">
        <f t="shared" si="77"/>
        <v>834520</v>
      </c>
      <c r="Y64" s="35">
        <f t="shared" si="77"/>
        <v>1873180</v>
      </c>
      <c r="Z64" s="35">
        <f t="shared" si="77"/>
        <v>1174650</v>
      </c>
      <c r="AA64" s="35">
        <f t="shared" si="77"/>
        <v>2928920</v>
      </c>
      <c r="AB64" s="35">
        <f t="shared" si="77"/>
        <v>0</v>
      </c>
      <c r="AC64" s="35">
        <f t="shared" si="77"/>
        <v>1909970</v>
      </c>
      <c r="AD64" s="35">
        <f t="shared" si="77"/>
        <v>1420780</v>
      </c>
      <c r="AE64" s="35">
        <f t="shared" si="77"/>
        <v>1868060</v>
      </c>
      <c r="AF64" s="35">
        <f t="shared" si="77"/>
        <v>1403540</v>
      </c>
      <c r="AG64" s="35">
        <f t="shared" si="77"/>
        <v>3084040</v>
      </c>
      <c r="AH64" s="35">
        <f t="shared" si="74"/>
        <v>50445210</v>
      </c>
      <c r="AI64" s="145"/>
      <c r="AJ64" s="7"/>
      <c r="AK64" s="180">
        <f>SUM(AK46,AK50,AK51,AK52,AK53,AK54,AK55,AK56,AK57,AK59,AK60,AK61,AK62,AK63)</f>
        <v>-21820319.999999996</v>
      </c>
      <c r="AL64" s="448"/>
    </row>
    <row r="65" spans="1:38" ht="24.95" customHeight="1">
      <c r="A65" s="851" t="s">
        <v>122</v>
      </c>
      <c r="B65" s="401" t="s">
        <v>41</v>
      </c>
      <c r="C65" s="795">
        <v>20459</v>
      </c>
      <c r="D65" s="795">
        <v>19524</v>
      </c>
      <c r="E65" s="795">
        <v>20112</v>
      </c>
      <c r="F65" s="795">
        <v>19971</v>
      </c>
      <c r="G65" s="795">
        <v>19850</v>
      </c>
      <c r="H65" s="795">
        <v>15309</v>
      </c>
      <c r="I65" s="795">
        <v>9898</v>
      </c>
      <c r="J65" s="795">
        <v>16184</v>
      </c>
      <c r="K65" s="795">
        <v>19257</v>
      </c>
      <c r="L65" s="795">
        <v>19380</v>
      </c>
      <c r="M65" s="795">
        <v>19182</v>
      </c>
      <c r="N65" s="795">
        <v>19504</v>
      </c>
      <c r="O65" s="795">
        <v>19088</v>
      </c>
      <c r="P65" s="795">
        <v>20149</v>
      </c>
      <c r="Q65" s="795">
        <v>20117</v>
      </c>
      <c r="R65" s="795">
        <v>20081</v>
      </c>
      <c r="S65" s="795">
        <v>19945</v>
      </c>
      <c r="T65" s="795">
        <v>20487</v>
      </c>
      <c r="U65" s="795">
        <v>20673</v>
      </c>
      <c r="V65" s="795">
        <v>21258</v>
      </c>
      <c r="W65" s="795">
        <v>21014</v>
      </c>
      <c r="X65" s="795">
        <v>20925</v>
      </c>
      <c r="Y65" s="795">
        <v>20777</v>
      </c>
      <c r="Z65" s="795">
        <v>20886</v>
      </c>
      <c r="AA65" s="795">
        <v>20627</v>
      </c>
      <c r="AB65" s="795">
        <v>20396</v>
      </c>
      <c r="AC65" s="796">
        <v>20989</v>
      </c>
      <c r="AD65" s="796">
        <v>20720</v>
      </c>
      <c r="AE65" s="796">
        <v>19854</v>
      </c>
      <c r="AF65" s="796">
        <v>20179</v>
      </c>
      <c r="AG65" s="796">
        <v>19994</v>
      </c>
      <c r="AH65" s="353">
        <f t="shared" si="74"/>
        <v>606789</v>
      </c>
      <c r="AI65" s="353">
        <f t="shared" ref="AI65:AI72" si="78">AVERAGE(C65:AG65)</f>
        <v>19573.83870967742</v>
      </c>
      <c r="AJ65" s="710">
        <v>168.27</v>
      </c>
      <c r="AK65" s="27">
        <f>AH65*AJ65</f>
        <v>102104385.03</v>
      </c>
      <c r="AL65" s="319"/>
    </row>
    <row r="66" spans="1:38" ht="24.95" customHeight="1">
      <c r="A66" s="852"/>
      <c r="B66" s="380" t="s">
        <v>16</v>
      </c>
      <c r="C66" s="795">
        <v>26.900000000001455</v>
      </c>
      <c r="D66" s="795">
        <v>29.899999999997817</v>
      </c>
      <c r="E66" s="795">
        <v>28.30000000000291</v>
      </c>
      <c r="F66" s="795">
        <v>26.5</v>
      </c>
      <c r="G66" s="795">
        <v>25.5</v>
      </c>
      <c r="H66" s="795">
        <v>30.899999999997817</v>
      </c>
      <c r="I66" s="795">
        <v>32.100000000002183</v>
      </c>
      <c r="J66" s="795">
        <v>29.399999999997817</v>
      </c>
      <c r="K66" s="795">
        <v>24.600000000002183</v>
      </c>
      <c r="L66" s="795">
        <v>25.599999999998545</v>
      </c>
      <c r="M66" s="795">
        <v>26.599999999998545</v>
      </c>
      <c r="N66" s="795">
        <v>25.80000000000291</v>
      </c>
      <c r="O66" s="795">
        <v>27.69999999999709</v>
      </c>
      <c r="P66" s="795">
        <v>26.30000000000291</v>
      </c>
      <c r="Q66" s="795">
        <v>27.299999999999272</v>
      </c>
      <c r="R66" s="795">
        <v>17.799999999999272</v>
      </c>
      <c r="S66" s="795">
        <v>18.099999999998545</v>
      </c>
      <c r="T66" s="795">
        <v>28.5</v>
      </c>
      <c r="U66" s="795">
        <v>28.5</v>
      </c>
      <c r="V66" s="795">
        <v>27.30000000000291</v>
      </c>
      <c r="W66" s="795">
        <v>28.799999999999272</v>
      </c>
      <c r="X66" s="795">
        <v>28.099999999998545</v>
      </c>
      <c r="Y66" s="795">
        <v>27.400000000001455</v>
      </c>
      <c r="Z66" s="795">
        <v>27.399999999997817</v>
      </c>
      <c r="AA66" s="795">
        <v>30.100000000002183</v>
      </c>
      <c r="AB66" s="795">
        <v>30.200000000000728</v>
      </c>
      <c r="AC66" s="796">
        <v>30.899999999997817</v>
      </c>
      <c r="AD66" s="796">
        <v>29.299999999999272</v>
      </c>
      <c r="AE66" s="796">
        <v>30.80000000000291</v>
      </c>
      <c r="AF66" s="796">
        <v>29.19999999999709</v>
      </c>
      <c r="AG66" s="796">
        <v>29.80000000000291</v>
      </c>
      <c r="AH66" s="353">
        <f t="shared" si="74"/>
        <v>855.60000000000218</v>
      </c>
      <c r="AI66" s="353">
        <f t="shared" si="78"/>
        <v>27.600000000000069</v>
      </c>
      <c r="AJ66" s="710">
        <f>$AJ$65</f>
        <v>168.27</v>
      </c>
      <c r="AK66" s="27">
        <f>AH66*AJ66</f>
        <v>143971.81200000038</v>
      </c>
    </row>
    <row r="67" spans="1:38" ht="24.95" customHeight="1">
      <c r="A67" s="852"/>
      <c r="B67" s="401" t="s">
        <v>11</v>
      </c>
      <c r="C67" s="795">
        <v>30</v>
      </c>
      <c r="D67" s="795">
        <v>12</v>
      </c>
      <c r="E67" s="795">
        <v>20</v>
      </c>
      <c r="F67" s="795">
        <v>21</v>
      </c>
      <c r="G67" s="795">
        <v>21</v>
      </c>
      <c r="H67" s="795">
        <v>440</v>
      </c>
      <c r="I67" s="795">
        <v>468</v>
      </c>
      <c r="J67" s="795">
        <v>200</v>
      </c>
      <c r="K67" s="795">
        <v>21</v>
      </c>
      <c r="L67" s="795">
        <v>20</v>
      </c>
      <c r="M67" s="795">
        <v>20</v>
      </c>
      <c r="N67" s="795">
        <v>21</v>
      </c>
      <c r="O67" s="795">
        <v>21</v>
      </c>
      <c r="P67" s="795">
        <v>22</v>
      </c>
      <c r="Q67" s="795">
        <v>21</v>
      </c>
      <c r="R67" s="795">
        <v>21</v>
      </c>
      <c r="S67" s="795">
        <v>20</v>
      </c>
      <c r="T67" s="795">
        <v>22</v>
      </c>
      <c r="U67" s="795">
        <v>21</v>
      </c>
      <c r="V67" s="795">
        <v>21</v>
      </c>
      <c r="W67" s="795">
        <v>22</v>
      </c>
      <c r="X67" s="795">
        <v>21</v>
      </c>
      <c r="Y67" s="795">
        <v>21</v>
      </c>
      <c r="Z67" s="795">
        <v>21</v>
      </c>
      <c r="AA67" s="795">
        <v>21</v>
      </c>
      <c r="AB67" s="795">
        <v>22</v>
      </c>
      <c r="AC67" s="796">
        <v>22</v>
      </c>
      <c r="AD67" s="796">
        <v>21</v>
      </c>
      <c r="AE67" s="796">
        <v>23</v>
      </c>
      <c r="AF67" s="796">
        <v>21</v>
      </c>
      <c r="AG67" s="796">
        <v>22</v>
      </c>
      <c r="AH67" s="353">
        <f t="shared" si="74"/>
        <v>1700</v>
      </c>
      <c r="AI67" s="353">
        <f t="shared" si="78"/>
        <v>54.838709677419352</v>
      </c>
      <c r="AJ67" s="710">
        <f t="shared" ref="AJ67:AJ72" si="79">$AJ$65</f>
        <v>168.27</v>
      </c>
      <c r="AK67" s="27">
        <f t="shared" ref="AK67:AK72" si="80">AH67*AJ67</f>
        <v>286059</v>
      </c>
    </row>
    <row r="68" spans="1:38" ht="24.95" customHeight="1">
      <c r="A68" s="852"/>
      <c r="B68" s="401" t="s">
        <v>12</v>
      </c>
      <c r="C68" s="795">
        <v>3900</v>
      </c>
      <c r="D68" s="795">
        <v>3800</v>
      </c>
      <c r="E68" s="795">
        <v>3900</v>
      </c>
      <c r="F68" s="795">
        <v>3800</v>
      </c>
      <c r="G68" s="795">
        <v>3800</v>
      </c>
      <c r="H68" s="795">
        <v>3900</v>
      </c>
      <c r="I68" s="795">
        <v>4000</v>
      </c>
      <c r="J68" s="795">
        <v>3800</v>
      </c>
      <c r="K68" s="795">
        <v>3800</v>
      </c>
      <c r="L68" s="795">
        <v>3900</v>
      </c>
      <c r="M68" s="795">
        <v>3800</v>
      </c>
      <c r="N68" s="795">
        <v>3900</v>
      </c>
      <c r="O68" s="795">
        <v>3800</v>
      </c>
      <c r="P68" s="795">
        <v>3900</v>
      </c>
      <c r="Q68" s="795">
        <v>3800</v>
      </c>
      <c r="R68" s="795">
        <v>3800</v>
      </c>
      <c r="S68" s="795">
        <v>3800</v>
      </c>
      <c r="T68" s="795">
        <v>3900</v>
      </c>
      <c r="U68" s="795">
        <v>3900</v>
      </c>
      <c r="V68" s="795">
        <v>3800</v>
      </c>
      <c r="W68" s="795">
        <v>3900</v>
      </c>
      <c r="X68" s="795">
        <v>3900</v>
      </c>
      <c r="Y68" s="795">
        <v>3800</v>
      </c>
      <c r="Z68" s="795">
        <v>3800</v>
      </c>
      <c r="AA68" s="795">
        <v>3900</v>
      </c>
      <c r="AB68" s="795">
        <v>3900</v>
      </c>
      <c r="AC68" s="796">
        <v>3800</v>
      </c>
      <c r="AD68" s="796">
        <v>4000</v>
      </c>
      <c r="AE68" s="796">
        <v>3800</v>
      </c>
      <c r="AF68" s="796">
        <v>3800</v>
      </c>
      <c r="AG68" s="796">
        <v>3900</v>
      </c>
      <c r="AH68" s="353">
        <f t="shared" si="74"/>
        <v>119500</v>
      </c>
      <c r="AI68" s="353">
        <f t="shared" si="78"/>
        <v>3854.8387096774195</v>
      </c>
      <c r="AJ68" s="710">
        <f t="shared" si="79"/>
        <v>168.27</v>
      </c>
      <c r="AK68" s="27">
        <f t="shared" si="80"/>
        <v>20108265</v>
      </c>
    </row>
    <row r="69" spans="1:38" ht="24.95" customHeight="1">
      <c r="A69" s="852"/>
      <c r="B69" s="401" t="s">
        <v>13</v>
      </c>
      <c r="C69" s="795">
        <v>50</v>
      </c>
      <c r="D69" s="795">
        <v>40</v>
      </c>
      <c r="E69" s="795">
        <v>50</v>
      </c>
      <c r="F69" s="795">
        <v>50</v>
      </c>
      <c r="G69" s="795">
        <v>50</v>
      </c>
      <c r="H69" s="795">
        <v>10</v>
      </c>
      <c r="I69" s="795">
        <v>10</v>
      </c>
      <c r="J69" s="795">
        <v>30</v>
      </c>
      <c r="K69" s="795">
        <v>50</v>
      </c>
      <c r="L69" s="795">
        <v>50</v>
      </c>
      <c r="M69" s="795">
        <v>40</v>
      </c>
      <c r="N69" s="795">
        <v>50</v>
      </c>
      <c r="O69" s="795">
        <v>50</v>
      </c>
      <c r="P69" s="795">
        <v>60</v>
      </c>
      <c r="Q69" s="795">
        <v>50</v>
      </c>
      <c r="R69" s="795">
        <v>50</v>
      </c>
      <c r="S69" s="795">
        <v>50</v>
      </c>
      <c r="T69" s="795">
        <v>40</v>
      </c>
      <c r="U69" s="795">
        <v>60</v>
      </c>
      <c r="V69" s="795">
        <v>60</v>
      </c>
      <c r="W69" s="795">
        <v>50</v>
      </c>
      <c r="X69" s="795">
        <v>60</v>
      </c>
      <c r="Y69" s="795">
        <v>60</v>
      </c>
      <c r="Z69" s="795">
        <v>50</v>
      </c>
      <c r="AA69" s="795">
        <v>60</v>
      </c>
      <c r="AB69" s="795">
        <v>60</v>
      </c>
      <c r="AC69" s="796">
        <v>60</v>
      </c>
      <c r="AD69" s="796">
        <v>60</v>
      </c>
      <c r="AE69" s="796">
        <v>60</v>
      </c>
      <c r="AF69" s="796">
        <v>60</v>
      </c>
      <c r="AG69" s="796">
        <v>50</v>
      </c>
      <c r="AH69" s="353">
        <f t="shared" si="74"/>
        <v>1530</v>
      </c>
      <c r="AI69" s="353">
        <f t="shared" si="78"/>
        <v>49.354838709677416</v>
      </c>
      <c r="AJ69" s="710">
        <f t="shared" si="79"/>
        <v>168.27</v>
      </c>
      <c r="AK69" s="27">
        <f t="shared" si="80"/>
        <v>257453.1</v>
      </c>
    </row>
    <row r="70" spans="1:38" ht="24.95" customHeight="1">
      <c r="A70" s="852"/>
      <c r="B70" s="401" t="s">
        <v>14</v>
      </c>
      <c r="C70" s="795">
        <v>10</v>
      </c>
      <c r="D70" s="795">
        <v>20</v>
      </c>
      <c r="E70" s="795">
        <v>10</v>
      </c>
      <c r="F70" s="795">
        <v>0</v>
      </c>
      <c r="G70" s="795">
        <v>10</v>
      </c>
      <c r="H70" s="795">
        <v>10</v>
      </c>
      <c r="I70" s="795">
        <v>10</v>
      </c>
      <c r="J70" s="795">
        <v>0</v>
      </c>
      <c r="K70" s="795">
        <v>20</v>
      </c>
      <c r="L70" s="795">
        <v>10</v>
      </c>
      <c r="M70" s="795">
        <v>20</v>
      </c>
      <c r="N70" s="795">
        <v>10</v>
      </c>
      <c r="O70" s="795">
        <v>10</v>
      </c>
      <c r="P70" s="795">
        <v>10</v>
      </c>
      <c r="Q70" s="795">
        <v>10</v>
      </c>
      <c r="R70" s="795">
        <v>10</v>
      </c>
      <c r="S70" s="795">
        <v>10</v>
      </c>
      <c r="T70" s="795">
        <v>50</v>
      </c>
      <c r="U70" s="795">
        <v>20</v>
      </c>
      <c r="V70" s="795">
        <v>20</v>
      </c>
      <c r="W70" s="795">
        <v>30</v>
      </c>
      <c r="X70" s="795">
        <v>20</v>
      </c>
      <c r="Y70" s="795">
        <v>20</v>
      </c>
      <c r="Z70" s="795">
        <v>20</v>
      </c>
      <c r="AA70" s="795">
        <v>30</v>
      </c>
      <c r="AB70" s="795">
        <v>20</v>
      </c>
      <c r="AC70" s="796">
        <v>30</v>
      </c>
      <c r="AD70" s="796">
        <v>30</v>
      </c>
      <c r="AE70" s="796">
        <v>30</v>
      </c>
      <c r="AF70" s="796">
        <v>20</v>
      </c>
      <c r="AG70" s="796">
        <v>20</v>
      </c>
      <c r="AH70" s="353">
        <f t="shared" si="74"/>
        <v>540</v>
      </c>
      <c r="AI70" s="353">
        <f t="shared" si="78"/>
        <v>17.419354838709676</v>
      </c>
      <c r="AJ70" s="710">
        <f t="shared" si="79"/>
        <v>168.27</v>
      </c>
      <c r="AK70" s="27">
        <f t="shared" si="80"/>
        <v>90865.8</v>
      </c>
    </row>
    <row r="71" spans="1:38" ht="24.95" customHeight="1">
      <c r="A71" s="852"/>
      <c r="B71" s="401" t="s">
        <v>15</v>
      </c>
      <c r="C71" s="795">
        <v>10</v>
      </c>
      <c r="D71" s="795">
        <v>10</v>
      </c>
      <c r="E71" s="795">
        <v>20</v>
      </c>
      <c r="F71" s="795">
        <v>10</v>
      </c>
      <c r="G71" s="795">
        <v>20</v>
      </c>
      <c r="H71" s="795">
        <v>0</v>
      </c>
      <c r="I71" s="795">
        <v>0</v>
      </c>
      <c r="J71" s="795">
        <v>0</v>
      </c>
      <c r="K71" s="795">
        <v>20</v>
      </c>
      <c r="L71" s="795">
        <v>10</v>
      </c>
      <c r="M71" s="795">
        <v>20</v>
      </c>
      <c r="N71" s="795">
        <v>10</v>
      </c>
      <c r="O71" s="795">
        <v>10</v>
      </c>
      <c r="P71" s="795">
        <v>20</v>
      </c>
      <c r="Q71" s="795">
        <v>10</v>
      </c>
      <c r="R71" s="795">
        <v>20</v>
      </c>
      <c r="S71" s="795">
        <v>10</v>
      </c>
      <c r="T71" s="795">
        <v>20</v>
      </c>
      <c r="U71" s="795">
        <v>10</v>
      </c>
      <c r="V71" s="795">
        <v>10</v>
      </c>
      <c r="W71" s="795">
        <v>20</v>
      </c>
      <c r="X71" s="795">
        <v>10</v>
      </c>
      <c r="Y71" s="795">
        <v>10</v>
      </c>
      <c r="Z71" s="795">
        <v>20</v>
      </c>
      <c r="AA71" s="795">
        <v>10</v>
      </c>
      <c r="AB71" s="795">
        <v>10</v>
      </c>
      <c r="AC71" s="796">
        <v>20</v>
      </c>
      <c r="AD71" s="796">
        <v>10</v>
      </c>
      <c r="AE71" s="796">
        <v>10</v>
      </c>
      <c r="AF71" s="796">
        <v>20</v>
      </c>
      <c r="AG71" s="796">
        <v>10</v>
      </c>
      <c r="AH71" s="353">
        <f t="shared" si="74"/>
        <v>390</v>
      </c>
      <c r="AI71" s="353">
        <f t="shared" si="78"/>
        <v>12.580645161290322</v>
      </c>
      <c r="AJ71" s="710">
        <f t="shared" si="79"/>
        <v>168.27</v>
      </c>
      <c r="AK71" s="27">
        <f t="shared" si="80"/>
        <v>65625.3</v>
      </c>
    </row>
    <row r="72" spans="1:38" ht="24.95" customHeight="1" thickBot="1">
      <c r="A72" s="853"/>
      <c r="B72" s="343" t="s">
        <v>186</v>
      </c>
      <c r="C72" s="797">
        <v>7244</v>
      </c>
      <c r="D72" s="797">
        <v>6869</v>
      </c>
      <c r="E72" s="797">
        <v>7255</v>
      </c>
      <c r="F72" s="797">
        <v>7155</v>
      </c>
      <c r="G72" s="797">
        <v>7161</v>
      </c>
      <c r="H72" s="797">
        <v>4908</v>
      </c>
      <c r="I72" s="797">
        <v>18</v>
      </c>
      <c r="J72" s="797">
        <v>4733</v>
      </c>
      <c r="K72" s="797">
        <v>6615</v>
      </c>
      <c r="L72" s="797">
        <v>6647</v>
      </c>
      <c r="M72" s="797">
        <v>6606</v>
      </c>
      <c r="N72" s="797">
        <v>6693</v>
      </c>
      <c r="O72" s="797">
        <v>6510</v>
      </c>
      <c r="P72" s="797">
        <v>7096</v>
      </c>
      <c r="Q72" s="797">
        <v>7091</v>
      </c>
      <c r="R72" s="797">
        <v>7155</v>
      </c>
      <c r="S72" s="797">
        <v>7019</v>
      </c>
      <c r="T72" s="797">
        <v>7271</v>
      </c>
      <c r="U72" s="797">
        <v>7437</v>
      </c>
      <c r="V72" s="797">
        <v>7574</v>
      </c>
      <c r="W72" s="797">
        <v>7494</v>
      </c>
      <c r="X72" s="797">
        <v>7365</v>
      </c>
      <c r="Y72" s="797">
        <v>7401</v>
      </c>
      <c r="Z72" s="797">
        <v>7333</v>
      </c>
      <c r="AA72" s="797">
        <v>7310</v>
      </c>
      <c r="AB72" s="797">
        <v>7321</v>
      </c>
      <c r="AC72" s="797">
        <v>7571</v>
      </c>
      <c r="AD72" s="797">
        <v>7550</v>
      </c>
      <c r="AE72" s="797">
        <v>7079</v>
      </c>
      <c r="AF72" s="797">
        <v>6904</v>
      </c>
      <c r="AG72" s="797">
        <v>6828</v>
      </c>
      <c r="AH72" s="353">
        <f t="shared" si="74"/>
        <v>209213</v>
      </c>
      <c r="AI72" s="353">
        <f t="shared" si="78"/>
        <v>6748.8064516129034</v>
      </c>
      <c r="AJ72" s="710">
        <f t="shared" si="79"/>
        <v>168.27</v>
      </c>
      <c r="AK72" s="27">
        <f t="shared" si="80"/>
        <v>35204271.510000005</v>
      </c>
    </row>
    <row r="73" spans="1:38" s="8" customFormat="1" ht="19.5" customHeight="1" thickBot="1">
      <c r="A73" s="847" t="s">
        <v>80</v>
      </c>
      <c r="B73" s="848"/>
      <c r="C73" s="35">
        <f>C65</f>
        <v>20459</v>
      </c>
      <c r="D73" s="35">
        <f>D65</f>
        <v>19524</v>
      </c>
      <c r="E73" s="35">
        <f>E65</f>
        <v>20112</v>
      </c>
      <c r="F73" s="35">
        <f>F65</f>
        <v>19971</v>
      </c>
      <c r="G73" s="35">
        <f t="shared" ref="G73:AG73" si="81">G65</f>
        <v>19850</v>
      </c>
      <c r="H73" s="35">
        <f t="shared" si="81"/>
        <v>15309</v>
      </c>
      <c r="I73" s="35">
        <f t="shared" si="81"/>
        <v>9898</v>
      </c>
      <c r="J73" s="35">
        <f t="shared" si="81"/>
        <v>16184</v>
      </c>
      <c r="K73" s="35">
        <f t="shared" si="81"/>
        <v>19257</v>
      </c>
      <c r="L73" s="35">
        <f t="shared" si="81"/>
        <v>19380</v>
      </c>
      <c r="M73" s="35">
        <f t="shared" si="81"/>
        <v>19182</v>
      </c>
      <c r="N73" s="35">
        <f t="shared" si="81"/>
        <v>19504</v>
      </c>
      <c r="O73" s="35">
        <f t="shared" si="81"/>
        <v>19088</v>
      </c>
      <c r="P73" s="35">
        <f t="shared" si="81"/>
        <v>20149</v>
      </c>
      <c r="Q73" s="35">
        <f t="shared" si="81"/>
        <v>20117</v>
      </c>
      <c r="R73" s="35">
        <f t="shared" si="81"/>
        <v>20081</v>
      </c>
      <c r="S73" s="35">
        <f t="shared" si="81"/>
        <v>19945</v>
      </c>
      <c r="T73" s="35">
        <f t="shared" si="81"/>
        <v>20487</v>
      </c>
      <c r="U73" s="35">
        <f t="shared" si="81"/>
        <v>20673</v>
      </c>
      <c r="V73" s="35">
        <f t="shared" si="81"/>
        <v>21258</v>
      </c>
      <c r="W73" s="35">
        <f t="shared" si="81"/>
        <v>21014</v>
      </c>
      <c r="X73" s="35">
        <f t="shared" si="81"/>
        <v>20925</v>
      </c>
      <c r="Y73" s="35">
        <f t="shared" si="81"/>
        <v>20777</v>
      </c>
      <c r="Z73" s="35">
        <f t="shared" si="81"/>
        <v>20886</v>
      </c>
      <c r="AA73" s="35">
        <f t="shared" si="81"/>
        <v>20627</v>
      </c>
      <c r="AB73" s="35">
        <f t="shared" si="81"/>
        <v>20396</v>
      </c>
      <c r="AC73" s="35">
        <f t="shared" si="81"/>
        <v>20989</v>
      </c>
      <c r="AD73" s="35">
        <f t="shared" si="81"/>
        <v>20720</v>
      </c>
      <c r="AE73" s="35">
        <f t="shared" si="81"/>
        <v>19854</v>
      </c>
      <c r="AF73" s="35">
        <f t="shared" si="81"/>
        <v>20179</v>
      </c>
      <c r="AG73" s="35">
        <f t="shared" si="81"/>
        <v>19994</v>
      </c>
      <c r="AH73" s="35">
        <f>AH65</f>
        <v>606789</v>
      </c>
      <c r="AI73" s="145">
        <f>AI65</f>
        <v>19573.83870967742</v>
      </c>
      <c r="AJ73" s="145">
        <f>AJ65</f>
        <v>168.27</v>
      </c>
      <c r="AK73" s="33">
        <f>AK65</f>
        <v>102104385.03</v>
      </c>
    </row>
    <row r="74" spans="1:38" ht="24.95" customHeight="1">
      <c r="A74" s="844" t="s">
        <v>34</v>
      </c>
      <c r="B74" s="401" t="s">
        <v>5</v>
      </c>
      <c r="C74" s="798">
        <v>396.9</v>
      </c>
      <c r="D74" s="798">
        <v>390.6</v>
      </c>
      <c r="E74" s="798">
        <v>395.7</v>
      </c>
      <c r="F74" s="798">
        <v>396.3</v>
      </c>
      <c r="G74" s="798">
        <v>391.2</v>
      </c>
      <c r="H74" s="799">
        <v>393.5</v>
      </c>
      <c r="I74" s="799">
        <v>377.9</v>
      </c>
      <c r="J74" s="800">
        <v>380.8</v>
      </c>
      <c r="K74" s="800">
        <v>393.5</v>
      </c>
      <c r="L74" s="800">
        <v>393.3</v>
      </c>
      <c r="M74" s="800">
        <v>392</v>
      </c>
      <c r="N74" s="800">
        <v>397.8</v>
      </c>
      <c r="O74" s="800">
        <v>395.5</v>
      </c>
      <c r="P74" s="800">
        <v>397.7</v>
      </c>
      <c r="Q74" s="801">
        <v>397.2</v>
      </c>
      <c r="R74" s="800">
        <v>399</v>
      </c>
      <c r="S74" s="800">
        <v>400.5</v>
      </c>
      <c r="T74" s="800">
        <v>405.9</v>
      </c>
      <c r="U74" s="800">
        <v>403.1</v>
      </c>
      <c r="V74" s="800">
        <v>265.10000000000002</v>
      </c>
      <c r="W74" s="800">
        <v>401.1</v>
      </c>
      <c r="X74" s="800">
        <v>538.4</v>
      </c>
      <c r="Y74" s="800">
        <v>329</v>
      </c>
      <c r="Z74" s="800">
        <v>470.8</v>
      </c>
      <c r="AA74" s="800">
        <v>465.5</v>
      </c>
      <c r="AB74" s="800">
        <v>489</v>
      </c>
      <c r="AC74" s="802">
        <v>502.2</v>
      </c>
      <c r="AD74" s="802">
        <v>500</v>
      </c>
      <c r="AE74" s="802">
        <v>492.9</v>
      </c>
      <c r="AF74" s="802">
        <v>493.9</v>
      </c>
      <c r="AG74" s="802">
        <v>492</v>
      </c>
      <c r="AH74" s="353">
        <f t="shared" ref="AH74:AH79" si="82">SUM(C74:AG74)</f>
        <v>12938.300000000001</v>
      </c>
      <c r="AI74" s="308">
        <f t="shared" ref="AI74:AI79" si="83">IFERROR(AVERAGE(B74:AG74),"")</f>
        <v>417.36451612903227</v>
      </c>
      <c r="AJ74" s="710">
        <v>44.06</v>
      </c>
      <c r="AK74" s="27">
        <f t="shared" ref="AK74:AK79" si="84">AH74*AJ74</f>
        <v>570061.49800000002</v>
      </c>
    </row>
    <row r="75" spans="1:38" ht="24.95" customHeight="1">
      <c r="A75" s="844"/>
      <c r="B75" s="401" t="s">
        <v>6</v>
      </c>
      <c r="C75" s="798">
        <v>69</v>
      </c>
      <c r="D75" s="798">
        <v>61.3</v>
      </c>
      <c r="E75" s="798">
        <v>68.3</v>
      </c>
      <c r="F75" s="798">
        <v>63.6</v>
      </c>
      <c r="G75" s="798">
        <v>71.5</v>
      </c>
      <c r="H75" s="799">
        <v>73.400000000000006</v>
      </c>
      <c r="I75" s="799">
        <v>43.8</v>
      </c>
      <c r="J75" s="800">
        <v>50.3</v>
      </c>
      <c r="K75" s="800">
        <v>65.599999999999994</v>
      </c>
      <c r="L75" s="800">
        <v>60.3</v>
      </c>
      <c r="M75" s="800">
        <v>70.8</v>
      </c>
      <c r="N75" s="800">
        <v>62</v>
      </c>
      <c r="O75" s="800">
        <v>67</v>
      </c>
      <c r="P75" s="800">
        <v>58.3</v>
      </c>
      <c r="Q75" s="801">
        <v>64.3</v>
      </c>
      <c r="R75" s="800">
        <v>58.6</v>
      </c>
      <c r="S75" s="800">
        <v>58.1</v>
      </c>
      <c r="T75" s="800">
        <v>60.4</v>
      </c>
      <c r="U75" s="800">
        <v>64.599999999999994</v>
      </c>
      <c r="V75" s="800">
        <v>57.9</v>
      </c>
      <c r="W75" s="800">
        <v>72.099999999999994</v>
      </c>
      <c r="X75" s="800">
        <v>90</v>
      </c>
      <c r="Y75" s="800">
        <v>61.4</v>
      </c>
      <c r="Z75" s="800">
        <v>65.7</v>
      </c>
      <c r="AA75" s="800">
        <v>66.900000000000006</v>
      </c>
      <c r="AB75" s="800">
        <v>60.8</v>
      </c>
      <c r="AC75" s="803">
        <v>67.099999999999994</v>
      </c>
      <c r="AD75" s="803">
        <v>57.3</v>
      </c>
      <c r="AE75" s="803">
        <v>62.2</v>
      </c>
      <c r="AF75" s="803">
        <v>82.8</v>
      </c>
      <c r="AG75" s="803">
        <v>59.9</v>
      </c>
      <c r="AH75" s="353">
        <f t="shared" si="82"/>
        <v>1995.3</v>
      </c>
      <c r="AI75" s="308">
        <f t="shared" si="83"/>
        <v>64.364516129032253</v>
      </c>
      <c r="AJ75" s="710">
        <f>AJ74</f>
        <v>44.06</v>
      </c>
      <c r="AK75" s="27">
        <f t="shared" si="84"/>
        <v>87912.918000000005</v>
      </c>
    </row>
    <row r="76" spans="1:38" ht="24.95" customHeight="1">
      <c r="A76" s="844"/>
      <c r="B76" s="401" t="s">
        <v>7</v>
      </c>
      <c r="C76" s="798">
        <v>553</v>
      </c>
      <c r="D76" s="798">
        <v>443.9</v>
      </c>
      <c r="E76" s="798">
        <v>552.29999999999995</v>
      </c>
      <c r="F76" s="798">
        <v>541.9</v>
      </c>
      <c r="G76" s="798">
        <v>531.70000000000005</v>
      </c>
      <c r="H76" s="799">
        <v>35.1</v>
      </c>
      <c r="I76" s="799">
        <v>2.4</v>
      </c>
      <c r="J76" s="800">
        <v>283.89999999999998</v>
      </c>
      <c r="K76" s="800">
        <v>525.29999999999995</v>
      </c>
      <c r="L76" s="800">
        <v>536</v>
      </c>
      <c r="M76" s="800">
        <v>489</v>
      </c>
      <c r="N76" s="800">
        <v>528.5</v>
      </c>
      <c r="O76" s="800">
        <v>504</v>
      </c>
      <c r="P76" s="800">
        <v>516.29999999999995</v>
      </c>
      <c r="Q76" s="801">
        <v>520.5</v>
      </c>
      <c r="R76" s="800">
        <v>512.6</v>
      </c>
      <c r="S76" s="800">
        <v>509.4</v>
      </c>
      <c r="T76" s="800">
        <v>581.79999999999995</v>
      </c>
      <c r="U76" s="800">
        <v>600.6</v>
      </c>
      <c r="V76" s="800">
        <v>650.6</v>
      </c>
      <c r="W76" s="800">
        <v>620.70000000000005</v>
      </c>
      <c r="X76" s="800">
        <v>589.79999999999995</v>
      </c>
      <c r="Y76" s="800">
        <v>584.79999999999995</v>
      </c>
      <c r="Z76" s="800">
        <v>553.70000000000005</v>
      </c>
      <c r="AA76" s="800">
        <v>520</v>
      </c>
      <c r="AB76" s="800">
        <v>523.29999999999995</v>
      </c>
      <c r="AC76" s="803">
        <v>555.6</v>
      </c>
      <c r="AD76" s="803">
        <v>526.9</v>
      </c>
      <c r="AE76" s="803">
        <v>457.3</v>
      </c>
      <c r="AF76" s="803">
        <v>507</v>
      </c>
      <c r="AG76" s="803">
        <v>526.4</v>
      </c>
      <c r="AH76" s="353">
        <f t="shared" si="82"/>
        <v>15384.3</v>
      </c>
      <c r="AI76" s="308">
        <f t="shared" si="83"/>
        <v>496.26774193548385</v>
      </c>
      <c r="AJ76" s="711">
        <v>0</v>
      </c>
      <c r="AK76" s="27">
        <f t="shared" si="84"/>
        <v>0</v>
      </c>
    </row>
    <row r="77" spans="1:38" ht="24.95" customHeight="1">
      <c r="A77" s="844"/>
      <c r="B77" s="401" t="s">
        <v>8</v>
      </c>
      <c r="C77" s="798">
        <v>513.9</v>
      </c>
      <c r="D77" s="798">
        <v>476.5</v>
      </c>
      <c r="E77" s="798">
        <v>506</v>
      </c>
      <c r="F77" s="798">
        <v>503.3</v>
      </c>
      <c r="G77" s="798">
        <v>497.6</v>
      </c>
      <c r="H77" s="799">
        <v>31.8</v>
      </c>
      <c r="I77" s="799">
        <v>0</v>
      </c>
      <c r="J77" s="800">
        <v>273</v>
      </c>
      <c r="K77" s="800">
        <v>486.7</v>
      </c>
      <c r="L77" s="800">
        <v>496.2</v>
      </c>
      <c r="M77" s="800">
        <v>484.6</v>
      </c>
      <c r="N77" s="800">
        <v>503.9</v>
      </c>
      <c r="O77" s="800">
        <v>497.7</v>
      </c>
      <c r="P77" s="800">
        <v>510.2</v>
      </c>
      <c r="Q77" s="801">
        <v>515.5</v>
      </c>
      <c r="R77" s="800">
        <v>509.4</v>
      </c>
      <c r="S77" s="800">
        <v>511.6</v>
      </c>
      <c r="T77" s="800">
        <v>531.1</v>
      </c>
      <c r="U77" s="800">
        <v>531.79999999999995</v>
      </c>
      <c r="V77" s="800">
        <v>571.20000000000005</v>
      </c>
      <c r="W77" s="800">
        <v>560.20000000000005</v>
      </c>
      <c r="X77" s="800">
        <v>553.6</v>
      </c>
      <c r="Y77" s="800">
        <v>550.5</v>
      </c>
      <c r="Z77" s="800">
        <v>533.6</v>
      </c>
      <c r="AA77" s="800">
        <v>509.1</v>
      </c>
      <c r="AB77" s="800">
        <v>504.8</v>
      </c>
      <c r="AC77" s="803">
        <v>526.1</v>
      </c>
      <c r="AD77" s="803">
        <v>509.1</v>
      </c>
      <c r="AE77" s="803">
        <v>468</v>
      </c>
      <c r="AF77" s="803">
        <v>506.4</v>
      </c>
      <c r="AG77" s="803">
        <v>505.5</v>
      </c>
      <c r="AH77" s="353">
        <f t="shared" si="82"/>
        <v>14678.900000000001</v>
      </c>
      <c r="AI77" s="308">
        <f t="shared" si="83"/>
        <v>473.5129032258065</v>
      </c>
      <c r="AJ77" s="711">
        <v>0</v>
      </c>
      <c r="AK77" s="27">
        <f t="shared" si="84"/>
        <v>0</v>
      </c>
    </row>
    <row r="78" spans="1:38" ht="24.95" customHeight="1">
      <c r="A78" s="844"/>
      <c r="B78" s="401" t="s">
        <v>9</v>
      </c>
      <c r="C78" s="798">
        <v>0</v>
      </c>
      <c r="D78" s="798">
        <v>0</v>
      </c>
      <c r="E78" s="798">
        <v>0</v>
      </c>
      <c r="F78" s="798">
        <v>0</v>
      </c>
      <c r="G78" s="798">
        <v>0</v>
      </c>
      <c r="H78" s="798">
        <v>0</v>
      </c>
      <c r="I78" s="798">
        <v>0</v>
      </c>
      <c r="J78" s="798">
        <v>0</v>
      </c>
      <c r="K78" s="798">
        <v>0</v>
      </c>
      <c r="L78" s="798">
        <v>0</v>
      </c>
      <c r="M78" s="798">
        <v>0</v>
      </c>
      <c r="N78" s="798">
        <v>0</v>
      </c>
      <c r="O78" s="798">
        <v>0</v>
      </c>
      <c r="P78" s="798">
        <v>0</v>
      </c>
      <c r="Q78" s="798">
        <v>0</v>
      </c>
      <c r="R78" s="798">
        <v>0</v>
      </c>
      <c r="S78" s="798">
        <v>0</v>
      </c>
      <c r="T78" s="798">
        <v>0</v>
      </c>
      <c r="U78" s="798">
        <v>0</v>
      </c>
      <c r="V78" s="798">
        <v>0</v>
      </c>
      <c r="W78" s="798">
        <v>0</v>
      </c>
      <c r="X78" s="798">
        <v>0</v>
      </c>
      <c r="Y78" s="798">
        <v>0</v>
      </c>
      <c r="Z78" s="798">
        <v>0</v>
      </c>
      <c r="AA78" s="798">
        <v>0</v>
      </c>
      <c r="AB78" s="798">
        <v>0</v>
      </c>
      <c r="AC78" s="798">
        <v>0</v>
      </c>
      <c r="AD78" s="804">
        <v>0</v>
      </c>
      <c r="AE78" s="804">
        <v>0</v>
      </c>
      <c r="AF78" s="804">
        <v>0</v>
      </c>
      <c r="AG78" s="804">
        <v>0</v>
      </c>
      <c r="AH78" s="353">
        <f t="shared" si="82"/>
        <v>0</v>
      </c>
      <c r="AI78" s="308">
        <f t="shared" si="83"/>
        <v>0</v>
      </c>
      <c r="AJ78" s="710">
        <v>481.83</v>
      </c>
      <c r="AK78" s="27">
        <f t="shared" si="84"/>
        <v>0</v>
      </c>
    </row>
    <row r="79" spans="1:38" ht="24.95" customHeight="1" thickBot="1">
      <c r="A79" s="844"/>
      <c r="B79" s="401" t="s">
        <v>10</v>
      </c>
      <c r="C79" s="798">
        <v>75.099999999999994</v>
      </c>
      <c r="D79" s="798">
        <v>70.2</v>
      </c>
      <c r="E79" s="798">
        <v>74</v>
      </c>
      <c r="F79" s="798">
        <v>71.900000000000006</v>
      </c>
      <c r="G79" s="798">
        <v>77.400000000000006</v>
      </c>
      <c r="H79" s="799">
        <v>86.1</v>
      </c>
      <c r="I79" s="799">
        <v>42.4</v>
      </c>
      <c r="J79" s="800">
        <v>59.3</v>
      </c>
      <c r="K79" s="800">
        <v>69.2</v>
      </c>
      <c r="L79" s="800">
        <v>71.5</v>
      </c>
      <c r="M79" s="800">
        <v>69.099999999999994</v>
      </c>
      <c r="N79" s="800">
        <v>70.400000000000006</v>
      </c>
      <c r="O79" s="800">
        <v>71.2</v>
      </c>
      <c r="P79" s="800">
        <v>67.2</v>
      </c>
      <c r="Q79" s="801">
        <v>69.7</v>
      </c>
      <c r="R79" s="800">
        <v>67.3</v>
      </c>
      <c r="S79" s="800">
        <v>63.7</v>
      </c>
      <c r="T79" s="800">
        <v>66.599999999999994</v>
      </c>
      <c r="U79" s="800">
        <v>68.599999999999994</v>
      </c>
      <c r="V79" s="800">
        <v>68</v>
      </c>
      <c r="W79" s="800">
        <v>67.2</v>
      </c>
      <c r="X79" s="800">
        <v>66.400000000000006</v>
      </c>
      <c r="Y79" s="800">
        <v>65</v>
      </c>
      <c r="Z79" s="800">
        <v>66.5</v>
      </c>
      <c r="AA79" s="800">
        <v>70</v>
      </c>
      <c r="AB79" s="800">
        <v>63.8</v>
      </c>
      <c r="AC79" s="803">
        <v>69</v>
      </c>
      <c r="AD79" s="803">
        <v>63.9</v>
      </c>
      <c r="AE79" s="803">
        <v>63.4</v>
      </c>
      <c r="AF79" s="803">
        <v>60.2</v>
      </c>
      <c r="AG79" s="803">
        <v>59.3</v>
      </c>
      <c r="AH79" s="353">
        <f t="shared" si="82"/>
        <v>2093.6000000000004</v>
      </c>
      <c r="AI79" s="308">
        <f t="shared" si="83"/>
        <v>67.535483870967752</v>
      </c>
      <c r="AJ79" s="711"/>
      <c r="AK79" s="27">
        <f t="shared" si="84"/>
        <v>0</v>
      </c>
    </row>
    <row r="80" spans="1:38" s="8" customFormat="1" ht="19.5" customHeight="1" thickBot="1">
      <c r="A80" s="847" t="s">
        <v>120</v>
      </c>
      <c r="B80" s="848"/>
      <c r="C80" s="7">
        <f>SUM(C74:C79)</f>
        <v>1607.8999999999999</v>
      </c>
      <c r="D80" s="7">
        <f t="shared" ref="D80:L80" si="85">SUM(D74:D79)</f>
        <v>1442.5</v>
      </c>
      <c r="E80" s="7">
        <f t="shared" si="85"/>
        <v>1596.3</v>
      </c>
      <c r="F80" s="7">
        <f t="shared" si="85"/>
        <v>1577</v>
      </c>
      <c r="G80" s="7">
        <f t="shared" si="85"/>
        <v>1569.4</v>
      </c>
      <c r="H80" s="7">
        <f t="shared" si="85"/>
        <v>619.9</v>
      </c>
      <c r="I80" s="7">
        <f t="shared" si="85"/>
        <v>466.49999999999994</v>
      </c>
      <c r="J80" s="7">
        <f t="shared" si="85"/>
        <v>1047.3</v>
      </c>
      <c r="K80" s="7">
        <f t="shared" si="85"/>
        <v>1540.3</v>
      </c>
      <c r="L80" s="7">
        <f t="shared" si="85"/>
        <v>1557.3</v>
      </c>
      <c r="M80" s="7">
        <f t="shared" ref="M80:AK80" si="86">SUM(M74:M79)</f>
        <v>1505.5</v>
      </c>
      <c r="N80" s="7">
        <f t="shared" si="86"/>
        <v>1562.6</v>
      </c>
      <c r="O80" s="7">
        <f t="shared" si="86"/>
        <v>1535.4</v>
      </c>
      <c r="P80" s="7">
        <f t="shared" si="86"/>
        <v>1549.7</v>
      </c>
      <c r="Q80" s="7">
        <f t="shared" si="86"/>
        <v>1567.2</v>
      </c>
      <c r="R80" s="7">
        <f t="shared" si="86"/>
        <v>1546.8999999999999</v>
      </c>
      <c r="S80" s="7">
        <f t="shared" si="86"/>
        <v>1543.3</v>
      </c>
      <c r="T80" s="7">
        <f t="shared" si="86"/>
        <v>1645.7999999999997</v>
      </c>
      <c r="U80" s="7">
        <f t="shared" si="86"/>
        <v>1668.7</v>
      </c>
      <c r="V80" s="7">
        <f t="shared" si="86"/>
        <v>1612.8000000000002</v>
      </c>
      <c r="W80" s="7">
        <f t="shared" si="86"/>
        <v>1721.3000000000002</v>
      </c>
      <c r="X80" s="7">
        <f t="shared" si="86"/>
        <v>1838.1999999999998</v>
      </c>
      <c r="Y80" s="7">
        <f t="shared" si="86"/>
        <v>1590.6999999999998</v>
      </c>
      <c r="Z80" s="7">
        <f t="shared" si="86"/>
        <v>1690.3000000000002</v>
      </c>
      <c r="AA80" s="7">
        <f t="shared" si="86"/>
        <v>1631.5</v>
      </c>
      <c r="AB80" s="7">
        <f t="shared" si="86"/>
        <v>1641.6999999999998</v>
      </c>
      <c r="AC80" s="7">
        <f t="shared" si="86"/>
        <v>1720</v>
      </c>
      <c r="AD80" s="7">
        <f t="shared" si="86"/>
        <v>1657.1999999999998</v>
      </c>
      <c r="AE80" s="7">
        <f t="shared" si="86"/>
        <v>1543.8000000000002</v>
      </c>
      <c r="AF80" s="7">
        <f t="shared" si="86"/>
        <v>1650.3</v>
      </c>
      <c r="AG80" s="7">
        <f t="shared" si="86"/>
        <v>1643.1</v>
      </c>
      <c r="AH80" s="35">
        <f t="shared" si="86"/>
        <v>47090.400000000001</v>
      </c>
      <c r="AI80" s="35">
        <f t="shared" si="86"/>
        <v>1519.0451612903225</v>
      </c>
      <c r="AJ80" s="7">
        <f t="shared" si="86"/>
        <v>569.95000000000005</v>
      </c>
      <c r="AK80" s="33">
        <f t="shared" si="86"/>
        <v>657974.41599999997</v>
      </c>
    </row>
    <row r="81" spans="1:37" s="382" customFormat="1" ht="24.95" customHeight="1">
      <c r="A81" s="849" t="s">
        <v>35</v>
      </c>
      <c r="B81" s="402" t="s">
        <v>42</v>
      </c>
      <c r="C81" s="610"/>
      <c r="D81" s="616"/>
      <c r="E81" s="616"/>
      <c r="F81" s="616"/>
      <c r="G81" s="616"/>
      <c r="H81" s="616"/>
      <c r="I81" s="616"/>
      <c r="J81" s="616"/>
      <c r="K81" s="616"/>
      <c r="L81" s="610"/>
      <c r="M81" s="610"/>
      <c r="N81" s="610"/>
      <c r="O81" s="616"/>
      <c r="P81" s="616"/>
      <c r="Q81" s="616"/>
      <c r="R81" s="616"/>
      <c r="S81" s="616"/>
      <c r="T81" s="616"/>
      <c r="U81" s="616"/>
      <c r="V81" s="616"/>
      <c r="W81" s="616"/>
      <c r="X81" s="616"/>
      <c r="Y81" s="616"/>
      <c r="Z81" s="616"/>
      <c r="AA81" s="616"/>
      <c r="AB81" s="616"/>
      <c r="AC81" s="616"/>
      <c r="AD81" s="702"/>
      <c r="AE81" s="702"/>
      <c r="AF81" s="766"/>
      <c r="AG81" s="746"/>
      <c r="AH81" s="308">
        <f t="shared" ref="AH81:AH92" si="87">SUM(C81:AG81)</f>
        <v>0</v>
      </c>
      <c r="AI81" s="308" t="str">
        <f t="shared" ref="AI81:AI93" si="88">IFERROR(AVERAGE(B81:AG81),"")</f>
        <v/>
      </c>
      <c r="AJ81" s="381">
        <v>61500</v>
      </c>
      <c r="AK81" s="27">
        <f>AH81*AJ81</f>
        <v>0</v>
      </c>
    </row>
    <row r="82" spans="1:37" s="382" customFormat="1" ht="24.95" customHeight="1">
      <c r="A82" s="849"/>
      <c r="B82" s="402" t="s">
        <v>273</v>
      </c>
      <c r="C82" s="610"/>
      <c r="D82" s="616"/>
      <c r="E82" s="616"/>
      <c r="F82" s="616"/>
      <c r="G82" s="616"/>
      <c r="H82" s="616"/>
      <c r="I82" s="616"/>
      <c r="J82" s="616"/>
      <c r="K82" s="616"/>
      <c r="L82" s="616"/>
      <c r="M82" s="616"/>
      <c r="N82" s="616"/>
      <c r="O82" s="616"/>
      <c r="P82" s="616"/>
      <c r="Q82" s="616"/>
      <c r="R82" s="616"/>
      <c r="S82" s="616"/>
      <c r="T82" s="616"/>
      <c r="U82" s="616"/>
      <c r="V82" s="616"/>
      <c r="W82" s="616"/>
      <c r="X82" s="616"/>
      <c r="Y82" s="616"/>
      <c r="Z82" s="616"/>
      <c r="AA82" s="616"/>
      <c r="AB82" s="616"/>
      <c r="AC82" s="616"/>
      <c r="AD82" s="702"/>
      <c r="AE82" s="702"/>
      <c r="AF82" s="766"/>
      <c r="AG82" s="746"/>
      <c r="AH82" s="308">
        <f t="shared" si="87"/>
        <v>0</v>
      </c>
      <c r="AI82" s="308" t="str">
        <f t="shared" si="88"/>
        <v/>
      </c>
      <c r="AJ82" s="381">
        <v>105000</v>
      </c>
      <c r="AK82" s="27">
        <f t="shared" ref="AK82:AK94" si="89">AH82*AJ82</f>
        <v>0</v>
      </c>
    </row>
    <row r="83" spans="1:37" s="382" customFormat="1" ht="24.95" customHeight="1">
      <c r="A83" s="849"/>
      <c r="B83" s="402" t="s">
        <v>274</v>
      </c>
      <c r="C83" s="610"/>
      <c r="D83" s="616"/>
      <c r="E83" s="616"/>
      <c r="F83" s="616"/>
      <c r="G83" s="616"/>
      <c r="H83" s="616"/>
      <c r="I83" s="616"/>
      <c r="J83" s="616"/>
      <c r="K83" s="616"/>
      <c r="L83" s="616"/>
      <c r="M83" s="616"/>
      <c r="N83" s="616"/>
      <c r="O83" s="616"/>
      <c r="P83" s="616"/>
      <c r="Q83" s="616"/>
      <c r="R83" s="616"/>
      <c r="S83" s="616"/>
      <c r="T83" s="616"/>
      <c r="U83" s="616"/>
      <c r="V83" s="616"/>
      <c r="W83" s="616"/>
      <c r="X83" s="616"/>
      <c r="Y83" s="616"/>
      <c r="Z83" s="616"/>
      <c r="AA83" s="616"/>
      <c r="AB83" s="616"/>
      <c r="AC83" s="616"/>
      <c r="AD83" s="702"/>
      <c r="AE83" s="702"/>
      <c r="AF83" s="766"/>
      <c r="AG83" s="746"/>
      <c r="AH83" s="308">
        <f t="shared" si="87"/>
        <v>0</v>
      </c>
      <c r="AI83" s="308" t="str">
        <f t="shared" si="88"/>
        <v/>
      </c>
      <c r="AJ83" s="381">
        <v>88500</v>
      </c>
      <c r="AK83" s="27">
        <f>AH83*AJ83</f>
        <v>0</v>
      </c>
    </row>
    <row r="84" spans="1:37" s="382" customFormat="1" ht="24.95" customHeight="1">
      <c r="A84" s="849"/>
      <c r="B84" s="402" t="s">
        <v>165</v>
      </c>
      <c r="C84" s="610"/>
      <c r="D84" s="616"/>
      <c r="E84" s="616"/>
      <c r="F84" s="616"/>
      <c r="G84" s="616"/>
      <c r="H84" s="616"/>
      <c r="I84" s="616"/>
      <c r="J84" s="616"/>
      <c r="K84" s="616"/>
      <c r="L84" s="616"/>
      <c r="M84" s="616"/>
      <c r="N84" s="616"/>
      <c r="O84" s="616"/>
      <c r="P84" s="616"/>
      <c r="Q84" s="616"/>
      <c r="R84" s="616"/>
      <c r="S84" s="616"/>
      <c r="T84" s="616"/>
      <c r="U84" s="616"/>
      <c r="V84" s="616"/>
      <c r="W84" s="616"/>
      <c r="X84" s="616"/>
      <c r="Y84" s="616"/>
      <c r="Z84" s="616"/>
      <c r="AA84" s="616"/>
      <c r="AB84" s="616"/>
      <c r="AC84" s="616"/>
      <c r="AD84" s="702"/>
      <c r="AE84" s="702"/>
      <c r="AF84" s="766"/>
      <c r="AG84" s="746"/>
      <c r="AH84" s="308">
        <f t="shared" si="87"/>
        <v>0</v>
      </c>
      <c r="AI84" s="308" t="str">
        <f t="shared" si="88"/>
        <v/>
      </c>
      <c r="AJ84" s="381">
        <v>89000</v>
      </c>
      <c r="AK84" s="27">
        <f t="shared" si="89"/>
        <v>0</v>
      </c>
    </row>
    <row r="85" spans="1:37" s="382" customFormat="1" ht="24.95" customHeight="1">
      <c r="A85" s="850"/>
      <c r="B85" s="402" t="s">
        <v>267</v>
      </c>
      <c r="C85" s="611"/>
      <c r="D85" s="617"/>
      <c r="E85" s="617"/>
      <c r="F85" s="617"/>
      <c r="G85" s="617"/>
      <c r="H85" s="617"/>
      <c r="I85" s="617"/>
      <c r="J85" s="617"/>
      <c r="K85" s="617"/>
      <c r="L85" s="617"/>
      <c r="M85" s="617"/>
      <c r="N85" s="617"/>
      <c r="O85" s="617"/>
      <c r="P85" s="617"/>
      <c r="Q85" s="617"/>
      <c r="R85" s="617"/>
      <c r="S85" s="617"/>
      <c r="T85" s="617"/>
      <c r="U85" s="617"/>
      <c r="V85" s="617"/>
      <c r="W85" s="617"/>
      <c r="X85" s="617"/>
      <c r="Y85" s="617"/>
      <c r="Z85" s="617"/>
      <c r="AA85" s="617"/>
      <c r="AB85" s="617"/>
      <c r="AC85" s="617"/>
      <c r="AD85" s="702"/>
      <c r="AE85" s="702"/>
      <c r="AF85" s="766"/>
      <c r="AG85" s="746"/>
      <c r="AH85" s="308">
        <f t="shared" si="87"/>
        <v>0</v>
      </c>
      <c r="AI85" s="308" t="str">
        <f t="shared" si="88"/>
        <v/>
      </c>
      <c r="AJ85" s="383">
        <v>118000</v>
      </c>
      <c r="AK85" s="27">
        <f t="shared" si="89"/>
        <v>0</v>
      </c>
    </row>
    <row r="86" spans="1:37" s="382" customFormat="1" ht="24.95" customHeight="1">
      <c r="A86" s="849"/>
      <c r="B86" s="402" t="s">
        <v>263</v>
      </c>
      <c r="C86" s="610"/>
      <c r="D86" s="616"/>
      <c r="E86" s="616"/>
      <c r="F86" s="616"/>
      <c r="G86" s="616"/>
      <c r="H86" s="616"/>
      <c r="I86" s="616"/>
      <c r="J86" s="616"/>
      <c r="K86" s="616"/>
      <c r="L86" s="616"/>
      <c r="M86" s="616"/>
      <c r="N86" s="616"/>
      <c r="O86" s="616"/>
      <c r="P86" s="616"/>
      <c r="Q86" s="616"/>
      <c r="R86" s="616"/>
      <c r="S86" s="616"/>
      <c r="T86" s="616"/>
      <c r="U86" s="616"/>
      <c r="V86" s="616"/>
      <c r="W86" s="616"/>
      <c r="X86" s="616"/>
      <c r="Y86" s="616"/>
      <c r="Z86" s="616"/>
      <c r="AA86" s="616"/>
      <c r="AB86" s="616"/>
      <c r="AC86" s="616"/>
      <c r="AD86" s="702"/>
      <c r="AE86" s="702"/>
      <c r="AF86" s="766"/>
      <c r="AG86" s="746"/>
      <c r="AH86" s="308">
        <f t="shared" si="87"/>
        <v>0</v>
      </c>
      <c r="AI86" s="308" t="str">
        <f t="shared" si="88"/>
        <v/>
      </c>
      <c r="AJ86" s="381">
        <v>88000</v>
      </c>
      <c r="AK86" s="27">
        <f t="shared" si="89"/>
        <v>0</v>
      </c>
    </row>
    <row r="87" spans="1:37" s="382" customFormat="1" ht="24.95" customHeight="1">
      <c r="A87" s="849"/>
      <c r="B87" s="402" t="s">
        <v>333</v>
      </c>
      <c r="C87" s="610"/>
      <c r="D87" s="616"/>
      <c r="E87" s="616"/>
      <c r="F87" s="616"/>
      <c r="G87" s="616"/>
      <c r="H87" s="616"/>
      <c r="I87" s="616"/>
      <c r="J87" s="616"/>
      <c r="K87" s="616"/>
      <c r="L87" s="616"/>
      <c r="M87" s="616"/>
      <c r="N87" s="616"/>
      <c r="O87" s="616"/>
      <c r="P87" s="616"/>
      <c r="Q87" s="616"/>
      <c r="R87" s="616"/>
      <c r="S87" s="616"/>
      <c r="T87" s="616"/>
      <c r="U87" s="616"/>
      <c r="V87" s="616"/>
      <c r="W87" s="616"/>
      <c r="X87" s="616"/>
      <c r="Y87" s="616"/>
      <c r="Z87" s="616"/>
      <c r="AA87" s="616"/>
      <c r="AB87" s="616"/>
      <c r="AC87" s="616"/>
      <c r="AD87" s="702"/>
      <c r="AE87" s="702"/>
      <c r="AF87" s="766"/>
      <c r="AG87" s="746"/>
      <c r="AH87" s="308">
        <f t="shared" si="87"/>
        <v>0</v>
      </c>
      <c r="AI87" s="308" t="str">
        <f t="shared" si="88"/>
        <v/>
      </c>
      <c r="AJ87" s="381">
        <v>88000</v>
      </c>
      <c r="AK87" s="27">
        <f t="shared" si="89"/>
        <v>0</v>
      </c>
    </row>
    <row r="88" spans="1:37" s="382" customFormat="1" ht="24.95" customHeight="1">
      <c r="A88" s="849"/>
      <c r="B88" s="384" t="s">
        <v>276</v>
      </c>
      <c r="C88" s="610"/>
      <c r="D88" s="616"/>
      <c r="E88" s="616"/>
      <c r="F88" s="616"/>
      <c r="G88" s="616"/>
      <c r="H88" s="616"/>
      <c r="I88" s="616"/>
      <c r="J88" s="616"/>
      <c r="K88" s="616"/>
      <c r="L88" s="616"/>
      <c r="M88" s="616"/>
      <c r="N88" s="616"/>
      <c r="O88" s="616"/>
      <c r="P88" s="616"/>
      <c r="Q88" s="616"/>
      <c r="R88" s="616"/>
      <c r="S88" s="616"/>
      <c r="T88" s="616"/>
      <c r="U88" s="616"/>
      <c r="V88" s="616"/>
      <c r="W88" s="616"/>
      <c r="X88" s="616"/>
      <c r="Y88" s="616"/>
      <c r="Z88" s="616"/>
      <c r="AA88" s="616"/>
      <c r="AB88" s="616"/>
      <c r="AC88" s="616"/>
      <c r="AD88" s="702"/>
      <c r="AE88" s="702"/>
      <c r="AF88" s="766"/>
      <c r="AG88" s="746"/>
      <c r="AH88" s="308">
        <f t="shared" si="87"/>
        <v>0</v>
      </c>
      <c r="AI88" s="308" t="str">
        <f t="shared" si="88"/>
        <v/>
      </c>
      <c r="AJ88" s="381">
        <v>88000</v>
      </c>
      <c r="AK88" s="27">
        <f t="shared" si="89"/>
        <v>0</v>
      </c>
    </row>
    <row r="89" spans="1:37" s="382" customFormat="1" ht="24.95" customHeight="1">
      <c r="A89" s="850"/>
      <c r="B89" s="384" t="s">
        <v>342</v>
      </c>
      <c r="C89" s="611"/>
      <c r="D89" s="617"/>
      <c r="E89" s="617"/>
      <c r="F89" s="617"/>
      <c r="G89" s="617"/>
      <c r="H89" s="617"/>
      <c r="I89" s="617"/>
      <c r="J89" s="617"/>
      <c r="K89" s="617"/>
      <c r="L89" s="617"/>
      <c r="M89" s="617"/>
      <c r="N89" s="617"/>
      <c r="O89" s="617"/>
      <c r="P89" s="617"/>
      <c r="Q89" s="617"/>
      <c r="R89" s="617"/>
      <c r="S89" s="617"/>
      <c r="T89" s="617"/>
      <c r="U89" s="617"/>
      <c r="V89" s="617"/>
      <c r="W89" s="617"/>
      <c r="X89" s="617"/>
      <c r="Y89" s="617"/>
      <c r="Z89" s="617"/>
      <c r="AA89" s="617"/>
      <c r="AB89" s="617"/>
      <c r="AC89" s="617"/>
      <c r="AD89" s="702"/>
      <c r="AE89" s="702"/>
      <c r="AF89" s="766"/>
      <c r="AG89" s="746"/>
      <c r="AH89" s="308">
        <f t="shared" si="87"/>
        <v>0</v>
      </c>
      <c r="AI89" s="308" t="str">
        <f t="shared" si="88"/>
        <v/>
      </c>
      <c r="AJ89" s="383">
        <v>94000</v>
      </c>
      <c r="AK89" s="27">
        <f t="shared" si="89"/>
        <v>0</v>
      </c>
    </row>
    <row r="90" spans="1:37" s="382" customFormat="1" ht="24.95" customHeight="1">
      <c r="A90" s="850"/>
      <c r="B90" s="384" t="s">
        <v>343</v>
      </c>
      <c r="C90" s="611"/>
      <c r="D90" s="617"/>
      <c r="E90" s="617"/>
      <c r="F90" s="617"/>
      <c r="G90" s="617"/>
      <c r="H90" s="617"/>
      <c r="I90" s="617"/>
      <c r="J90" s="617"/>
      <c r="K90" s="617"/>
      <c r="L90" s="617"/>
      <c r="M90" s="617"/>
      <c r="N90" s="617"/>
      <c r="O90" s="617"/>
      <c r="P90" s="617"/>
      <c r="Q90" s="617"/>
      <c r="R90" s="617"/>
      <c r="S90" s="617"/>
      <c r="T90" s="617"/>
      <c r="U90" s="617"/>
      <c r="V90" s="617"/>
      <c r="W90" s="617"/>
      <c r="X90" s="617"/>
      <c r="Y90" s="617"/>
      <c r="Z90" s="617"/>
      <c r="AA90" s="617"/>
      <c r="AB90" s="617"/>
      <c r="AC90" s="617"/>
      <c r="AD90" s="702"/>
      <c r="AE90" s="702"/>
      <c r="AF90" s="766"/>
      <c r="AG90" s="746"/>
      <c r="AH90" s="308">
        <f t="shared" si="87"/>
        <v>0</v>
      </c>
      <c r="AI90" s="308" t="str">
        <f t="shared" si="88"/>
        <v/>
      </c>
      <c r="AJ90" s="383">
        <v>90000</v>
      </c>
      <c r="AK90" s="27">
        <f t="shared" si="89"/>
        <v>0</v>
      </c>
    </row>
    <row r="91" spans="1:37" s="382" customFormat="1" ht="24.95" customHeight="1">
      <c r="A91" s="850"/>
      <c r="B91" s="384" t="s">
        <v>344</v>
      </c>
      <c r="C91" s="611"/>
      <c r="D91" s="617"/>
      <c r="E91" s="617"/>
      <c r="F91" s="617"/>
      <c r="G91" s="617"/>
      <c r="H91" s="617"/>
      <c r="I91" s="617"/>
      <c r="J91" s="617"/>
      <c r="K91" s="617"/>
      <c r="L91" s="617"/>
      <c r="M91" s="617"/>
      <c r="N91" s="617"/>
      <c r="O91" s="617"/>
      <c r="P91" s="617"/>
      <c r="Q91" s="617"/>
      <c r="R91" s="617"/>
      <c r="S91" s="617"/>
      <c r="T91" s="617"/>
      <c r="U91" s="617"/>
      <c r="V91" s="617"/>
      <c r="W91" s="617"/>
      <c r="X91" s="617"/>
      <c r="Y91" s="617"/>
      <c r="Z91" s="617"/>
      <c r="AA91" s="617"/>
      <c r="AB91" s="617"/>
      <c r="AC91" s="617"/>
      <c r="AD91" s="702"/>
      <c r="AE91" s="702"/>
      <c r="AF91" s="766"/>
      <c r="AG91" s="746"/>
      <c r="AH91" s="308">
        <f t="shared" si="87"/>
        <v>0</v>
      </c>
      <c r="AI91" s="308" t="str">
        <f t="shared" si="88"/>
        <v/>
      </c>
      <c r="AJ91" s="383">
        <v>84000</v>
      </c>
      <c r="AK91" s="27">
        <f t="shared" si="89"/>
        <v>0</v>
      </c>
    </row>
    <row r="92" spans="1:37" s="382" customFormat="1" ht="24.95" customHeight="1">
      <c r="A92" s="849"/>
      <c r="B92" s="402" t="s">
        <v>36</v>
      </c>
      <c r="C92" s="610"/>
      <c r="D92" s="610"/>
      <c r="E92" s="610"/>
      <c r="F92" s="610"/>
      <c r="G92" s="610"/>
      <c r="H92" s="378"/>
      <c r="I92" s="378"/>
      <c r="J92" s="378"/>
      <c r="K92" s="378"/>
      <c r="L92" s="378"/>
      <c r="M92" s="378"/>
      <c r="N92" s="378"/>
      <c r="O92" s="378"/>
      <c r="P92" s="378"/>
      <c r="Q92" s="613"/>
      <c r="R92" s="612"/>
      <c r="S92" s="612"/>
      <c r="T92" s="378"/>
      <c r="U92" s="378"/>
      <c r="V92" s="378"/>
      <c r="W92" s="378"/>
      <c r="X92" s="378"/>
      <c r="Y92" s="378"/>
      <c r="Z92" s="378"/>
      <c r="AA92" s="378"/>
      <c r="AB92" s="378"/>
      <c r="AC92" s="379"/>
      <c r="AD92" s="379"/>
      <c r="AE92" s="379"/>
      <c r="AF92" s="379"/>
      <c r="AG92" s="379"/>
      <c r="AH92" s="308">
        <f t="shared" si="87"/>
        <v>0</v>
      </c>
      <c r="AI92" s="308" t="str">
        <f t="shared" si="88"/>
        <v/>
      </c>
      <c r="AJ92" s="381"/>
      <c r="AK92" s="27">
        <f>AH92*AJ92</f>
        <v>0</v>
      </c>
    </row>
    <row r="93" spans="1:37" s="382" customFormat="1" ht="24.95" customHeight="1">
      <c r="A93" s="849"/>
      <c r="B93" s="402" t="s">
        <v>37</v>
      </c>
      <c r="C93" s="614"/>
      <c r="D93" s="614"/>
      <c r="E93" s="614"/>
      <c r="F93" s="614"/>
      <c r="G93" s="614"/>
      <c r="H93" s="612"/>
      <c r="I93" s="612"/>
      <c r="J93" s="612"/>
      <c r="K93" s="612"/>
      <c r="L93" s="612"/>
      <c r="M93" s="612"/>
      <c r="N93" s="612"/>
      <c r="O93" s="612"/>
      <c r="P93" s="612"/>
      <c r="Q93" s="613"/>
      <c r="R93" s="612"/>
      <c r="S93" s="612"/>
      <c r="T93" s="378"/>
      <c r="U93" s="378"/>
      <c r="V93" s="378"/>
      <c r="W93" s="378"/>
      <c r="X93" s="378"/>
      <c r="Y93" s="378"/>
      <c r="Z93" s="378"/>
      <c r="AA93" s="378"/>
      <c r="AB93" s="378"/>
      <c r="AC93" s="379"/>
      <c r="AD93" s="379"/>
      <c r="AE93" s="379"/>
      <c r="AF93" s="379"/>
      <c r="AG93" s="379"/>
      <c r="AH93" s="308">
        <v>1</v>
      </c>
      <c r="AI93" s="308" t="str">
        <f t="shared" si="88"/>
        <v/>
      </c>
      <c r="AJ93" s="381"/>
      <c r="AK93" s="27">
        <f t="shared" si="89"/>
        <v>0</v>
      </c>
    </row>
    <row r="94" spans="1:37" s="382" customFormat="1" ht="24.95" customHeight="1" thickBot="1">
      <c r="A94" s="849"/>
      <c r="B94" s="146" t="s">
        <v>81</v>
      </c>
      <c r="C94" s="147">
        <f t="shared" ref="C94:AC94" si="90">(C81*$AJ$81)+(C82*$AJ$82)+(C83*$AJ$83)+(C84*$AJ$84)+(C85*$AJ$85)+(C86*$AJ$86)+(C87*$AJ$87)+(C88*$AJ$88)+(C89*$AJ$89)+(C90*$AJ$90)+(C91*$AJ$91)</f>
        <v>0</v>
      </c>
      <c r="D94" s="147">
        <f t="shared" si="90"/>
        <v>0</v>
      </c>
      <c r="E94" s="147">
        <f t="shared" si="90"/>
        <v>0</v>
      </c>
      <c r="F94" s="147">
        <f t="shared" si="90"/>
        <v>0</v>
      </c>
      <c r="G94" s="147">
        <f t="shared" si="90"/>
        <v>0</v>
      </c>
      <c r="H94" s="147">
        <f t="shared" si="90"/>
        <v>0</v>
      </c>
      <c r="I94" s="147">
        <f t="shared" si="90"/>
        <v>0</v>
      </c>
      <c r="J94" s="147">
        <f t="shared" si="90"/>
        <v>0</v>
      </c>
      <c r="K94" s="147">
        <f t="shared" si="90"/>
        <v>0</v>
      </c>
      <c r="L94" s="147">
        <f t="shared" si="90"/>
        <v>0</v>
      </c>
      <c r="M94" s="147">
        <f t="shared" si="90"/>
        <v>0</v>
      </c>
      <c r="N94" s="147">
        <f t="shared" si="90"/>
        <v>0</v>
      </c>
      <c r="O94" s="147">
        <f t="shared" si="90"/>
        <v>0</v>
      </c>
      <c r="P94" s="147">
        <f t="shared" si="90"/>
        <v>0</v>
      </c>
      <c r="Q94" s="147">
        <f t="shared" si="90"/>
        <v>0</v>
      </c>
      <c r="R94" s="147">
        <f t="shared" si="90"/>
        <v>0</v>
      </c>
      <c r="S94" s="147">
        <f t="shared" si="90"/>
        <v>0</v>
      </c>
      <c r="T94" s="147">
        <f t="shared" si="90"/>
        <v>0</v>
      </c>
      <c r="U94" s="147">
        <f t="shared" si="90"/>
        <v>0</v>
      </c>
      <c r="V94" s="147">
        <f t="shared" si="90"/>
        <v>0</v>
      </c>
      <c r="W94" s="147">
        <f t="shared" si="90"/>
        <v>0</v>
      </c>
      <c r="X94" s="147">
        <f t="shared" si="90"/>
        <v>0</v>
      </c>
      <c r="Y94" s="147">
        <f t="shared" si="90"/>
        <v>0</v>
      </c>
      <c r="Z94" s="147">
        <f t="shared" si="90"/>
        <v>0</v>
      </c>
      <c r="AA94" s="147">
        <f t="shared" si="90"/>
        <v>0</v>
      </c>
      <c r="AB94" s="147">
        <f t="shared" si="90"/>
        <v>0</v>
      </c>
      <c r="AC94" s="147">
        <f t="shared" si="90"/>
        <v>0</v>
      </c>
      <c r="AD94" s="705"/>
      <c r="AE94" s="705"/>
      <c r="AF94" s="705"/>
      <c r="AG94" s="705"/>
      <c r="AH94" s="353">
        <f>SUM(C94:AG94)</f>
        <v>0</v>
      </c>
      <c r="AI94" s="308"/>
      <c r="AJ94" s="385"/>
      <c r="AK94" s="27">
        <f t="shared" si="89"/>
        <v>0</v>
      </c>
    </row>
    <row r="95" spans="1:37" s="8" customFormat="1" ht="19.5" customHeight="1" thickBot="1">
      <c r="A95" s="847" t="s">
        <v>38</v>
      </c>
      <c r="B95" s="848"/>
      <c r="C95" s="7">
        <f>C94</f>
        <v>0</v>
      </c>
      <c r="D95" s="7">
        <f t="shared" ref="D95:AC95" si="91">D94</f>
        <v>0</v>
      </c>
      <c r="E95" s="7">
        <f t="shared" si="91"/>
        <v>0</v>
      </c>
      <c r="F95" s="7">
        <f t="shared" si="91"/>
        <v>0</v>
      </c>
      <c r="G95" s="7">
        <f t="shared" si="91"/>
        <v>0</v>
      </c>
      <c r="H95" s="7">
        <f t="shared" si="91"/>
        <v>0</v>
      </c>
      <c r="I95" s="7">
        <f t="shared" si="91"/>
        <v>0</v>
      </c>
      <c r="J95" s="7">
        <f t="shared" si="91"/>
        <v>0</v>
      </c>
      <c r="K95" s="7">
        <f t="shared" si="91"/>
        <v>0</v>
      </c>
      <c r="L95" s="7">
        <f t="shared" si="91"/>
        <v>0</v>
      </c>
      <c r="M95" s="7">
        <f t="shared" si="91"/>
        <v>0</v>
      </c>
      <c r="N95" s="7">
        <f t="shared" si="91"/>
        <v>0</v>
      </c>
      <c r="O95" s="7">
        <f t="shared" si="91"/>
        <v>0</v>
      </c>
      <c r="P95" s="7">
        <f t="shared" si="91"/>
        <v>0</v>
      </c>
      <c r="Q95" s="7">
        <f t="shared" si="91"/>
        <v>0</v>
      </c>
      <c r="R95" s="7">
        <f t="shared" si="91"/>
        <v>0</v>
      </c>
      <c r="S95" s="7">
        <f t="shared" si="91"/>
        <v>0</v>
      </c>
      <c r="T95" s="7">
        <f t="shared" si="91"/>
        <v>0</v>
      </c>
      <c r="U95" s="7">
        <f t="shared" si="91"/>
        <v>0</v>
      </c>
      <c r="V95" s="7">
        <f t="shared" si="91"/>
        <v>0</v>
      </c>
      <c r="W95" s="7">
        <f t="shared" si="91"/>
        <v>0</v>
      </c>
      <c r="X95" s="7">
        <f t="shared" si="91"/>
        <v>0</v>
      </c>
      <c r="Y95" s="7">
        <f t="shared" si="91"/>
        <v>0</v>
      </c>
      <c r="Z95" s="7">
        <f t="shared" si="91"/>
        <v>0</v>
      </c>
      <c r="AA95" s="7">
        <f t="shared" si="91"/>
        <v>0</v>
      </c>
      <c r="AB95" s="7">
        <f t="shared" si="91"/>
        <v>0</v>
      </c>
      <c r="AC95" s="7">
        <f t="shared" si="91"/>
        <v>0</v>
      </c>
      <c r="AD95" s="704"/>
      <c r="AE95" s="704"/>
      <c r="AF95" s="704"/>
      <c r="AG95" s="704"/>
      <c r="AH95" s="35">
        <f>SUM(C95:AG95)</f>
        <v>0</v>
      </c>
      <c r="AI95" s="145">
        <f>SUM(AI81:AI94)</f>
        <v>0</v>
      </c>
      <c r="AJ95" s="7">
        <v>0</v>
      </c>
      <c r="AK95" s="33">
        <f>SUM(AK81:AK94)</f>
        <v>0</v>
      </c>
    </row>
    <row r="96" spans="1:37" s="8" customFormat="1" ht="19.5" customHeight="1" thickBot="1">
      <c r="A96" s="845" t="s">
        <v>39</v>
      </c>
      <c r="B96" s="846"/>
      <c r="C96" s="148"/>
      <c r="D96" s="148"/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  <c r="Z96" s="148"/>
      <c r="AA96" s="148"/>
      <c r="AB96" s="148"/>
      <c r="AC96" s="303"/>
      <c r="AD96" s="303"/>
      <c r="AE96" s="303"/>
      <c r="AF96" s="303"/>
      <c r="AG96" s="303"/>
      <c r="AH96" s="149"/>
      <c r="AI96" s="149"/>
      <c r="AJ96" s="148"/>
      <c r="AK96" s="150">
        <f>SUM(AK17,AK64,AK73,AK80,AK95)</f>
        <v>407296775.44599998</v>
      </c>
    </row>
    <row r="97" spans="1:37" s="8" customFormat="1" ht="19.5" customHeight="1" thickBot="1">
      <c r="A97" s="845" t="s">
        <v>40</v>
      </c>
      <c r="B97" s="846"/>
      <c r="C97" s="148"/>
      <c r="D97" s="148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  <c r="AA97" s="148"/>
      <c r="AB97" s="148"/>
      <c r="AC97" s="303"/>
      <c r="AD97" s="303"/>
      <c r="AE97" s="303"/>
      <c r="AF97" s="303"/>
      <c r="AG97" s="303"/>
      <c r="AH97" s="149"/>
      <c r="AI97" s="149"/>
      <c r="AJ97" s="148"/>
      <c r="AK97" s="150">
        <f>AK96-AK95</f>
        <v>407296775.44599998</v>
      </c>
    </row>
    <row r="99" spans="1:37" s="388" customFormat="1" ht="20.100000000000001" customHeight="1">
      <c r="D99" s="389"/>
      <c r="E99" s="389"/>
      <c r="F99" s="389"/>
      <c r="AJ99" s="390"/>
      <c r="AK99" s="505"/>
    </row>
    <row r="100" spans="1:37" s="388" customFormat="1" ht="20.100000000000001" customHeight="1">
      <c r="D100" s="389"/>
      <c r="E100" s="389"/>
      <c r="F100" s="389"/>
      <c r="AJ100" s="390"/>
      <c r="AK100" s="505"/>
    </row>
    <row r="101" spans="1:37" ht="20.100000000000001" customHeight="1" thickBot="1">
      <c r="D101" s="319"/>
      <c r="F101" s="319"/>
      <c r="G101" s="319"/>
      <c r="J101" s="340" t="s">
        <v>275</v>
      </c>
      <c r="AJ101" s="459"/>
      <c r="AK101" s="387"/>
    </row>
    <row r="102" spans="1:37" ht="20.100000000000001" customHeight="1" thickBot="1">
      <c r="F102" s="319"/>
      <c r="G102" s="392" t="s">
        <v>210</v>
      </c>
      <c r="H102" s="392" t="s">
        <v>212</v>
      </c>
      <c r="I102" s="392" t="s">
        <v>213</v>
      </c>
      <c r="J102" s="392" t="s">
        <v>214</v>
      </c>
    </row>
    <row r="103" spans="1:37" ht="26.45" customHeight="1">
      <c r="G103" s="410" t="s">
        <v>211</v>
      </c>
      <c r="H103" s="411">
        <v>120400000</v>
      </c>
      <c r="I103" s="411">
        <f>J103-H103</f>
        <v>205954736</v>
      </c>
      <c r="J103" s="411">
        <f>AK17</f>
        <v>326354736</v>
      </c>
      <c r="AK103" s="391"/>
    </row>
    <row r="104" spans="1:37" ht="20.100000000000001" customHeight="1">
      <c r="C104" s="319"/>
      <c r="D104" s="319"/>
      <c r="E104" s="319"/>
      <c r="F104" s="319"/>
      <c r="G104" s="319"/>
      <c r="H104" s="319"/>
      <c r="I104" s="319"/>
      <c r="J104" s="319"/>
      <c r="K104" s="319"/>
      <c r="L104" s="319"/>
      <c r="M104" s="319"/>
      <c r="N104" s="319"/>
      <c r="O104" s="319"/>
      <c r="P104" s="319"/>
      <c r="Q104" s="319"/>
      <c r="R104" s="319"/>
      <c r="S104" s="319"/>
      <c r="T104" s="319"/>
      <c r="U104" s="319"/>
      <c r="V104" s="319"/>
      <c r="W104" s="319"/>
      <c r="X104" s="319"/>
      <c r="Y104" s="319"/>
      <c r="Z104" s="319"/>
      <c r="AA104" s="319"/>
      <c r="AB104" s="319"/>
      <c r="AC104" s="319"/>
      <c r="AD104" s="319"/>
      <c r="AE104" s="319"/>
      <c r="AF104" s="319"/>
      <c r="AG104" s="319"/>
      <c r="AH104" s="319"/>
      <c r="AI104" s="319"/>
      <c r="AK104" s="387"/>
    </row>
    <row r="105" spans="1:37" ht="20.100000000000001" customHeight="1">
      <c r="H105" s="319"/>
      <c r="I105" s="319"/>
      <c r="J105" s="319"/>
    </row>
    <row r="106" spans="1:37" ht="20.100000000000001" customHeight="1">
      <c r="H106" s="319"/>
      <c r="I106" s="319"/>
    </row>
    <row r="107" spans="1:37" ht="20.100000000000001" customHeight="1">
      <c r="I107" s="319"/>
      <c r="J107" s="319"/>
    </row>
    <row r="108" spans="1:37" ht="20.100000000000001" customHeight="1">
      <c r="I108" s="319"/>
    </row>
    <row r="109" spans="1:37" ht="20.100000000000001" customHeight="1">
      <c r="I109" s="319"/>
    </row>
    <row r="110" spans="1:37" ht="20.100000000000001" customHeight="1">
      <c r="I110" s="319"/>
    </row>
    <row r="112" spans="1:37" ht="20.100000000000001" customHeight="1">
      <c r="J112" s="319"/>
    </row>
    <row r="113" spans="9:9" ht="20.100000000000001" customHeight="1">
      <c r="I113" s="319"/>
    </row>
  </sheetData>
  <mergeCells count="28">
    <mergeCell ref="B1:AI1"/>
    <mergeCell ref="C40:AG40"/>
    <mergeCell ref="A8:A9"/>
    <mergeCell ref="A6:A7"/>
    <mergeCell ref="C2:F2"/>
    <mergeCell ref="A11:A17"/>
    <mergeCell ref="B4:B5"/>
    <mergeCell ref="A46:A48"/>
    <mergeCell ref="A18:A20"/>
    <mergeCell ref="A21:A23"/>
    <mergeCell ref="A24:A26"/>
    <mergeCell ref="A27:A29"/>
    <mergeCell ref="A30:A32"/>
    <mergeCell ref="A33:A35"/>
    <mergeCell ref="A36:A38"/>
    <mergeCell ref="A39:A40"/>
    <mergeCell ref="A44:B44"/>
    <mergeCell ref="A45:B45"/>
    <mergeCell ref="A49:A63"/>
    <mergeCell ref="A74:A79"/>
    <mergeCell ref="A97:B97"/>
    <mergeCell ref="A64:B64"/>
    <mergeCell ref="A73:B73"/>
    <mergeCell ref="A80:B80"/>
    <mergeCell ref="A96:B96"/>
    <mergeCell ref="A81:A94"/>
    <mergeCell ref="A95:B95"/>
    <mergeCell ref="A65:A72"/>
  </mergeCells>
  <phoneticPr fontId="2" type="noConversion"/>
  <pageMargins left="0.31496062992125984" right="0.23622047244094491" top="0.53" bottom="0.35433070866141736" header="0.31496062992125984" footer="0.31496062992125984"/>
  <pageSetup paperSize="8" scale="37" orientation="landscape" r:id="rId1"/>
  <ignoredErrors>
    <ignoredError sqref="AK20 AH73:AH80 AK73 AH44 AI80 AK36 AK80" formula="1"/>
    <ignoredError sqref="AJ46:AK47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K87"/>
  <sheetViews>
    <sheetView topLeftCell="A19" zoomScaleNormal="100" workbookViewId="0">
      <selection activeCell="E44" sqref="E44"/>
    </sheetView>
  </sheetViews>
  <sheetFormatPr defaultColWidth="8.625" defaultRowHeight="13.5"/>
  <cols>
    <col min="1" max="1" width="18.625" style="314" bestFit="1" customWidth="1"/>
    <col min="2" max="2" width="16.375" style="314" bestFit="1" customWidth="1"/>
    <col min="3" max="3" width="13.5" style="314" bestFit="1" customWidth="1"/>
    <col min="4" max="5" width="13.125" style="314" bestFit="1" customWidth="1"/>
    <col min="6" max="6" width="13.25" style="314" bestFit="1" customWidth="1"/>
    <col min="7" max="7" width="12.5" style="314" customWidth="1"/>
    <col min="8" max="8" width="12.25" style="314" customWidth="1"/>
    <col min="9" max="9" width="13.625" style="314" bestFit="1" customWidth="1"/>
    <col min="10" max="10" width="14.125" style="314" bestFit="1" customWidth="1"/>
    <col min="11" max="11" width="13.625" style="314" bestFit="1" customWidth="1"/>
    <col min="12" max="12" width="12.75" style="314" customWidth="1"/>
    <col min="13" max="13" width="14.125" style="314" bestFit="1" customWidth="1"/>
    <col min="14" max="14" width="14.875" style="314" bestFit="1" customWidth="1"/>
    <col min="15" max="15" width="15.625" style="314" customWidth="1"/>
    <col min="16" max="16" width="15.25" style="314" customWidth="1"/>
    <col min="17" max="17" width="15.375" style="314" bestFit="1" customWidth="1"/>
    <col min="18" max="18" width="13.375" style="416" bestFit="1" customWidth="1"/>
    <col min="19" max="19" width="15.125" style="314" bestFit="1" customWidth="1"/>
    <col min="20" max="20" width="13.375" style="314" bestFit="1" customWidth="1"/>
    <col min="21" max="21" width="15.125" style="314" bestFit="1" customWidth="1"/>
    <col min="22" max="23" width="10.875" style="314" customWidth="1"/>
    <col min="24" max="24" width="14.875" style="314" customWidth="1"/>
    <col min="25" max="25" width="14.25" style="314" bestFit="1" customWidth="1"/>
    <col min="26" max="26" width="15.625" style="314" bestFit="1" customWidth="1"/>
    <col min="27" max="27" width="14.25" style="314" customWidth="1"/>
    <col min="28" max="28" width="13.375" style="314" customWidth="1"/>
    <col min="29" max="29" width="14.375" style="314" bestFit="1" customWidth="1"/>
    <col min="30" max="30" width="13.625" style="314" customWidth="1"/>
    <col min="31" max="31" width="10.625" style="314" bestFit="1" customWidth="1"/>
    <col min="32" max="33" width="8.625" style="314"/>
    <col min="34" max="34" width="11.5" style="314" bestFit="1" customWidth="1"/>
    <col min="35" max="16384" width="8.625" style="314"/>
  </cols>
  <sheetData>
    <row r="2" spans="1:36" ht="21" customHeight="1" thickBot="1">
      <c r="A2" s="413" t="s">
        <v>117</v>
      </c>
      <c r="J2" s="667"/>
      <c r="K2" s="668"/>
      <c r="L2" s="620"/>
      <c r="M2" s="621"/>
      <c r="N2" s="437"/>
      <c r="O2" s="414"/>
      <c r="P2" s="414"/>
      <c r="T2" s="640"/>
      <c r="U2" s="640"/>
      <c r="V2" s="764" t="s">
        <v>478</v>
      </c>
      <c r="W2" s="640"/>
      <c r="X2" s="640"/>
      <c r="Y2" s="640"/>
      <c r="Z2" s="641"/>
      <c r="AA2" s="640"/>
    </row>
    <row r="3" spans="1:36" s="421" customFormat="1" ht="36" customHeight="1">
      <c r="A3" s="889" t="s">
        <v>379</v>
      </c>
      <c r="B3" s="297" t="s">
        <v>115</v>
      </c>
      <c r="C3" s="298"/>
      <c r="D3" s="298"/>
      <c r="E3" s="298"/>
      <c r="F3" s="298"/>
      <c r="G3" s="298"/>
      <c r="H3" s="298"/>
      <c r="I3" s="619"/>
      <c r="J3" s="648" t="s">
        <v>328</v>
      </c>
      <c r="K3" s="298"/>
      <c r="L3" s="298"/>
      <c r="M3" s="298"/>
      <c r="N3" s="298"/>
      <c r="O3" s="298"/>
      <c r="P3" s="298"/>
      <c r="Q3" s="649"/>
      <c r="R3" s="879" t="s">
        <v>327</v>
      </c>
      <c r="S3" s="880"/>
      <c r="T3" s="881"/>
      <c r="U3" s="312"/>
      <c r="V3" s="464" t="s">
        <v>473</v>
      </c>
      <c r="W3" s="642" t="s">
        <v>475</v>
      </c>
      <c r="X3" s="642" t="s">
        <v>476</v>
      </c>
      <c r="Y3" s="642" t="s">
        <v>477</v>
      </c>
      <c r="Z3" s="642"/>
      <c r="AA3" s="464"/>
      <c r="AB3" s="417"/>
      <c r="AC3" s="152"/>
      <c r="AD3" s="418"/>
      <c r="AE3" s="419"/>
      <c r="AF3" s="419"/>
      <c r="AG3" s="419"/>
      <c r="AH3" s="420"/>
      <c r="AI3" s="420"/>
    </row>
    <row r="4" spans="1:36" s="421" customFormat="1" ht="28.5" customHeight="1">
      <c r="A4" s="890"/>
      <c r="B4" s="59" t="s">
        <v>221</v>
      </c>
      <c r="C4" s="59" t="s">
        <v>220</v>
      </c>
      <c r="D4" s="295" t="s">
        <v>219</v>
      </c>
      <c r="E4" s="59" t="s">
        <v>218</v>
      </c>
      <c r="F4" s="60" t="s">
        <v>217</v>
      </c>
      <c r="G4" s="59" t="s">
        <v>216</v>
      </c>
      <c r="H4" s="412" t="s">
        <v>118</v>
      </c>
      <c r="I4" s="622" t="s">
        <v>351</v>
      </c>
      <c r="J4" s="627" t="s">
        <v>354</v>
      </c>
      <c r="K4" s="628" t="s">
        <v>352</v>
      </c>
      <c r="L4" s="562" t="s">
        <v>353</v>
      </c>
      <c r="M4" s="562" t="s">
        <v>374</v>
      </c>
      <c r="N4" s="562" t="s">
        <v>375</v>
      </c>
      <c r="O4" s="295" t="s">
        <v>324</v>
      </c>
      <c r="P4" s="562" t="s">
        <v>325</v>
      </c>
      <c r="Q4" s="569" t="s">
        <v>326</v>
      </c>
      <c r="R4" s="563" t="s">
        <v>114</v>
      </c>
      <c r="S4" s="181" t="s">
        <v>182</v>
      </c>
      <c r="T4" s="142" t="s">
        <v>163</v>
      </c>
      <c r="U4" s="152"/>
      <c r="V4" s="464" t="s">
        <v>474</v>
      </c>
      <c r="W4" s="762">
        <f>G23/D5</f>
        <v>14.487806028758653</v>
      </c>
      <c r="X4" s="763">
        <f>O23/D5</f>
        <v>0.35882699455480033</v>
      </c>
      <c r="Y4" s="763">
        <f>K40/D5</f>
        <v>7.9739332123288958E-2</v>
      </c>
      <c r="Z4" s="418"/>
      <c r="AA4" s="418"/>
      <c r="AB4" s="417"/>
      <c r="AC4" s="471"/>
      <c r="AD4" s="418"/>
      <c r="AE4" s="422"/>
      <c r="AF4" s="422"/>
      <c r="AG4" s="422"/>
      <c r="AH4" s="423"/>
      <c r="AI4" s="424"/>
    </row>
    <row r="5" spans="1:36" s="421" customFormat="1" ht="24.95" customHeight="1">
      <c r="A5" s="61" t="s">
        <v>98</v>
      </c>
      <c r="B5" s="58">
        <v>4365.2000000000007</v>
      </c>
      <c r="C5" s="58">
        <v>1654.414</v>
      </c>
      <c r="D5" s="296">
        <f>B5+C5</f>
        <v>6019.6140000000005</v>
      </c>
      <c r="E5" s="58">
        <v>1641.19</v>
      </c>
      <c r="F5" s="58">
        <v>11589.599999999999</v>
      </c>
      <c r="G5" s="58">
        <v>7010</v>
      </c>
      <c r="H5" s="559">
        <v>569.5</v>
      </c>
      <c r="I5" s="623">
        <v>174.5</v>
      </c>
      <c r="J5" s="629">
        <f>F5*18500/1000</f>
        <v>214407.59999999998</v>
      </c>
      <c r="K5" s="630">
        <f>I5*152000/1000</f>
        <v>26524</v>
      </c>
      <c r="L5" s="631">
        <f t="shared" ref="L5:L10" si="0">50000000/1000</f>
        <v>50000</v>
      </c>
      <c r="M5" s="631">
        <v>0</v>
      </c>
      <c r="N5" s="631">
        <v>0</v>
      </c>
      <c r="O5" s="630">
        <f>J5+K5+L5-M5+N5</f>
        <v>290931.59999999998</v>
      </c>
      <c r="P5" s="559">
        <f t="shared" ref="P5:P14" si="1">O5/D5</f>
        <v>48.330607244916358</v>
      </c>
      <c r="Q5" s="618">
        <f t="shared" ref="Q5:Q12" si="2">O5/F5</f>
        <v>25.102816318078279</v>
      </c>
      <c r="R5" s="564">
        <v>380493.18263400003</v>
      </c>
      <c r="S5" s="183">
        <f t="shared" ref="S5:S10" si="3">R5/D5</f>
        <v>63.208900543124528</v>
      </c>
      <c r="T5" s="182">
        <f t="shared" ref="T5:T10" si="4">R5/F5</f>
        <v>32.830570738765793</v>
      </c>
      <c r="U5" s="313">
        <f>F5/H5</f>
        <v>20.350482879719049</v>
      </c>
      <c r="V5" s="464" t="s">
        <v>83</v>
      </c>
      <c r="W5" s="762">
        <f t="shared" ref="W5:W15" si="5">G24/D6</f>
        <v>14.101076107805845</v>
      </c>
      <c r="X5" s="763">
        <f t="shared" ref="X5:X15" si="6">O24/D6</f>
        <v>0.35111674631815076</v>
      </c>
      <c r="Y5" s="763">
        <f t="shared" ref="Y5:Y15" si="7">K41/D6</f>
        <v>7.8025943626255728E-2</v>
      </c>
      <c r="Z5" s="418"/>
      <c r="AA5" s="418"/>
      <c r="AB5" s="522"/>
      <c r="AC5" s="471"/>
      <c r="AD5" s="519"/>
      <c r="AE5" s="520"/>
      <c r="AF5" s="521"/>
      <c r="AG5" s="521"/>
      <c r="AH5" s="423"/>
      <c r="AI5" s="424"/>
      <c r="AJ5" s="523"/>
    </row>
    <row r="6" spans="1:36" s="421" customFormat="1" ht="24.95" customHeight="1">
      <c r="A6" s="61" t="s">
        <v>83</v>
      </c>
      <c r="B6" s="58">
        <v>4650.1000000000004</v>
      </c>
      <c r="C6" s="58">
        <v>1501.7</v>
      </c>
      <c r="D6" s="296">
        <f>B6+C6</f>
        <v>6151.8</v>
      </c>
      <c r="E6" s="58">
        <v>1574.4299999999998</v>
      </c>
      <c r="F6" s="58">
        <v>11559.5</v>
      </c>
      <c r="G6" s="58">
        <v>8436</v>
      </c>
      <c r="H6" s="559">
        <v>563.5</v>
      </c>
      <c r="I6" s="623">
        <v>99.5</v>
      </c>
      <c r="J6" s="629">
        <f>F6*18760/1000</f>
        <v>216856.22</v>
      </c>
      <c r="K6" s="630">
        <f>I6*160000/1000</f>
        <v>15920</v>
      </c>
      <c r="L6" s="631">
        <f t="shared" si="0"/>
        <v>50000</v>
      </c>
      <c r="M6" s="631">
        <v>0</v>
      </c>
      <c r="N6" s="676">
        <v>4409.2960000000003</v>
      </c>
      <c r="O6" s="630">
        <f>J6+K6+L6-M6+N6</f>
        <v>287185.51599999995</v>
      </c>
      <c r="P6" s="559">
        <f t="shared" si="1"/>
        <v>46.683168503527412</v>
      </c>
      <c r="Q6" s="618">
        <f t="shared" si="2"/>
        <v>24.844112288593792</v>
      </c>
      <c r="R6" s="564">
        <v>370377.35982540005</v>
      </c>
      <c r="S6" s="183">
        <f t="shared" si="3"/>
        <v>60.206339579537705</v>
      </c>
      <c r="T6" s="182">
        <f t="shared" si="4"/>
        <v>32.040949852969426</v>
      </c>
      <c r="U6" s="313">
        <f t="shared" ref="U6:U13" si="8">F6/H6</f>
        <v>20.513753327417923</v>
      </c>
      <c r="V6" s="464" t="s">
        <v>84</v>
      </c>
      <c r="W6" s="762">
        <f t="shared" si="5"/>
        <v>12.506047558329318</v>
      </c>
      <c r="X6" s="763">
        <f t="shared" si="6"/>
        <v>0.3636800453167377</v>
      </c>
      <c r="Y6" s="763">
        <f t="shared" si="7"/>
        <v>7.4389100178423623E-2</v>
      </c>
      <c r="Z6" s="418"/>
      <c r="AA6" s="418"/>
      <c r="AB6" s="522"/>
      <c r="AC6" s="471"/>
      <c r="AD6" s="519"/>
      <c r="AE6" s="520"/>
      <c r="AF6" s="521"/>
      <c r="AG6" s="521"/>
      <c r="AH6" s="423"/>
      <c r="AI6" s="424"/>
      <c r="AJ6" s="523"/>
    </row>
    <row r="7" spans="1:36" s="421" customFormat="1" ht="24.95" customHeight="1">
      <c r="A7" s="61" t="s">
        <v>84</v>
      </c>
      <c r="B7" s="58">
        <v>5532.6000000000013</v>
      </c>
      <c r="C7" s="58">
        <v>1726.5280000000002</v>
      </c>
      <c r="D7" s="296">
        <v>7259.1280000000015</v>
      </c>
      <c r="E7" s="58">
        <v>1845.54</v>
      </c>
      <c r="F7" s="58">
        <v>12593.4</v>
      </c>
      <c r="G7" s="58">
        <v>7646</v>
      </c>
      <c r="H7" s="559">
        <v>623</v>
      </c>
      <c r="I7" s="623">
        <v>118</v>
      </c>
      <c r="J7" s="629">
        <f>F7*18760/1000</f>
        <v>236252.18400000001</v>
      </c>
      <c r="K7" s="630">
        <f t="shared" ref="K7:K16" si="9">I7*160000/1000</f>
        <v>18880</v>
      </c>
      <c r="L7" s="631">
        <f t="shared" si="0"/>
        <v>50000</v>
      </c>
      <c r="M7" s="631">
        <v>0</v>
      </c>
      <c r="N7" s="631">
        <v>0</v>
      </c>
      <c r="O7" s="630">
        <f>J7+K7+L7-M7+N7</f>
        <v>305132.18400000001</v>
      </c>
      <c r="P7" s="559">
        <f t="shared" si="1"/>
        <v>42.034275191179979</v>
      </c>
      <c r="Q7" s="618">
        <f t="shared" si="2"/>
        <v>24.22953165944066</v>
      </c>
      <c r="R7" s="564">
        <v>379191.78772099997</v>
      </c>
      <c r="S7" s="183">
        <f t="shared" si="3"/>
        <v>52.236547932616688</v>
      </c>
      <c r="T7" s="182">
        <f t="shared" si="4"/>
        <v>30.110358419568978</v>
      </c>
      <c r="U7" s="313">
        <f t="shared" si="8"/>
        <v>20.214125200642055</v>
      </c>
      <c r="V7" s="464" t="s">
        <v>85</v>
      </c>
      <c r="W7" s="762">
        <f t="shared" si="5"/>
        <v>15.897954913234789</v>
      </c>
      <c r="X7" s="763">
        <f t="shared" si="6"/>
        <v>0.37400883628117859</v>
      </c>
      <c r="Y7" s="763">
        <f t="shared" si="7"/>
        <v>6.1260068011572362E-2</v>
      </c>
      <c r="Z7" s="418"/>
      <c r="AA7" s="418"/>
      <c r="AB7" s="522"/>
      <c r="AC7" s="471"/>
      <c r="AD7" s="519"/>
      <c r="AE7" s="520"/>
      <c r="AF7" s="521"/>
      <c r="AG7" s="521"/>
      <c r="AH7" s="423"/>
      <c r="AI7" s="424"/>
      <c r="AJ7" s="523"/>
    </row>
    <row r="8" spans="1:36" s="421" customFormat="1" ht="24.95" customHeight="1">
      <c r="A8" s="61" t="s">
        <v>85</v>
      </c>
      <c r="B8" s="58">
        <v>4539.1999999999989</v>
      </c>
      <c r="C8" s="58">
        <v>1663.8620000000003</v>
      </c>
      <c r="D8" s="296">
        <f t="shared" ref="D8:D14" si="10">B8+C8</f>
        <v>6203.061999999999</v>
      </c>
      <c r="E8" s="58">
        <v>1657.8700000000001</v>
      </c>
      <c r="F8" s="58">
        <v>11568.400000000001</v>
      </c>
      <c r="G8" s="58">
        <v>9397</v>
      </c>
      <c r="H8" s="559">
        <v>541.70000000000005</v>
      </c>
      <c r="I8" s="623">
        <v>151.30000000000001</v>
      </c>
      <c r="J8" s="629">
        <f>F8*18760/1000</f>
        <v>217023.18400000004</v>
      </c>
      <c r="K8" s="630">
        <f t="shared" si="9"/>
        <v>24208</v>
      </c>
      <c r="L8" s="631">
        <f t="shared" si="0"/>
        <v>50000</v>
      </c>
      <c r="M8" s="631">
        <f>2945050/1000</f>
        <v>2945.05</v>
      </c>
      <c r="N8" s="631">
        <v>0</v>
      </c>
      <c r="O8" s="630">
        <f>J8+K8+L8-M8+N8</f>
        <v>288286.13400000002</v>
      </c>
      <c r="P8" s="559">
        <f t="shared" si="1"/>
        <v>46.474810988508587</v>
      </c>
      <c r="Q8" s="618">
        <f t="shared" si="2"/>
        <v>24.920138826458281</v>
      </c>
      <c r="R8" s="564">
        <v>351810.01448000001</v>
      </c>
      <c r="S8" s="183">
        <f t="shared" si="3"/>
        <v>56.71554056367647</v>
      </c>
      <c r="T8" s="182">
        <f t="shared" si="4"/>
        <v>30.411294083883682</v>
      </c>
      <c r="U8" s="313">
        <f t="shared" si="8"/>
        <v>21.355731954956617</v>
      </c>
      <c r="V8" s="464" t="s">
        <v>86</v>
      </c>
      <c r="W8" s="762">
        <f t="shared" si="5"/>
        <v>12.77980483787425</v>
      </c>
      <c r="X8" s="763">
        <f t="shared" si="6"/>
        <v>0.29843936300413654</v>
      </c>
      <c r="Y8" s="763">
        <f t="shared" si="7"/>
        <v>7.7479450010689288E-2</v>
      </c>
      <c r="Z8" s="418"/>
      <c r="AA8" s="418"/>
      <c r="AB8" s="522"/>
      <c r="AC8" s="471"/>
      <c r="AD8" s="519"/>
      <c r="AE8" s="520"/>
      <c r="AF8" s="521"/>
      <c r="AG8" s="521"/>
      <c r="AH8" s="423"/>
      <c r="AI8" s="424"/>
      <c r="AJ8" s="523"/>
    </row>
    <row r="9" spans="1:36" s="421" customFormat="1" ht="24.95" customHeight="1">
      <c r="A9" s="61" t="s">
        <v>86</v>
      </c>
      <c r="B9" s="58">
        <v>4940.1000000000004</v>
      </c>
      <c r="C9" s="58">
        <v>2029.4899999999993</v>
      </c>
      <c r="D9" s="296">
        <f t="shared" si="10"/>
        <v>6969.59</v>
      </c>
      <c r="E9" s="58">
        <v>2006.26</v>
      </c>
      <c r="F9" s="58">
        <v>13682.400000000001</v>
      </c>
      <c r="G9" s="58">
        <v>9006</v>
      </c>
      <c r="H9" s="559">
        <v>663.5</v>
      </c>
      <c r="I9" s="623">
        <v>80.5</v>
      </c>
      <c r="J9" s="629">
        <f t="shared" ref="J9:J16" si="11">F9*18760/1000</f>
        <v>256681.82400000002</v>
      </c>
      <c r="K9" s="630">
        <f t="shared" si="9"/>
        <v>12880</v>
      </c>
      <c r="L9" s="631">
        <f t="shared" si="0"/>
        <v>50000</v>
      </c>
      <c r="M9" s="631">
        <v>0</v>
      </c>
      <c r="N9" s="676">
        <v>5151.05</v>
      </c>
      <c r="O9" s="630">
        <f t="shared" ref="O9:O12" si="12">J9+K9+L9-M9+N9</f>
        <v>324712.87400000001</v>
      </c>
      <c r="P9" s="559">
        <f t="shared" si="1"/>
        <v>46.589953497981945</v>
      </c>
      <c r="Q9" s="618">
        <f t="shared" si="2"/>
        <v>23.732157662398407</v>
      </c>
      <c r="R9" s="564">
        <v>401007.35649430269</v>
      </c>
      <c r="S9" s="183">
        <f t="shared" si="3"/>
        <v>57.536721169294417</v>
      </c>
      <c r="T9" s="182">
        <f t="shared" si="4"/>
        <v>29.308261452252722</v>
      </c>
      <c r="U9" s="313">
        <f t="shared" si="8"/>
        <v>20.621552373775437</v>
      </c>
      <c r="V9" s="464" t="s">
        <v>87</v>
      </c>
      <c r="W9" s="762">
        <f t="shared" si="5"/>
        <v>14.575159667818911</v>
      </c>
      <c r="X9" s="763">
        <f t="shared" si="6"/>
        <v>0.36394800064208083</v>
      </c>
      <c r="Y9" s="763">
        <f t="shared" si="7"/>
        <v>0.10343785281406508</v>
      </c>
      <c r="Z9" s="418"/>
      <c r="AA9" s="418"/>
      <c r="AB9" s="522"/>
      <c r="AC9" s="471"/>
      <c r="AD9" s="519"/>
      <c r="AE9" s="520"/>
      <c r="AF9" s="521"/>
      <c r="AG9" s="521"/>
      <c r="AH9" s="423"/>
      <c r="AI9" s="424"/>
      <c r="AJ9" s="523"/>
    </row>
    <row r="10" spans="1:36" s="425" customFormat="1" ht="24.95" customHeight="1">
      <c r="A10" s="61" t="s">
        <v>87</v>
      </c>
      <c r="B10" s="58">
        <v>3515.6000000000004</v>
      </c>
      <c r="C10" s="58">
        <v>1704.9260000000004</v>
      </c>
      <c r="D10" s="296">
        <f t="shared" si="10"/>
        <v>5220.5260000000007</v>
      </c>
      <c r="E10" s="58">
        <v>1804.43</v>
      </c>
      <c r="F10" s="58">
        <v>11544.099999999999</v>
      </c>
      <c r="G10" s="58">
        <v>7500</v>
      </c>
      <c r="H10" s="559">
        <v>577</v>
      </c>
      <c r="I10" s="623">
        <v>143</v>
      </c>
      <c r="J10" s="629">
        <f t="shared" si="11"/>
        <v>216567.31599999996</v>
      </c>
      <c r="K10" s="630">
        <f t="shared" si="9"/>
        <v>22880</v>
      </c>
      <c r="L10" s="631">
        <f t="shared" si="0"/>
        <v>50000</v>
      </c>
      <c r="M10" s="631">
        <v>0</v>
      </c>
      <c r="N10" s="631">
        <v>0</v>
      </c>
      <c r="O10" s="630">
        <f t="shared" si="12"/>
        <v>289447.31599999999</v>
      </c>
      <c r="P10" s="559">
        <f t="shared" si="1"/>
        <v>55.444090499692933</v>
      </c>
      <c r="Q10" s="618">
        <f t="shared" si="2"/>
        <v>25.073181625245798</v>
      </c>
      <c r="R10" s="564">
        <v>365434.79797200003</v>
      </c>
      <c r="S10" s="183">
        <f t="shared" si="3"/>
        <v>69.999612677343237</v>
      </c>
      <c r="T10" s="182">
        <f t="shared" si="4"/>
        <v>31.655546813697047</v>
      </c>
      <c r="U10" s="313">
        <f t="shared" si="8"/>
        <v>20.007105719237433</v>
      </c>
      <c r="V10" s="464" t="s">
        <v>88</v>
      </c>
      <c r="W10" s="762">
        <f t="shared" si="5"/>
        <v>15.498482759396138</v>
      </c>
      <c r="X10" s="763">
        <f t="shared" si="6"/>
        <v>0.34434826118183132</v>
      </c>
      <c r="Y10" s="763">
        <f t="shared" si="7"/>
        <v>9.4871459713361694E-2</v>
      </c>
      <c r="Z10" s="418"/>
      <c r="AA10" s="418"/>
      <c r="AB10" s="522"/>
      <c r="AC10" s="471"/>
      <c r="AD10" s="519"/>
      <c r="AE10" s="520"/>
      <c r="AF10" s="521"/>
      <c r="AG10" s="521"/>
      <c r="AH10" s="423"/>
      <c r="AI10" s="424"/>
      <c r="AJ10" s="523"/>
    </row>
    <row r="11" spans="1:36" s="421" customFormat="1" ht="24.95" customHeight="1">
      <c r="A11" s="61" t="s">
        <v>88</v>
      </c>
      <c r="B11" s="58">
        <v>3836.1</v>
      </c>
      <c r="C11" s="58">
        <v>1855.8119999999999</v>
      </c>
      <c r="D11" s="296">
        <f t="shared" si="10"/>
        <v>5691.9120000000003</v>
      </c>
      <c r="E11" s="58">
        <v>1872.44</v>
      </c>
      <c r="F11" s="70">
        <v>13116.1</v>
      </c>
      <c r="G11" s="58">
        <v>7993</v>
      </c>
      <c r="H11" s="559">
        <v>622.70000000000005</v>
      </c>
      <c r="I11" s="623">
        <v>118</v>
      </c>
      <c r="J11" s="629">
        <f t="shared" si="11"/>
        <v>246058.03599999999</v>
      </c>
      <c r="K11" s="630">
        <f t="shared" si="9"/>
        <v>18880</v>
      </c>
      <c r="L11" s="631">
        <v>50000</v>
      </c>
      <c r="M11" s="631">
        <v>0</v>
      </c>
      <c r="N11" s="631">
        <v>0</v>
      </c>
      <c r="O11" s="630">
        <f t="shared" si="12"/>
        <v>314938.03599999996</v>
      </c>
      <c r="P11" s="559">
        <f t="shared" si="1"/>
        <v>55.330798508480093</v>
      </c>
      <c r="Q11" s="618">
        <f t="shared" si="2"/>
        <v>24.011561058546363</v>
      </c>
      <c r="R11" s="565">
        <v>408897.616752</v>
      </c>
      <c r="S11" s="183">
        <f t="shared" ref="S11" si="13">R11/D11</f>
        <v>71.83835884180921</v>
      </c>
      <c r="T11" s="182">
        <f t="shared" ref="T11" si="14">R11/F11</f>
        <v>31.175243917932921</v>
      </c>
      <c r="U11" s="313">
        <f t="shared" si="8"/>
        <v>21.063272844066162</v>
      </c>
      <c r="V11" s="464" t="s">
        <v>89</v>
      </c>
      <c r="W11" s="762">
        <f t="shared" si="5"/>
        <v>13.380811066093985</v>
      </c>
      <c r="X11" s="763">
        <f t="shared" si="6"/>
        <v>0.36536946972710965</v>
      </c>
      <c r="Y11" s="763">
        <f t="shared" si="7"/>
        <v>8.7959316786156025E-2</v>
      </c>
      <c r="Z11" s="643"/>
      <c r="AA11" s="418"/>
      <c r="AB11" s="522"/>
      <c r="AC11" s="471"/>
      <c r="AD11" s="519"/>
      <c r="AE11" s="520"/>
      <c r="AF11" s="521"/>
      <c r="AG11" s="521"/>
      <c r="AH11" s="423"/>
      <c r="AI11" s="424"/>
      <c r="AJ11" s="523"/>
    </row>
    <row r="12" spans="1:36" s="425" customFormat="1" ht="24.95" customHeight="1">
      <c r="A12" s="61" t="s">
        <v>89</v>
      </c>
      <c r="B12" s="58">
        <v>4272</v>
      </c>
      <c r="C12" s="58">
        <v>1639.8239999999998</v>
      </c>
      <c r="D12" s="296">
        <f t="shared" si="10"/>
        <v>5911.8239999999996</v>
      </c>
      <c r="E12" s="58">
        <v>2383.8709677419356</v>
      </c>
      <c r="F12" s="70">
        <v>11997.6</v>
      </c>
      <c r="G12" s="63">
        <v>7816</v>
      </c>
      <c r="H12" s="559">
        <v>598.5</v>
      </c>
      <c r="I12" s="623">
        <v>145.5</v>
      </c>
      <c r="J12" s="629">
        <f t="shared" si="11"/>
        <v>225074.976</v>
      </c>
      <c r="K12" s="630">
        <f t="shared" si="9"/>
        <v>23280</v>
      </c>
      <c r="L12" s="631">
        <v>50000</v>
      </c>
      <c r="M12" s="631">
        <v>121.63</v>
      </c>
      <c r="N12" s="631">
        <v>0</v>
      </c>
      <c r="O12" s="630">
        <f t="shared" si="12"/>
        <v>298233.34600000002</v>
      </c>
      <c r="P12" s="559">
        <f t="shared" si="1"/>
        <v>50.446925686556305</v>
      </c>
      <c r="Q12" s="618">
        <f t="shared" si="2"/>
        <v>24.857750383410018</v>
      </c>
      <c r="R12" s="637">
        <v>376708.56051600003</v>
      </c>
      <c r="S12" s="183">
        <f t="shared" ref="S12" si="15">R12/D12</f>
        <v>63.721206943237831</v>
      </c>
      <c r="T12" s="182">
        <f t="shared" ref="T12" si="16">R12/F12</f>
        <v>31.398659774954993</v>
      </c>
      <c r="U12" s="313">
        <f t="shared" si="8"/>
        <v>20.046115288220552</v>
      </c>
      <c r="V12" s="464" t="s">
        <v>90</v>
      </c>
      <c r="W12" s="762">
        <f t="shared" si="5"/>
        <v>13.545116072930039</v>
      </c>
      <c r="X12" s="763">
        <f t="shared" si="6"/>
        <v>0.44398622621137507</v>
      </c>
      <c r="Y12" s="763">
        <f t="shared" si="7"/>
        <v>9.1678571784059748E-2</v>
      </c>
      <c r="Z12" s="418"/>
      <c r="AA12" s="763"/>
      <c r="AB12" s="522"/>
      <c r="AC12" s="471"/>
      <c r="AD12" s="519"/>
      <c r="AE12" s="520"/>
      <c r="AF12" s="521"/>
      <c r="AG12" s="521"/>
      <c r="AH12" s="423"/>
      <c r="AI12" s="424"/>
      <c r="AJ12" s="523"/>
    </row>
    <row r="13" spans="1:36" s="421" customFormat="1" ht="24.95" customHeight="1">
      <c r="A13" s="61" t="s">
        <v>90</v>
      </c>
      <c r="B13" s="58">
        <v>5475.4000000000015</v>
      </c>
      <c r="C13" s="58">
        <v>2159.9720000000002</v>
      </c>
      <c r="D13" s="296">
        <f t="shared" si="10"/>
        <v>7635.3720000000012</v>
      </c>
      <c r="E13" s="58">
        <v>2207.4</v>
      </c>
      <c r="F13" s="70">
        <v>15311.032400000002</v>
      </c>
      <c r="G13" s="58">
        <v>10152</v>
      </c>
      <c r="H13" s="559">
        <v>707</v>
      </c>
      <c r="I13" s="623">
        <v>13</v>
      </c>
      <c r="J13" s="629">
        <f t="shared" si="11"/>
        <v>287234.96782400005</v>
      </c>
      <c r="K13" s="630">
        <f t="shared" si="9"/>
        <v>2080</v>
      </c>
      <c r="L13" s="631">
        <v>50000</v>
      </c>
      <c r="M13" s="631">
        <v>0</v>
      </c>
      <c r="N13" s="631"/>
      <c r="O13" s="630">
        <f t="shared" ref="O13" si="17">J13+K13+L13</f>
        <v>339314.96782400005</v>
      </c>
      <c r="P13" s="559">
        <f t="shared" si="1"/>
        <v>44.439873764369302</v>
      </c>
      <c r="Q13" s="618">
        <f t="shared" ref="Q13:Q17" si="18">IFERROR(O13/F13," ")</f>
        <v>22.161468865025718</v>
      </c>
      <c r="R13" s="565">
        <v>404808.91268199997</v>
      </c>
      <c r="S13" s="183">
        <f t="shared" ref="S13:S17" si="19">IFERROR(R13/(D13)," ")</f>
        <v>53.017575657348445</v>
      </c>
      <c r="T13" s="182">
        <f t="shared" ref="T13:T17" si="20">IFERROR(R13/F13," ")</f>
        <v>26.439034423439658</v>
      </c>
      <c r="U13" s="313">
        <f t="shared" si="8"/>
        <v>21.656340028288547</v>
      </c>
      <c r="V13" s="464" t="s">
        <v>91</v>
      </c>
      <c r="W13" s="762">
        <f t="shared" si="5"/>
        <v>13.404929065823653</v>
      </c>
      <c r="X13" s="519">
        <f t="shared" si="6"/>
        <v>0.44005297174564578</v>
      </c>
      <c r="Y13" s="519">
        <f t="shared" si="7"/>
        <v>8.2694518180389809E-2</v>
      </c>
      <c r="Z13" s="643"/>
      <c r="AA13" s="418"/>
      <c r="AB13" s="522"/>
      <c r="AC13" s="471"/>
      <c r="AD13" s="519"/>
      <c r="AE13" s="520"/>
      <c r="AF13" s="521"/>
      <c r="AG13" s="521"/>
      <c r="AH13" s="423"/>
      <c r="AI13" s="424"/>
      <c r="AJ13" s="523"/>
    </row>
    <row r="14" spans="1:36" s="421" customFormat="1" ht="24.95" customHeight="1">
      <c r="A14" s="61" t="s">
        <v>91</v>
      </c>
      <c r="B14" s="58">
        <f>'3. 세부 운영내역'!AH8</f>
        <v>4734.9000000000005</v>
      </c>
      <c r="C14" s="58">
        <f>'3. 세부 운영내역'!AH9</f>
        <v>2037.0120000000006</v>
      </c>
      <c r="D14" s="296">
        <f t="shared" si="10"/>
        <v>6771.9120000000012</v>
      </c>
      <c r="E14" s="58">
        <f>'3. 세부 운영내역'!AH46</f>
        <v>2101.19</v>
      </c>
      <c r="F14" s="517">
        <f>'3. 세부 운영내역'!AH6</f>
        <v>14223.599999999999</v>
      </c>
      <c r="G14" s="58">
        <f>'3. 세부 운영내역'!AH7</f>
        <v>9138</v>
      </c>
      <c r="H14" s="559">
        <f>'3. 세부 운영내역'!AH4</f>
        <v>684.5</v>
      </c>
      <c r="I14" s="623">
        <f>'3. 세부 운영내역'!AH5</f>
        <v>59.5</v>
      </c>
      <c r="J14" s="629">
        <f t="shared" si="11"/>
        <v>266834.73599999998</v>
      </c>
      <c r="K14" s="630">
        <f t="shared" si="9"/>
        <v>9520</v>
      </c>
      <c r="L14" s="631">
        <v>50000</v>
      </c>
      <c r="M14" s="631">
        <v>0</v>
      </c>
      <c r="N14" s="631">
        <v>0</v>
      </c>
      <c r="O14" s="630">
        <f>J14+K14+L14-M14</f>
        <v>326354.73599999998</v>
      </c>
      <c r="P14" s="559">
        <f t="shared" si="1"/>
        <v>48.19240651680056</v>
      </c>
      <c r="Q14" s="618">
        <f t="shared" si="18"/>
        <v>22.94459461739644</v>
      </c>
      <c r="R14" s="566">
        <f>'3. 세부 운영내역'!AK96/1000</f>
        <v>407296.77544599999</v>
      </c>
      <c r="S14" s="183">
        <f t="shared" si="19"/>
        <v>60.145018932023909</v>
      </c>
      <c r="T14" s="182">
        <f t="shared" si="20"/>
        <v>28.635280480750303</v>
      </c>
      <c r="U14" s="313"/>
      <c r="V14" s="464" t="s">
        <v>92</v>
      </c>
      <c r="W14" s="762" t="e">
        <f t="shared" si="5"/>
        <v>#DIV/0!</v>
      </c>
      <c r="X14" s="519" t="e">
        <f t="shared" si="6"/>
        <v>#DIV/0!</v>
      </c>
      <c r="Y14" s="519" t="e">
        <f t="shared" si="7"/>
        <v>#DIV/0!</v>
      </c>
      <c r="Z14" s="418"/>
      <c r="AA14" s="418"/>
      <c r="AB14" s="522"/>
      <c r="AC14" s="471"/>
      <c r="AD14" s="519"/>
      <c r="AE14" s="520"/>
      <c r="AF14" s="521"/>
      <c r="AG14" s="521"/>
      <c r="AH14" s="423"/>
      <c r="AI14" s="424"/>
      <c r="AJ14" s="523"/>
    </row>
    <row r="15" spans="1:36" s="421" customFormat="1" ht="24.95" customHeight="1">
      <c r="A15" s="61" t="s">
        <v>92</v>
      </c>
      <c r="B15" s="58"/>
      <c r="C15" s="58"/>
      <c r="D15" s="296"/>
      <c r="E15" s="58"/>
      <c r="F15" s="70"/>
      <c r="G15" s="58"/>
      <c r="H15" s="559"/>
      <c r="I15" s="623"/>
      <c r="J15" s="629">
        <f t="shared" si="11"/>
        <v>0</v>
      </c>
      <c r="K15" s="630">
        <f t="shared" si="9"/>
        <v>0</v>
      </c>
      <c r="L15" s="631"/>
      <c r="M15" s="559"/>
      <c r="N15" s="631">
        <v>0</v>
      </c>
      <c r="O15" s="630">
        <f>J15+K15+L15-M15</f>
        <v>0</v>
      </c>
      <c r="P15" s="183" t="str">
        <f t="shared" ref="P15:P16" si="21">IFERROR(O15/D15," ")</f>
        <v xml:space="preserve"> </v>
      </c>
      <c r="Q15" s="182" t="str">
        <f t="shared" si="18"/>
        <v xml:space="preserve"> </v>
      </c>
      <c r="R15" s="566"/>
      <c r="S15" s="183" t="str">
        <f t="shared" si="19"/>
        <v xml:space="preserve"> </v>
      </c>
      <c r="T15" s="182" t="str">
        <f t="shared" si="20"/>
        <v xml:space="preserve"> </v>
      </c>
      <c r="U15" s="313"/>
      <c r="V15" s="464" t="s">
        <v>93</v>
      </c>
      <c r="W15" s="762" t="e">
        <f t="shared" si="5"/>
        <v>#DIV/0!</v>
      </c>
      <c r="X15" s="519" t="e">
        <f t="shared" si="6"/>
        <v>#DIV/0!</v>
      </c>
      <c r="Y15" s="519" t="e">
        <f t="shared" si="7"/>
        <v>#DIV/0!</v>
      </c>
      <c r="Z15" s="418"/>
      <c r="AA15" s="418"/>
      <c r="AB15" s="522"/>
      <c r="AC15" s="471"/>
      <c r="AD15" s="519"/>
      <c r="AE15" s="520"/>
      <c r="AF15" s="521"/>
      <c r="AG15" s="521"/>
      <c r="AH15" s="423"/>
      <c r="AI15" s="424"/>
      <c r="AJ15" s="523"/>
    </row>
    <row r="16" spans="1:36" ht="24.95" customHeight="1">
      <c r="A16" s="61" t="s">
        <v>93</v>
      </c>
      <c r="B16" s="526"/>
      <c r="C16" s="527"/>
      <c r="D16" s="528"/>
      <c r="E16" s="527"/>
      <c r="F16" s="526"/>
      <c r="G16" s="527"/>
      <c r="H16" s="560"/>
      <c r="I16" s="624"/>
      <c r="J16" s="629">
        <f t="shared" si="11"/>
        <v>0</v>
      </c>
      <c r="K16" s="630">
        <f t="shared" si="9"/>
        <v>0</v>
      </c>
      <c r="L16" s="631"/>
      <c r="M16" s="671"/>
      <c r="N16" s="671"/>
      <c r="O16" s="630">
        <f>J16+K16+L16-M16+N16</f>
        <v>0</v>
      </c>
      <c r="P16" s="183" t="str">
        <f t="shared" si="21"/>
        <v xml:space="preserve"> </v>
      </c>
      <c r="Q16" s="182" t="str">
        <f t="shared" si="18"/>
        <v xml:space="preserve"> </v>
      </c>
      <c r="R16" s="567"/>
      <c r="S16" s="529" t="str">
        <f t="shared" si="19"/>
        <v xml:space="preserve"> </v>
      </c>
      <c r="T16" s="530" t="str">
        <f t="shared" si="20"/>
        <v xml:space="preserve"> </v>
      </c>
      <c r="U16" s="313"/>
      <c r="V16" s="464"/>
      <c r="W16" s="418"/>
      <c r="X16" s="418"/>
      <c r="Y16" s="418"/>
      <c r="Z16" s="418"/>
      <c r="AA16" s="418"/>
      <c r="AB16" s="640"/>
      <c r="AC16" s="471"/>
    </row>
    <row r="17" spans="1:37" ht="24.95" customHeight="1">
      <c r="A17" s="61" t="s">
        <v>94</v>
      </c>
      <c r="B17" s="64">
        <f>SUM(B5:B16)</f>
        <v>45861.2</v>
      </c>
      <c r="C17" s="64">
        <f>SUM(C5:C16)</f>
        <v>17973.54</v>
      </c>
      <c r="D17" s="296">
        <f>SUM(B17:C17)</f>
        <v>63834.74</v>
      </c>
      <c r="E17" s="64">
        <f t="shared" ref="E17:R17" si="22">SUM(E5:E16)</f>
        <v>19094.620967741936</v>
      </c>
      <c r="F17" s="64">
        <f t="shared" si="22"/>
        <v>127185.73240000001</v>
      </c>
      <c r="G17" s="64">
        <f t="shared" si="22"/>
        <v>84094</v>
      </c>
      <c r="H17" s="561">
        <f t="shared" si="22"/>
        <v>6150.9</v>
      </c>
      <c r="I17" s="625">
        <f t="shared" ref="I17:L17" si="23">SUM(I5:I16)</f>
        <v>1102.8</v>
      </c>
      <c r="J17" s="633">
        <f t="shared" si="23"/>
        <v>2382991.0438240003</v>
      </c>
      <c r="K17" s="632">
        <f t="shared" si="23"/>
        <v>175052</v>
      </c>
      <c r="L17" s="634">
        <f t="shared" si="23"/>
        <v>500000</v>
      </c>
      <c r="M17" s="634">
        <f t="shared" ref="M17:N17" si="24">SUM(M5:M16)</f>
        <v>3066.6800000000003</v>
      </c>
      <c r="N17" s="634">
        <f t="shared" si="24"/>
        <v>9560.3460000000014</v>
      </c>
      <c r="O17" s="632">
        <f t="shared" ref="O17" si="25">SUM(O5:O16)</f>
        <v>3064536.7098239996</v>
      </c>
      <c r="P17" s="529">
        <f>IFERROR(O17/(D17)," ")</f>
        <v>48.007350070259541</v>
      </c>
      <c r="Q17" s="530">
        <f t="shared" si="18"/>
        <v>24.094972384056494</v>
      </c>
      <c r="R17" s="568">
        <f t="shared" si="22"/>
        <v>3846026.364522703</v>
      </c>
      <c r="S17" s="529">
        <f t="shared" si="19"/>
        <v>60.249738066180001</v>
      </c>
      <c r="T17" s="530">
        <f t="shared" si="20"/>
        <v>30.239448182968538</v>
      </c>
      <c r="U17" s="314">
        <f>F17/H17</f>
        <v>20.677580906859163</v>
      </c>
      <c r="V17" s="644"/>
      <c r="W17" s="640"/>
      <c r="X17" s="640"/>
      <c r="Y17" s="640"/>
      <c r="Z17" s="640"/>
      <c r="AA17" s="640"/>
      <c r="AB17" s="640"/>
      <c r="AI17" s="426"/>
    </row>
    <row r="18" spans="1:37" ht="24.95" customHeight="1" thickBot="1">
      <c r="A18" s="62" t="s">
        <v>116</v>
      </c>
      <c r="B18" s="65">
        <f>AVERAGE(B5:B16)</f>
        <v>4586.12</v>
      </c>
      <c r="C18" s="65">
        <f>AVERAGE(C5:C16)</f>
        <v>1797.354</v>
      </c>
      <c r="D18" s="65">
        <f>AVERAGE(D5:D16)</f>
        <v>6383.4740000000002</v>
      </c>
      <c r="E18" s="65">
        <f t="shared" ref="E18:T18" si="26">AVERAGE(E5:E16)</f>
        <v>1909.4620967741935</v>
      </c>
      <c r="F18" s="65">
        <f t="shared" si="26"/>
        <v>12718.573240000002</v>
      </c>
      <c r="G18" s="65">
        <f t="shared" si="26"/>
        <v>8409.4</v>
      </c>
      <c r="H18" s="141">
        <f t="shared" si="26"/>
        <v>615.08999999999992</v>
      </c>
      <c r="I18" s="626">
        <f t="shared" ref="I18:L18" si="27">AVERAGE(I5:I16)</f>
        <v>110.28</v>
      </c>
      <c r="J18" s="635">
        <f t="shared" si="27"/>
        <v>198582.58698533336</v>
      </c>
      <c r="K18" s="67">
        <f t="shared" si="27"/>
        <v>14587.666666666666</v>
      </c>
      <c r="L18" s="636">
        <f t="shared" si="27"/>
        <v>50000</v>
      </c>
      <c r="M18" s="636">
        <f t="shared" ref="M18:N18" si="28">AVERAGE(M5:M16)</f>
        <v>306.66800000000001</v>
      </c>
      <c r="N18" s="636">
        <f t="shared" si="28"/>
        <v>956.03460000000018</v>
      </c>
      <c r="O18" s="67">
        <f t="shared" ref="O18:Q18" si="29">AVERAGE(O5:O16)</f>
        <v>255378.05915199997</v>
      </c>
      <c r="P18" s="570">
        <f t="shared" si="29"/>
        <v>48.396691040201347</v>
      </c>
      <c r="Q18" s="571">
        <f t="shared" si="29"/>
        <v>24.187731330459375</v>
      </c>
      <c r="R18" s="572">
        <f t="shared" si="26"/>
        <v>384602.63645227032</v>
      </c>
      <c r="S18" s="570">
        <f t="shared" si="26"/>
        <v>60.862582284001249</v>
      </c>
      <c r="T18" s="571">
        <f t="shared" si="26"/>
        <v>30.400519995821547</v>
      </c>
      <c r="V18" s="306"/>
      <c r="AB18" s="416"/>
      <c r="AK18" s="315"/>
    </row>
    <row r="19" spans="1:37" ht="24.95" customHeight="1">
      <c r="H19" s="315"/>
      <c r="P19" s="427"/>
      <c r="AC19" s="315"/>
    </row>
    <row r="20" spans="1:37" ht="24.95" customHeight="1" thickBot="1">
      <c r="A20" s="413" t="s">
        <v>222</v>
      </c>
      <c r="B20" s="413"/>
      <c r="H20" s="428"/>
      <c r="S20" s="415"/>
      <c r="T20" s="415"/>
      <c r="AB20" s="315"/>
    </row>
    <row r="21" spans="1:37" s="43" customFormat="1" ht="24.95" customHeight="1" thickBot="1">
      <c r="A21" s="891" t="str">
        <f>A3</f>
        <v>2025년도</v>
      </c>
      <c r="B21" s="893" t="s">
        <v>109</v>
      </c>
      <c r="C21" s="883"/>
      <c r="D21" s="883"/>
      <c r="E21" s="884"/>
      <c r="F21" s="882" t="s">
        <v>124</v>
      </c>
      <c r="G21" s="883"/>
      <c r="H21" s="883"/>
      <c r="I21" s="884"/>
      <c r="J21" s="882" t="s">
        <v>110</v>
      </c>
      <c r="K21" s="883"/>
      <c r="L21" s="883"/>
      <c r="M21" s="884"/>
      <c r="N21" s="882" t="s">
        <v>111</v>
      </c>
      <c r="O21" s="883"/>
      <c r="P21" s="883"/>
      <c r="Q21" s="884"/>
      <c r="R21" s="169"/>
      <c r="S21" s="170" t="s">
        <v>177</v>
      </c>
      <c r="T21" s="452" t="s">
        <v>176</v>
      </c>
      <c r="W21" s="315"/>
      <c r="X21" s="314"/>
      <c r="Y21" s="314"/>
      <c r="Z21" s="314"/>
      <c r="AA21" s="314"/>
      <c r="AB21" s="314"/>
      <c r="AD21" s="315"/>
    </row>
    <row r="22" spans="1:37" s="43" customFormat="1" ht="24.95" customHeight="1" thickTop="1" thickBot="1">
      <c r="A22" s="894"/>
      <c r="B22" s="53" t="s">
        <v>96</v>
      </c>
      <c r="C22" s="53" t="s">
        <v>107</v>
      </c>
      <c r="D22" s="53" t="s">
        <v>108</v>
      </c>
      <c r="E22" s="55" t="s">
        <v>97</v>
      </c>
      <c r="F22" s="54" t="s">
        <v>96</v>
      </c>
      <c r="G22" s="53" t="s">
        <v>107</v>
      </c>
      <c r="H22" s="53" t="s">
        <v>108</v>
      </c>
      <c r="I22" s="55" t="s">
        <v>97</v>
      </c>
      <c r="J22" s="54" t="s">
        <v>96</v>
      </c>
      <c r="K22" s="53" t="s">
        <v>107</v>
      </c>
      <c r="L22" s="53" t="s">
        <v>108</v>
      </c>
      <c r="M22" s="55" t="s">
        <v>97</v>
      </c>
      <c r="N22" s="56" t="s">
        <v>96</v>
      </c>
      <c r="O22" s="53" t="s">
        <v>107</v>
      </c>
      <c r="P22" s="53" t="s">
        <v>108</v>
      </c>
      <c r="Q22" s="55" t="s">
        <v>97</v>
      </c>
      <c r="R22" s="169"/>
      <c r="S22" s="200" t="s">
        <v>168</v>
      </c>
      <c r="T22" s="200">
        <f>1209/1.1</f>
        <v>1099.090909090909</v>
      </c>
      <c r="W22" s="315"/>
      <c r="X22" s="314"/>
      <c r="Y22" s="314"/>
      <c r="Z22" s="314"/>
      <c r="AA22" s="314"/>
      <c r="AB22" s="314"/>
      <c r="AD22" s="315"/>
    </row>
    <row r="23" spans="1:37" s="48" customFormat="1" ht="20.100000000000001" customHeight="1" thickTop="1" thickBot="1">
      <c r="A23" s="44" t="s">
        <v>99</v>
      </c>
      <c r="B23" s="45">
        <v>9000</v>
      </c>
      <c r="C23" s="45">
        <v>6812</v>
      </c>
      <c r="D23" s="45">
        <v>12861927</v>
      </c>
      <c r="E23" s="47">
        <v>9735049.6359999999</v>
      </c>
      <c r="F23" s="46">
        <v>78220</v>
      </c>
      <c r="G23" s="45">
        <v>87211</v>
      </c>
      <c r="H23" s="45">
        <f>VLOOKUP($F$21,$S$21:$T$29,2,0)*F23</f>
        <v>29723600</v>
      </c>
      <c r="I23" s="45">
        <f>VLOOKUP($F$21,$S$21:$T$29,2,0)*G23</f>
        <v>33140180</v>
      </c>
      <c r="J23" s="46">
        <v>1770</v>
      </c>
      <c r="K23" s="45">
        <v>2130</v>
      </c>
      <c r="L23" s="45">
        <f>VLOOKUP($J$21,$S$21:$T$29,2,0)*J23</f>
        <v>2301000</v>
      </c>
      <c r="M23" s="45">
        <f>VLOOKUP($J$21,$S$21:$T$29,2,0)*K23</f>
        <v>2769000</v>
      </c>
      <c r="N23" s="57">
        <v>2000</v>
      </c>
      <c r="O23" s="45">
        <v>2160</v>
      </c>
      <c r="P23" s="45">
        <f t="shared" ref="P23" si="30">VLOOKUP($N$21,$S$21:$T$29,2,0)*N23</f>
        <v>3300000</v>
      </c>
      <c r="Q23" s="47">
        <f>VLOOKUP($N$21,$S$21:$T$29,2,0)*O23</f>
        <v>3564000</v>
      </c>
      <c r="R23" s="152"/>
      <c r="S23" s="202" t="s">
        <v>169</v>
      </c>
      <c r="T23" s="202">
        <v>380</v>
      </c>
      <c r="U23" s="43"/>
      <c r="W23" s="315"/>
      <c r="X23" s="314"/>
      <c r="Y23" s="314"/>
      <c r="Z23" s="314"/>
      <c r="AA23" s="314"/>
      <c r="AB23" s="314"/>
      <c r="AD23" s="315"/>
    </row>
    <row r="24" spans="1:37" s="49" customFormat="1" ht="20.100000000000001" customHeight="1" thickTop="1" thickBot="1">
      <c r="A24" s="44" t="s">
        <v>100</v>
      </c>
      <c r="B24" s="45">
        <v>6000</v>
      </c>
      <c r="C24" s="45">
        <v>6018</v>
      </c>
      <c r="D24" s="45">
        <v>8683636</v>
      </c>
      <c r="E24" s="47">
        <v>8709686.9079999998</v>
      </c>
      <c r="F24" s="46">
        <v>94760</v>
      </c>
      <c r="G24" s="45">
        <v>86747</v>
      </c>
      <c r="H24" s="45">
        <f t="shared" ref="H24:H26" si="31">VLOOKUP($F$21,$S$21:$T$29,2,0)*F24</f>
        <v>36008800</v>
      </c>
      <c r="I24" s="45">
        <f t="shared" ref="I24:I26" si="32">VLOOKUP($F$21,$S$21:$T$29,2,0)*G24</f>
        <v>32963860</v>
      </c>
      <c r="J24" s="46">
        <v>2400</v>
      </c>
      <c r="K24" s="45">
        <v>1900</v>
      </c>
      <c r="L24" s="45">
        <f t="shared" ref="L24:L34" si="33">VLOOKUP($J$21,$S$21:$T$29,2,0)*J24</f>
        <v>3120000</v>
      </c>
      <c r="M24" s="45">
        <f t="shared" ref="M24:M34" si="34">VLOOKUP($J$21,$S$21:$T$29,2,0)*K24</f>
        <v>2470000</v>
      </c>
      <c r="N24" s="57">
        <v>2000</v>
      </c>
      <c r="O24" s="45">
        <v>2160</v>
      </c>
      <c r="P24" s="45">
        <f t="shared" ref="P24:P34" si="35">VLOOKUP($N$21,$S$21:$T$29,2,0)*N24</f>
        <v>3300000</v>
      </c>
      <c r="Q24" s="47">
        <f t="shared" ref="Q24:Q34" si="36">VLOOKUP($N$21,$S$21:$T$29,2,0)*O24</f>
        <v>3564000</v>
      </c>
      <c r="R24" s="152"/>
      <c r="S24" s="201" t="s">
        <v>170</v>
      </c>
      <c r="T24" s="201">
        <v>1300</v>
      </c>
      <c r="U24" s="43"/>
      <c r="V24" s="48"/>
      <c r="W24" s="315"/>
      <c r="X24" s="314"/>
      <c r="Y24" s="314"/>
      <c r="Z24" s="314"/>
      <c r="AA24" s="314"/>
      <c r="AB24" s="314"/>
      <c r="AD24" s="315"/>
    </row>
    <row r="25" spans="1:37" s="52" customFormat="1" ht="20.100000000000001" customHeight="1" thickTop="1" thickBot="1">
      <c r="A25" s="50" t="s">
        <v>84</v>
      </c>
      <c r="B25" s="45">
        <v>3000</v>
      </c>
      <c r="C25" s="45">
        <v>2130</v>
      </c>
      <c r="D25" s="45">
        <v>4246364</v>
      </c>
      <c r="E25" s="47">
        <v>3014918.4400000004</v>
      </c>
      <c r="F25" s="46">
        <v>89390</v>
      </c>
      <c r="G25" s="45">
        <v>90783</v>
      </c>
      <c r="H25" s="45">
        <f t="shared" si="31"/>
        <v>33968200</v>
      </c>
      <c r="I25" s="45">
        <f t="shared" si="32"/>
        <v>34497540</v>
      </c>
      <c r="J25" s="46">
        <v>1820</v>
      </c>
      <c r="K25" s="45">
        <v>1890</v>
      </c>
      <c r="L25" s="45">
        <f t="shared" si="33"/>
        <v>2366000</v>
      </c>
      <c r="M25" s="45">
        <f t="shared" si="34"/>
        <v>2457000</v>
      </c>
      <c r="N25" s="57">
        <v>4000</v>
      </c>
      <c r="O25" s="45">
        <v>2640</v>
      </c>
      <c r="P25" s="45">
        <f t="shared" si="35"/>
        <v>6600000</v>
      </c>
      <c r="Q25" s="47">
        <f t="shared" si="36"/>
        <v>4356000</v>
      </c>
      <c r="R25" s="153"/>
      <c r="S25" s="171" t="s">
        <v>171</v>
      </c>
      <c r="T25" s="171">
        <v>1650</v>
      </c>
      <c r="U25" s="43"/>
      <c r="V25" s="48"/>
      <c r="W25" s="315"/>
      <c r="X25" s="314"/>
      <c r="Y25" s="314"/>
      <c r="Z25" s="314"/>
      <c r="AA25" s="314"/>
      <c r="AB25" s="314"/>
      <c r="AD25" s="315"/>
    </row>
    <row r="26" spans="1:37" s="48" customFormat="1" ht="20.100000000000001" customHeight="1" thickTop="1" thickBot="1">
      <c r="A26" s="44" t="s">
        <v>101</v>
      </c>
      <c r="B26" s="45">
        <v>6000</v>
      </c>
      <c r="C26" s="45">
        <v>8510</v>
      </c>
      <c r="D26" s="719">
        <v>8329091</v>
      </c>
      <c r="E26" s="47">
        <v>11813427.401666667</v>
      </c>
      <c r="F26" s="46">
        <v>96700</v>
      </c>
      <c r="G26" s="45">
        <v>98616</v>
      </c>
      <c r="H26" s="45">
        <f t="shared" si="31"/>
        <v>36746000</v>
      </c>
      <c r="I26" s="45">
        <f t="shared" si="32"/>
        <v>37474080</v>
      </c>
      <c r="J26" s="46">
        <v>1600</v>
      </c>
      <c r="K26" s="45">
        <v>1840</v>
      </c>
      <c r="L26" s="45">
        <f t="shared" si="33"/>
        <v>2080000</v>
      </c>
      <c r="M26" s="45">
        <f t="shared" si="34"/>
        <v>2392000</v>
      </c>
      <c r="N26" s="57">
        <v>2000</v>
      </c>
      <c r="O26" s="45">
        <v>2320</v>
      </c>
      <c r="P26" s="45">
        <f t="shared" si="35"/>
        <v>3300000</v>
      </c>
      <c r="Q26" s="47">
        <f t="shared" si="36"/>
        <v>3828000</v>
      </c>
      <c r="R26" s="152"/>
      <c r="S26" s="171" t="s">
        <v>172</v>
      </c>
      <c r="T26" s="171">
        <v>140</v>
      </c>
      <c r="U26" s="43"/>
      <c r="W26" s="315"/>
      <c r="X26" s="314"/>
      <c r="Y26" s="314"/>
      <c r="Z26" s="314"/>
      <c r="AA26" s="314"/>
      <c r="AB26" s="314"/>
      <c r="AD26" s="315"/>
    </row>
    <row r="27" spans="1:37" s="48" customFormat="1" ht="20.100000000000001" customHeight="1" thickTop="1" thickBot="1">
      <c r="A27" s="44" t="s">
        <v>102</v>
      </c>
      <c r="B27" s="45">
        <v>6000</v>
      </c>
      <c r="C27" s="45">
        <v>4710</v>
      </c>
      <c r="D27" s="45">
        <v>8170910</v>
      </c>
      <c r="E27" s="47">
        <v>6414164.3500000006</v>
      </c>
      <c r="F27" s="46">
        <v>92470</v>
      </c>
      <c r="G27" s="45">
        <v>89070</v>
      </c>
      <c r="H27" s="45">
        <f t="shared" ref="H27" si="37">VLOOKUP($F$21,$S$21:$T$29,2,0)*F27</f>
        <v>35138600</v>
      </c>
      <c r="I27" s="45">
        <f t="shared" ref="I27" si="38">VLOOKUP($F$21,$S$21:$T$29,2,0)*G27</f>
        <v>33846600</v>
      </c>
      <c r="J27" s="46">
        <v>2200</v>
      </c>
      <c r="K27" s="45">
        <v>1990</v>
      </c>
      <c r="L27" s="45">
        <f t="shared" si="33"/>
        <v>2860000</v>
      </c>
      <c r="M27" s="45">
        <f t="shared" si="34"/>
        <v>2587000</v>
      </c>
      <c r="N27" s="57">
        <v>2000</v>
      </c>
      <c r="O27" s="45">
        <v>2080</v>
      </c>
      <c r="P27" s="45">
        <f t="shared" si="35"/>
        <v>3300000</v>
      </c>
      <c r="Q27" s="47">
        <f t="shared" si="36"/>
        <v>3432000</v>
      </c>
      <c r="R27" s="152"/>
      <c r="S27" s="171" t="s">
        <v>173</v>
      </c>
      <c r="T27" s="171">
        <v>460</v>
      </c>
      <c r="U27" s="43"/>
    </row>
    <row r="28" spans="1:37" s="48" customFormat="1" ht="20.100000000000001" customHeight="1" thickTop="1" thickBot="1">
      <c r="A28" s="44" t="s">
        <v>87</v>
      </c>
      <c r="B28" s="45">
        <v>6000</v>
      </c>
      <c r="C28" s="45">
        <v>3860</v>
      </c>
      <c r="D28" s="45">
        <v>8116364</v>
      </c>
      <c r="E28" s="47">
        <v>5221527.5066666668</v>
      </c>
      <c r="F28" s="46">
        <v>68410</v>
      </c>
      <c r="G28" s="45">
        <v>76090</v>
      </c>
      <c r="H28" s="45">
        <f t="shared" ref="H28" si="39">VLOOKUP($F$21,$S$21:$T$29,2,0)*F28</f>
        <v>25995800</v>
      </c>
      <c r="I28" s="45">
        <f t="shared" ref="I28" si="40">VLOOKUP($F$21,$S$21:$T$29,2,0)*G28</f>
        <v>28914200</v>
      </c>
      <c r="J28" s="46">
        <v>1970</v>
      </c>
      <c r="K28" s="45">
        <v>1970</v>
      </c>
      <c r="L28" s="45">
        <f t="shared" si="33"/>
        <v>2561000</v>
      </c>
      <c r="M28" s="45">
        <f t="shared" si="34"/>
        <v>2561000</v>
      </c>
      <c r="N28" s="57">
        <v>1940</v>
      </c>
      <c r="O28" s="45">
        <v>1900</v>
      </c>
      <c r="P28" s="45">
        <f t="shared" si="35"/>
        <v>3201000</v>
      </c>
      <c r="Q28" s="47">
        <f t="shared" si="36"/>
        <v>3135000</v>
      </c>
      <c r="R28" s="152"/>
      <c r="S28" s="171" t="s">
        <v>174</v>
      </c>
      <c r="T28" s="171">
        <v>580</v>
      </c>
      <c r="U28" s="43"/>
    </row>
    <row r="29" spans="1:37" s="52" customFormat="1" ht="20.100000000000001" customHeight="1" thickTop="1" thickBot="1">
      <c r="A29" s="50" t="s">
        <v>103</v>
      </c>
      <c r="B29" s="45">
        <v>3000</v>
      </c>
      <c r="C29" s="45">
        <v>4270</v>
      </c>
      <c r="D29" s="45">
        <v>4161818</v>
      </c>
      <c r="E29" s="47">
        <v>5923654.2866666671</v>
      </c>
      <c r="F29" s="46">
        <v>89630</v>
      </c>
      <c r="G29" s="45">
        <v>88216</v>
      </c>
      <c r="H29" s="45">
        <f t="shared" ref="H29" si="41">VLOOKUP($F$21,$S$21:$T$29,2,0)*F29</f>
        <v>34059400</v>
      </c>
      <c r="I29" s="45">
        <f t="shared" ref="I29" si="42">VLOOKUP($F$21,$S$21:$T$29,2,0)*G29</f>
        <v>33522080</v>
      </c>
      <c r="J29" s="46">
        <v>1900</v>
      </c>
      <c r="K29" s="45">
        <v>1980</v>
      </c>
      <c r="L29" s="45">
        <f t="shared" si="33"/>
        <v>2470000</v>
      </c>
      <c r="M29" s="45">
        <f t="shared" si="34"/>
        <v>2574000</v>
      </c>
      <c r="N29" s="57">
        <v>2000</v>
      </c>
      <c r="O29" s="45">
        <v>1960</v>
      </c>
      <c r="P29" s="45">
        <f t="shared" si="35"/>
        <v>3300000</v>
      </c>
      <c r="Q29" s="47">
        <f t="shared" si="36"/>
        <v>3234000</v>
      </c>
      <c r="R29" s="153"/>
      <c r="S29" s="171" t="s">
        <v>175</v>
      </c>
      <c r="T29" s="171">
        <v>145</v>
      </c>
      <c r="U29" s="43"/>
    </row>
    <row r="30" spans="1:37" s="52" customFormat="1" ht="20.100000000000001" customHeight="1" thickTop="1">
      <c r="A30" s="50" t="s">
        <v>104</v>
      </c>
      <c r="B30" s="45">
        <v>6000</v>
      </c>
      <c r="C30" s="45">
        <v>6060</v>
      </c>
      <c r="D30" s="45">
        <v>8356362.9999999991</v>
      </c>
      <c r="E30" s="47">
        <v>8439926.629999999</v>
      </c>
      <c r="F30" s="46">
        <v>73900</v>
      </c>
      <c r="G30" s="45">
        <v>79105</v>
      </c>
      <c r="H30" s="45">
        <f t="shared" ref="H30" si="43">VLOOKUP($F$21,$S$21:$T$29,2,0)*F30</f>
        <v>28082000</v>
      </c>
      <c r="I30" s="45">
        <f t="shared" ref="I30" si="44">VLOOKUP($F$21,$S$21:$T$29,2,0)*G30</f>
        <v>30059900</v>
      </c>
      <c r="J30" s="46">
        <v>2110</v>
      </c>
      <c r="K30" s="45">
        <v>1790</v>
      </c>
      <c r="L30" s="45">
        <f t="shared" si="33"/>
        <v>2743000</v>
      </c>
      <c r="M30" s="45">
        <f t="shared" si="34"/>
        <v>2327000</v>
      </c>
      <c r="N30" s="57">
        <v>2000</v>
      </c>
      <c r="O30" s="45">
        <v>2160</v>
      </c>
      <c r="P30" s="45">
        <f t="shared" si="35"/>
        <v>3300000</v>
      </c>
      <c r="Q30" s="47">
        <f t="shared" si="36"/>
        <v>3564000</v>
      </c>
      <c r="R30" s="153"/>
    </row>
    <row r="31" spans="1:37" s="52" customFormat="1" ht="20.100000000000001" customHeight="1">
      <c r="A31" s="50" t="s">
        <v>105</v>
      </c>
      <c r="B31" s="45">
        <v>3000</v>
      </c>
      <c r="C31" s="45">
        <v>2620</v>
      </c>
      <c r="D31" s="45">
        <v>4167272.9999999995</v>
      </c>
      <c r="E31" s="47">
        <v>3639418.42</v>
      </c>
      <c r="F31" s="46">
        <v>105320</v>
      </c>
      <c r="G31" s="45">
        <v>103422</v>
      </c>
      <c r="H31" s="45">
        <f t="shared" ref="H31" si="45">VLOOKUP($F$21,$S$21:$T$29,2,0)*F31</f>
        <v>40021600</v>
      </c>
      <c r="I31" s="45">
        <f t="shared" ref="I31" si="46">VLOOKUP($F$21,$S$21:$T$29,2,0)*G31</f>
        <v>39300360</v>
      </c>
      <c r="J31" s="46">
        <v>1700</v>
      </c>
      <c r="K31" s="45">
        <v>2220</v>
      </c>
      <c r="L31" s="45">
        <f t="shared" si="33"/>
        <v>2210000</v>
      </c>
      <c r="M31" s="45">
        <f t="shared" si="34"/>
        <v>2886000</v>
      </c>
      <c r="N31" s="57">
        <v>4000</v>
      </c>
      <c r="O31" s="45">
        <v>3390</v>
      </c>
      <c r="P31" s="45">
        <f t="shared" si="35"/>
        <v>6600000</v>
      </c>
      <c r="Q31" s="47">
        <f t="shared" si="36"/>
        <v>5593500</v>
      </c>
      <c r="R31" s="153"/>
    </row>
    <row r="32" spans="1:37" s="52" customFormat="1" ht="20.100000000000001" customHeight="1">
      <c r="A32" s="50" t="s">
        <v>91</v>
      </c>
      <c r="B32" s="45">
        <f>'3. 세부 운영내역'!AH36</f>
        <v>3000</v>
      </c>
      <c r="C32" s="45">
        <f>'3. 세부 운영내역'!AH37</f>
        <v>4220</v>
      </c>
      <c r="D32" s="45">
        <f>'3. 세부 운영내역'!AK36</f>
        <v>4170000</v>
      </c>
      <c r="E32" s="158">
        <f>'3. 세부 운영내역'!AK37</f>
        <v>5865800</v>
      </c>
      <c r="F32" s="46">
        <f>'3. 세부 운영내역'!AH18</f>
        <v>97560</v>
      </c>
      <c r="G32" s="45">
        <f>'3. 세부 운영내역'!AH19</f>
        <v>90777</v>
      </c>
      <c r="H32" s="45">
        <f t="shared" ref="H32:H34" si="47">VLOOKUP($F$21,$S$21:$T$29,2,0)*F32</f>
        <v>37072800</v>
      </c>
      <c r="I32" s="45">
        <f t="shared" ref="I32" si="48">VLOOKUP($F$21,$S$21:$T$29,2,0)*G32</f>
        <v>34495260</v>
      </c>
      <c r="J32" s="46">
        <f>'3. 세부 운영내역'!AH21</f>
        <v>2880</v>
      </c>
      <c r="K32" s="45">
        <f>'3. 세부 운영내역'!AH22</f>
        <v>2320</v>
      </c>
      <c r="L32" s="45">
        <f t="shared" si="33"/>
        <v>3744000</v>
      </c>
      <c r="M32" s="45">
        <f t="shared" si="34"/>
        <v>3016000</v>
      </c>
      <c r="N32" s="57">
        <f>'3. 세부 운영내역'!AH24</f>
        <v>2000</v>
      </c>
      <c r="O32" s="45">
        <f>'3. 세부 운영내역'!AH25</f>
        <v>2980</v>
      </c>
      <c r="P32" s="45">
        <f t="shared" si="35"/>
        <v>3300000</v>
      </c>
      <c r="Q32" s="47">
        <f t="shared" si="36"/>
        <v>4917000</v>
      </c>
      <c r="R32" s="153"/>
    </row>
    <row r="33" spans="1:32" s="48" customFormat="1" ht="20.100000000000001" customHeight="1">
      <c r="A33" s="44" t="s">
        <v>92</v>
      </c>
      <c r="B33" s="45"/>
      <c r="C33" s="45"/>
      <c r="D33" s="157"/>
      <c r="E33" s="158"/>
      <c r="F33" s="46"/>
      <c r="G33" s="45"/>
      <c r="H33" s="45">
        <f t="shared" si="47"/>
        <v>0</v>
      </c>
      <c r="I33" s="45">
        <f t="shared" ref="I33:I34" si="49">VLOOKUP($F$21,$S$21:$U$29,3,0)*G33</f>
        <v>0</v>
      </c>
      <c r="J33" s="46"/>
      <c r="K33" s="45"/>
      <c r="L33" s="45">
        <f t="shared" si="33"/>
        <v>0</v>
      </c>
      <c r="M33" s="45">
        <f t="shared" si="34"/>
        <v>0</v>
      </c>
      <c r="N33" s="57"/>
      <c r="O33" s="45"/>
      <c r="P33" s="45">
        <f t="shared" si="35"/>
        <v>0</v>
      </c>
      <c r="Q33" s="47">
        <f t="shared" si="36"/>
        <v>0</v>
      </c>
      <c r="R33" s="152"/>
    </row>
    <row r="34" spans="1:32" s="52" customFormat="1" ht="20.100000000000001" customHeight="1">
      <c r="A34" s="50" t="s">
        <v>93</v>
      </c>
      <c r="B34" s="45"/>
      <c r="C34" s="45"/>
      <c r="D34" s="45"/>
      <c r="E34" s="51"/>
      <c r="F34" s="46"/>
      <c r="G34" s="45"/>
      <c r="H34" s="45">
        <f t="shared" si="47"/>
        <v>0</v>
      </c>
      <c r="I34" s="45">
        <f t="shared" si="49"/>
        <v>0</v>
      </c>
      <c r="J34" s="46"/>
      <c r="K34" s="45"/>
      <c r="L34" s="45">
        <f t="shared" si="33"/>
        <v>0</v>
      </c>
      <c r="M34" s="45">
        <f t="shared" si="34"/>
        <v>0</v>
      </c>
      <c r="N34" s="57"/>
      <c r="O34" s="45"/>
      <c r="P34" s="45">
        <f t="shared" si="35"/>
        <v>0</v>
      </c>
      <c r="Q34" s="47">
        <f t="shared" si="36"/>
        <v>0</v>
      </c>
      <c r="R34" s="153"/>
    </row>
    <row r="35" spans="1:32" s="49" customFormat="1" ht="20.100000000000001" customHeight="1">
      <c r="A35" s="159" t="s">
        <v>95</v>
      </c>
      <c r="B35" s="160">
        <f t="shared" ref="B35:Q35" si="50">SUM(B23:B34)</f>
        <v>51000</v>
      </c>
      <c r="C35" s="160">
        <f t="shared" si="50"/>
        <v>49210</v>
      </c>
      <c r="D35" s="160">
        <f t="shared" si="50"/>
        <v>71263746</v>
      </c>
      <c r="E35" s="161">
        <f t="shared" si="50"/>
        <v>68777573.579000011</v>
      </c>
      <c r="F35" s="162">
        <f t="shared" si="50"/>
        <v>886360</v>
      </c>
      <c r="G35" s="160">
        <f t="shared" si="50"/>
        <v>890037</v>
      </c>
      <c r="H35" s="160">
        <f t="shared" si="50"/>
        <v>336816800</v>
      </c>
      <c r="I35" s="161">
        <f t="shared" si="50"/>
        <v>338214060</v>
      </c>
      <c r="J35" s="162">
        <f t="shared" si="50"/>
        <v>20350</v>
      </c>
      <c r="K35" s="160">
        <f t="shared" si="50"/>
        <v>20030</v>
      </c>
      <c r="L35" s="160">
        <f t="shared" si="50"/>
        <v>26455000</v>
      </c>
      <c r="M35" s="161">
        <f t="shared" si="50"/>
        <v>26039000</v>
      </c>
      <c r="N35" s="163">
        <f t="shared" si="50"/>
        <v>23940</v>
      </c>
      <c r="O35" s="160">
        <f t="shared" si="50"/>
        <v>23750</v>
      </c>
      <c r="P35" s="160">
        <f t="shared" si="50"/>
        <v>39501000</v>
      </c>
      <c r="Q35" s="161">
        <f t="shared" si="50"/>
        <v>39187500</v>
      </c>
      <c r="R35" s="154"/>
    </row>
    <row r="36" spans="1:32" s="49" customFormat="1" ht="20.100000000000001" customHeight="1" thickBot="1">
      <c r="A36" s="164" t="s">
        <v>106</v>
      </c>
      <c r="B36" s="165">
        <f t="shared" ref="B36:Q36" si="51">AVERAGE(B23:B34)</f>
        <v>5100</v>
      </c>
      <c r="C36" s="165">
        <f t="shared" si="51"/>
        <v>4921</v>
      </c>
      <c r="D36" s="165">
        <f t="shared" si="51"/>
        <v>7126374.5999999996</v>
      </c>
      <c r="E36" s="166">
        <f t="shared" si="51"/>
        <v>6877757.3579000011</v>
      </c>
      <c r="F36" s="167">
        <f t="shared" si="51"/>
        <v>88636</v>
      </c>
      <c r="G36" s="165">
        <f t="shared" si="51"/>
        <v>89003.7</v>
      </c>
      <c r="H36" s="165">
        <f t="shared" si="51"/>
        <v>28068066.666666668</v>
      </c>
      <c r="I36" s="166">
        <f t="shared" si="51"/>
        <v>28184505</v>
      </c>
      <c r="J36" s="167">
        <f t="shared" si="51"/>
        <v>2035</v>
      </c>
      <c r="K36" s="165">
        <f t="shared" si="51"/>
        <v>2003</v>
      </c>
      <c r="L36" s="165">
        <f t="shared" si="51"/>
        <v>2204583.3333333335</v>
      </c>
      <c r="M36" s="166">
        <f t="shared" si="51"/>
        <v>2169916.6666666665</v>
      </c>
      <c r="N36" s="168">
        <f t="shared" si="51"/>
        <v>2394</v>
      </c>
      <c r="O36" s="165">
        <f t="shared" si="51"/>
        <v>2375</v>
      </c>
      <c r="P36" s="165">
        <f t="shared" si="51"/>
        <v>3291750</v>
      </c>
      <c r="Q36" s="166">
        <f t="shared" si="51"/>
        <v>3265625</v>
      </c>
      <c r="R36" s="154"/>
    </row>
    <row r="37" spans="1:32" ht="14.25" thickBot="1">
      <c r="AC37" s="311"/>
    </row>
    <row r="38" spans="1:32" ht="32.1" customHeight="1">
      <c r="A38" s="891" t="str">
        <f>A3</f>
        <v>2025년도</v>
      </c>
      <c r="B38" s="893" t="s">
        <v>178</v>
      </c>
      <c r="C38" s="883"/>
      <c r="D38" s="883"/>
      <c r="E38" s="884"/>
      <c r="F38" s="882" t="s">
        <v>112</v>
      </c>
      <c r="G38" s="883"/>
      <c r="H38" s="883"/>
      <c r="I38" s="884"/>
      <c r="J38" s="882" t="s">
        <v>113</v>
      </c>
      <c r="K38" s="883"/>
      <c r="L38" s="883"/>
      <c r="M38" s="884"/>
      <c r="N38" s="883" t="s">
        <v>179</v>
      </c>
      <c r="O38" s="883"/>
      <c r="P38" s="883"/>
      <c r="Q38" s="884"/>
      <c r="R38" s="904" t="s">
        <v>189</v>
      </c>
      <c r="S38" s="905"/>
      <c r="T38" s="904" t="s">
        <v>191</v>
      </c>
      <c r="U38" s="905"/>
      <c r="V38" s="536" t="s">
        <v>282</v>
      </c>
      <c r="W38" s="536"/>
      <c r="X38" s="891" t="s">
        <v>126</v>
      </c>
      <c r="Y38" s="885" t="s">
        <v>127</v>
      </c>
      <c r="Z38" s="885" t="s">
        <v>128</v>
      </c>
      <c r="AA38" s="887" t="s">
        <v>135</v>
      </c>
      <c r="AB38" s="493" t="s">
        <v>266</v>
      </c>
      <c r="AC38" s="438"/>
    </row>
    <row r="39" spans="1:32" ht="14.25" thickBot="1">
      <c r="A39" s="892"/>
      <c r="B39" s="53" t="s">
        <v>96</v>
      </c>
      <c r="C39" s="53" t="s">
        <v>107</v>
      </c>
      <c r="D39" s="53" t="s">
        <v>108</v>
      </c>
      <c r="E39" s="55" t="s">
        <v>97</v>
      </c>
      <c r="F39" s="54" t="s">
        <v>96</v>
      </c>
      <c r="G39" s="53" t="s">
        <v>107</v>
      </c>
      <c r="H39" s="53" t="s">
        <v>108</v>
      </c>
      <c r="I39" s="55" t="s">
        <v>97</v>
      </c>
      <c r="J39" s="54" t="s">
        <v>96</v>
      </c>
      <c r="K39" s="53" t="s">
        <v>107</v>
      </c>
      <c r="L39" s="53" t="s">
        <v>108</v>
      </c>
      <c r="M39" s="55" t="s">
        <v>97</v>
      </c>
      <c r="N39" s="56" t="s">
        <v>96</v>
      </c>
      <c r="O39" s="53" t="s">
        <v>107</v>
      </c>
      <c r="P39" s="53" t="s">
        <v>108</v>
      </c>
      <c r="Q39" s="55" t="s">
        <v>97</v>
      </c>
      <c r="R39" s="322" t="s">
        <v>180</v>
      </c>
      <c r="S39" s="55" t="s">
        <v>181</v>
      </c>
      <c r="T39" s="322" t="s">
        <v>192</v>
      </c>
      <c r="U39" s="537" t="s">
        <v>193</v>
      </c>
      <c r="V39" s="54" t="s">
        <v>283</v>
      </c>
      <c r="W39" s="55" t="s">
        <v>284</v>
      </c>
      <c r="X39" s="894"/>
      <c r="Y39" s="886"/>
      <c r="Z39" s="886"/>
      <c r="AA39" s="888"/>
      <c r="AB39" s="117" t="s">
        <v>153</v>
      </c>
      <c r="AC39" s="118" t="s">
        <v>154</v>
      </c>
      <c r="AE39" s="428"/>
      <c r="AF39" s="428"/>
    </row>
    <row r="40" spans="1:32" ht="20.100000000000001" customHeight="1">
      <c r="A40" s="44" t="s">
        <v>99</v>
      </c>
      <c r="B40" s="45">
        <v>5760</v>
      </c>
      <c r="C40" s="45">
        <v>5800</v>
      </c>
      <c r="D40" s="45">
        <f>VLOOKUP($B$38,$S$21:$T$29,2,0)*B40</f>
        <v>806400</v>
      </c>
      <c r="E40" s="45">
        <f>VLOOKUP($B$38,$S$21:$T$29,2,0)*C40</f>
        <v>812000</v>
      </c>
      <c r="F40" s="46">
        <v>0</v>
      </c>
      <c r="G40" s="45">
        <v>0</v>
      </c>
      <c r="H40" s="45">
        <f t="shared" ref="H40:I51" si="52">VLOOKUP($F$38,$S$21:$T$29,2,0)*F40</f>
        <v>0</v>
      </c>
      <c r="I40" s="45">
        <f t="shared" si="52"/>
        <v>0</v>
      </c>
      <c r="J40" s="46">
        <v>0</v>
      </c>
      <c r="K40" s="45">
        <v>480</v>
      </c>
      <c r="L40" s="45">
        <f>VLOOKUP($J$38,$S$21:$T$29,2,0)*J40</f>
        <v>0</v>
      </c>
      <c r="M40" s="45">
        <f>VLOOKUP($J$38,$S$21:$T$29,2,0)*K40</f>
        <v>278400</v>
      </c>
      <c r="N40" s="57">
        <v>0</v>
      </c>
      <c r="O40" s="45">
        <v>0</v>
      </c>
      <c r="P40" s="45">
        <f>VLOOKUP($N$38,$S$21:$T$29,2,0)*N40</f>
        <v>0</v>
      </c>
      <c r="Q40" s="45">
        <f>VLOOKUP($N$38,$S$21:$T$29,2,0)*O40</f>
        <v>0</v>
      </c>
      <c r="R40" s="152">
        <v>0</v>
      </c>
      <c r="S40" s="531">
        <v>0</v>
      </c>
      <c r="T40" s="152">
        <v>0</v>
      </c>
      <c r="U40" s="532">
        <v>0</v>
      </c>
      <c r="V40" s="46">
        <v>0</v>
      </c>
      <c r="W40" s="47">
        <v>0</v>
      </c>
      <c r="X40" s="73">
        <f t="shared" ref="X40:X50" si="53">B23+F23+J23+N23+B40+F40+J40+N40+R40+T40</f>
        <v>96750</v>
      </c>
      <c r="Y40" s="74">
        <f t="shared" ref="Y40:Y47" si="54">C23+G23+K23+O23+C40+G40+K40+O40</f>
        <v>104593</v>
      </c>
      <c r="Z40" s="74">
        <f t="shared" ref="Z40:Z50" si="55">D23+H23+L23+P23+D40+H40+L40+P40+S40+U40</f>
        <v>48992927</v>
      </c>
      <c r="AA40" s="105">
        <f>E23+I23+M23+Q23+E40+I40+M40+Q40</f>
        <v>50298629.636</v>
      </c>
      <c r="AB40" s="203">
        <f t="shared" ref="AB40:AB51" si="56">IFERROR((Z40/D5)/1000," ")</f>
        <v>8.1388818286355242</v>
      </c>
      <c r="AC40" s="203">
        <f t="shared" ref="AC40:AC51" si="57">IFERROR((Z40/F5)/1000," ")</f>
        <v>4.2273181990750333</v>
      </c>
      <c r="AD40" s="429">
        <f t="shared" ref="AD40:AD51" si="58">Z40/1000</f>
        <v>48992.927000000003</v>
      </c>
      <c r="AE40" s="428"/>
      <c r="AF40" s="428"/>
    </row>
    <row r="41" spans="1:32" ht="20.100000000000001" customHeight="1">
      <c r="A41" s="44" t="s">
        <v>100</v>
      </c>
      <c r="B41" s="45">
        <v>4320</v>
      </c>
      <c r="C41" s="45">
        <v>4800</v>
      </c>
      <c r="D41" s="45">
        <f>VLOOKUP($B$38,$S$21:$T$29,2,0)*B41</f>
        <v>604800</v>
      </c>
      <c r="E41" s="45">
        <f>VLOOKUP($B$38,$S$21:$T$29,2,0)*C41</f>
        <v>672000</v>
      </c>
      <c r="F41" s="46">
        <v>0</v>
      </c>
      <c r="G41" s="45">
        <v>0</v>
      </c>
      <c r="H41" s="45">
        <f t="shared" si="52"/>
        <v>0</v>
      </c>
      <c r="I41" s="45">
        <f t="shared" si="52"/>
        <v>0</v>
      </c>
      <c r="J41" s="46">
        <v>0</v>
      </c>
      <c r="K41" s="45">
        <v>480</v>
      </c>
      <c r="L41" s="45">
        <f t="shared" ref="L41:L51" si="59">VLOOKUP($J$38,$S$21:$T$29,2,0)*J41</f>
        <v>0</v>
      </c>
      <c r="M41" s="45">
        <f t="shared" ref="M41:M49" si="60">VLOOKUP($J$38,$S$21:$T$29,2,0)*K41</f>
        <v>278400</v>
      </c>
      <c r="N41" s="57">
        <v>28070</v>
      </c>
      <c r="O41" s="45">
        <v>0</v>
      </c>
      <c r="P41" s="45">
        <f t="shared" ref="P41:P51" si="61">VLOOKUP($N$38,$S$21:$T$29,2,0)*N41</f>
        <v>4070150</v>
      </c>
      <c r="Q41" s="45">
        <f t="shared" ref="Q41:Q51" si="62">VLOOKUP($N$38,$S$21:$T$29,2,0)*O41</f>
        <v>0</v>
      </c>
      <c r="R41" s="152">
        <v>0</v>
      </c>
      <c r="S41" s="47">
        <v>0</v>
      </c>
      <c r="T41" s="152">
        <v>0</v>
      </c>
      <c r="U41" s="532">
        <v>0</v>
      </c>
      <c r="V41" s="46">
        <v>0</v>
      </c>
      <c r="W41" s="47">
        <v>0</v>
      </c>
      <c r="X41" s="73">
        <f t="shared" si="53"/>
        <v>137550</v>
      </c>
      <c r="Y41" s="74">
        <f t="shared" si="54"/>
        <v>102105</v>
      </c>
      <c r="Z41" s="74">
        <f t="shared" si="55"/>
        <v>55787386</v>
      </c>
      <c r="AA41" s="105">
        <f t="shared" ref="AA41:AA47" si="63">SUM(E24,I24,M24,Q24,E41,I41,M41,Q41)</f>
        <v>48657946.908</v>
      </c>
      <c r="AB41" s="203">
        <f t="shared" si="56"/>
        <v>9.0684654897753507</v>
      </c>
      <c r="AC41" s="203">
        <f t="shared" si="57"/>
        <v>4.8261071845668067</v>
      </c>
      <c r="AD41" s="429">
        <f t="shared" si="58"/>
        <v>55787.385999999999</v>
      </c>
      <c r="AE41" s="428"/>
      <c r="AF41" s="428"/>
    </row>
    <row r="42" spans="1:32" ht="20.100000000000001" customHeight="1">
      <c r="A42" s="50" t="s">
        <v>84</v>
      </c>
      <c r="B42" s="45">
        <v>5760</v>
      </c>
      <c r="C42" s="45">
        <v>5800</v>
      </c>
      <c r="D42" s="45">
        <f t="shared" ref="D42" si="64">VLOOKUP($B$38,$S$21:$T$29,2,0)*B42</f>
        <v>806400</v>
      </c>
      <c r="E42" s="45">
        <f t="shared" ref="E42" si="65">VLOOKUP($B$38,$S$21:$T$29,2,0)*C42</f>
        <v>812000</v>
      </c>
      <c r="F42" s="46">
        <v>0</v>
      </c>
      <c r="G42" s="45">
        <v>0</v>
      </c>
      <c r="H42" s="45">
        <f t="shared" si="52"/>
        <v>0</v>
      </c>
      <c r="I42" s="45">
        <f>VLOOKUP($F$38,$S$21:$T$29,2,0)*G42</f>
        <v>0</v>
      </c>
      <c r="J42" s="46">
        <v>0</v>
      </c>
      <c r="K42" s="45">
        <v>540</v>
      </c>
      <c r="L42" s="45">
        <f t="shared" si="59"/>
        <v>0</v>
      </c>
      <c r="M42" s="45">
        <f t="shared" si="60"/>
        <v>313200</v>
      </c>
      <c r="N42" s="57">
        <v>0</v>
      </c>
      <c r="O42" s="45">
        <v>0</v>
      </c>
      <c r="P42" s="45">
        <f t="shared" si="61"/>
        <v>0</v>
      </c>
      <c r="Q42" s="45">
        <f t="shared" si="62"/>
        <v>0</v>
      </c>
      <c r="R42" s="152">
        <v>0</v>
      </c>
      <c r="S42" s="47">
        <v>0</v>
      </c>
      <c r="T42" s="152">
        <v>0</v>
      </c>
      <c r="U42" s="532">
        <v>0</v>
      </c>
      <c r="V42" s="46">
        <v>0</v>
      </c>
      <c r="W42" s="47">
        <v>0</v>
      </c>
      <c r="X42" s="73">
        <f t="shared" si="53"/>
        <v>103970</v>
      </c>
      <c r="Y42" s="74">
        <f t="shared" si="54"/>
        <v>103783</v>
      </c>
      <c r="Z42" s="74">
        <f t="shared" si="55"/>
        <v>47986964</v>
      </c>
      <c r="AA42" s="105">
        <f t="shared" si="63"/>
        <v>45450658.439999998</v>
      </c>
      <c r="AB42" s="203">
        <f t="shared" si="56"/>
        <v>6.6105686523229767</v>
      </c>
      <c r="AC42" s="203">
        <f t="shared" si="57"/>
        <v>3.810485174774088</v>
      </c>
      <c r="AD42" s="429">
        <f t="shared" si="58"/>
        <v>47986.964</v>
      </c>
      <c r="AE42" s="428"/>
      <c r="AF42" s="428"/>
    </row>
    <row r="43" spans="1:32" ht="20.100000000000001" customHeight="1">
      <c r="A43" s="44" t="s">
        <v>101</v>
      </c>
      <c r="B43" s="45">
        <v>4320</v>
      </c>
      <c r="C43" s="45">
        <v>5000</v>
      </c>
      <c r="D43" s="45">
        <f t="shared" ref="D43" si="66">VLOOKUP($B$38,$S$21:$T$29,2,0)*B43</f>
        <v>604800</v>
      </c>
      <c r="E43" s="45">
        <f t="shared" ref="E43" si="67">VLOOKUP($B$38,$S$21:$T$29,2,0)*C43</f>
        <v>700000</v>
      </c>
      <c r="F43" s="46">
        <v>0</v>
      </c>
      <c r="G43" s="45">
        <v>0</v>
      </c>
      <c r="H43" s="45">
        <f t="shared" ref="H43" si="68">VLOOKUP($F$38,$S$21:$T$29,2,0)*F43</f>
        <v>0</v>
      </c>
      <c r="I43" s="45">
        <f>VLOOKUP($F$38,$S$21:$T$29,2,0)*G43</f>
        <v>0</v>
      </c>
      <c r="J43" s="46">
        <v>0</v>
      </c>
      <c r="K43" s="45">
        <v>380</v>
      </c>
      <c r="L43" s="45">
        <f t="shared" ref="L43" si="69">VLOOKUP($J$38,$S$21:$T$29,2,0)*J43</f>
        <v>0</v>
      </c>
      <c r="M43" s="45">
        <f t="shared" ref="M43" si="70">VLOOKUP($J$38,$S$21:$T$29,2,0)*K43</f>
        <v>220400</v>
      </c>
      <c r="N43" s="57">
        <v>0</v>
      </c>
      <c r="O43" s="45">
        <v>0</v>
      </c>
      <c r="P43" s="45">
        <f t="shared" si="61"/>
        <v>0</v>
      </c>
      <c r="Q43" s="45">
        <f t="shared" si="62"/>
        <v>0</v>
      </c>
      <c r="R43" s="152">
        <v>0</v>
      </c>
      <c r="S43" s="47">
        <v>0</v>
      </c>
      <c r="T43" s="152">
        <v>0</v>
      </c>
      <c r="U43" s="532">
        <v>0</v>
      </c>
      <c r="V43" s="46">
        <v>0</v>
      </c>
      <c r="W43" s="47">
        <v>0</v>
      </c>
      <c r="X43" s="73">
        <f t="shared" si="53"/>
        <v>110620</v>
      </c>
      <c r="Y43" s="74">
        <f t="shared" si="54"/>
        <v>116666</v>
      </c>
      <c r="Z43" s="74">
        <f t="shared" si="55"/>
        <v>51059891</v>
      </c>
      <c r="AA43" s="105">
        <f t="shared" si="63"/>
        <v>56427907.401666671</v>
      </c>
      <c r="AB43" s="203">
        <f t="shared" si="56"/>
        <v>8.2314010403249256</v>
      </c>
      <c r="AC43" s="203">
        <f t="shared" si="57"/>
        <v>4.413738373500224</v>
      </c>
      <c r="AD43" s="429">
        <f t="shared" si="58"/>
        <v>51059.891000000003</v>
      </c>
      <c r="AE43" s="428"/>
      <c r="AF43" s="428"/>
    </row>
    <row r="44" spans="1:32" ht="20.100000000000001" customHeight="1">
      <c r="A44" s="44" t="s">
        <v>102</v>
      </c>
      <c r="B44" s="45">
        <v>5760</v>
      </c>
      <c r="C44" s="45">
        <v>5800</v>
      </c>
      <c r="D44" s="45">
        <f t="shared" ref="D44" si="71">VLOOKUP($B$38,$S$21:$T$29,2,0)*B44</f>
        <v>806400</v>
      </c>
      <c r="E44" s="45">
        <f t="shared" ref="E44" si="72">VLOOKUP($B$38,$S$21:$T$29,2,0)*C44</f>
        <v>812000</v>
      </c>
      <c r="F44" s="46">
        <v>0</v>
      </c>
      <c r="G44" s="45">
        <v>0</v>
      </c>
      <c r="H44" s="45">
        <f t="shared" si="52"/>
        <v>0</v>
      </c>
      <c r="I44" s="47">
        <v>0</v>
      </c>
      <c r="J44" s="46">
        <v>0</v>
      </c>
      <c r="K44" s="45">
        <v>540</v>
      </c>
      <c r="L44" s="45">
        <f t="shared" si="59"/>
        <v>0</v>
      </c>
      <c r="M44" s="45">
        <f t="shared" si="60"/>
        <v>313200</v>
      </c>
      <c r="N44" s="57">
        <v>0</v>
      </c>
      <c r="O44" s="45">
        <v>0</v>
      </c>
      <c r="P44" s="45">
        <f t="shared" si="61"/>
        <v>0</v>
      </c>
      <c r="Q44" s="45">
        <f t="shared" si="62"/>
        <v>0</v>
      </c>
      <c r="R44" s="152">
        <v>0</v>
      </c>
      <c r="S44" s="47">
        <v>0</v>
      </c>
      <c r="T44" s="152">
        <v>0</v>
      </c>
      <c r="U44" s="532">
        <v>0</v>
      </c>
      <c r="V44" s="46">
        <v>0</v>
      </c>
      <c r="W44" s="47">
        <v>0</v>
      </c>
      <c r="X44" s="73">
        <f t="shared" si="53"/>
        <v>108430</v>
      </c>
      <c r="Y44" s="74">
        <f t="shared" si="54"/>
        <v>104190</v>
      </c>
      <c r="Z44" s="74">
        <f t="shared" si="55"/>
        <v>50275910</v>
      </c>
      <c r="AA44" s="105">
        <f t="shared" si="63"/>
        <v>47404964.350000001</v>
      </c>
      <c r="AB44" s="203">
        <f t="shared" si="56"/>
        <v>7.2136108436794704</v>
      </c>
      <c r="AC44" s="203">
        <f t="shared" si="57"/>
        <v>3.6744949716424018</v>
      </c>
      <c r="AD44" s="429">
        <f t="shared" si="58"/>
        <v>50275.91</v>
      </c>
      <c r="AE44" s="428"/>
      <c r="AF44" s="428"/>
    </row>
    <row r="45" spans="1:32" ht="20.100000000000001" customHeight="1">
      <c r="A45" s="44" t="s">
        <v>87</v>
      </c>
      <c r="B45" s="45">
        <v>5760</v>
      </c>
      <c r="C45" s="45">
        <v>5800</v>
      </c>
      <c r="D45" s="45">
        <f t="shared" ref="D45" si="73">VLOOKUP($B$38,$S$21:$T$29,2,0)*B45</f>
        <v>806400</v>
      </c>
      <c r="E45" s="45">
        <f t="shared" ref="E45" si="74">VLOOKUP($B$38,$S$21:$T$29,2,0)*C45</f>
        <v>812000</v>
      </c>
      <c r="F45" s="46">
        <v>0</v>
      </c>
      <c r="G45" s="45">
        <v>0</v>
      </c>
      <c r="H45" s="45">
        <f t="shared" si="52"/>
        <v>0</v>
      </c>
      <c r="I45" s="47">
        <v>0</v>
      </c>
      <c r="J45" s="46">
        <v>3140</v>
      </c>
      <c r="K45" s="45">
        <v>540</v>
      </c>
      <c r="L45" s="45">
        <f t="shared" si="59"/>
        <v>1821200</v>
      </c>
      <c r="M45" s="45">
        <f t="shared" si="60"/>
        <v>313200</v>
      </c>
      <c r="N45" s="57">
        <v>0</v>
      </c>
      <c r="O45" s="45">
        <v>0</v>
      </c>
      <c r="P45" s="45">
        <f t="shared" si="61"/>
        <v>0</v>
      </c>
      <c r="Q45" s="45">
        <f t="shared" si="62"/>
        <v>0</v>
      </c>
      <c r="R45" s="152">
        <v>0</v>
      </c>
      <c r="S45" s="47">
        <v>0</v>
      </c>
      <c r="T45" s="152">
        <v>0</v>
      </c>
      <c r="U45" s="532">
        <v>0</v>
      </c>
      <c r="V45" s="46">
        <v>0</v>
      </c>
      <c r="W45" s="47">
        <v>0</v>
      </c>
      <c r="X45" s="73">
        <f t="shared" si="53"/>
        <v>87220</v>
      </c>
      <c r="Y45" s="74">
        <f t="shared" si="54"/>
        <v>90160</v>
      </c>
      <c r="Z45" s="74">
        <f t="shared" si="55"/>
        <v>42501764</v>
      </c>
      <c r="AA45" s="105">
        <f t="shared" si="63"/>
        <v>40956927.506666668</v>
      </c>
      <c r="AB45" s="203">
        <f t="shared" si="56"/>
        <v>8.1412800166113524</v>
      </c>
      <c r="AC45" s="203">
        <f t="shared" si="57"/>
        <v>3.6816870955726309</v>
      </c>
      <c r="AD45" s="429">
        <f t="shared" si="58"/>
        <v>42501.764000000003</v>
      </c>
      <c r="AE45" s="428"/>
      <c r="AF45" s="428"/>
    </row>
    <row r="46" spans="1:32" ht="20.100000000000001" customHeight="1">
      <c r="A46" s="50" t="s">
        <v>103</v>
      </c>
      <c r="B46" s="45">
        <v>5505</v>
      </c>
      <c r="C46" s="45">
        <v>5800</v>
      </c>
      <c r="D46" s="45">
        <f t="shared" ref="D46" si="75">VLOOKUP($B$38,$S$21:$T$29,2,0)*B46</f>
        <v>770700</v>
      </c>
      <c r="E46" s="45">
        <f t="shared" ref="E46" si="76">VLOOKUP($B$38,$S$21:$T$29,2,0)*C46</f>
        <v>812000</v>
      </c>
      <c r="F46" s="46">
        <v>0</v>
      </c>
      <c r="G46" s="45">
        <v>0</v>
      </c>
      <c r="H46" s="45">
        <v>0</v>
      </c>
      <c r="I46" s="47">
        <v>0</v>
      </c>
      <c r="J46" s="46">
        <v>0</v>
      </c>
      <c r="K46" s="45">
        <v>540</v>
      </c>
      <c r="L46" s="45">
        <f t="shared" ref="L46" si="77">VLOOKUP($J$38,$S$21:$T$29,2,0)*J46</f>
        <v>0</v>
      </c>
      <c r="M46" s="45">
        <f t="shared" ref="M46" si="78">VLOOKUP($J$38,$S$21:$T$29,2,0)*K46</f>
        <v>313200</v>
      </c>
      <c r="N46" s="57">
        <v>0</v>
      </c>
      <c r="O46" s="45">
        <v>0</v>
      </c>
      <c r="P46" s="45">
        <f t="shared" si="61"/>
        <v>0</v>
      </c>
      <c r="Q46" s="45">
        <v>0</v>
      </c>
      <c r="R46" s="152">
        <v>0</v>
      </c>
      <c r="S46" s="47">
        <v>0</v>
      </c>
      <c r="T46" s="152">
        <v>0</v>
      </c>
      <c r="U46" s="532">
        <v>0</v>
      </c>
      <c r="V46" s="46">
        <v>0</v>
      </c>
      <c r="W46" s="47">
        <v>0</v>
      </c>
      <c r="X46" s="73">
        <f t="shared" si="53"/>
        <v>102035</v>
      </c>
      <c r="Y46" s="74">
        <f t="shared" si="54"/>
        <v>102766</v>
      </c>
      <c r="Z46" s="74">
        <f t="shared" si="55"/>
        <v>44761918</v>
      </c>
      <c r="AA46" s="105">
        <f t="shared" si="63"/>
        <v>46378934.286666669</v>
      </c>
      <c r="AB46" s="203">
        <f t="shared" si="56"/>
        <v>7.8641268522774066</v>
      </c>
      <c r="AC46" s="203">
        <f t="shared" si="57"/>
        <v>3.4127460144402679</v>
      </c>
      <c r="AD46" s="429">
        <f t="shared" si="58"/>
        <v>44761.917999999998</v>
      </c>
      <c r="AE46" s="428"/>
      <c r="AF46" s="428"/>
    </row>
    <row r="47" spans="1:32" ht="20.100000000000001" customHeight="1">
      <c r="A47" s="50" t="s">
        <v>104</v>
      </c>
      <c r="B47" s="45">
        <v>5760</v>
      </c>
      <c r="C47" s="45">
        <v>5605</v>
      </c>
      <c r="D47" s="45">
        <f t="shared" ref="D47" si="79">VLOOKUP($B$38,$S$21:$T$29,2,0)*B47</f>
        <v>806400</v>
      </c>
      <c r="E47" s="45">
        <f t="shared" ref="E47" si="80">VLOOKUP($B$38,$S$21:$T$29,2,0)*C47</f>
        <v>784700</v>
      </c>
      <c r="F47" s="46">
        <f>'3. 세부 운영내역'!AH27</f>
        <v>0</v>
      </c>
      <c r="G47" s="45">
        <f>'3. 세부 운영내역'!AH28</f>
        <v>0</v>
      </c>
      <c r="H47" s="45">
        <f t="shared" si="52"/>
        <v>0</v>
      </c>
      <c r="I47" s="47">
        <v>0</v>
      </c>
      <c r="J47" s="46">
        <v>0</v>
      </c>
      <c r="K47" s="45">
        <v>520</v>
      </c>
      <c r="L47" s="45">
        <f t="shared" si="59"/>
        <v>0</v>
      </c>
      <c r="M47" s="45">
        <f t="shared" si="60"/>
        <v>301600</v>
      </c>
      <c r="N47" s="57">
        <v>0</v>
      </c>
      <c r="O47" s="45">
        <v>0</v>
      </c>
      <c r="P47" s="45">
        <f t="shared" si="61"/>
        <v>0</v>
      </c>
      <c r="Q47" s="45">
        <f t="shared" si="62"/>
        <v>0</v>
      </c>
      <c r="R47" s="152">
        <v>0</v>
      </c>
      <c r="S47" s="47">
        <v>0</v>
      </c>
      <c r="T47" s="152">
        <v>0</v>
      </c>
      <c r="U47" s="532">
        <v>0</v>
      </c>
      <c r="V47" s="46">
        <v>0</v>
      </c>
      <c r="W47" s="47">
        <v>0</v>
      </c>
      <c r="X47" s="73">
        <f t="shared" si="53"/>
        <v>89770</v>
      </c>
      <c r="Y47" s="74">
        <f t="shared" si="54"/>
        <v>95240</v>
      </c>
      <c r="Z47" s="74">
        <f t="shared" si="55"/>
        <v>43287763</v>
      </c>
      <c r="AA47" s="105">
        <f t="shared" si="63"/>
        <v>45477126.629999995</v>
      </c>
      <c r="AB47" s="203">
        <f t="shared" si="56"/>
        <v>7.3222347282327762</v>
      </c>
      <c r="AC47" s="203">
        <f t="shared" si="57"/>
        <v>3.6080351903714076</v>
      </c>
      <c r="AD47" s="429">
        <f t="shared" si="58"/>
        <v>43287.762999999999</v>
      </c>
      <c r="AE47" s="428"/>
      <c r="AF47" s="428"/>
    </row>
    <row r="48" spans="1:32" ht="20.100000000000001" customHeight="1">
      <c r="A48" s="50" t="s">
        <v>105</v>
      </c>
      <c r="B48" s="45">
        <v>5760</v>
      </c>
      <c r="C48" s="45">
        <v>6000</v>
      </c>
      <c r="D48" s="45">
        <f t="shared" ref="D48" si="81">VLOOKUP($B$38,$S$21:$T$29,2,0)*B48</f>
        <v>806400</v>
      </c>
      <c r="E48" s="45">
        <f t="shared" ref="E48" si="82">VLOOKUP($B$38,$S$21:$T$29,2,0)*C48</f>
        <v>840000</v>
      </c>
      <c r="F48" s="46">
        <v>0</v>
      </c>
      <c r="G48" s="45">
        <v>0</v>
      </c>
      <c r="H48" s="45">
        <f t="shared" si="52"/>
        <v>0</v>
      </c>
      <c r="I48" s="47">
        <v>0</v>
      </c>
      <c r="J48" s="46">
        <v>0</v>
      </c>
      <c r="K48" s="45">
        <v>700</v>
      </c>
      <c r="L48" s="45">
        <f t="shared" si="59"/>
        <v>0</v>
      </c>
      <c r="M48" s="45">
        <f t="shared" si="60"/>
        <v>406000</v>
      </c>
      <c r="N48" s="57">
        <v>0</v>
      </c>
      <c r="O48" s="45">
        <v>0</v>
      </c>
      <c r="P48" s="45">
        <v>0</v>
      </c>
      <c r="Q48" s="45">
        <v>0</v>
      </c>
      <c r="R48" s="152">
        <v>0</v>
      </c>
      <c r="S48" s="47">
        <v>0</v>
      </c>
      <c r="T48" s="152">
        <v>0</v>
      </c>
      <c r="U48" s="532">
        <v>0</v>
      </c>
      <c r="V48" s="46">
        <v>0</v>
      </c>
      <c r="W48" s="47">
        <v>0</v>
      </c>
      <c r="X48" s="73">
        <f t="shared" si="53"/>
        <v>119780</v>
      </c>
      <c r="Y48" s="74">
        <f>C31+G31+K31+O31+C48+G48+K48+O48+R48</f>
        <v>118352</v>
      </c>
      <c r="Z48" s="74">
        <f t="shared" si="55"/>
        <v>53805273</v>
      </c>
      <c r="AA48" s="105">
        <f>SUM(E31,I31,M31,Q31,E48,I48,M48,Q48,S48)</f>
        <v>52665278.420000002</v>
      </c>
      <c r="AB48" s="203">
        <f t="shared" si="56"/>
        <v>7.0468436901306175</v>
      </c>
      <c r="AC48" s="203">
        <f t="shared" si="57"/>
        <v>3.5141505546027054</v>
      </c>
      <c r="AD48" s="429">
        <f t="shared" si="58"/>
        <v>53805.273000000001</v>
      </c>
    </row>
    <row r="49" spans="1:30" ht="20.100000000000001" customHeight="1">
      <c r="A49" s="50" t="s">
        <v>91</v>
      </c>
      <c r="B49" s="45">
        <f>'3. 세부 운영내역'!AH33</f>
        <v>7200</v>
      </c>
      <c r="C49" s="45">
        <f>'3. 세부 운영내역'!AH34</f>
        <v>6020</v>
      </c>
      <c r="D49" s="45">
        <f t="shared" ref="D49" si="83">VLOOKUP($B$38,$S$21:$T$29,2,0)*B49</f>
        <v>1008000</v>
      </c>
      <c r="E49" s="45">
        <f t="shared" ref="E49" si="84">VLOOKUP($B$38,$S$21:$T$29,2,0)*C49</f>
        <v>842800</v>
      </c>
      <c r="F49" s="46">
        <v>0</v>
      </c>
      <c r="G49" s="45">
        <v>0</v>
      </c>
      <c r="H49" s="45">
        <f t="shared" si="52"/>
        <v>0</v>
      </c>
      <c r="I49" s="47">
        <v>0</v>
      </c>
      <c r="J49" s="46">
        <v>0</v>
      </c>
      <c r="K49" s="45">
        <f>'3. 세부 운영내역'!AH31</f>
        <v>560</v>
      </c>
      <c r="L49" s="45">
        <f t="shared" si="59"/>
        <v>0</v>
      </c>
      <c r="M49" s="45">
        <f t="shared" si="60"/>
        <v>324800</v>
      </c>
      <c r="N49" s="57">
        <v>0</v>
      </c>
      <c r="O49" s="45">
        <v>0</v>
      </c>
      <c r="P49" s="45">
        <f t="shared" si="61"/>
        <v>0</v>
      </c>
      <c r="Q49" s="45">
        <f t="shared" si="62"/>
        <v>0</v>
      </c>
      <c r="R49" s="152">
        <v>0</v>
      </c>
      <c r="S49" s="47">
        <v>0</v>
      </c>
      <c r="T49" s="152">
        <v>0</v>
      </c>
      <c r="U49" s="532">
        <v>0</v>
      </c>
      <c r="V49" s="46">
        <v>0</v>
      </c>
      <c r="W49" s="47">
        <v>0</v>
      </c>
      <c r="X49" s="73">
        <f t="shared" si="53"/>
        <v>112640</v>
      </c>
      <c r="Y49" s="74">
        <f>C32+G32+K32+O32+C49+G49+K49+O49</f>
        <v>106877</v>
      </c>
      <c r="Z49" s="74">
        <f t="shared" si="55"/>
        <v>49294800</v>
      </c>
      <c r="AA49" s="105">
        <f>SUM(E32,I32,M32,Q32,E49,I49,M49,Q49)</f>
        <v>49461660</v>
      </c>
      <c r="AB49" s="203">
        <f t="shared" ref="AB49" si="85">IFERROR((Z49/D14)/1000," ")</f>
        <v>7.2793030978547852</v>
      </c>
      <c r="AC49" s="203">
        <f t="shared" ref="AC49" si="86">IFERROR((Z49/F14)/1000," ")</f>
        <v>3.4657048848392815</v>
      </c>
      <c r="AD49" s="429">
        <f t="shared" si="58"/>
        <v>49294.8</v>
      </c>
    </row>
    <row r="50" spans="1:30" ht="20.100000000000001" customHeight="1">
      <c r="A50" s="44" t="s">
        <v>92</v>
      </c>
      <c r="B50" s="45"/>
      <c r="C50" s="45"/>
      <c r="D50" s="45"/>
      <c r="E50" s="45"/>
      <c r="F50" s="46">
        <f>'3. 세부 운영내역'!AI27</f>
        <v>0</v>
      </c>
      <c r="G50" s="45">
        <f>'3. 세부 운영내역'!AI28</f>
        <v>0</v>
      </c>
      <c r="H50" s="45">
        <f t="shared" si="52"/>
        <v>0</v>
      </c>
      <c r="I50" s="47">
        <v>0</v>
      </c>
      <c r="J50" s="46"/>
      <c r="K50" s="45"/>
      <c r="L50" s="45">
        <f>VLOOKUP($J$38,$S$21:$U$29,3,0)*J50</f>
        <v>0</v>
      </c>
      <c r="M50" s="45">
        <f>VLOOKUP($J$38,$S$21:$U$29,3,0)*K50</f>
        <v>0</v>
      </c>
      <c r="N50" s="57"/>
      <c r="O50" s="45">
        <v>0</v>
      </c>
      <c r="P50" s="45">
        <f t="shared" si="61"/>
        <v>0</v>
      </c>
      <c r="Q50" s="45">
        <f t="shared" si="62"/>
        <v>0</v>
      </c>
      <c r="R50" s="152">
        <v>0</v>
      </c>
      <c r="S50" s="51">
        <v>0</v>
      </c>
      <c r="T50" s="152">
        <v>0</v>
      </c>
      <c r="U50" s="532">
        <v>0</v>
      </c>
      <c r="V50" s="46">
        <v>0</v>
      </c>
      <c r="W50" s="47">
        <v>0</v>
      </c>
      <c r="X50" s="73">
        <f t="shared" si="53"/>
        <v>0</v>
      </c>
      <c r="Y50" s="74">
        <f>C33+G33+K33+O33+C50+G50+K50+O50</f>
        <v>0</v>
      </c>
      <c r="Z50" s="74">
        <f t="shared" si="55"/>
        <v>0</v>
      </c>
      <c r="AA50" s="105">
        <f>SUM(E33,I33,M33,Q33,E50,I50,M50,Q50)</f>
        <v>0</v>
      </c>
      <c r="AB50" s="203" t="str">
        <f t="shared" si="56"/>
        <v xml:space="preserve"> </v>
      </c>
      <c r="AC50" s="203" t="str">
        <f t="shared" si="57"/>
        <v xml:space="preserve"> </v>
      </c>
      <c r="AD50" s="429">
        <f t="shared" si="58"/>
        <v>0</v>
      </c>
    </row>
    <row r="51" spans="1:30" ht="20.100000000000001" customHeight="1">
      <c r="A51" s="50" t="s">
        <v>93</v>
      </c>
      <c r="B51" s="45"/>
      <c r="C51" s="45"/>
      <c r="D51" s="45"/>
      <c r="E51" s="45"/>
      <c r="F51" s="46">
        <v>0</v>
      </c>
      <c r="G51" s="45">
        <v>0</v>
      </c>
      <c r="H51" s="45">
        <f t="shared" si="52"/>
        <v>0</v>
      </c>
      <c r="I51" s="51">
        <f>H51*100000</f>
        <v>0</v>
      </c>
      <c r="J51" s="46"/>
      <c r="K51" s="45"/>
      <c r="L51" s="45">
        <f t="shared" si="59"/>
        <v>0</v>
      </c>
      <c r="M51" s="45">
        <f>VLOOKUP($J$38,$S$21:$U$29,3,0)*K51</f>
        <v>0</v>
      </c>
      <c r="N51" s="57"/>
      <c r="O51" s="45">
        <v>0</v>
      </c>
      <c r="P51" s="45">
        <f t="shared" si="61"/>
        <v>0</v>
      </c>
      <c r="Q51" s="45">
        <f t="shared" si="62"/>
        <v>0</v>
      </c>
      <c r="R51" s="152">
        <v>0</v>
      </c>
      <c r="S51" s="51">
        <f>'3. 세부 운영내역'!AK41</f>
        <v>0</v>
      </c>
      <c r="T51" s="152">
        <v>0</v>
      </c>
      <c r="U51" s="533">
        <f>'3. 세부 운영내역'!AK42</f>
        <v>0</v>
      </c>
      <c r="V51" s="46">
        <f>'3. 세부 운영내역'!AH43</f>
        <v>0</v>
      </c>
      <c r="W51" s="51">
        <f>'3. 세부 운영내역'!AK43</f>
        <v>0</v>
      </c>
      <c r="X51" s="73">
        <f>B34+F34+J34+N34+B51+F51+J51+N51+R51+T51+V51</f>
        <v>0</v>
      </c>
      <c r="Y51" s="74">
        <f>C34+G34+K34+O34+C51+G51+K51+O51+V51</f>
        <v>0</v>
      </c>
      <c r="Z51" s="74">
        <f>D34+H34+L34+P34+D51+H51+L51+P51+S51+U51+W51</f>
        <v>0</v>
      </c>
      <c r="AA51" s="105">
        <f>SUM(E34,I34,M34,Q34,E51,I51,M51,Q51,W51)</f>
        <v>0</v>
      </c>
      <c r="AB51" s="203" t="str">
        <f t="shared" si="56"/>
        <v xml:space="preserve"> </v>
      </c>
      <c r="AC51" s="203" t="str">
        <f t="shared" si="57"/>
        <v xml:space="preserve"> </v>
      </c>
      <c r="AD51" s="429">
        <f t="shared" si="58"/>
        <v>0</v>
      </c>
    </row>
    <row r="52" spans="1:30" ht="20.100000000000001" customHeight="1">
      <c r="A52" s="159" t="s">
        <v>95</v>
      </c>
      <c r="B52" s="160">
        <f t="shared" ref="B52:O52" si="87">SUM(B40:B51)</f>
        <v>55905</v>
      </c>
      <c r="C52" s="160">
        <f t="shared" si="87"/>
        <v>56425</v>
      </c>
      <c r="D52" s="160">
        <f t="shared" si="87"/>
        <v>7826700</v>
      </c>
      <c r="E52" s="161">
        <f t="shared" si="87"/>
        <v>7899500</v>
      </c>
      <c r="F52" s="162">
        <f t="shared" si="87"/>
        <v>0</v>
      </c>
      <c r="G52" s="160">
        <f t="shared" si="87"/>
        <v>0</v>
      </c>
      <c r="H52" s="160">
        <f t="shared" si="87"/>
        <v>0</v>
      </c>
      <c r="I52" s="161">
        <f t="shared" si="87"/>
        <v>0</v>
      </c>
      <c r="J52" s="162">
        <f t="shared" si="87"/>
        <v>3140</v>
      </c>
      <c r="K52" s="160">
        <f t="shared" si="87"/>
        <v>5280</v>
      </c>
      <c r="L52" s="160">
        <f t="shared" si="87"/>
        <v>1821200</v>
      </c>
      <c r="M52" s="161">
        <f t="shared" si="87"/>
        <v>3062400</v>
      </c>
      <c r="N52" s="163">
        <f t="shared" si="87"/>
        <v>28070</v>
      </c>
      <c r="O52" s="160">
        <f t="shared" si="87"/>
        <v>0</v>
      </c>
      <c r="P52" s="160">
        <f t="shared" ref="P52:Y52" si="88">SUM(P40:P51)</f>
        <v>4070150</v>
      </c>
      <c r="Q52" s="161">
        <f t="shared" si="88"/>
        <v>0</v>
      </c>
      <c r="R52" s="159">
        <v>0</v>
      </c>
      <c r="S52" s="161">
        <f t="shared" si="88"/>
        <v>0</v>
      </c>
      <c r="T52" s="320"/>
      <c r="U52" s="534"/>
      <c r="V52" s="159">
        <f>SUM(V40:V51)</f>
        <v>0</v>
      </c>
      <c r="W52" s="161">
        <f t="shared" ref="W52" si="89">SUM(W40:W51)</f>
        <v>0</v>
      </c>
      <c r="X52" s="103">
        <f t="shared" si="88"/>
        <v>1068765</v>
      </c>
      <c r="Y52" s="66">
        <f t="shared" si="88"/>
        <v>1044732</v>
      </c>
      <c r="Z52" s="66">
        <f>SUM(Z40:Z51)</f>
        <v>487754596</v>
      </c>
      <c r="AA52" s="71">
        <f>SUM(AA40:AA51)</f>
        <v>483180033.57900006</v>
      </c>
      <c r="AB52" s="300"/>
      <c r="AC52" s="300"/>
      <c r="AD52" s="428"/>
    </row>
    <row r="53" spans="1:30" ht="20.100000000000001" customHeight="1" thickBot="1">
      <c r="A53" s="164" t="s">
        <v>106</v>
      </c>
      <c r="B53" s="165">
        <f t="shared" ref="B53:O53" si="90">AVERAGE(B40:B51)</f>
        <v>5590.5</v>
      </c>
      <c r="C53" s="165">
        <f t="shared" si="90"/>
        <v>5642.5</v>
      </c>
      <c r="D53" s="165">
        <f t="shared" si="90"/>
        <v>782670</v>
      </c>
      <c r="E53" s="166">
        <f t="shared" si="90"/>
        <v>789950</v>
      </c>
      <c r="F53" s="167">
        <f t="shared" si="90"/>
        <v>0</v>
      </c>
      <c r="G53" s="165">
        <f t="shared" si="90"/>
        <v>0</v>
      </c>
      <c r="H53" s="165">
        <f t="shared" si="90"/>
        <v>0</v>
      </c>
      <c r="I53" s="166">
        <f t="shared" si="90"/>
        <v>0</v>
      </c>
      <c r="J53" s="167">
        <f t="shared" si="90"/>
        <v>314</v>
      </c>
      <c r="K53" s="165">
        <f t="shared" si="90"/>
        <v>528</v>
      </c>
      <c r="L53" s="165">
        <f t="shared" si="90"/>
        <v>151766.66666666666</v>
      </c>
      <c r="M53" s="166">
        <f t="shared" si="90"/>
        <v>255200</v>
      </c>
      <c r="N53" s="168">
        <f t="shared" si="90"/>
        <v>2807</v>
      </c>
      <c r="O53" s="165">
        <f t="shared" si="90"/>
        <v>0</v>
      </c>
      <c r="P53" s="165">
        <f t="shared" ref="P53:Y53" si="91">AVERAGE(P40:P51)</f>
        <v>339179.16666666669</v>
      </c>
      <c r="Q53" s="166">
        <f t="shared" si="91"/>
        <v>0</v>
      </c>
      <c r="R53" s="316">
        <v>0</v>
      </c>
      <c r="S53" s="166">
        <f t="shared" si="91"/>
        <v>0</v>
      </c>
      <c r="T53" s="321"/>
      <c r="U53" s="535"/>
      <c r="V53" s="167">
        <f>AVERAGE(V40:V51)</f>
        <v>0</v>
      </c>
      <c r="W53" s="166">
        <f t="shared" ref="W53" si="92">AVERAGE(W40:W51)</f>
        <v>0</v>
      </c>
      <c r="X53" s="104">
        <f t="shared" si="91"/>
        <v>89063.75</v>
      </c>
      <c r="Y53" s="67">
        <f t="shared" si="91"/>
        <v>87061</v>
      </c>
      <c r="Z53" s="67">
        <f t="shared" ref="Z53:AC53" si="93">AVERAGE(Z40:Z51)</f>
        <v>40646216.333333336</v>
      </c>
      <c r="AA53" s="72">
        <f t="shared" si="93"/>
        <v>40265002.798250005</v>
      </c>
      <c r="AB53" s="301">
        <f t="shared" si="93"/>
        <v>7.6916716239845186</v>
      </c>
      <c r="AC53" s="301">
        <f t="shared" si="93"/>
        <v>3.8634467643384851</v>
      </c>
    </row>
    <row r="54" spans="1:30">
      <c r="X54" s="428"/>
      <c r="Y54" s="428"/>
    </row>
    <row r="55" spans="1:30" ht="24.95" customHeight="1" thickBot="1">
      <c r="A55" s="897" t="s">
        <v>329</v>
      </c>
      <c r="B55" s="897"/>
      <c r="C55" s="120"/>
      <c r="D55" s="430"/>
      <c r="E55" s="430"/>
      <c r="F55" s="511"/>
      <c r="G55" s="430"/>
      <c r="H55" s="121"/>
      <c r="I55" s="121"/>
      <c r="J55" s="122"/>
      <c r="K55" s="121"/>
      <c r="L55" s="122"/>
      <c r="M55" s="122"/>
      <c r="N55" s="121"/>
      <c r="O55" s="121"/>
      <c r="Y55" s="315"/>
      <c r="AA55" s="428"/>
      <c r="AB55" s="315"/>
      <c r="AC55" s="311"/>
      <c r="AD55" s="311"/>
    </row>
    <row r="56" spans="1:30" s="431" customFormat="1" ht="32.450000000000003" customHeight="1" thickBot="1">
      <c r="A56" s="898" t="str">
        <f>A3</f>
        <v>2025년도</v>
      </c>
      <c r="B56" s="899" t="s">
        <v>138</v>
      </c>
      <c r="C56" s="900"/>
      <c r="D56" s="901" t="s">
        <v>187</v>
      </c>
      <c r="E56" s="902"/>
      <c r="F56" s="902"/>
      <c r="G56" s="902"/>
      <c r="H56" s="902"/>
      <c r="I56" s="902"/>
      <c r="J56" s="902"/>
      <c r="K56" s="902"/>
      <c r="L56" s="902"/>
      <c r="M56" s="902"/>
      <c r="N56" s="902"/>
      <c r="O56" s="902"/>
      <c r="P56" s="902"/>
      <c r="Q56" s="902"/>
      <c r="R56" s="902"/>
      <c r="S56" s="902"/>
      <c r="T56" s="902"/>
      <c r="U56" s="902"/>
      <c r="V56" s="903"/>
      <c r="W56" s="895" t="s">
        <v>269</v>
      </c>
      <c r="X56" s="907" t="s">
        <v>272</v>
      </c>
      <c r="Y56" s="908"/>
      <c r="Z56" s="895" t="s">
        <v>226</v>
      </c>
      <c r="AA56" s="450" t="s">
        <v>265</v>
      </c>
      <c r="AB56" s="451"/>
      <c r="AC56" s="204"/>
      <c r="AD56" s="204"/>
    </row>
    <row r="57" spans="1:30" s="431" customFormat="1" ht="14.25" thickBot="1">
      <c r="A57" s="896"/>
      <c r="B57" s="106" t="s">
        <v>139</v>
      </c>
      <c r="C57" s="77" t="s">
        <v>155</v>
      </c>
      <c r="D57" s="88" t="s">
        <v>140</v>
      </c>
      <c r="E57" s="113" t="s">
        <v>141</v>
      </c>
      <c r="F57" s="113" t="s">
        <v>147</v>
      </c>
      <c r="G57" s="113" t="s">
        <v>142</v>
      </c>
      <c r="H57" s="113" t="s">
        <v>144</v>
      </c>
      <c r="I57" s="113" t="s">
        <v>146</v>
      </c>
      <c r="J57" s="113" t="s">
        <v>145</v>
      </c>
      <c r="K57" s="113" t="s">
        <v>144</v>
      </c>
      <c r="L57" s="113" t="s">
        <v>147</v>
      </c>
      <c r="M57" s="113" t="s">
        <v>148</v>
      </c>
      <c r="N57" s="113" t="s">
        <v>143</v>
      </c>
      <c r="O57" s="129" t="s">
        <v>146</v>
      </c>
      <c r="P57" s="88" t="s">
        <v>157</v>
      </c>
      <c r="Q57" s="129" t="s">
        <v>158</v>
      </c>
      <c r="R57" s="172" t="s">
        <v>159</v>
      </c>
      <c r="S57" s="78" t="s">
        <v>160</v>
      </c>
      <c r="T57" s="137" t="s">
        <v>161</v>
      </c>
      <c r="U57" s="78" t="s">
        <v>162</v>
      </c>
      <c r="V57" s="130" t="s">
        <v>149</v>
      </c>
      <c r="W57" s="906"/>
      <c r="X57" s="117" t="s">
        <v>270</v>
      </c>
      <c r="Y57" s="117" t="s">
        <v>271</v>
      </c>
      <c r="Z57" s="896"/>
      <c r="AA57" s="117" t="s">
        <v>227</v>
      </c>
      <c r="AB57" s="118" t="s">
        <v>228</v>
      </c>
      <c r="AC57" s="204"/>
      <c r="AD57" s="204"/>
    </row>
    <row r="58" spans="1:30" s="431" customFormat="1" ht="24.95" customHeight="1" thickTop="1">
      <c r="A58" s="85" t="s">
        <v>150</v>
      </c>
      <c r="B58" s="107">
        <v>1641.19</v>
      </c>
      <c r="C58" s="125">
        <v>56456.11</v>
      </c>
      <c r="D58" s="89">
        <v>559071</v>
      </c>
      <c r="E58" s="151">
        <v>194.06</v>
      </c>
      <c r="F58" s="128">
        <f>D58*E58/1000</f>
        <v>108493.31826</v>
      </c>
      <c r="G58" s="90">
        <v>17609.400000000001</v>
      </c>
      <c r="H58" s="91">
        <v>49.81</v>
      </c>
      <c r="I58" s="79">
        <f>G58*H58/1000</f>
        <v>877.12421400000017</v>
      </c>
      <c r="J58" s="90">
        <v>4736</v>
      </c>
      <c r="K58" s="92">
        <v>49.81</v>
      </c>
      <c r="L58" s="80">
        <f>J58*K58/1000</f>
        <v>235.90016</v>
      </c>
      <c r="M58" s="124">
        <v>7748</v>
      </c>
      <c r="N58" s="91">
        <v>536.95000000000005</v>
      </c>
      <c r="O58" s="80">
        <f>M58*N58/1000</f>
        <v>4160.2886000000008</v>
      </c>
      <c r="P58" s="89">
        <v>1091.1799999999998</v>
      </c>
      <c r="Q58" s="144">
        <v>29753.360000000001</v>
      </c>
      <c r="R58" s="107">
        <v>162.39000000000001</v>
      </c>
      <c r="S58" s="125">
        <v>6657.9900000000007</v>
      </c>
      <c r="T58" s="138">
        <v>0</v>
      </c>
      <c r="U58" s="108">
        <v>0</v>
      </c>
      <c r="V58" s="114">
        <f>B5*1.192*10</f>
        <v>52033.184000000008</v>
      </c>
      <c r="W58" s="114">
        <f>SUM(-C58,F58,I58,L58,O58,Q58,S58,V58)</f>
        <v>145755.05523400003</v>
      </c>
      <c r="X58" s="507">
        <f>IFERROR(W58/D5," ")</f>
        <v>24.213355745733864</v>
      </c>
      <c r="Y58" s="507">
        <f>IFERROR(W58/F5," ")</f>
        <v>12.576366331366057</v>
      </c>
      <c r="Z58" s="93">
        <f t="shared" ref="Z58:Z69" si="94">SUM(-C58,AD40,F58,I58,L58,O58,Q58,S58,U58,V58)</f>
        <v>194747.982234</v>
      </c>
      <c r="AA58" s="119">
        <f t="shared" ref="AA58:AA69" si="95">IFERROR((Z58/D5)," ")</f>
        <v>32.352237574369383</v>
      </c>
      <c r="AB58" s="119">
        <f t="shared" ref="AB58:AB69" si="96">IFERROR(Z58/F5," ")</f>
        <v>16.803684530441085</v>
      </c>
      <c r="AC58" s="310">
        <f t="shared" ref="AC58:AC69" si="97">AB58*1000</f>
        <v>16803.684530441085</v>
      </c>
      <c r="AD58" s="310">
        <f t="shared" ref="AD58:AD61" si="98">Y58*1000</f>
        <v>12576.366331366056</v>
      </c>
    </row>
    <row r="59" spans="1:30" s="431" customFormat="1" ht="24.95" customHeight="1">
      <c r="A59" s="85" t="s">
        <v>83</v>
      </c>
      <c r="B59" s="107">
        <v>1574.43</v>
      </c>
      <c r="C59" s="125">
        <v>53560.09</v>
      </c>
      <c r="D59" s="89">
        <v>522306</v>
      </c>
      <c r="E59" s="151">
        <v>195.36</v>
      </c>
      <c r="F59" s="128">
        <f t="shared" ref="F59:F69" si="99">D59*E59/1000</f>
        <v>102037.70016000001</v>
      </c>
      <c r="G59" s="90">
        <v>10514.64</v>
      </c>
      <c r="H59" s="91">
        <v>50.21</v>
      </c>
      <c r="I59" s="79">
        <f t="shared" ref="I59:I68" si="100">G59*H59/1000</f>
        <v>527.94007439999996</v>
      </c>
      <c r="J59" s="90">
        <v>4517.1000000000004</v>
      </c>
      <c r="K59" s="92">
        <v>50.21</v>
      </c>
      <c r="L59" s="80">
        <f t="shared" ref="L59:L68" si="101">J59*K59/1000</f>
        <v>226.80359100000001</v>
      </c>
      <c r="M59" s="124">
        <v>7748</v>
      </c>
      <c r="N59" s="91">
        <v>503.72</v>
      </c>
      <c r="O59" s="80">
        <f>M59*N59/1000</f>
        <v>3902.8225600000001</v>
      </c>
      <c r="P59" s="89">
        <v>1008.09</v>
      </c>
      <c r="Q59" s="144">
        <v>27511.01</v>
      </c>
      <c r="R59" s="107">
        <v>157.28000000000003</v>
      </c>
      <c r="S59" s="125">
        <v>6448.4800000000014</v>
      </c>
      <c r="T59" s="138">
        <v>0</v>
      </c>
      <c r="U59" s="108">
        <v>0</v>
      </c>
      <c r="V59" s="114">
        <f t="shared" ref="V59:V69" si="102">B6*1.192*10</f>
        <v>55429.192000000003</v>
      </c>
      <c r="W59" s="114">
        <f t="shared" ref="W59:W69" si="103">SUM(-C59,F59,I59,L59,O59,Q59,S59,V59)</f>
        <v>142523.8583854</v>
      </c>
      <c r="X59" s="507">
        <f t="shared" ref="X59:X69" si="104">IFERROR(W59/D6," ")</f>
        <v>23.167830291199323</v>
      </c>
      <c r="Y59" s="507">
        <f t="shared" ref="Y59:Y69" si="105">IFERROR(W59/F6," ")</f>
        <v>12.329586780172153</v>
      </c>
      <c r="Z59" s="93">
        <f t="shared" si="94"/>
        <v>198311.24438540003</v>
      </c>
      <c r="AA59" s="119">
        <f t="shared" si="95"/>
        <v>32.236295780974679</v>
      </c>
      <c r="AB59" s="119">
        <f t="shared" si="96"/>
        <v>17.155693964738962</v>
      </c>
      <c r="AC59" s="310">
        <f t="shared" si="97"/>
        <v>17155.693964738963</v>
      </c>
      <c r="AD59" s="310">
        <f t="shared" si="98"/>
        <v>12329.586780172154</v>
      </c>
    </row>
    <row r="60" spans="1:30" s="432" customFormat="1" ht="24.95" customHeight="1">
      <c r="A60" s="85" t="s">
        <v>84</v>
      </c>
      <c r="B60" s="107">
        <v>1845.54</v>
      </c>
      <c r="C60" s="125">
        <v>62877.919999999998</v>
      </c>
      <c r="D60" s="89">
        <v>560142</v>
      </c>
      <c r="E60" s="151">
        <v>167.95</v>
      </c>
      <c r="F60" s="128">
        <f t="shared" si="99"/>
        <v>94075.848899999997</v>
      </c>
      <c r="G60" s="90">
        <v>10924.199999999999</v>
      </c>
      <c r="H60" s="91">
        <v>44.03</v>
      </c>
      <c r="I60" s="79">
        <f t="shared" si="100"/>
        <v>480.99252599999994</v>
      </c>
      <c r="J60" s="90">
        <v>4876.5000000000009</v>
      </c>
      <c r="K60" s="92">
        <v>44.03</v>
      </c>
      <c r="L60" s="80">
        <f t="shared" si="101"/>
        <v>214.71229500000004</v>
      </c>
      <c r="M60" s="124">
        <v>7748</v>
      </c>
      <c r="N60" s="91">
        <v>472.57</v>
      </c>
      <c r="O60" s="80">
        <f>M60*N60/1000</f>
        <v>3661.4723599999998</v>
      </c>
      <c r="P60" s="89">
        <v>1088.28</v>
      </c>
      <c r="Q60" s="144">
        <v>30911.47</v>
      </c>
      <c r="R60" s="107">
        <v>274.49999999999994</v>
      </c>
      <c r="S60" s="125">
        <v>11254.499999999998</v>
      </c>
      <c r="T60" s="138">
        <v>0</v>
      </c>
      <c r="U60" s="108">
        <v>0</v>
      </c>
      <c r="V60" s="114">
        <f t="shared" si="102"/>
        <v>65948.592000000004</v>
      </c>
      <c r="W60" s="114">
        <f t="shared" si="103"/>
        <v>143669.66808100001</v>
      </c>
      <c r="X60" s="507">
        <f t="shared" si="104"/>
        <v>19.791587650885887</v>
      </c>
      <c r="Y60" s="507">
        <f t="shared" si="105"/>
        <v>11.408330401718361</v>
      </c>
      <c r="Z60" s="93">
        <f t="shared" si="94"/>
        <v>191656.63208100002</v>
      </c>
      <c r="AA60" s="119">
        <f t="shared" si="95"/>
        <v>26.402156303208866</v>
      </c>
      <c r="AB60" s="119">
        <f t="shared" si="96"/>
        <v>15.21881557649245</v>
      </c>
      <c r="AC60" s="310">
        <f t="shared" si="97"/>
        <v>15218.81557649245</v>
      </c>
      <c r="AD60" s="310">
        <f t="shared" si="98"/>
        <v>11408.330401718362</v>
      </c>
    </row>
    <row r="61" spans="1:30" s="504" customFormat="1" ht="24.95" customHeight="1">
      <c r="A61" s="187" t="s">
        <v>85</v>
      </c>
      <c r="B61" s="188">
        <v>1657.8700000000001</v>
      </c>
      <c r="C61" s="189">
        <v>56573.97</v>
      </c>
      <c r="D61" s="196">
        <v>544590</v>
      </c>
      <c r="E61" s="151">
        <v>165.9</v>
      </c>
      <c r="F61" s="191">
        <f t="shared" si="99"/>
        <v>90347.481</v>
      </c>
      <c r="G61" s="501">
        <v>9332.4000000000015</v>
      </c>
      <c r="H61" s="193">
        <v>44.56</v>
      </c>
      <c r="I61" s="194">
        <f t="shared" si="100"/>
        <v>415.85174400000005</v>
      </c>
      <c r="J61" s="501">
        <v>4538.1000000000004</v>
      </c>
      <c r="K61" s="92">
        <v>44.56</v>
      </c>
      <c r="L61" s="195">
        <f t="shared" si="101"/>
        <v>202.21773600000003</v>
      </c>
      <c r="M61" s="124">
        <v>7748</v>
      </c>
      <c r="N61" s="193">
        <v>497.43</v>
      </c>
      <c r="O61" s="195">
        <f t="shared" ref="O61:O68" si="106">M61*N61/1000</f>
        <v>3854.0876400000002</v>
      </c>
      <c r="P61" s="196">
        <v>954.02</v>
      </c>
      <c r="Q61" s="197">
        <v>24567.359999999997</v>
      </c>
      <c r="R61" s="188">
        <v>138.27000000000001</v>
      </c>
      <c r="S61" s="189">
        <v>5669.07</v>
      </c>
      <c r="T61" s="198">
        <v>0</v>
      </c>
      <c r="U61" s="199">
        <v>0</v>
      </c>
      <c r="V61" s="114">
        <f t="shared" si="102"/>
        <v>54107.263999999988</v>
      </c>
      <c r="W61" s="114">
        <f t="shared" si="103"/>
        <v>122589.36211999998</v>
      </c>
      <c r="X61" s="507">
        <f t="shared" si="104"/>
        <v>19.762717528859135</v>
      </c>
      <c r="Y61" s="507">
        <f t="shared" si="105"/>
        <v>10.596915919228239</v>
      </c>
      <c r="Z61" s="502">
        <f t="shared" si="94"/>
        <v>173649.25312000001</v>
      </c>
      <c r="AA61" s="503">
        <f t="shared" si="95"/>
        <v>27.994118569184064</v>
      </c>
      <c r="AB61" s="503">
        <f t="shared" si="96"/>
        <v>15.010654292728466</v>
      </c>
      <c r="AC61" s="500">
        <f t="shared" si="97"/>
        <v>15010.654292728466</v>
      </c>
      <c r="AD61" s="310">
        <f t="shared" si="98"/>
        <v>10596.915919228239</v>
      </c>
    </row>
    <row r="62" spans="1:30" s="433" customFormat="1" ht="24.95" customHeight="1">
      <c r="A62" s="85" t="s">
        <v>86</v>
      </c>
      <c r="B62" s="188">
        <v>2006.26</v>
      </c>
      <c r="C62" s="189">
        <v>68723.14</v>
      </c>
      <c r="D62" s="196">
        <v>575547</v>
      </c>
      <c r="E62" s="151">
        <v>175.67808681880481</v>
      </c>
      <c r="F62" s="191">
        <f t="shared" si="99"/>
        <v>101110.99583430265</v>
      </c>
      <c r="G62" s="501">
        <v>11592.500000000002</v>
      </c>
      <c r="H62" s="193">
        <v>44.6</v>
      </c>
      <c r="I62" s="194">
        <f t="shared" si="100"/>
        <v>517.02550000000008</v>
      </c>
      <c r="J62" s="501">
        <v>1914.6000000000004</v>
      </c>
      <c r="K62" s="92">
        <v>44.6</v>
      </c>
      <c r="L62" s="195">
        <f t="shared" si="101"/>
        <v>85.391160000000013</v>
      </c>
      <c r="M62" s="124">
        <v>7748</v>
      </c>
      <c r="N62" s="193">
        <v>521.34</v>
      </c>
      <c r="O62" s="195">
        <f t="shared" si="106"/>
        <v>4039.3423200000002</v>
      </c>
      <c r="P62" s="196">
        <v>1126.1300000000001</v>
      </c>
      <c r="Q62" s="197">
        <v>37082.46</v>
      </c>
      <c r="R62" s="188">
        <v>175.26</v>
      </c>
      <c r="S62" s="189">
        <v>7185.66</v>
      </c>
      <c r="T62" s="138">
        <v>0</v>
      </c>
      <c r="U62" s="108">
        <v>0</v>
      </c>
      <c r="V62" s="114">
        <f t="shared" si="102"/>
        <v>58885.992000000006</v>
      </c>
      <c r="W62" s="114">
        <f t="shared" si="103"/>
        <v>140183.72681430267</v>
      </c>
      <c r="X62" s="507">
        <f t="shared" si="104"/>
        <v>20.113626025964606</v>
      </c>
      <c r="Y62" s="507">
        <f t="shared" si="105"/>
        <v>10.245550986252606</v>
      </c>
      <c r="Z62" s="93">
        <f t="shared" si="94"/>
        <v>190459.63681430265</v>
      </c>
      <c r="AA62" s="119">
        <f t="shared" si="95"/>
        <v>27.327236869644075</v>
      </c>
      <c r="AB62" s="119">
        <f t="shared" si="96"/>
        <v>13.920045957895006</v>
      </c>
      <c r="AC62" s="310">
        <f t="shared" si="97"/>
        <v>13920.045957895007</v>
      </c>
      <c r="AD62" s="310">
        <f t="shared" ref="AD62:AD69" si="107">Y62*1000</f>
        <v>10245.550986252607</v>
      </c>
    </row>
    <row r="63" spans="1:30" s="434" customFormat="1" ht="24.95" customHeight="1">
      <c r="A63" s="85" t="s">
        <v>87</v>
      </c>
      <c r="B63" s="188">
        <v>1804.43</v>
      </c>
      <c r="C63" s="189">
        <v>62103.51</v>
      </c>
      <c r="D63" s="196">
        <v>541122</v>
      </c>
      <c r="E63" s="151">
        <v>192.67</v>
      </c>
      <c r="F63" s="128">
        <f t="shared" si="99"/>
        <v>104257.97573999999</v>
      </c>
      <c r="G63" s="307">
        <v>9137.5000000000018</v>
      </c>
      <c r="H63" s="91">
        <v>49.34</v>
      </c>
      <c r="I63" s="79">
        <f t="shared" si="100"/>
        <v>450.8442500000001</v>
      </c>
      <c r="J63" s="307">
        <v>1777.3000000000006</v>
      </c>
      <c r="K63" s="92">
        <v>49.34</v>
      </c>
      <c r="L63" s="80">
        <f t="shared" si="101"/>
        <v>87.691982000000039</v>
      </c>
      <c r="M63" s="124">
        <v>7748</v>
      </c>
      <c r="N63" s="91">
        <v>570.61</v>
      </c>
      <c r="O63" s="80">
        <f t="shared" si="106"/>
        <v>4421.0862800000004</v>
      </c>
      <c r="P63" s="190">
        <v>938.59999999999991</v>
      </c>
      <c r="Q63" s="197">
        <v>28712.32</v>
      </c>
      <c r="R63" s="188">
        <v>187.20999999999998</v>
      </c>
      <c r="S63" s="189">
        <v>7675.61</v>
      </c>
      <c r="T63" s="138">
        <v>0</v>
      </c>
      <c r="U63" s="125">
        <v>0</v>
      </c>
      <c r="V63" s="114">
        <f t="shared" si="102"/>
        <v>41905.952000000005</v>
      </c>
      <c r="W63" s="114">
        <f t="shared" si="103"/>
        <v>125407.970252</v>
      </c>
      <c r="X63" s="507">
        <f t="shared" si="104"/>
        <v>24.022094756735239</v>
      </c>
      <c r="Y63" s="507">
        <f t="shared" si="105"/>
        <v>10.863382182413529</v>
      </c>
      <c r="Z63" s="93">
        <f t="shared" si="94"/>
        <v>167909.73425199999</v>
      </c>
      <c r="AA63" s="119">
        <f t="shared" si="95"/>
        <v>32.16337477334659</v>
      </c>
      <c r="AB63" s="119">
        <f t="shared" si="96"/>
        <v>14.545069277986158</v>
      </c>
      <c r="AC63" s="310">
        <f t="shared" si="97"/>
        <v>14545.069277986158</v>
      </c>
      <c r="AD63" s="310">
        <f t="shared" si="107"/>
        <v>10863.382182413528</v>
      </c>
    </row>
    <row r="64" spans="1:30" s="434" customFormat="1" ht="24.95" customHeight="1">
      <c r="A64" s="85" t="s">
        <v>88</v>
      </c>
      <c r="B64" s="107">
        <v>1872.44</v>
      </c>
      <c r="C64" s="125">
        <v>64373.440000000002</v>
      </c>
      <c r="D64" s="89">
        <v>589522</v>
      </c>
      <c r="E64" s="151">
        <v>196.56</v>
      </c>
      <c r="F64" s="128">
        <f t="shared" si="99"/>
        <v>115876.44432000001</v>
      </c>
      <c r="G64" s="94">
        <v>13388.899999999998</v>
      </c>
      <c r="H64" s="91">
        <v>50.18</v>
      </c>
      <c r="I64" s="79">
        <f t="shared" si="100"/>
        <v>671.8550019999999</v>
      </c>
      <c r="J64" s="94">
        <v>1813.4999999999998</v>
      </c>
      <c r="K64" s="92">
        <v>50.18</v>
      </c>
      <c r="L64" s="80">
        <f t="shared" si="101"/>
        <v>91.001429999999999</v>
      </c>
      <c r="M64" s="124">
        <v>7748</v>
      </c>
      <c r="N64" s="91">
        <v>570.26</v>
      </c>
      <c r="O64" s="80">
        <f t="shared" si="106"/>
        <v>4418.3744799999995</v>
      </c>
      <c r="P64" s="89">
        <v>1127.8599999999999</v>
      </c>
      <c r="Q64" s="144">
        <v>33911.51</v>
      </c>
      <c r="R64" s="107">
        <v>189.81</v>
      </c>
      <c r="S64" s="125">
        <v>7782.21</v>
      </c>
      <c r="T64" s="138">
        <v>0</v>
      </c>
      <c r="U64" s="125">
        <v>0</v>
      </c>
      <c r="V64" s="114">
        <f t="shared" si="102"/>
        <v>45726.311999999998</v>
      </c>
      <c r="W64" s="114">
        <f t="shared" si="103"/>
        <v>144104.26723200001</v>
      </c>
      <c r="X64" s="507">
        <f t="shared" si="104"/>
        <v>25.317374413378143</v>
      </c>
      <c r="Y64" s="507">
        <f t="shared" si="105"/>
        <v>10.986822853744636</v>
      </c>
      <c r="Z64" s="93">
        <f t="shared" si="94"/>
        <v>188866.18523200002</v>
      </c>
      <c r="AA64" s="119">
        <f t="shared" si="95"/>
        <v>33.181501265655548</v>
      </c>
      <c r="AB64" s="119">
        <f t="shared" si="96"/>
        <v>14.399568868184904</v>
      </c>
      <c r="AC64" s="310">
        <f t="shared" si="97"/>
        <v>14399.568868184904</v>
      </c>
      <c r="AD64" s="310">
        <f t="shared" si="107"/>
        <v>10986.822853744636</v>
      </c>
    </row>
    <row r="65" spans="1:30" s="434" customFormat="1" ht="24.95" customHeight="1">
      <c r="A65" s="85" t="s">
        <v>89</v>
      </c>
      <c r="B65" s="107">
        <v>1699.8199999999997</v>
      </c>
      <c r="C65" s="125">
        <v>65427.4</v>
      </c>
      <c r="D65" s="89">
        <v>556489</v>
      </c>
      <c r="E65" s="151">
        <v>191.4</v>
      </c>
      <c r="F65" s="128">
        <f t="shared" si="99"/>
        <v>106511.99460000001</v>
      </c>
      <c r="G65" s="94">
        <v>13464.800000000001</v>
      </c>
      <c r="H65" s="91">
        <v>49.14</v>
      </c>
      <c r="I65" s="79">
        <f t="shared" si="100"/>
        <v>661.66027200000008</v>
      </c>
      <c r="J65" s="94">
        <v>1744.6</v>
      </c>
      <c r="K65" s="92">
        <v>49.14</v>
      </c>
      <c r="L65" s="80">
        <f t="shared" si="101"/>
        <v>85.729643999999993</v>
      </c>
      <c r="M65" s="124">
        <v>7748</v>
      </c>
      <c r="N65" s="91">
        <v>532.9</v>
      </c>
      <c r="O65" s="80">
        <f t="shared" si="106"/>
        <v>4128.9092000000001</v>
      </c>
      <c r="P65" s="89">
        <v>979.33000000000015</v>
      </c>
      <c r="Q65" s="144">
        <v>31242.3</v>
      </c>
      <c r="R65" s="107">
        <v>131.73000000000002</v>
      </c>
      <c r="S65" s="125">
        <v>5400.93</v>
      </c>
      <c r="T65" s="138">
        <v>0</v>
      </c>
      <c r="U65" s="108">
        <f>'3. 세부 운영내역'!AK63/1000</f>
        <v>0</v>
      </c>
      <c r="V65" s="114">
        <f t="shared" si="102"/>
        <v>50922.240000000005</v>
      </c>
      <c r="W65" s="114">
        <f t="shared" si="103"/>
        <v>133526.36371599999</v>
      </c>
      <c r="X65" s="507">
        <f t="shared" si="104"/>
        <v>22.586322548844485</v>
      </c>
      <c r="Y65" s="507">
        <f t="shared" si="105"/>
        <v>11.129422860905514</v>
      </c>
      <c r="Z65" s="93">
        <f t="shared" si="94"/>
        <v>176814.12671600003</v>
      </c>
      <c r="AA65" s="119">
        <f t="shared" si="95"/>
        <v>29.908557277077268</v>
      </c>
      <c r="AB65" s="119">
        <f t="shared" si="96"/>
        <v>14.737458051276924</v>
      </c>
      <c r="AC65" s="310">
        <f t="shared" si="97"/>
        <v>14737.458051276924</v>
      </c>
      <c r="AD65" s="310">
        <f t="shared" si="107"/>
        <v>11129.422860905514</v>
      </c>
    </row>
    <row r="66" spans="1:30" s="434" customFormat="1" ht="24.95" customHeight="1">
      <c r="A66" s="85" t="s">
        <v>90</v>
      </c>
      <c r="B66" s="107">
        <v>2207.4</v>
      </c>
      <c r="C66" s="125">
        <v>84562.99</v>
      </c>
      <c r="D66" s="89">
        <v>601212</v>
      </c>
      <c r="E66" s="151">
        <v>169.42</v>
      </c>
      <c r="F66" s="128">
        <f t="shared" si="99"/>
        <v>101857.33704</v>
      </c>
      <c r="G66" s="94">
        <v>13611.499999999998</v>
      </c>
      <c r="H66" s="91">
        <v>44.38</v>
      </c>
      <c r="I66" s="79">
        <f t="shared" si="100"/>
        <v>604.07836999999995</v>
      </c>
      <c r="J66" s="94">
        <v>1939.6000000000001</v>
      </c>
      <c r="K66" s="92">
        <v>44.38</v>
      </c>
      <c r="L66" s="80">
        <f t="shared" si="101"/>
        <v>86.079447999999999</v>
      </c>
      <c r="M66" s="124">
        <v>7748</v>
      </c>
      <c r="N66" s="91">
        <v>465.52</v>
      </c>
      <c r="O66" s="80">
        <f t="shared" si="106"/>
        <v>3606.8489599999998</v>
      </c>
      <c r="P66" s="89">
        <v>1213.9099999999999</v>
      </c>
      <c r="Q66" s="144">
        <v>39262.29</v>
      </c>
      <c r="R66" s="107">
        <v>201.15</v>
      </c>
      <c r="S66" s="125">
        <v>8247.1500000000015</v>
      </c>
      <c r="T66" s="138">
        <v>0</v>
      </c>
      <c r="U66" s="108">
        <v>0</v>
      </c>
      <c r="V66" s="114">
        <f t="shared" si="102"/>
        <v>65266.768000000011</v>
      </c>
      <c r="W66" s="114">
        <f t="shared" si="103"/>
        <v>134367.56181800002</v>
      </c>
      <c r="X66" s="507">
        <f t="shared" si="104"/>
        <v>17.598037373686573</v>
      </c>
      <c r="Y66" s="507">
        <f t="shared" si="105"/>
        <v>8.7758655528676179</v>
      </c>
      <c r="Z66" s="93">
        <f t="shared" si="94"/>
        <v>188172.834818</v>
      </c>
      <c r="AA66" s="119">
        <f t="shared" si="95"/>
        <v>24.644881063817188</v>
      </c>
      <c r="AB66" s="119">
        <f t="shared" si="96"/>
        <v>12.290016107470322</v>
      </c>
      <c r="AC66" s="310">
        <f t="shared" si="97"/>
        <v>12290.016107470323</v>
      </c>
      <c r="AD66" s="310">
        <f t="shared" si="107"/>
        <v>8775.8655528676172</v>
      </c>
    </row>
    <row r="67" spans="1:30" s="435" customFormat="1" ht="24.95" customHeight="1">
      <c r="A67" s="187" t="s">
        <v>91</v>
      </c>
      <c r="B67" s="188">
        <f>'3. 세부 운영내역'!AH46</f>
        <v>2101.19</v>
      </c>
      <c r="C67" s="189">
        <f>-'3. 세부 운영내역'!AK46/1000</f>
        <v>72265.53</v>
      </c>
      <c r="D67" s="190">
        <f>'3. 세부 운영내역'!AH65</f>
        <v>606789</v>
      </c>
      <c r="E67" s="151">
        <f>'3. 세부 운영내역'!AJ65</f>
        <v>168.27</v>
      </c>
      <c r="F67" s="128">
        <f t="shared" si="99"/>
        <v>102104.38503</v>
      </c>
      <c r="G67" s="192">
        <f>'3. 세부 운영내역'!AH74</f>
        <v>12938.300000000001</v>
      </c>
      <c r="H67" s="193">
        <f>'3. 세부 운영내역'!AJ74</f>
        <v>44.06</v>
      </c>
      <c r="I67" s="194">
        <f t="shared" si="100"/>
        <v>570.06149800000003</v>
      </c>
      <c r="J67" s="192">
        <f>'3. 세부 운영내역'!AH75</f>
        <v>1995.3</v>
      </c>
      <c r="K67" s="92">
        <f t="shared" ref="K67:K69" si="108">H67</f>
        <v>44.06</v>
      </c>
      <c r="L67" s="195">
        <f t="shared" si="101"/>
        <v>87.912918000000005</v>
      </c>
      <c r="M67" s="124">
        <v>7748</v>
      </c>
      <c r="N67" s="193">
        <f>'3. 세부 운영내역'!AJ78</f>
        <v>481.83</v>
      </c>
      <c r="O67" s="195">
        <f t="shared" si="106"/>
        <v>3733.21884</v>
      </c>
      <c r="P67" s="196">
        <f>SUM('3. 세부 운영내역'!AH49:AH56)</f>
        <v>1303.92</v>
      </c>
      <c r="Q67" s="197">
        <f>SUM('3. 세부 운영내역'!AK49:AK56)/1000</f>
        <v>44112.35</v>
      </c>
      <c r="R67" s="188">
        <f>SUM('3. 세부 운영내역'!AH61:AH62)</f>
        <v>154.46</v>
      </c>
      <c r="S67" s="189">
        <f>SUM('3. 세부 운영내역'!AK61:AK62)/1000</f>
        <v>6332.86</v>
      </c>
      <c r="T67" s="198">
        <v>0</v>
      </c>
      <c r="U67" s="199">
        <v>0</v>
      </c>
      <c r="V67" s="114">
        <f t="shared" si="102"/>
        <v>56440.008000000009</v>
      </c>
      <c r="W67" s="114">
        <f t="shared" si="103"/>
        <v>141115.26628600003</v>
      </c>
      <c r="X67" s="507">
        <f t="shared" si="104"/>
        <v>20.83831955967532</v>
      </c>
      <c r="Y67" s="507">
        <f t="shared" si="105"/>
        <v>9.9212060438988754</v>
      </c>
      <c r="Z67" s="93">
        <f t="shared" si="94"/>
        <v>190410.06628599999</v>
      </c>
      <c r="AA67" s="119">
        <f t="shared" si="95"/>
        <v>28.117622657530095</v>
      </c>
      <c r="AB67" s="119">
        <f t="shared" si="96"/>
        <v>13.386910928738153</v>
      </c>
      <c r="AC67" s="310">
        <f t="shared" si="97"/>
        <v>13386.910928738153</v>
      </c>
      <c r="AD67" s="310">
        <f t="shared" si="107"/>
        <v>9921.2060438988756</v>
      </c>
    </row>
    <row r="68" spans="1:30" s="434" customFormat="1" ht="24.95" customHeight="1">
      <c r="A68" s="85" t="s">
        <v>92</v>
      </c>
      <c r="B68" s="107"/>
      <c r="C68" s="125"/>
      <c r="D68" s="89"/>
      <c r="E68" s="156"/>
      <c r="F68" s="128">
        <f t="shared" si="99"/>
        <v>0</v>
      </c>
      <c r="G68" s="94"/>
      <c r="H68" s="91"/>
      <c r="I68" s="79">
        <f t="shared" si="100"/>
        <v>0</v>
      </c>
      <c r="J68" s="94"/>
      <c r="K68" s="92">
        <f t="shared" si="108"/>
        <v>0</v>
      </c>
      <c r="L68" s="80">
        <f t="shared" si="101"/>
        <v>0</v>
      </c>
      <c r="M68" s="124">
        <v>7748</v>
      </c>
      <c r="N68" s="91"/>
      <c r="O68" s="80">
        <f t="shared" si="106"/>
        <v>0</v>
      </c>
      <c r="P68" s="155"/>
      <c r="Q68" s="144"/>
      <c r="R68" s="107"/>
      <c r="S68" s="125"/>
      <c r="T68" s="138">
        <v>0</v>
      </c>
      <c r="U68" s="199">
        <v>0</v>
      </c>
      <c r="V68" s="114">
        <f t="shared" si="102"/>
        <v>0</v>
      </c>
      <c r="W68" s="114">
        <f t="shared" si="103"/>
        <v>0</v>
      </c>
      <c r="X68" s="507" t="str">
        <f t="shared" si="104"/>
        <v xml:space="preserve"> </v>
      </c>
      <c r="Y68" s="507" t="str">
        <f t="shared" si="105"/>
        <v xml:space="preserve"> </v>
      </c>
      <c r="Z68" s="93">
        <f t="shared" si="94"/>
        <v>0</v>
      </c>
      <c r="AA68" s="119" t="str">
        <f t="shared" si="95"/>
        <v xml:space="preserve"> </v>
      </c>
      <c r="AB68" s="119" t="str">
        <f t="shared" si="96"/>
        <v xml:space="preserve"> </v>
      </c>
      <c r="AC68" s="310" t="e">
        <f t="shared" si="97"/>
        <v>#VALUE!</v>
      </c>
      <c r="AD68" s="310" t="e">
        <f t="shared" si="107"/>
        <v>#VALUE!</v>
      </c>
    </row>
    <row r="69" spans="1:30" s="434" customFormat="1" ht="24.95" customHeight="1" thickBot="1">
      <c r="A69" s="85" t="s">
        <v>93</v>
      </c>
      <c r="B69" s="107"/>
      <c r="C69" s="125"/>
      <c r="D69" s="89"/>
      <c r="E69" s="156"/>
      <c r="F69" s="128">
        <f t="shared" si="99"/>
        <v>0</v>
      </c>
      <c r="G69" s="94"/>
      <c r="H69" s="91"/>
      <c r="I69" s="79">
        <f>G69*H69/1000</f>
        <v>0</v>
      </c>
      <c r="J69" s="94"/>
      <c r="K69" s="92">
        <f t="shared" si="108"/>
        <v>0</v>
      </c>
      <c r="L69" s="80">
        <f>J69*K69/1000</f>
        <v>0</v>
      </c>
      <c r="M69" s="124">
        <v>7748</v>
      </c>
      <c r="N69" s="91"/>
      <c r="O69" s="80">
        <f>M69*N69/1000</f>
        <v>0</v>
      </c>
      <c r="P69" s="89"/>
      <c r="Q69" s="144"/>
      <c r="R69" s="107"/>
      <c r="S69" s="125"/>
      <c r="T69" s="138">
        <v>0</v>
      </c>
      <c r="U69" s="108">
        <v>0</v>
      </c>
      <c r="V69" s="114">
        <f t="shared" si="102"/>
        <v>0</v>
      </c>
      <c r="W69" s="114">
        <f t="shared" si="103"/>
        <v>0</v>
      </c>
      <c r="X69" s="507" t="str">
        <f t="shared" si="104"/>
        <v xml:space="preserve"> </v>
      </c>
      <c r="Y69" s="507" t="str">
        <f t="shared" si="105"/>
        <v xml:space="preserve"> </v>
      </c>
      <c r="Z69" s="93">
        <f t="shared" si="94"/>
        <v>0</v>
      </c>
      <c r="AA69" s="119" t="str">
        <f t="shared" si="95"/>
        <v xml:space="preserve"> </v>
      </c>
      <c r="AB69" s="119" t="str">
        <f t="shared" si="96"/>
        <v xml:space="preserve"> </v>
      </c>
      <c r="AC69" s="310" t="e">
        <f t="shared" si="97"/>
        <v>#VALUE!</v>
      </c>
      <c r="AD69" s="310" t="e">
        <f t="shared" si="107"/>
        <v>#VALUE!</v>
      </c>
    </row>
    <row r="70" spans="1:30" s="436" customFormat="1" ht="24.95" customHeight="1">
      <c r="A70" s="86" t="s">
        <v>151</v>
      </c>
      <c r="B70" s="109">
        <f>SUM(B58:B69)</f>
        <v>18410.57</v>
      </c>
      <c r="C70" s="110">
        <f>SUM(C58:C69)</f>
        <v>646924.10000000009</v>
      </c>
      <c r="D70" s="95">
        <f>SUM(D58:D69)</f>
        <v>5656790</v>
      </c>
      <c r="E70" s="126">
        <f>SUM(E58:E69)</f>
        <v>1817.2680868188049</v>
      </c>
      <c r="F70" s="82">
        <f>SUM(F58:F69)</f>
        <v>1026673.4808843026</v>
      </c>
      <c r="G70" s="95">
        <f t="shared" ref="G70:Z70" si="109">SUM(G58:G69)</f>
        <v>122514.14</v>
      </c>
      <c r="H70" s="96">
        <f t="shared" si="109"/>
        <v>470.31</v>
      </c>
      <c r="I70" s="81">
        <f t="shared" si="109"/>
        <v>5777.4334504000008</v>
      </c>
      <c r="J70" s="95">
        <f t="shared" si="109"/>
        <v>29852.6</v>
      </c>
      <c r="K70" s="97">
        <f t="shared" si="109"/>
        <v>470.31</v>
      </c>
      <c r="L70" s="82">
        <f t="shared" si="109"/>
        <v>1403.440364</v>
      </c>
      <c r="M70" s="95">
        <f t="shared" si="109"/>
        <v>92976</v>
      </c>
      <c r="N70" s="97">
        <f t="shared" si="109"/>
        <v>5153.1299999999992</v>
      </c>
      <c r="O70" s="82">
        <f t="shared" si="109"/>
        <v>39926.451240000002</v>
      </c>
      <c r="P70" s="131">
        <f t="shared" ref="P70:V70" si="110">SUM(P58:P69)</f>
        <v>10831.32</v>
      </c>
      <c r="Q70" s="126">
        <f t="shared" si="110"/>
        <v>327066.43</v>
      </c>
      <c r="R70" s="132">
        <f t="shared" si="110"/>
        <v>1772.0600000000002</v>
      </c>
      <c r="S70" s="133">
        <f t="shared" si="110"/>
        <v>72654.460000000006</v>
      </c>
      <c r="T70" s="139">
        <f t="shared" si="110"/>
        <v>0</v>
      </c>
      <c r="U70" s="133">
        <f t="shared" si="110"/>
        <v>0</v>
      </c>
      <c r="V70" s="115">
        <f t="shared" si="110"/>
        <v>546665.50400000007</v>
      </c>
      <c r="W70" s="506"/>
      <c r="X70" s="506"/>
      <c r="Y70" s="506"/>
      <c r="Z70" s="98">
        <f t="shared" si="109"/>
        <v>1860997.6959387027</v>
      </c>
      <c r="AA70" s="449"/>
      <c r="AB70" s="449"/>
      <c r="AC70" s="205"/>
      <c r="AD70" s="205"/>
    </row>
    <row r="71" spans="1:30" s="436" customFormat="1" ht="24.95" customHeight="1" thickBot="1">
      <c r="A71" s="87" t="s">
        <v>152</v>
      </c>
      <c r="B71" s="111">
        <f>AVERAGE(B58:B69)</f>
        <v>1841.057</v>
      </c>
      <c r="C71" s="112">
        <f>AVERAGE(C58:C69)</f>
        <v>64692.410000000011</v>
      </c>
      <c r="D71" s="99">
        <f>AVERAGE(D58:D69)</f>
        <v>565679</v>
      </c>
      <c r="E71" s="127">
        <f>AVERAGE(E58:E69)</f>
        <v>181.7268086818805</v>
      </c>
      <c r="F71" s="83">
        <f>AVERAGE(F58:F69)</f>
        <v>85556.123407025225</v>
      </c>
      <c r="G71" s="99">
        <f t="shared" ref="G71:Z71" si="111">AVERAGE(G58:G69)</f>
        <v>12251.414000000001</v>
      </c>
      <c r="H71" s="100">
        <f t="shared" si="111"/>
        <v>47.030999999999999</v>
      </c>
      <c r="I71" s="84">
        <f t="shared" si="111"/>
        <v>481.45278753333338</v>
      </c>
      <c r="J71" s="99">
        <f t="shared" si="111"/>
        <v>2985.2599999999998</v>
      </c>
      <c r="K71" s="101">
        <f t="shared" si="111"/>
        <v>39.192500000000003</v>
      </c>
      <c r="L71" s="83">
        <f t="shared" si="111"/>
        <v>116.95336366666668</v>
      </c>
      <c r="M71" s="99">
        <f t="shared" si="111"/>
        <v>7748</v>
      </c>
      <c r="N71" s="101">
        <f t="shared" si="111"/>
        <v>515.31299999999987</v>
      </c>
      <c r="O71" s="83">
        <f t="shared" si="111"/>
        <v>3327.2042700000002</v>
      </c>
      <c r="P71" s="134">
        <f t="shared" ref="P71:V71" si="112">AVERAGE(P58:P69)</f>
        <v>1083.1320000000001</v>
      </c>
      <c r="Q71" s="127">
        <f t="shared" si="112"/>
        <v>32706.643</v>
      </c>
      <c r="R71" s="135">
        <f t="shared" si="112"/>
        <v>177.20600000000002</v>
      </c>
      <c r="S71" s="136">
        <f t="shared" si="112"/>
        <v>7265.4460000000008</v>
      </c>
      <c r="T71" s="140">
        <f t="shared" si="112"/>
        <v>0</v>
      </c>
      <c r="U71" s="136">
        <f t="shared" si="112"/>
        <v>0</v>
      </c>
      <c r="V71" s="116">
        <f t="shared" si="112"/>
        <v>45555.458666666673</v>
      </c>
      <c r="W71" s="116"/>
      <c r="X71" s="116"/>
      <c r="Y71" s="116"/>
      <c r="Z71" s="102">
        <f t="shared" si="111"/>
        <v>155083.14132822523</v>
      </c>
      <c r="AA71" s="123">
        <f>AVERAGE(AA58:AA69)</f>
        <v>29.432798213480776</v>
      </c>
      <c r="AB71" s="123">
        <f>AVERAGE(AB58:AB69)</f>
        <v>14.746791755595243</v>
      </c>
      <c r="AC71" s="206"/>
      <c r="AD71" s="206"/>
    </row>
    <row r="73" spans="1:30">
      <c r="F73" s="428"/>
      <c r="G73" s="315"/>
      <c r="H73" s="428"/>
      <c r="Y73" s="315"/>
      <c r="Z73" s="315"/>
      <c r="AA73" s="315"/>
    </row>
    <row r="74" spans="1:30">
      <c r="Y74" s="315"/>
      <c r="Z74" s="315"/>
      <c r="AA74" s="315"/>
    </row>
    <row r="75" spans="1:30">
      <c r="U75" s="428"/>
      <c r="V75" s="428"/>
      <c r="Y75" s="315"/>
      <c r="Z75" s="315"/>
      <c r="AA75" s="315"/>
    </row>
    <row r="76" spans="1:30">
      <c r="U76" s="428"/>
      <c r="V76" s="428"/>
      <c r="Y76" s="315"/>
      <c r="Z76" s="315"/>
      <c r="AA76" s="315"/>
    </row>
    <row r="77" spans="1:30">
      <c r="U77" s="428"/>
      <c r="V77" s="428"/>
      <c r="Y77" s="315"/>
      <c r="Z77" s="315"/>
      <c r="AA77" s="315"/>
    </row>
    <row r="78" spans="1:30">
      <c r="U78" s="428"/>
      <c r="V78" s="428"/>
      <c r="Y78" s="315"/>
      <c r="Z78" s="315"/>
      <c r="AA78" s="315"/>
    </row>
    <row r="79" spans="1:30">
      <c r="U79" s="428"/>
      <c r="V79" s="428"/>
      <c r="Y79" s="315"/>
      <c r="Z79" s="315"/>
      <c r="AA79" s="315"/>
    </row>
    <row r="80" spans="1:30">
      <c r="U80" s="428"/>
      <c r="V80" s="428"/>
      <c r="Y80" s="315"/>
      <c r="Z80" s="315"/>
      <c r="AA80" s="315"/>
      <c r="AB80" s="315"/>
    </row>
    <row r="81" spans="21:28">
      <c r="U81" s="428"/>
      <c r="V81" s="428"/>
      <c r="Y81" s="315"/>
      <c r="Z81" s="315"/>
      <c r="AA81" s="315"/>
      <c r="AB81" s="315"/>
    </row>
    <row r="82" spans="21:28">
      <c r="U82" s="428"/>
      <c r="V82" s="428"/>
      <c r="Y82" s="315"/>
      <c r="Z82" s="315"/>
      <c r="AA82" s="315"/>
    </row>
    <row r="83" spans="21:28">
      <c r="U83" s="428"/>
      <c r="V83" s="428"/>
      <c r="Y83" s="315"/>
      <c r="Z83" s="315"/>
      <c r="AA83" s="315"/>
    </row>
    <row r="84" spans="21:28">
      <c r="U84" s="428"/>
      <c r="Y84" s="315"/>
      <c r="Z84" s="315"/>
      <c r="AA84" s="315"/>
    </row>
    <row r="85" spans="21:28">
      <c r="U85" s="428"/>
      <c r="Y85" s="315"/>
      <c r="Z85" s="315"/>
      <c r="AA85" s="315"/>
    </row>
    <row r="86" spans="21:28">
      <c r="U86" s="428"/>
      <c r="Y86" s="315"/>
      <c r="Z86" s="315"/>
      <c r="AA86" s="315"/>
    </row>
    <row r="87" spans="21:28">
      <c r="U87" s="428"/>
    </row>
  </sheetData>
  <mergeCells count="25">
    <mergeCell ref="Z56:Z57"/>
    <mergeCell ref="A55:B55"/>
    <mergeCell ref="A56:A57"/>
    <mergeCell ref="X38:X39"/>
    <mergeCell ref="Y38:Y39"/>
    <mergeCell ref="B56:C56"/>
    <mergeCell ref="D56:V56"/>
    <mergeCell ref="R38:S38"/>
    <mergeCell ref="T38:U38"/>
    <mergeCell ref="W56:W57"/>
    <mergeCell ref="X56:Y56"/>
    <mergeCell ref="J38:M38"/>
    <mergeCell ref="J21:M21"/>
    <mergeCell ref="A3:A4"/>
    <mergeCell ref="A38:A39"/>
    <mergeCell ref="B38:E38"/>
    <mergeCell ref="F38:I38"/>
    <mergeCell ref="A21:A22"/>
    <mergeCell ref="B21:E21"/>
    <mergeCell ref="F21:I21"/>
    <mergeCell ref="R3:T3"/>
    <mergeCell ref="N21:Q21"/>
    <mergeCell ref="Z38:Z39"/>
    <mergeCell ref="AA38:AA39"/>
    <mergeCell ref="N38:Q38"/>
  </mergeCells>
  <phoneticPr fontId="10" type="noConversion"/>
  <pageMargins left="0.7" right="0.7" top="0.75" bottom="0.75" header="0.3" footer="0.3"/>
  <pageSetup paperSize="9" orientation="portrait" r:id="rId1"/>
  <ignoredErrors>
    <ignoredError sqref="Z40 Y48:AA48 D17 L50:M50 K6" formula="1"/>
    <ignoredError sqref="E18 R18" evalError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S44"/>
  <sheetViews>
    <sheetView zoomScale="85" zoomScaleNormal="85" workbookViewId="0">
      <selection activeCell="F32" sqref="F32"/>
    </sheetView>
  </sheetViews>
  <sheetFormatPr defaultRowHeight="16.5"/>
  <cols>
    <col min="2" max="5" width="13.625" customWidth="1"/>
    <col min="6" max="6" width="17.625" bestFit="1" customWidth="1"/>
    <col min="7" max="10" width="13.625" customWidth="1"/>
    <col min="11" max="11" width="14.875" bestFit="1" customWidth="1"/>
    <col min="12" max="12" width="14.875" customWidth="1"/>
    <col min="13" max="13" width="13.875" bestFit="1" customWidth="1"/>
    <col min="14" max="14" width="16.625" style="69" customWidth="1"/>
    <col min="15" max="15" width="10.625" bestFit="1" customWidth="1"/>
  </cols>
  <sheetData>
    <row r="2" spans="1:19" ht="20.25">
      <c r="C2" s="865"/>
      <c r="D2" s="865"/>
      <c r="E2" s="865"/>
      <c r="F2" s="865"/>
      <c r="G2" s="143"/>
      <c r="H2" s="143"/>
      <c r="I2" s="143"/>
      <c r="J2" s="143"/>
    </row>
    <row r="3" spans="1:19" ht="17.25" thickBot="1">
      <c r="G3" s="186"/>
      <c r="H3" s="186"/>
      <c r="I3" s="186"/>
      <c r="J3" s="186"/>
      <c r="K3" s="912"/>
      <c r="L3" s="912"/>
      <c r="M3" s="912"/>
      <c r="N3" s="491" t="s">
        <v>279</v>
      </c>
      <c r="O3" s="186"/>
    </row>
    <row r="4" spans="1:19" ht="27.75" customHeight="1" thickBot="1">
      <c r="A4" s="10" t="s">
        <v>43</v>
      </c>
      <c r="B4" s="11" t="s">
        <v>44</v>
      </c>
      <c r="C4" s="11" t="s">
        <v>121</v>
      </c>
      <c r="D4" s="11" t="s">
        <v>285</v>
      </c>
      <c r="E4" s="11" t="s">
        <v>355</v>
      </c>
      <c r="F4" s="11" t="s">
        <v>280</v>
      </c>
      <c r="G4" s="11" t="s">
        <v>184</v>
      </c>
      <c r="H4" s="11" t="s">
        <v>223</v>
      </c>
      <c r="I4" s="11" t="s">
        <v>264</v>
      </c>
      <c r="J4" s="11" t="s">
        <v>437</v>
      </c>
      <c r="K4" s="11" t="s">
        <v>185</v>
      </c>
      <c r="L4" s="11" t="s">
        <v>462</v>
      </c>
      <c r="M4" s="11" t="s">
        <v>45</v>
      </c>
      <c r="N4" s="12" t="s">
        <v>46</v>
      </c>
      <c r="O4" s="441"/>
    </row>
    <row r="5" spans="1:19" ht="17.25" thickTop="1">
      <c r="A5" s="909" t="s">
        <v>47</v>
      </c>
      <c r="B5" s="13">
        <v>45931</v>
      </c>
      <c r="C5" s="37">
        <v>24460</v>
      </c>
      <c r="D5" s="37">
        <v>22010</v>
      </c>
      <c r="E5" s="37">
        <v>0</v>
      </c>
      <c r="F5" s="37"/>
      <c r="G5" s="36">
        <v>25650</v>
      </c>
      <c r="H5" s="36">
        <v>0</v>
      </c>
      <c r="I5" s="36">
        <v>0</v>
      </c>
      <c r="J5" s="36">
        <v>0</v>
      </c>
      <c r="K5" s="36">
        <v>0</v>
      </c>
      <c r="L5" s="36">
        <v>0</v>
      </c>
      <c r="M5" s="14">
        <f>SUM(C5:L5)</f>
        <v>72120</v>
      </c>
      <c r="N5" s="15">
        <f>M5</f>
        <v>72120</v>
      </c>
      <c r="O5" s="69"/>
      <c r="P5" s="24"/>
      <c r="S5" s="68"/>
    </row>
    <row r="6" spans="1:19">
      <c r="A6" s="910"/>
      <c r="B6" s="13">
        <v>45932</v>
      </c>
      <c r="C6" s="38">
        <v>23300</v>
      </c>
      <c r="D6" s="37">
        <v>0</v>
      </c>
      <c r="E6" s="37">
        <v>0</v>
      </c>
      <c r="F6" s="37"/>
      <c r="G6" s="177">
        <v>0</v>
      </c>
      <c r="H6" s="36">
        <v>20660</v>
      </c>
      <c r="I6" s="36">
        <v>20410</v>
      </c>
      <c r="J6" s="36">
        <v>0</v>
      </c>
      <c r="K6" s="36">
        <v>23280</v>
      </c>
      <c r="L6" s="36">
        <v>0</v>
      </c>
      <c r="M6" s="14">
        <f t="shared" ref="M6:M33" si="0">SUM(C6:L6)</f>
        <v>87650</v>
      </c>
      <c r="N6" s="16">
        <f>N5+M6</f>
        <v>159770</v>
      </c>
      <c r="O6" s="69"/>
      <c r="P6" s="24"/>
      <c r="S6" s="68"/>
    </row>
    <row r="7" spans="1:19">
      <c r="A7" s="910"/>
      <c r="B7" s="13">
        <v>45933</v>
      </c>
      <c r="C7" s="38">
        <v>20060</v>
      </c>
      <c r="D7" s="37">
        <v>0</v>
      </c>
      <c r="E7" s="37">
        <v>0</v>
      </c>
      <c r="F7" s="37"/>
      <c r="G7" s="36">
        <v>24330</v>
      </c>
      <c r="H7" s="36">
        <v>0</v>
      </c>
      <c r="I7" s="36">
        <v>22780</v>
      </c>
      <c r="J7" s="36">
        <v>0</v>
      </c>
      <c r="K7" s="36">
        <v>0</v>
      </c>
      <c r="L7" s="36">
        <v>0</v>
      </c>
      <c r="M7" s="14">
        <f t="shared" si="0"/>
        <v>67170</v>
      </c>
      <c r="N7" s="16">
        <f t="shared" ref="N7:N32" si="1">N6+M7</f>
        <v>226940</v>
      </c>
      <c r="O7" s="69"/>
      <c r="P7" s="24"/>
      <c r="S7" s="68"/>
    </row>
    <row r="8" spans="1:19">
      <c r="A8" s="910"/>
      <c r="B8" s="13">
        <v>45934</v>
      </c>
      <c r="C8" s="38">
        <v>20810</v>
      </c>
      <c r="D8" s="37">
        <v>0</v>
      </c>
      <c r="E8" s="37">
        <v>0</v>
      </c>
      <c r="F8" s="37"/>
      <c r="G8" s="177">
        <v>0</v>
      </c>
      <c r="H8" s="36">
        <v>0</v>
      </c>
      <c r="I8" s="36">
        <v>0</v>
      </c>
      <c r="J8" s="36">
        <v>38730</v>
      </c>
      <c r="K8" s="36">
        <v>0</v>
      </c>
      <c r="L8" s="36">
        <v>0</v>
      </c>
      <c r="M8" s="14">
        <f t="shared" si="0"/>
        <v>59540</v>
      </c>
      <c r="N8" s="16">
        <f t="shared" si="1"/>
        <v>286480</v>
      </c>
      <c r="O8" s="69"/>
      <c r="P8" s="24"/>
      <c r="S8" s="68"/>
    </row>
    <row r="9" spans="1:19">
      <c r="A9" s="910"/>
      <c r="B9" s="13">
        <v>45935</v>
      </c>
      <c r="C9" s="38">
        <v>45880</v>
      </c>
      <c r="D9" s="37">
        <v>0</v>
      </c>
      <c r="E9" s="37">
        <v>0</v>
      </c>
      <c r="F9" s="37"/>
      <c r="G9" s="36">
        <v>0</v>
      </c>
      <c r="H9" s="36">
        <v>0</v>
      </c>
      <c r="I9" s="36">
        <v>0</v>
      </c>
      <c r="J9" s="36">
        <v>0</v>
      </c>
      <c r="K9" s="36">
        <v>0</v>
      </c>
      <c r="L9" s="36">
        <v>0</v>
      </c>
      <c r="M9" s="14">
        <f t="shared" si="0"/>
        <v>45880</v>
      </c>
      <c r="N9" s="16">
        <f t="shared" si="1"/>
        <v>332360</v>
      </c>
      <c r="O9" s="69"/>
      <c r="P9" s="24"/>
      <c r="S9" s="68"/>
    </row>
    <row r="10" spans="1:19">
      <c r="A10" s="910"/>
      <c r="B10" s="13">
        <v>45936</v>
      </c>
      <c r="C10" s="41"/>
      <c r="D10" s="439">
        <v>0</v>
      </c>
      <c r="E10" s="37">
        <v>0</v>
      </c>
      <c r="F10" s="37"/>
      <c r="G10" s="177">
        <v>0</v>
      </c>
      <c r="H10" s="36">
        <v>0</v>
      </c>
      <c r="I10" s="36"/>
      <c r="J10" s="36">
        <v>0</v>
      </c>
      <c r="K10" s="36">
        <v>0</v>
      </c>
      <c r="L10" s="36">
        <v>0</v>
      </c>
      <c r="M10" s="14">
        <f t="shared" si="0"/>
        <v>0</v>
      </c>
      <c r="N10" s="16">
        <f t="shared" si="1"/>
        <v>332360</v>
      </c>
      <c r="O10" s="69"/>
      <c r="P10" s="24"/>
      <c r="S10" s="68"/>
    </row>
    <row r="11" spans="1:19">
      <c r="A11" s="910"/>
      <c r="B11" s="13">
        <v>45937</v>
      </c>
      <c r="C11" s="41">
        <v>0</v>
      </c>
      <c r="D11" s="439">
        <v>0</v>
      </c>
      <c r="E11" s="37">
        <v>0</v>
      </c>
      <c r="F11" s="37"/>
      <c r="G11" s="36">
        <v>0</v>
      </c>
      <c r="H11" s="36">
        <v>0</v>
      </c>
      <c r="I11" s="36">
        <v>0</v>
      </c>
      <c r="J11" s="36">
        <v>0</v>
      </c>
      <c r="K11" s="36">
        <v>0</v>
      </c>
      <c r="L11" s="36">
        <v>0</v>
      </c>
      <c r="M11" s="14">
        <f t="shared" si="0"/>
        <v>0</v>
      </c>
      <c r="N11" s="16">
        <f t="shared" si="1"/>
        <v>332360</v>
      </c>
      <c r="O11" s="69"/>
      <c r="P11" s="24"/>
      <c r="S11" s="68"/>
    </row>
    <row r="12" spans="1:19">
      <c r="A12" s="910"/>
      <c r="B12" s="13">
        <v>45938</v>
      </c>
      <c r="C12" s="41">
        <v>21100</v>
      </c>
      <c r="D12" s="439">
        <v>0</v>
      </c>
      <c r="E12" s="37">
        <v>0</v>
      </c>
      <c r="F12" s="37"/>
      <c r="G12" s="177">
        <v>0</v>
      </c>
      <c r="H12" s="36">
        <v>0</v>
      </c>
      <c r="I12" s="36">
        <v>43160</v>
      </c>
      <c r="J12" s="36">
        <v>0</v>
      </c>
      <c r="K12" s="36">
        <v>0</v>
      </c>
      <c r="L12" s="36">
        <v>0</v>
      </c>
      <c r="M12" s="14">
        <f t="shared" si="0"/>
        <v>64260</v>
      </c>
      <c r="N12" s="16">
        <f t="shared" si="1"/>
        <v>396620</v>
      </c>
      <c r="O12" s="69"/>
      <c r="P12" s="24"/>
      <c r="S12" s="68"/>
    </row>
    <row r="13" spans="1:19">
      <c r="A13" s="910"/>
      <c r="B13" s="13">
        <v>45939</v>
      </c>
      <c r="C13" s="38">
        <v>23460</v>
      </c>
      <c r="D13" s="37">
        <v>0</v>
      </c>
      <c r="E13" s="37">
        <v>16200</v>
      </c>
      <c r="F13" s="37"/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14">
        <f t="shared" si="0"/>
        <v>39660</v>
      </c>
      <c r="N13" s="16">
        <f t="shared" si="1"/>
        <v>436280</v>
      </c>
      <c r="O13" s="69"/>
      <c r="P13" s="24"/>
      <c r="S13" s="68"/>
    </row>
    <row r="14" spans="1:19">
      <c r="A14" s="910"/>
      <c r="B14" s="13">
        <v>45940</v>
      </c>
      <c r="C14" s="38">
        <v>19880</v>
      </c>
      <c r="D14" s="37">
        <v>0</v>
      </c>
      <c r="E14" s="37">
        <v>14790</v>
      </c>
      <c r="F14" s="37"/>
      <c r="G14" s="177">
        <v>28020</v>
      </c>
      <c r="H14" s="36">
        <v>0</v>
      </c>
      <c r="I14" s="36">
        <v>0</v>
      </c>
      <c r="J14" s="36">
        <v>0</v>
      </c>
      <c r="K14" s="36">
        <v>0</v>
      </c>
      <c r="L14" s="36">
        <v>0</v>
      </c>
      <c r="M14" s="14">
        <f t="shared" si="0"/>
        <v>62690</v>
      </c>
      <c r="N14" s="16">
        <f t="shared" si="1"/>
        <v>498970</v>
      </c>
      <c r="O14" s="69"/>
      <c r="P14" s="24"/>
      <c r="S14" s="68"/>
    </row>
    <row r="15" spans="1:19" s="69" customFormat="1" ht="15.75" customHeight="1">
      <c r="A15" s="910"/>
      <c r="B15" s="13">
        <v>45941</v>
      </c>
      <c r="C15" s="184">
        <v>21940</v>
      </c>
      <c r="D15" s="440">
        <v>0</v>
      </c>
      <c r="E15" s="37">
        <v>0</v>
      </c>
      <c r="F15" s="37"/>
      <c r="G15" s="185">
        <v>0</v>
      </c>
      <c r="H15" s="185">
        <v>0</v>
      </c>
      <c r="I15" s="185">
        <v>22150</v>
      </c>
      <c r="J15" s="185">
        <v>19260</v>
      </c>
      <c r="K15" s="36">
        <v>23570</v>
      </c>
      <c r="L15" s="36">
        <v>0</v>
      </c>
      <c r="M15" s="14">
        <f t="shared" si="0"/>
        <v>86920</v>
      </c>
      <c r="N15" s="16">
        <f t="shared" si="1"/>
        <v>585890</v>
      </c>
      <c r="P15" s="24"/>
      <c r="S15" s="68"/>
    </row>
    <row r="16" spans="1:19">
      <c r="A16" s="910"/>
      <c r="B16" s="13">
        <v>45942</v>
      </c>
      <c r="C16" s="38">
        <v>47900</v>
      </c>
      <c r="D16" s="37">
        <v>0</v>
      </c>
      <c r="E16" s="37">
        <v>0</v>
      </c>
      <c r="F16" s="37"/>
      <c r="G16" s="177">
        <v>0</v>
      </c>
      <c r="H16" s="36">
        <v>0</v>
      </c>
      <c r="I16" s="36">
        <v>0</v>
      </c>
      <c r="J16" s="36">
        <v>0</v>
      </c>
      <c r="K16" s="36">
        <v>0</v>
      </c>
      <c r="L16" s="36">
        <v>23190</v>
      </c>
      <c r="M16" s="14">
        <f t="shared" si="0"/>
        <v>71090</v>
      </c>
      <c r="N16" s="16">
        <f t="shared" si="1"/>
        <v>656980</v>
      </c>
      <c r="O16" s="69"/>
      <c r="P16" s="24"/>
      <c r="S16" s="68"/>
    </row>
    <row r="17" spans="1:19" s="69" customFormat="1">
      <c r="A17" s="910"/>
      <c r="B17" s="13">
        <v>45943</v>
      </c>
      <c r="C17" s="184">
        <v>21750</v>
      </c>
      <c r="D17" s="440">
        <v>0</v>
      </c>
      <c r="E17" s="37">
        <v>0</v>
      </c>
      <c r="F17" s="37"/>
      <c r="G17" s="185">
        <v>24420</v>
      </c>
      <c r="H17" s="185">
        <v>0</v>
      </c>
      <c r="I17" s="185">
        <v>0</v>
      </c>
      <c r="J17" s="185">
        <v>20760</v>
      </c>
      <c r="K17" s="36">
        <v>0</v>
      </c>
      <c r="L17" s="36">
        <v>0</v>
      </c>
      <c r="M17" s="14">
        <f t="shared" si="0"/>
        <v>66930</v>
      </c>
      <c r="N17" s="16">
        <f t="shared" si="1"/>
        <v>723910</v>
      </c>
      <c r="P17" s="24"/>
      <c r="S17" s="68"/>
    </row>
    <row r="18" spans="1:19">
      <c r="A18" s="910"/>
      <c r="B18" s="13">
        <v>45944</v>
      </c>
      <c r="C18" s="38">
        <v>21140</v>
      </c>
      <c r="D18" s="37">
        <v>0</v>
      </c>
      <c r="E18" s="37">
        <v>17900</v>
      </c>
      <c r="F18" s="37"/>
      <c r="G18" s="177">
        <v>0</v>
      </c>
      <c r="H18" s="36">
        <v>25020</v>
      </c>
      <c r="I18" s="36">
        <v>0</v>
      </c>
      <c r="J18" s="36">
        <v>0</v>
      </c>
      <c r="K18" s="36">
        <v>0</v>
      </c>
      <c r="L18" s="36">
        <v>0</v>
      </c>
      <c r="M18" s="14">
        <f t="shared" si="0"/>
        <v>64060</v>
      </c>
      <c r="N18" s="16">
        <f t="shared" si="1"/>
        <v>787970</v>
      </c>
      <c r="O18" s="69"/>
      <c r="P18" s="24"/>
      <c r="S18" s="68"/>
    </row>
    <row r="19" spans="1:19">
      <c r="A19" s="910"/>
      <c r="B19" s="13">
        <v>45945</v>
      </c>
      <c r="C19" s="38">
        <v>20310</v>
      </c>
      <c r="D19" s="37">
        <v>0</v>
      </c>
      <c r="E19" s="37">
        <v>0</v>
      </c>
      <c r="F19" s="37"/>
      <c r="G19" s="36">
        <v>23350</v>
      </c>
      <c r="H19" s="36">
        <v>0</v>
      </c>
      <c r="I19" s="36">
        <v>21670</v>
      </c>
      <c r="J19" s="36">
        <v>0</v>
      </c>
      <c r="K19" s="36">
        <v>0</v>
      </c>
      <c r="L19" s="36">
        <v>0</v>
      </c>
      <c r="M19" s="14">
        <f t="shared" si="0"/>
        <v>65330</v>
      </c>
      <c r="N19" s="16">
        <f t="shared" si="1"/>
        <v>853300</v>
      </c>
      <c r="O19" s="69"/>
      <c r="P19" s="24"/>
      <c r="S19" s="68"/>
    </row>
    <row r="20" spans="1:19">
      <c r="A20" s="910"/>
      <c r="B20" s="13">
        <v>45946</v>
      </c>
      <c r="C20" s="38">
        <v>24180</v>
      </c>
      <c r="D20" s="37">
        <v>0</v>
      </c>
      <c r="E20" s="37">
        <v>0</v>
      </c>
      <c r="F20" s="37"/>
      <c r="G20" s="177">
        <v>0</v>
      </c>
      <c r="H20" s="36">
        <v>25640</v>
      </c>
      <c r="I20" s="36">
        <v>22820</v>
      </c>
      <c r="J20" s="36">
        <v>0</v>
      </c>
      <c r="K20" s="36">
        <v>0</v>
      </c>
      <c r="L20" s="36">
        <v>0</v>
      </c>
      <c r="M20" s="14">
        <f t="shared" si="0"/>
        <v>72640</v>
      </c>
      <c r="N20" s="16">
        <f t="shared" si="1"/>
        <v>925940</v>
      </c>
      <c r="O20" s="69"/>
      <c r="P20" s="24"/>
      <c r="S20" s="68"/>
    </row>
    <row r="21" spans="1:19">
      <c r="A21" s="910"/>
      <c r="B21" s="13">
        <v>45947</v>
      </c>
      <c r="C21" s="38">
        <v>23900</v>
      </c>
      <c r="D21" s="37">
        <v>0</v>
      </c>
      <c r="E21" s="37">
        <v>19550</v>
      </c>
      <c r="F21" s="37"/>
      <c r="G21" s="177">
        <v>24470</v>
      </c>
      <c r="H21" s="36">
        <v>0</v>
      </c>
      <c r="I21" s="36">
        <v>0</v>
      </c>
      <c r="J21" s="36">
        <v>0</v>
      </c>
      <c r="K21" s="36">
        <v>0</v>
      </c>
      <c r="L21" s="36">
        <v>0</v>
      </c>
      <c r="M21" s="14">
        <f t="shared" si="0"/>
        <v>67920</v>
      </c>
      <c r="N21" s="16">
        <f t="shared" si="1"/>
        <v>993860</v>
      </c>
      <c r="O21" s="69"/>
      <c r="P21" s="24"/>
      <c r="S21" s="68"/>
    </row>
    <row r="22" spans="1:19">
      <c r="A22" s="910"/>
      <c r="B22" s="13">
        <v>45948</v>
      </c>
      <c r="C22" s="38">
        <v>25340</v>
      </c>
      <c r="D22" s="37">
        <v>0</v>
      </c>
      <c r="E22" s="37">
        <v>0</v>
      </c>
      <c r="F22" s="37"/>
      <c r="G22" s="177">
        <v>0</v>
      </c>
      <c r="H22" s="36">
        <v>0</v>
      </c>
      <c r="I22" s="36">
        <v>41070</v>
      </c>
      <c r="J22" s="36">
        <v>0</v>
      </c>
      <c r="K22" s="36">
        <v>0</v>
      </c>
      <c r="L22" s="36">
        <v>0</v>
      </c>
      <c r="M22" s="14">
        <f t="shared" si="0"/>
        <v>66410</v>
      </c>
      <c r="N22" s="16">
        <f t="shared" si="1"/>
        <v>1060270</v>
      </c>
      <c r="O22" s="69"/>
      <c r="P22" s="24"/>
      <c r="S22" s="68"/>
    </row>
    <row r="23" spans="1:19">
      <c r="A23" s="910"/>
      <c r="B23" s="13">
        <v>45949</v>
      </c>
      <c r="C23" s="38">
        <v>21250</v>
      </c>
      <c r="D23" s="14">
        <v>23190</v>
      </c>
      <c r="E23" s="37">
        <v>0</v>
      </c>
      <c r="F23" s="37"/>
      <c r="G23" s="177">
        <v>0</v>
      </c>
      <c r="H23" s="36">
        <v>0</v>
      </c>
      <c r="I23" s="36">
        <v>0</v>
      </c>
      <c r="J23" s="36">
        <v>0</v>
      </c>
      <c r="K23" s="36">
        <v>23450</v>
      </c>
      <c r="L23" s="36">
        <v>0</v>
      </c>
      <c r="M23" s="14">
        <f t="shared" si="0"/>
        <v>67890</v>
      </c>
      <c r="N23" s="16">
        <f t="shared" si="1"/>
        <v>1128160</v>
      </c>
      <c r="O23" s="69"/>
      <c r="P23" s="24"/>
      <c r="S23" s="68"/>
    </row>
    <row r="24" spans="1:19" s="69" customFormat="1">
      <c r="A24" s="910"/>
      <c r="B24" s="13">
        <v>45950</v>
      </c>
      <c r="C24" s="38">
        <v>22900</v>
      </c>
      <c r="D24" s="305">
        <v>0</v>
      </c>
      <c r="E24" s="37">
        <v>0</v>
      </c>
      <c r="F24" s="37"/>
      <c r="G24" s="177">
        <v>20820</v>
      </c>
      <c r="H24" s="36">
        <v>0</v>
      </c>
      <c r="I24" s="36">
        <v>44840</v>
      </c>
      <c r="J24" s="36">
        <v>0</v>
      </c>
      <c r="K24" s="36">
        <v>0</v>
      </c>
      <c r="L24" s="36">
        <v>0</v>
      </c>
      <c r="M24" s="14">
        <f t="shared" si="0"/>
        <v>88560</v>
      </c>
      <c r="N24" s="16">
        <f t="shared" si="1"/>
        <v>1216720</v>
      </c>
      <c r="P24" s="24"/>
      <c r="S24" s="68"/>
    </row>
    <row r="25" spans="1:19" s="69" customFormat="1">
      <c r="A25" s="910"/>
      <c r="B25" s="13">
        <v>45951</v>
      </c>
      <c r="C25" s="38">
        <v>21890</v>
      </c>
      <c r="D25" s="305">
        <v>0</v>
      </c>
      <c r="E25" s="37">
        <v>0</v>
      </c>
      <c r="F25" s="37"/>
      <c r="G25" s="177">
        <v>0</v>
      </c>
      <c r="H25" s="36">
        <v>23270</v>
      </c>
      <c r="I25" s="36">
        <v>21880</v>
      </c>
      <c r="J25" s="36">
        <v>0</v>
      </c>
      <c r="K25" s="36">
        <v>23440</v>
      </c>
      <c r="L25" s="36">
        <v>0</v>
      </c>
      <c r="M25" s="14">
        <f t="shared" si="0"/>
        <v>90480</v>
      </c>
      <c r="N25" s="16">
        <f t="shared" si="1"/>
        <v>1307200</v>
      </c>
      <c r="P25" s="24"/>
      <c r="S25" s="68"/>
    </row>
    <row r="26" spans="1:19">
      <c r="A26" s="910"/>
      <c r="B26" s="13">
        <v>45952</v>
      </c>
      <c r="C26" s="38">
        <v>20660</v>
      </c>
      <c r="D26" s="14">
        <v>20390</v>
      </c>
      <c r="E26" s="37">
        <v>0</v>
      </c>
      <c r="F26" s="37"/>
      <c r="G26" s="177">
        <v>23090</v>
      </c>
      <c r="H26" s="36">
        <v>0</v>
      </c>
      <c r="I26" s="36">
        <v>22460</v>
      </c>
      <c r="J26" s="36">
        <v>0</v>
      </c>
      <c r="K26" s="36">
        <v>0</v>
      </c>
      <c r="L26" s="36">
        <v>0</v>
      </c>
      <c r="M26" s="14">
        <f t="shared" si="0"/>
        <v>86600</v>
      </c>
      <c r="N26" s="16">
        <f t="shared" si="1"/>
        <v>1393800</v>
      </c>
      <c r="O26" s="69"/>
      <c r="P26" s="24"/>
      <c r="S26" s="68"/>
    </row>
    <row r="27" spans="1:19">
      <c r="A27" s="910"/>
      <c r="B27" s="13">
        <v>45953</v>
      </c>
      <c r="C27" s="38">
        <v>23040</v>
      </c>
      <c r="D27" s="14">
        <v>0</v>
      </c>
      <c r="E27" s="37">
        <v>0</v>
      </c>
      <c r="F27" s="37"/>
      <c r="G27" s="177">
        <v>0</v>
      </c>
      <c r="H27" s="36">
        <v>18880</v>
      </c>
      <c r="I27" s="36">
        <v>20860</v>
      </c>
      <c r="J27" s="36">
        <v>0</v>
      </c>
      <c r="K27" s="36">
        <v>23170</v>
      </c>
      <c r="L27" s="36">
        <v>0</v>
      </c>
      <c r="M27" s="14">
        <f t="shared" si="0"/>
        <v>85950</v>
      </c>
      <c r="N27" s="16">
        <f t="shared" si="1"/>
        <v>1479750</v>
      </c>
      <c r="O27" s="69"/>
      <c r="P27" s="24"/>
      <c r="S27" s="68"/>
    </row>
    <row r="28" spans="1:19">
      <c r="A28" s="910"/>
      <c r="B28" s="13">
        <v>45954</v>
      </c>
      <c r="C28" s="38">
        <v>22310</v>
      </c>
      <c r="D28" s="14">
        <v>0</v>
      </c>
      <c r="E28" s="37">
        <v>12890</v>
      </c>
      <c r="F28" s="37"/>
      <c r="G28" s="177">
        <v>0</v>
      </c>
      <c r="H28" s="36">
        <v>0</v>
      </c>
      <c r="I28" s="36">
        <v>21080</v>
      </c>
      <c r="J28" s="36">
        <v>0</v>
      </c>
      <c r="K28" s="36">
        <v>23930</v>
      </c>
      <c r="L28" s="36">
        <v>0</v>
      </c>
      <c r="M28" s="14">
        <f t="shared" si="0"/>
        <v>80210</v>
      </c>
      <c r="N28" s="16">
        <f t="shared" si="1"/>
        <v>1559960</v>
      </c>
      <c r="O28" s="69"/>
      <c r="P28" s="24"/>
      <c r="S28" s="68"/>
    </row>
    <row r="29" spans="1:19">
      <c r="A29" s="910"/>
      <c r="B29" s="13">
        <v>45955</v>
      </c>
      <c r="C29" s="38">
        <v>21380</v>
      </c>
      <c r="D29" s="14">
        <v>0</v>
      </c>
      <c r="E29" s="37">
        <v>0</v>
      </c>
      <c r="F29" s="37"/>
      <c r="G29" s="177">
        <v>0</v>
      </c>
      <c r="H29" s="36">
        <v>0</v>
      </c>
      <c r="I29" s="36">
        <v>39640</v>
      </c>
      <c r="J29" s="36">
        <v>0</v>
      </c>
      <c r="K29" s="36">
        <v>0</v>
      </c>
      <c r="L29" s="36">
        <v>0</v>
      </c>
      <c r="M29" s="14">
        <f t="shared" si="0"/>
        <v>61020</v>
      </c>
      <c r="N29" s="16">
        <f t="shared" si="1"/>
        <v>1620980</v>
      </c>
      <c r="O29" s="69"/>
      <c r="P29" s="24"/>
      <c r="S29" s="68"/>
    </row>
    <row r="30" spans="1:19">
      <c r="A30" s="910"/>
      <c r="B30" s="13">
        <v>45956</v>
      </c>
      <c r="C30" s="38">
        <v>23900</v>
      </c>
      <c r="D30" s="14">
        <v>22700</v>
      </c>
      <c r="E30" s="37">
        <v>0</v>
      </c>
      <c r="F30" s="38"/>
      <c r="G30" s="177">
        <v>0</v>
      </c>
      <c r="H30" s="36">
        <v>0</v>
      </c>
      <c r="I30" s="36">
        <v>0</v>
      </c>
      <c r="J30" s="36">
        <v>0</v>
      </c>
      <c r="K30" s="36">
        <v>0</v>
      </c>
      <c r="L30" s="36">
        <v>23800</v>
      </c>
      <c r="M30" s="14">
        <f t="shared" si="0"/>
        <v>70400</v>
      </c>
      <c r="N30" s="16">
        <f t="shared" si="1"/>
        <v>1691380</v>
      </c>
      <c r="O30" s="69"/>
      <c r="P30" s="24"/>
      <c r="S30" s="68"/>
    </row>
    <row r="31" spans="1:19">
      <c r="A31" s="910"/>
      <c r="B31" s="13">
        <v>45957</v>
      </c>
      <c r="C31" s="176">
        <v>44640</v>
      </c>
      <c r="D31" s="14">
        <v>0</v>
      </c>
      <c r="E31" s="37">
        <v>0</v>
      </c>
      <c r="F31" s="492"/>
      <c r="G31" s="36">
        <v>23040</v>
      </c>
      <c r="H31" s="36">
        <v>0</v>
      </c>
      <c r="I31" s="36">
        <v>20370</v>
      </c>
      <c r="J31" s="36">
        <v>0</v>
      </c>
      <c r="K31" s="36">
        <v>0</v>
      </c>
      <c r="L31" s="36">
        <v>0</v>
      </c>
      <c r="M31" s="14">
        <f t="shared" si="0"/>
        <v>88050</v>
      </c>
      <c r="N31" s="16">
        <f t="shared" si="1"/>
        <v>1779430</v>
      </c>
      <c r="O31" s="69"/>
      <c r="P31" s="24"/>
      <c r="S31" s="68"/>
    </row>
    <row r="32" spans="1:19">
      <c r="A32" s="910"/>
      <c r="B32" s="13">
        <v>45958</v>
      </c>
      <c r="C32" s="176">
        <v>23990</v>
      </c>
      <c r="D32" s="14">
        <v>0</v>
      </c>
      <c r="E32" s="37">
        <v>0</v>
      </c>
      <c r="F32" s="492"/>
      <c r="G32" s="36">
        <v>0</v>
      </c>
      <c r="H32" s="36">
        <v>21110</v>
      </c>
      <c r="I32" s="36">
        <v>38030</v>
      </c>
      <c r="J32" s="36">
        <v>0</v>
      </c>
      <c r="K32" s="36">
        <v>0</v>
      </c>
      <c r="L32" s="36">
        <v>0</v>
      </c>
      <c r="M32" s="14">
        <f t="shared" si="0"/>
        <v>83130</v>
      </c>
      <c r="N32" s="16">
        <f t="shared" si="1"/>
        <v>1862560</v>
      </c>
      <c r="O32" s="69"/>
      <c r="P32" s="24"/>
      <c r="S32" s="68"/>
    </row>
    <row r="33" spans="1:19">
      <c r="A33" s="910"/>
      <c r="B33" s="13">
        <v>45959</v>
      </c>
      <c r="C33" s="176">
        <v>43650</v>
      </c>
      <c r="D33" s="14">
        <v>21410</v>
      </c>
      <c r="E33" s="37">
        <v>0</v>
      </c>
      <c r="F33" s="492"/>
      <c r="G33" s="36">
        <v>22120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14">
        <f t="shared" si="0"/>
        <v>87180</v>
      </c>
      <c r="N33" s="16">
        <f t="shared" ref="N33" si="2">N32+M33</f>
        <v>1949740</v>
      </c>
      <c r="O33" s="69"/>
      <c r="P33" s="24"/>
      <c r="S33" s="68"/>
    </row>
    <row r="34" spans="1:19">
      <c r="A34" s="910"/>
      <c r="B34" s="13">
        <v>45960</v>
      </c>
      <c r="C34" s="176">
        <v>21750</v>
      </c>
      <c r="D34" s="14">
        <v>0</v>
      </c>
      <c r="E34" s="37">
        <v>0</v>
      </c>
      <c r="F34" s="492"/>
      <c r="G34" s="36">
        <v>0</v>
      </c>
      <c r="H34" s="36">
        <v>23070</v>
      </c>
      <c r="I34" s="36">
        <v>23070</v>
      </c>
      <c r="J34" s="36">
        <v>0</v>
      </c>
      <c r="K34" s="36">
        <v>0</v>
      </c>
      <c r="L34" s="36">
        <v>0</v>
      </c>
      <c r="M34" s="14">
        <f t="shared" ref="M34:M35" si="3">SUM(C34:L34)</f>
        <v>67890</v>
      </c>
      <c r="N34" s="16">
        <f t="shared" ref="N34:N35" si="4">N33+M34</f>
        <v>2017630</v>
      </c>
      <c r="O34" s="69"/>
      <c r="P34" s="24"/>
      <c r="S34" s="68"/>
    </row>
    <row r="35" spans="1:19">
      <c r="A35" s="910"/>
      <c r="B35" s="13">
        <v>45961</v>
      </c>
      <c r="C35" s="176">
        <v>22990</v>
      </c>
      <c r="D35" s="14"/>
      <c r="E35" s="37">
        <v>14330</v>
      </c>
      <c r="F35" s="492"/>
      <c r="G35" s="36">
        <v>22450</v>
      </c>
      <c r="H35" s="36"/>
      <c r="I35" s="36"/>
      <c r="J35" s="36"/>
      <c r="K35" s="36">
        <v>23790</v>
      </c>
      <c r="L35" s="36"/>
      <c r="M35" s="14">
        <f t="shared" si="3"/>
        <v>83560</v>
      </c>
      <c r="N35" s="16">
        <f t="shared" si="4"/>
        <v>2101190</v>
      </c>
      <c r="O35" s="69"/>
      <c r="P35" s="24"/>
      <c r="S35" s="68"/>
    </row>
    <row r="36" spans="1:19">
      <c r="A36" s="910"/>
      <c r="B36" s="17" t="s">
        <v>51</v>
      </c>
      <c r="C36" s="18">
        <f t="shared" ref="C36:M36" si="5">SUM(C5:C35)</f>
        <v>739760</v>
      </c>
      <c r="D36" s="18">
        <f t="shared" si="5"/>
        <v>109700</v>
      </c>
      <c r="E36" s="18">
        <f t="shared" si="5"/>
        <v>95660</v>
      </c>
      <c r="F36" s="18">
        <f t="shared" si="5"/>
        <v>0</v>
      </c>
      <c r="G36" s="18">
        <f t="shared" si="5"/>
        <v>261760</v>
      </c>
      <c r="H36" s="18">
        <f t="shared" si="5"/>
        <v>157650</v>
      </c>
      <c r="I36" s="18">
        <f t="shared" si="5"/>
        <v>446290</v>
      </c>
      <c r="J36" s="18">
        <f t="shared" si="5"/>
        <v>78750</v>
      </c>
      <c r="K36" s="18">
        <f t="shared" si="5"/>
        <v>164630</v>
      </c>
      <c r="L36" s="18">
        <f t="shared" si="5"/>
        <v>46990</v>
      </c>
      <c r="M36" s="18">
        <f t="shared" si="5"/>
        <v>2101190</v>
      </c>
      <c r="N36" s="19"/>
      <c r="O36" s="69"/>
      <c r="P36" s="24"/>
    </row>
    <row r="37" spans="1:19">
      <c r="A37" s="910"/>
      <c r="B37" s="17" t="s">
        <v>52</v>
      </c>
      <c r="C37" s="18">
        <v>33000</v>
      </c>
      <c r="D37" s="178">
        <v>35000</v>
      </c>
      <c r="E37" s="18">
        <v>33000</v>
      </c>
      <c r="F37" s="18">
        <v>30000</v>
      </c>
      <c r="G37" s="18">
        <v>35000</v>
      </c>
      <c r="H37" s="18">
        <v>35000</v>
      </c>
      <c r="I37" s="178">
        <v>35000</v>
      </c>
      <c r="J37" s="178">
        <v>43000</v>
      </c>
      <c r="K37" s="178">
        <v>33000</v>
      </c>
      <c r="L37" s="178">
        <v>37000</v>
      </c>
      <c r="M37" s="18">
        <f>M38/M36*1000</f>
        <v>34392.667964344015</v>
      </c>
      <c r="N37" s="19"/>
      <c r="O37" s="69"/>
    </row>
    <row r="38" spans="1:19" ht="17.25" thickBot="1">
      <c r="A38" s="911"/>
      <c r="B38" s="20" t="s">
        <v>53</v>
      </c>
      <c r="C38" s="21">
        <f t="shared" ref="C38:K38" si="6">C36*C37/1000</f>
        <v>24412080</v>
      </c>
      <c r="D38" s="21">
        <f t="shared" si="6"/>
        <v>3839500</v>
      </c>
      <c r="E38" s="21">
        <f>E36*E37/1000</f>
        <v>3156780</v>
      </c>
      <c r="F38" s="21">
        <f t="shared" si="6"/>
        <v>0</v>
      </c>
      <c r="G38" s="21">
        <f t="shared" si="6"/>
        <v>9161600</v>
      </c>
      <c r="H38" s="21">
        <f t="shared" si="6"/>
        <v>5517750</v>
      </c>
      <c r="I38" s="21">
        <f t="shared" ref="I38:J38" si="7">I36*I37/1000</f>
        <v>15620150</v>
      </c>
      <c r="J38" s="21">
        <f t="shared" si="7"/>
        <v>3386250</v>
      </c>
      <c r="K38" s="21">
        <f t="shared" si="6"/>
        <v>5432790</v>
      </c>
      <c r="L38" s="21">
        <f t="shared" ref="L38" si="8">L36*L37/1000</f>
        <v>1738630</v>
      </c>
      <c r="M38" s="179">
        <f>SUM(C38:L38)</f>
        <v>72265530</v>
      </c>
      <c r="N38" s="22"/>
      <c r="O38" s="69"/>
    </row>
    <row r="39" spans="1:19">
      <c r="O39" s="24"/>
    </row>
    <row r="40" spans="1:19">
      <c r="E40" s="68"/>
      <c r="M40" s="24"/>
      <c r="O40" s="68"/>
    </row>
    <row r="41" spans="1:19">
      <c r="K41" s="317"/>
      <c r="L41" s="317"/>
      <c r="M41" s="24"/>
      <c r="N41" s="304"/>
    </row>
    <row r="42" spans="1:19">
      <c r="M42" s="24"/>
      <c r="N42" s="318"/>
    </row>
    <row r="43" spans="1:19">
      <c r="K43" s="68"/>
      <c r="L43" s="68"/>
      <c r="M43" s="24"/>
    </row>
    <row r="44" spans="1:19">
      <c r="M44" s="24"/>
    </row>
  </sheetData>
  <mergeCells count="3">
    <mergeCell ref="A5:A38"/>
    <mergeCell ref="C2:F2"/>
    <mergeCell ref="K3:M3"/>
  </mergeCells>
  <phoneticPr fontId="2" type="noConversion"/>
  <pageMargins left="0.7" right="0.7" top="0.75" bottom="0.75" header="0.3" footer="0.3"/>
  <pageSetup paperSize="9" scale="63" orientation="landscape" r:id="rId1"/>
  <ignoredErrors>
    <ignoredError sqref="M36:M37 M5:M33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1"/>
  <sheetViews>
    <sheetView workbookViewId="0">
      <selection activeCell="F28" sqref="F28"/>
    </sheetView>
  </sheetViews>
  <sheetFormatPr defaultColWidth="8.625" defaultRowHeight="13.5"/>
  <cols>
    <col min="1" max="1" width="3.75" style="311" customWidth="1"/>
    <col min="2" max="2" width="8.625" style="311"/>
    <col min="3" max="4" width="12.375" style="311" customWidth="1"/>
    <col min="5" max="5" width="12" style="311" customWidth="1"/>
    <col min="6" max="6" width="77.625" style="311" customWidth="1"/>
    <col min="7" max="7" width="2.625" style="311" customWidth="1"/>
    <col min="8" max="8" width="12.875" style="311" customWidth="1"/>
    <col min="9" max="9" width="8.625" style="311"/>
    <col min="10" max="10" width="54.125" style="311" bestFit="1" customWidth="1"/>
    <col min="11" max="12" width="15.75" style="311" customWidth="1"/>
    <col min="13" max="13" width="9.875" style="311" customWidth="1"/>
    <col min="14" max="16384" width="8.625" style="311"/>
  </cols>
  <sheetData>
    <row r="2" spans="2:13" ht="16.5">
      <c r="B2" s="557" t="s">
        <v>322</v>
      </c>
      <c r="C2" s="483"/>
    </row>
    <row r="5" spans="2:13" ht="16.5" customHeight="1" thickBot="1">
      <c r="B5" s="443" t="s">
        <v>251</v>
      </c>
      <c r="C5" s="443" t="s">
        <v>252</v>
      </c>
      <c r="D5" s="443" t="s">
        <v>254</v>
      </c>
      <c r="E5" s="443" t="s">
        <v>256</v>
      </c>
      <c r="F5" s="443" t="s">
        <v>255</v>
      </c>
      <c r="H5" s="443" t="s">
        <v>210</v>
      </c>
      <c r="I5" s="443" t="s">
        <v>230</v>
      </c>
      <c r="J5" s="443" t="s">
        <v>257</v>
      </c>
      <c r="K5" s="443" t="s">
        <v>277</v>
      </c>
      <c r="L5" s="443" t="s">
        <v>278</v>
      </c>
      <c r="M5" s="443" t="s">
        <v>260</v>
      </c>
    </row>
    <row r="6" spans="2:13" ht="17.45" customHeight="1" thickTop="1">
      <c r="B6" s="472">
        <v>1</v>
      </c>
      <c r="C6" s="473">
        <v>50000000</v>
      </c>
      <c r="D6" s="474">
        <v>2625500</v>
      </c>
      <c r="E6" s="474">
        <f>C6-D6</f>
        <v>47374500</v>
      </c>
      <c r="F6" s="592" t="s">
        <v>334</v>
      </c>
      <c r="H6" s="916" t="s">
        <v>258</v>
      </c>
      <c r="I6" s="477">
        <v>1</v>
      </c>
      <c r="J6" s="477" t="s">
        <v>316</v>
      </c>
      <c r="K6" s="478">
        <v>140</v>
      </c>
      <c r="L6" s="513"/>
      <c r="M6" s="478"/>
    </row>
    <row r="7" spans="2:13" ht="17.45" customHeight="1">
      <c r="B7" s="445">
        <v>2</v>
      </c>
      <c r="C7" s="121">
        <v>50000000</v>
      </c>
      <c r="D7" s="122">
        <v>0</v>
      </c>
      <c r="E7" s="122">
        <f>E6+C7-D7</f>
        <v>97374500</v>
      </c>
      <c r="F7" s="445" t="s">
        <v>348</v>
      </c>
      <c r="H7" s="914"/>
      <c r="I7" s="479">
        <v>2</v>
      </c>
      <c r="J7" s="479" t="s">
        <v>317</v>
      </c>
      <c r="K7" s="496">
        <v>100</v>
      </c>
      <c r="L7" s="514"/>
      <c r="M7" s="496"/>
    </row>
    <row r="8" spans="2:13" ht="17.45" customHeight="1">
      <c r="B8" s="445">
        <v>3</v>
      </c>
      <c r="C8" s="121">
        <v>50000000</v>
      </c>
      <c r="D8" s="122">
        <v>0</v>
      </c>
      <c r="E8" s="122">
        <f t="shared" ref="E8:E17" si="0">E7+C8-D8</f>
        <v>147374500</v>
      </c>
      <c r="F8" s="445" t="s">
        <v>348</v>
      </c>
      <c r="H8" s="914"/>
      <c r="I8" s="479">
        <v>3</v>
      </c>
      <c r="J8" s="479" t="s">
        <v>318</v>
      </c>
      <c r="K8" s="496">
        <v>14</v>
      </c>
      <c r="L8" s="514"/>
      <c r="M8" s="496"/>
    </row>
    <row r="9" spans="2:13" ht="17.45" customHeight="1">
      <c r="B9" s="445">
        <v>4</v>
      </c>
      <c r="C9" s="121">
        <v>50000000</v>
      </c>
      <c r="D9" s="122">
        <f>15000000+4625000+1300000</f>
        <v>20925000</v>
      </c>
      <c r="E9" s="122">
        <f t="shared" si="0"/>
        <v>176449500</v>
      </c>
      <c r="F9" s="445" t="s">
        <v>349</v>
      </c>
      <c r="H9" s="915"/>
      <c r="I9" s="479">
        <v>4</v>
      </c>
      <c r="J9" s="480" t="s">
        <v>347</v>
      </c>
      <c r="K9" s="509">
        <v>3</v>
      </c>
      <c r="L9" s="514">
        <v>0</v>
      </c>
      <c r="M9" s="496" t="s">
        <v>345</v>
      </c>
    </row>
    <row r="10" spans="2:13" ht="17.45" customHeight="1">
      <c r="B10" s="445">
        <v>5</v>
      </c>
      <c r="C10" s="121">
        <v>50000000</v>
      </c>
      <c r="D10" s="122">
        <v>950000</v>
      </c>
      <c r="E10" s="122">
        <f t="shared" si="0"/>
        <v>225499500</v>
      </c>
      <c r="F10" s="445" t="s">
        <v>350</v>
      </c>
      <c r="H10" s="913" t="s">
        <v>259</v>
      </c>
      <c r="I10" s="482">
        <v>1</v>
      </c>
      <c r="J10" s="482" t="s">
        <v>319</v>
      </c>
      <c r="K10" s="498">
        <v>260</v>
      </c>
      <c r="L10" s="516"/>
      <c r="M10" s="498"/>
    </row>
    <row r="11" spans="2:13" ht="17.45" customHeight="1">
      <c r="B11" s="445">
        <v>6</v>
      </c>
      <c r="C11" s="121">
        <v>50000000</v>
      </c>
      <c r="D11" s="122"/>
      <c r="E11" s="122">
        <f t="shared" si="0"/>
        <v>275499500</v>
      </c>
      <c r="F11" s="445"/>
      <c r="H11" s="914"/>
      <c r="I11" s="479">
        <v>2</v>
      </c>
      <c r="J11" s="480" t="s">
        <v>320</v>
      </c>
      <c r="K11" s="509">
        <v>40</v>
      </c>
      <c r="L11" s="509"/>
      <c r="M11" s="496"/>
    </row>
    <row r="12" spans="2:13" ht="17.45" customHeight="1">
      <c r="B12" s="445">
        <v>7</v>
      </c>
      <c r="C12" s="121"/>
      <c r="D12" s="122"/>
      <c r="E12" s="122">
        <f t="shared" si="0"/>
        <v>275499500</v>
      </c>
      <c r="F12" s="445"/>
      <c r="H12" s="914"/>
      <c r="I12" s="479">
        <v>3</v>
      </c>
      <c r="J12" s="555" t="s">
        <v>321</v>
      </c>
      <c r="K12" s="556">
        <v>30</v>
      </c>
      <c r="L12" s="556"/>
      <c r="M12" s="497"/>
    </row>
    <row r="13" spans="2:13" ht="17.45" customHeight="1">
      <c r="B13" s="445">
        <v>8</v>
      </c>
      <c r="C13" s="121"/>
      <c r="D13" s="122"/>
      <c r="E13" s="122">
        <f t="shared" si="0"/>
        <v>275499500</v>
      </c>
      <c r="F13" s="445"/>
      <c r="H13" s="915"/>
      <c r="I13" s="479">
        <v>4</v>
      </c>
      <c r="J13" s="481" t="s">
        <v>346</v>
      </c>
      <c r="K13" s="499">
        <v>13</v>
      </c>
      <c r="L13" s="524">
        <f>15000000+4625000</f>
        <v>19625000</v>
      </c>
      <c r="M13" s="499" t="s">
        <v>345</v>
      </c>
    </row>
    <row r="14" spans="2:13" ht="17.45" customHeight="1" thickBot="1">
      <c r="B14" s="445">
        <v>9</v>
      </c>
      <c r="C14" s="121"/>
      <c r="D14" s="122"/>
      <c r="E14" s="122">
        <f t="shared" si="0"/>
        <v>275499500</v>
      </c>
      <c r="F14" s="445"/>
      <c r="H14" s="485" t="s">
        <v>262</v>
      </c>
      <c r="I14" s="486">
        <f>COUNTA(I6:I13)</f>
        <v>8</v>
      </c>
      <c r="J14" s="486" t="s">
        <v>261</v>
      </c>
      <c r="K14" s="487">
        <f>SUM(K6:K13)</f>
        <v>600</v>
      </c>
      <c r="L14" s="515">
        <f>SUM(L6:L13)</f>
        <v>19625000</v>
      </c>
      <c r="M14" s="487">
        <f>COUNTA(M6:M13)</f>
        <v>2</v>
      </c>
    </row>
    <row r="15" spans="2:13" ht="17.45" customHeight="1" thickTop="1">
      <c r="B15" s="445">
        <v>10</v>
      </c>
      <c r="C15" s="121"/>
      <c r="D15" s="122"/>
      <c r="E15" s="122">
        <f t="shared" si="0"/>
        <v>275499500</v>
      </c>
      <c r="F15" s="445"/>
      <c r="L15" s="510"/>
    </row>
    <row r="16" spans="2:13" ht="17.45" customHeight="1">
      <c r="B16" s="445">
        <v>11</v>
      </c>
      <c r="C16" s="121"/>
      <c r="D16" s="122"/>
      <c r="E16" s="122">
        <f t="shared" si="0"/>
        <v>275499500</v>
      </c>
      <c r="F16" s="445"/>
    </row>
    <row r="17" spans="2:10" ht="17.45" customHeight="1" thickBot="1">
      <c r="B17" s="445">
        <v>12</v>
      </c>
      <c r="C17" s="121"/>
      <c r="D17" s="122"/>
      <c r="E17" s="122">
        <f t="shared" si="0"/>
        <v>275499500</v>
      </c>
      <c r="F17" s="445"/>
      <c r="J17" s="510"/>
    </row>
    <row r="18" spans="2:10" ht="17.45" customHeight="1" thickBot="1">
      <c r="B18" s="475" t="s">
        <v>253</v>
      </c>
      <c r="C18" s="476">
        <f>SUM(C6:C17)</f>
        <v>300000000</v>
      </c>
      <c r="D18" s="476">
        <f>SUM(D6:D17)</f>
        <v>24500500</v>
      </c>
      <c r="E18" s="484">
        <f>C18-D18</f>
        <v>275499500</v>
      </c>
      <c r="F18" s="475"/>
      <c r="J18" s="510"/>
    </row>
    <row r="19" spans="2:10" ht="23.45" customHeight="1">
      <c r="J19" s="510"/>
    </row>
    <row r="20" spans="2:10" ht="23.45" customHeight="1">
      <c r="J20" s="510"/>
    </row>
    <row r="21" spans="2:10">
      <c r="E21" s="510"/>
    </row>
  </sheetData>
  <mergeCells count="2">
    <mergeCell ref="H10:H13"/>
    <mergeCell ref="H6:H9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34"/>
  <sheetViews>
    <sheetView workbookViewId="0">
      <selection activeCell="C35" sqref="C35"/>
    </sheetView>
  </sheetViews>
  <sheetFormatPr defaultColWidth="8.625" defaultRowHeight="13.5"/>
  <cols>
    <col min="1" max="1" width="3.75" style="311" customWidth="1"/>
    <col min="2" max="2" width="8.625" style="311"/>
    <col min="3" max="4" width="12.375" style="311" customWidth="1"/>
    <col min="5" max="5" width="12" style="311" customWidth="1"/>
    <col min="6" max="6" width="14.75" style="311" customWidth="1"/>
    <col min="7" max="7" width="49.25" style="311" bestFit="1" customWidth="1"/>
    <col min="8" max="8" width="2.375" style="311" customWidth="1"/>
    <col min="9" max="9" width="8.625" style="311"/>
    <col min="10" max="10" width="5.875" style="311" customWidth="1"/>
    <col min="11" max="11" width="37.125" style="311" bestFit="1" customWidth="1"/>
    <col min="12" max="12" width="15.75" style="311" customWidth="1"/>
    <col min="13" max="13" width="12.5" style="311" bestFit="1" customWidth="1"/>
    <col min="14" max="16384" width="8.625" style="311"/>
  </cols>
  <sheetData>
    <row r="2" spans="2:15" ht="16.5">
      <c r="B2" s="557" t="s">
        <v>436</v>
      </c>
      <c r="C2" s="483"/>
    </row>
    <row r="5" spans="2:15" ht="14.25" thickBot="1">
      <c r="B5" s="443" t="s">
        <v>381</v>
      </c>
      <c r="C5" s="443" t="s">
        <v>252</v>
      </c>
      <c r="D5" s="443" t="s">
        <v>382</v>
      </c>
      <c r="E5" s="443" t="s">
        <v>383</v>
      </c>
      <c r="F5" s="443" t="s">
        <v>427</v>
      </c>
      <c r="G5" s="443" t="s">
        <v>255</v>
      </c>
      <c r="I5" s="443" t="s">
        <v>44</v>
      </c>
      <c r="J5" s="443" t="s">
        <v>230</v>
      </c>
      <c r="K5" s="443" t="s">
        <v>384</v>
      </c>
      <c r="L5" s="443" t="s">
        <v>385</v>
      </c>
      <c r="M5" s="443" t="s">
        <v>386</v>
      </c>
      <c r="N5" s="443" t="s">
        <v>260</v>
      </c>
    </row>
    <row r="6" spans="2:15" ht="17.45" customHeight="1" thickTop="1">
      <c r="B6" s="681">
        <v>1</v>
      </c>
      <c r="C6" s="720">
        <v>50000000</v>
      </c>
      <c r="D6" s="721">
        <v>0</v>
      </c>
      <c r="E6" s="721">
        <f>C6-D6</f>
        <v>50000000</v>
      </c>
      <c r="F6" s="722"/>
      <c r="G6" s="681"/>
      <c r="I6" s="925" t="s">
        <v>387</v>
      </c>
      <c r="J6" s="771">
        <v>1</v>
      </c>
      <c r="K6" s="772" t="s">
        <v>395</v>
      </c>
      <c r="L6" s="771">
        <v>12</v>
      </c>
      <c r="M6" s="773">
        <f>D17+D19</f>
        <v>10250000</v>
      </c>
      <c r="N6" s="771" t="s">
        <v>461</v>
      </c>
    </row>
    <row r="7" spans="2:15" ht="17.45" customHeight="1">
      <c r="B7" s="684">
        <v>2</v>
      </c>
      <c r="C7" s="723">
        <v>50000000</v>
      </c>
      <c r="D7" s="724">
        <v>41520000</v>
      </c>
      <c r="E7" s="724">
        <f>E6+C7-D7</f>
        <v>58480000</v>
      </c>
      <c r="F7" s="725" t="s">
        <v>428</v>
      </c>
      <c r="G7" s="684" t="s">
        <v>407</v>
      </c>
      <c r="I7" s="914"/>
      <c r="J7" s="496">
        <v>2</v>
      </c>
      <c r="K7" s="706" t="s">
        <v>396</v>
      </c>
      <c r="L7" s="496">
        <v>60</v>
      </c>
      <c r="M7" s="514"/>
      <c r="N7" s="496"/>
    </row>
    <row r="8" spans="2:15" ht="17.45" customHeight="1">
      <c r="B8" s="684">
        <v>3</v>
      </c>
      <c r="C8" s="723">
        <v>50000000</v>
      </c>
      <c r="D8" s="724">
        <v>36000000</v>
      </c>
      <c r="E8" s="724">
        <f t="shared" ref="E8:E25" si="0">E7+C8-D8</f>
        <v>72480000</v>
      </c>
      <c r="F8" s="725" t="s">
        <v>429</v>
      </c>
      <c r="G8" s="684" t="s">
        <v>413</v>
      </c>
      <c r="I8" s="914"/>
      <c r="J8" s="496">
        <v>3</v>
      </c>
      <c r="K8" s="707" t="s">
        <v>397</v>
      </c>
      <c r="L8" s="496">
        <v>17</v>
      </c>
      <c r="M8" s="514"/>
      <c r="N8" s="496"/>
    </row>
    <row r="9" spans="2:15" ht="17.45" customHeight="1">
      <c r="B9" s="923">
        <v>4</v>
      </c>
      <c r="C9" s="924">
        <v>50000000</v>
      </c>
      <c r="D9" s="724">
        <v>5300000</v>
      </c>
      <c r="E9" s="724">
        <f t="shared" si="0"/>
        <v>117180000</v>
      </c>
      <c r="F9" s="725" t="s">
        <v>430</v>
      </c>
      <c r="G9" s="684" t="s">
        <v>434</v>
      </c>
      <c r="I9" s="914"/>
      <c r="J9" s="496">
        <v>4</v>
      </c>
      <c r="K9" s="706" t="s">
        <v>398</v>
      </c>
      <c r="L9" s="509">
        <v>40</v>
      </c>
      <c r="M9" s="514">
        <f>D13</f>
        <v>29000000</v>
      </c>
      <c r="N9" s="496"/>
      <c r="O9" s="311" t="s">
        <v>452</v>
      </c>
    </row>
    <row r="10" spans="2:15" ht="17.45" customHeight="1">
      <c r="B10" s="923"/>
      <c r="C10" s="924"/>
      <c r="D10" s="724">
        <v>36000000</v>
      </c>
      <c r="E10" s="724">
        <f t="shared" si="0"/>
        <v>81180000</v>
      </c>
      <c r="F10" s="725" t="s">
        <v>429</v>
      </c>
      <c r="G10" s="684" t="s">
        <v>433</v>
      </c>
      <c r="I10" s="914"/>
      <c r="J10" s="496">
        <v>5</v>
      </c>
      <c r="K10" s="707" t="s">
        <v>399</v>
      </c>
      <c r="L10" s="496">
        <v>70</v>
      </c>
      <c r="M10" s="514"/>
      <c r="N10" s="496"/>
    </row>
    <row r="11" spans="2:15" ht="17.45" customHeight="1">
      <c r="B11" s="923"/>
      <c r="C11" s="924"/>
      <c r="D11" s="724">
        <v>6350000</v>
      </c>
      <c r="E11" s="724">
        <f t="shared" si="0"/>
        <v>74830000</v>
      </c>
      <c r="F11" s="725" t="s">
        <v>431</v>
      </c>
      <c r="G11" s="684" t="s">
        <v>425</v>
      </c>
      <c r="I11" s="914"/>
      <c r="J11" s="496">
        <v>6</v>
      </c>
      <c r="K11" s="707" t="s">
        <v>400</v>
      </c>
      <c r="L11" s="509">
        <v>37</v>
      </c>
      <c r="M11" s="514"/>
      <c r="N11" s="496"/>
    </row>
    <row r="12" spans="2:15" ht="17.45" customHeight="1">
      <c r="B12" s="923"/>
      <c r="C12" s="924"/>
      <c r="D12" s="724">
        <v>6250000</v>
      </c>
      <c r="E12" s="724">
        <f t="shared" si="0"/>
        <v>68580000</v>
      </c>
      <c r="F12" s="725" t="s">
        <v>432</v>
      </c>
      <c r="G12" s="684" t="s">
        <v>426</v>
      </c>
      <c r="I12" s="915"/>
      <c r="J12" s="499">
        <v>7</v>
      </c>
      <c r="K12" s="709" t="s">
        <v>401</v>
      </c>
      <c r="L12" s="499">
        <v>120</v>
      </c>
      <c r="M12" s="524"/>
      <c r="N12" s="499"/>
    </row>
    <row r="13" spans="2:15" ht="17.45" customHeight="1">
      <c r="B13" s="927">
        <v>5</v>
      </c>
      <c r="C13" s="930">
        <v>50000000</v>
      </c>
      <c r="D13" s="724">
        <v>29000000</v>
      </c>
      <c r="E13" s="724">
        <f t="shared" si="0"/>
        <v>89580000</v>
      </c>
      <c r="F13" s="725" t="s">
        <v>441</v>
      </c>
      <c r="G13" s="684" t="s">
        <v>442</v>
      </c>
      <c r="I13" s="926" t="s">
        <v>259</v>
      </c>
      <c r="J13" s="498">
        <v>1</v>
      </c>
      <c r="K13" s="708" t="s">
        <v>402</v>
      </c>
      <c r="L13" s="498">
        <v>59</v>
      </c>
      <c r="M13" s="698"/>
      <c r="N13" s="498"/>
    </row>
    <row r="14" spans="2:15" ht="17.45" customHeight="1">
      <c r="B14" s="928"/>
      <c r="C14" s="931"/>
      <c r="D14" s="739">
        <v>6350000</v>
      </c>
      <c r="E14" s="739">
        <f t="shared" si="0"/>
        <v>83230000</v>
      </c>
      <c r="F14" s="740" t="s">
        <v>443</v>
      </c>
      <c r="G14" s="687" t="s">
        <v>444</v>
      </c>
      <c r="I14" s="914"/>
      <c r="J14" s="496">
        <v>2</v>
      </c>
      <c r="K14" s="706" t="s">
        <v>403</v>
      </c>
      <c r="L14" s="509">
        <v>13</v>
      </c>
      <c r="M14" s="514">
        <f>D20</f>
        <v>12000000</v>
      </c>
      <c r="N14" s="496" t="s">
        <v>468</v>
      </c>
    </row>
    <row r="15" spans="2:15" ht="17.45" customHeight="1">
      <c r="B15" s="929"/>
      <c r="C15" s="932"/>
      <c r="D15" s="741">
        <v>6250000</v>
      </c>
      <c r="E15" s="741">
        <f t="shared" si="0"/>
        <v>76980000</v>
      </c>
      <c r="F15" s="742" t="s">
        <v>446</v>
      </c>
      <c r="G15" s="743" t="s">
        <v>445</v>
      </c>
      <c r="I15" s="914"/>
      <c r="J15" s="497">
        <v>3</v>
      </c>
      <c r="K15" s="707" t="s">
        <v>404</v>
      </c>
      <c r="L15" s="497">
        <v>30</v>
      </c>
      <c r="M15" s="514"/>
      <c r="N15" s="497"/>
    </row>
    <row r="16" spans="2:15" ht="17.45" customHeight="1">
      <c r="B16" s="684">
        <v>6</v>
      </c>
      <c r="C16" s="723">
        <v>50000000</v>
      </c>
      <c r="D16" s="724">
        <v>18100000</v>
      </c>
      <c r="E16" s="724">
        <f t="shared" si="0"/>
        <v>108880000</v>
      </c>
      <c r="F16" s="725" t="s">
        <v>454</v>
      </c>
      <c r="G16" s="684" t="s">
        <v>455</v>
      </c>
      <c r="I16" s="914"/>
      <c r="J16" s="697">
        <v>4</v>
      </c>
      <c r="K16" s="707" t="s">
        <v>405</v>
      </c>
      <c r="L16" s="691">
        <v>12</v>
      </c>
      <c r="M16" s="514">
        <f>(D11+D14)</f>
        <v>12700000</v>
      </c>
      <c r="N16" s="691" t="s">
        <v>447</v>
      </c>
    </row>
    <row r="17" spans="2:15" ht="17.45" customHeight="1">
      <c r="B17" s="927">
        <v>7</v>
      </c>
      <c r="C17" s="930">
        <v>50000000</v>
      </c>
      <c r="D17" s="724">
        <v>5000000</v>
      </c>
      <c r="E17" s="724">
        <f t="shared" si="0"/>
        <v>153880000</v>
      </c>
      <c r="F17" s="725" t="s">
        <v>457</v>
      </c>
      <c r="G17" s="747" t="s">
        <v>458</v>
      </c>
      <c r="I17" s="915"/>
      <c r="J17" s="696">
        <v>5</v>
      </c>
      <c r="K17" s="709" t="s">
        <v>406</v>
      </c>
      <c r="L17" s="699">
        <v>130</v>
      </c>
      <c r="M17" s="514">
        <v>72000000</v>
      </c>
      <c r="N17" s="696" t="s">
        <v>435</v>
      </c>
      <c r="O17" s="678" t="s">
        <v>388</v>
      </c>
    </row>
    <row r="18" spans="2:15" ht="17.45" customHeight="1" thickBot="1">
      <c r="B18" s="929"/>
      <c r="C18" s="932"/>
      <c r="D18" s="724">
        <v>8490000</v>
      </c>
      <c r="E18" s="724">
        <f t="shared" si="0"/>
        <v>145390000</v>
      </c>
      <c r="F18" s="725" t="s">
        <v>460</v>
      </c>
      <c r="G18" s="684" t="s">
        <v>459</v>
      </c>
      <c r="I18" s="485" t="s">
        <v>262</v>
      </c>
      <c r="J18" s="486">
        <f>COUNTA(J6:J17)</f>
        <v>12</v>
      </c>
      <c r="K18" s="486" t="s">
        <v>390</v>
      </c>
      <c r="L18" s="487">
        <f>SUM(L6:L17)</f>
        <v>600</v>
      </c>
      <c r="M18" s="515">
        <f>SUM(M6:M17)</f>
        <v>135950000</v>
      </c>
      <c r="N18" s="487">
        <f>COUNTA(N6:N17)</f>
        <v>4</v>
      </c>
      <c r="O18" s="679">
        <f>N18/J18</f>
        <v>0.33333333333333331</v>
      </c>
    </row>
    <row r="19" spans="2:15" ht="16.5" customHeight="1" thickTop="1">
      <c r="B19" s="927">
        <v>8</v>
      </c>
      <c r="C19" s="930">
        <v>50000000</v>
      </c>
      <c r="D19" s="724">
        <v>5250000</v>
      </c>
      <c r="E19" s="724">
        <f t="shared" si="0"/>
        <v>190140000</v>
      </c>
      <c r="F19" s="725" t="s">
        <v>464</v>
      </c>
      <c r="G19" s="684" t="s">
        <v>465</v>
      </c>
      <c r="I19" s="925" t="s">
        <v>391</v>
      </c>
      <c r="J19" s="680">
        <v>1</v>
      </c>
      <c r="K19" s="681" t="str">
        <f>G7</f>
        <v>기관실 에너지회수효율 개선공사</v>
      </c>
      <c r="L19" s="682"/>
      <c r="M19" s="683">
        <f>D7</f>
        <v>41520000</v>
      </c>
      <c r="N19" s="681" t="s">
        <v>345</v>
      </c>
    </row>
    <row r="20" spans="2:15" ht="17.100000000000001" customHeight="1">
      <c r="B20" s="929"/>
      <c r="C20" s="932"/>
      <c r="D20" s="724">
        <v>12000000</v>
      </c>
      <c r="E20" s="724">
        <f t="shared" si="0"/>
        <v>178140000</v>
      </c>
      <c r="F20" s="725" t="s">
        <v>466</v>
      </c>
      <c r="G20" s="757" t="s">
        <v>467</v>
      </c>
      <c r="I20" s="914"/>
      <c r="J20" s="479">
        <v>2</v>
      </c>
      <c r="K20" s="684" t="s">
        <v>450</v>
      </c>
      <c r="L20" s="685"/>
      <c r="M20" s="686">
        <f>D9</f>
        <v>5300000</v>
      </c>
      <c r="N20" s="684" t="s">
        <v>447</v>
      </c>
    </row>
    <row r="21" spans="2:15">
      <c r="B21" s="927">
        <v>9</v>
      </c>
      <c r="C21" s="930">
        <v>50000000</v>
      </c>
      <c r="D21" s="724">
        <v>900000</v>
      </c>
      <c r="E21" s="724">
        <f>E20+C21-D21</f>
        <v>227240000</v>
      </c>
      <c r="F21" s="725" t="s">
        <v>470</v>
      </c>
      <c r="G21" s="684" t="s">
        <v>472</v>
      </c>
      <c r="I21" s="914"/>
      <c r="J21" s="677">
        <v>3</v>
      </c>
      <c r="K21" s="687" t="s">
        <v>448</v>
      </c>
      <c r="L21" s="688"/>
      <c r="M21" s="689">
        <v>12500000</v>
      </c>
      <c r="N21" s="687" t="s">
        <v>449</v>
      </c>
    </row>
    <row r="22" spans="2:15" ht="17.100000000000001" customHeight="1">
      <c r="B22" s="929"/>
      <c r="C22" s="932"/>
      <c r="D22" s="724">
        <v>25750000</v>
      </c>
      <c r="E22" s="724">
        <f>E21+C22-D22</f>
        <v>201490000</v>
      </c>
      <c r="F22" s="725" t="s">
        <v>471</v>
      </c>
      <c r="G22" s="760" t="s">
        <v>484</v>
      </c>
      <c r="I22" s="914"/>
      <c r="J22" s="690">
        <v>4</v>
      </c>
      <c r="K22" s="748" t="str">
        <f>G16</f>
        <v>압입 / 유인송풍기 인버터 스패어 구매</v>
      </c>
      <c r="L22" s="748"/>
      <c r="M22" s="749">
        <f>D16</f>
        <v>18100000</v>
      </c>
      <c r="N22" s="750" t="s">
        <v>486</v>
      </c>
    </row>
    <row r="23" spans="2:15">
      <c r="B23" s="684">
        <v>10</v>
      </c>
      <c r="C23" s="723">
        <v>50000000</v>
      </c>
      <c r="D23" s="724">
        <v>0</v>
      </c>
      <c r="E23" s="724">
        <f t="shared" ref="E23:E24" si="1">E22+C23-D23</f>
        <v>251490000</v>
      </c>
      <c r="F23" s="725"/>
      <c r="G23" s="684"/>
      <c r="H23" s="443"/>
      <c r="I23" s="914"/>
      <c r="J23" s="690">
        <v>5</v>
      </c>
      <c r="K23" s="496" t="str">
        <f>G18</f>
        <v>냉난방기 설치</v>
      </c>
      <c r="L23" s="685"/>
      <c r="M23" s="686">
        <f>D18</f>
        <v>8490000</v>
      </c>
      <c r="N23" s="496" t="s">
        <v>485</v>
      </c>
    </row>
    <row r="24" spans="2:15">
      <c r="B24" s="684">
        <v>11</v>
      </c>
      <c r="C24" s="723"/>
      <c r="D24" s="724"/>
      <c r="E24" s="724">
        <f t="shared" si="1"/>
        <v>251490000</v>
      </c>
      <c r="F24" s="725"/>
      <c r="G24" s="684"/>
      <c r="H24" s="443"/>
      <c r="I24" s="914"/>
      <c r="J24" s="690">
        <v>6</v>
      </c>
      <c r="K24" s="496"/>
      <c r="L24" s="685"/>
      <c r="M24" s="686"/>
      <c r="N24" s="496"/>
    </row>
    <row r="25" spans="2:15" ht="14.25" thickBot="1">
      <c r="B25" s="726">
        <v>12</v>
      </c>
      <c r="C25" s="723"/>
      <c r="D25" s="727"/>
      <c r="E25" s="727">
        <f t="shared" si="0"/>
        <v>251490000</v>
      </c>
      <c r="F25" s="728"/>
      <c r="G25" s="726"/>
      <c r="I25" s="914"/>
      <c r="J25" s="690">
        <v>7</v>
      </c>
      <c r="K25" s="496"/>
      <c r="L25" s="685"/>
      <c r="M25" s="686"/>
      <c r="N25" s="747"/>
    </row>
    <row r="26" spans="2:15">
      <c r="B26" s="921" t="s">
        <v>389</v>
      </c>
      <c r="C26" s="917">
        <f>SUM(C6:C25)</f>
        <v>500000000</v>
      </c>
      <c r="D26" s="917">
        <f>SUM(D6:D25)</f>
        <v>248510000</v>
      </c>
      <c r="E26" s="919">
        <f>C26-D26</f>
        <v>251490000</v>
      </c>
      <c r="F26" s="919"/>
      <c r="G26" s="921"/>
      <c r="I26" s="915"/>
      <c r="J26" s="690">
        <v>8</v>
      </c>
      <c r="K26" s="499"/>
      <c r="L26" s="751"/>
      <c r="M26" s="752"/>
      <c r="N26" s="753"/>
    </row>
    <row r="27" spans="2:15" ht="23.45" customHeight="1" thickBot="1">
      <c r="B27" s="922"/>
      <c r="C27" s="918"/>
      <c r="D27" s="918"/>
      <c r="E27" s="920"/>
      <c r="F27" s="920"/>
      <c r="G27" s="922"/>
      <c r="I27" s="692" t="s">
        <v>392</v>
      </c>
      <c r="J27" s="486">
        <f>COUNTA(J19:J26)</f>
        <v>8</v>
      </c>
      <c r="K27" s="692" t="s">
        <v>393</v>
      </c>
      <c r="L27" s="486"/>
      <c r="M27" s="693">
        <f>SUM(M19:M26)</f>
        <v>85910000</v>
      </c>
      <c r="N27" s="692">
        <f>COUNTA(N19:N26)</f>
        <v>5</v>
      </c>
    </row>
    <row r="28" spans="2:15" ht="23.45" customHeight="1" thickTop="1">
      <c r="D28" s="510"/>
      <c r="G28" s="443"/>
      <c r="L28" s="678" t="s">
        <v>394</v>
      </c>
      <c r="M28" s="694">
        <f>M18+M27</f>
        <v>221860000</v>
      </c>
      <c r="N28" s="695" t="str">
        <f>N27+N18&amp;"건"</f>
        <v>9건</v>
      </c>
    </row>
    <row r="29" spans="2:15" ht="23.45" customHeight="1">
      <c r="M29" s="510"/>
    </row>
    <row r="30" spans="2:15" ht="23.45" customHeight="1">
      <c r="M30" s="510"/>
    </row>
    <row r="31" spans="2:15">
      <c r="K31" s="510"/>
    </row>
    <row r="32" spans="2:15">
      <c r="K32" s="510"/>
    </row>
    <row r="33" spans="11:11">
      <c r="K33" s="510"/>
    </row>
    <row r="34" spans="11:11">
      <c r="K34" s="510"/>
    </row>
  </sheetData>
  <mergeCells count="19">
    <mergeCell ref="I19:I26"/>
    <mergeCell ref="I13:I17"/>
    <mergeCell ref="I6:I12"/>
    <mergeCell ref="B13:B15"/>
    <mergeCell ref="C13:C15"/>
    <mergeCell ref="B17:B18"/>
    <mergeCell ref="C17:C18"/>
    <mergeCell ref="B19:B20"/>
    <mergeCell ref="C19:C20"/>
    <mergeCell ref="B21:B22"/>
    <mergeCell ref="C21:C22"/>
    <mergeCell ref="B26:B27"/>
    <mergeCell ref="C26:C27"/>
    <mergeCell ref="D26:D27"/>
    <mergeCell ref="E26:E27"/>
    <mergeCell ref="F26:F27"/>
    <mergeCell ref="G26:G27"/>
    <mergeCell ref="B9:B12"/>
    <mergeCell ref="C9:C12"/>
  </mergeCells>
  <phoneticPr fontId="2" type="noConversion"/>
  <pageMargins left="0.7" right="0.7" top="0.75" bottom="0.75" header="0.3" footer="0.3"/>
  <ignoredErrors>
    <ignoredError sqref="E25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45"/>
  <sheetViews>
    <sheetView zoomScaleNormal="100" workbookViewId="0">
      <selection activeCell="F23" sqref="F23"/>
    </sheetView>
  </sheetViews>
  <sheetFormatPr defaultColWidth="8.625" defaultRowHeight="13.5"/>
  <cols>
    <col min="1" max="1" width="4.875" style="443" customWidth="1"/>
    <col min="2" max="2" width="7" style="443" customWidth="1"/>
    <col min="3" max="3" width="10.875" style="443" bestFit="1" customWidth="1"/>
    <col min="4" max="4" width="50.25" style="443" bestFit="1" customWidth="1"/>
    <col min="5" max="5" width="50.625" style="443" bestFit="1" customWidth="1"/>
    <col min="6" max="6" width="11.5" style="443" customWidth="1"/>
    <col min="7" max="7" width="14.375" style="443" bestFit="1" customWidth="1"/>
    <col min="8" max="8" width="49.625" style="443" bestFit="1" customWidth="1"/>
    <col min="9" max="16384" width="8.625" style="443"/>
  </cols>
  <sheetData>
    <row r="2" spans="2:8" s="446" customFormat="1" ht="16.5">
      <c r="B2" s="454" t="s">
        <v>417</v>
      </c>
      <c r="C2" s="455"/>
      <c r="D2" s="456"/>
    </row>
    <row r="4" spans="2:8" ht="18.95" customHeight="1" thickBot="1">
      <c r="B4" s="443" t="s">
        <v>230</v>
      </c>
      <c r="C4" s="443" t="s">
        <v>231</v>
      </c>
      <c r="D4" s="443" t="s">
        <v>232</v>
      </c>
      <c r="E4" s="443" t="s">
        <v>233</v>
      </c>
      <c r="F4" s="443" t="s">
        <v>234</v>
      </c>
      <c r="G4" s="443" t="s">
        <v>235</v>
      </c>
      <c r="H4" s="443" t="s">
        <v>236</v>
      </c>
    </row>
    <row r="5" spans="2:8" ht="14.25" thickTop="1">
      <c r="B5" s="444">
        <v>1</v>
      </c>
      <c r="C5" s="554">
        <v>45666</v>
      </c>
      <c r="D5" s="444" t="s">
        <v>414</v>
      </c>
      <c r="E5" s="444" t="s">
        <v>408</v>
      </c>
      <c r="F5" s="444">
        <v>3.8</v>
      </c>
      <c r="G5" s="700">
        <v>0.9</v>
      </c>
      <c r="H5" s="444" t="s">
        <v>237</v>
      </c>
    </row>
    <row r="6" spans="2:8" ht="27">
      <c r="B6" s="445">
        <v>2</v>
      </c>
      <c r="C6" s="447">
        <v>45704</v>
      </c>
      <c r="D6" s="701" t="s">
        <v>409</v>
      </c>
      <c r="E6" s="445" t="s">
        <v>410</v>
      </c>
      <c r="F6" s="463">
        <v>10</v>
      </c>
      <c r="G6" s="594">
        <v>5</v>
      </c>
      <c r="H6" s="445" t="s">
        <v>335</v>
      </c>
    </row>
    <row r="7" spans="2:8">
      <c r="B7" s="445">
        <v>3</v>
      </c>
      <c r="C7" s="447">
        <v>45736</v>
      </c>
      <c r="D7" s="445" t="s">
        <v>415</v>
      </c>
      <c r="E7" s="445" t="s">
        <v>416</v>
      </c>
      <c r="F7" s="463">
        <v>14.3</v>
      </c>
      <c r="G7" s="595">
        <v>8.1999999999999993</v>
      </c>
      <c r="H7" s="445" t="s">
        <v>335</v>
      </c>
    </row>
    <row r="8" spans="2:8">
      <c r="B8" s="445">
        <v>4</v>
      </c>
      <c r="C8" s="447">
        <v>45859</v>
      </c>
      <c r="D8" s="445" t="s">
        <v>487</v>
      </c>
      <c r="E8" s="445" t="s">
        <v>488</v>
      </c>
      <c r="F8" s="445">
        <v>3.3</v>
      </c>
      <c r="G8" s="595">
        <v>0</v>
      </c>
      <c r="H8" s="445" t="s">
        <v>335</v>
      </c>
    </row>
    <row r="9" spans="2:8">
      <c r="B9" s="445">
        <v>5</v>
      </c>
      <c r="C9" s="447"/>
      <c r="D9" s="445"/>
      <c r="E9" s="445"/>
      <c r="F9" s="470"/>
      <c r="G9" s="593"/>
      <c r="H9" s="445" t="s">
        <v>336</v>
      </c>
    </row>
    <row r="10" spans="2:8">
      <c r="B10" s="445">
        <v>6</v>
      </c>
      <c r="C10" s="447"/>
      <c r="D10" s="445"/>
      <c r="E10" s="445"/>
      <c r="F10" s="445"/>
      <c r="G10" s="595"/>
      <c r="H10" s="445" t="s">
        <v>336</v>
      </c>
    </row>
    <row r="11" spans="2:8" ht="14.25" thickBot="1">
      <c r="B11" s="445">
        <v>7</v>
      </c>
      <c r="C11" s="447"/>
      <c r="D11" s="445"/>
      <c r="E11" s="445"/>
      <c r="F11" s="445"/>
      <c r="G11" s="595"/>
      <c r="H11" s="445" t="s">
        <v>237</v>
      </c>
    </row>
    <row r="12" spans="2:8">
      <c r="B12" s="921" t="s">
        <v>229</v>
      </c>
      <c r="C12" s="921">
        <f>COUNTA(C5:C10)</f>
        <v>4</v>
      </c>
      <c r="D12" s="462" t="s">
        <v>238</v>
      </c>
      <c r="E12" s="462"/>
      <c r="F12" s="461">
        <f>SUM(F5:F11)</f>
        <v>31.400000000000002</v>
      </c>
      <c r="G12" s="934">
        <f>SUM(G5:G11)</f>
        <v>14.1</v>
      </c>
      <c r="H12" s="461"/>
    </row>
    <row r="13" spans="2:8" ht="17.45" customHeight="1" thickBot="1">
      <c r="B13" s="933"/>
      <c r="C13" s="933"/>
      <c r="D13" s="457" t="s">
        <v>239</v>
      </c>
      <c r="E13" s="457"/>
      <c r="F13" s="458">
        <f>F12/24</f>
        <v>1.3083333333333333</v>
      </c>
      <c r="G13" s="935"/>
      <c r="H13" s="460"/>
    </row>
    <row r="14" spans="2:8">
      <c r="B14" s="445"/>
      <c r="C14" s="445"/>
      <c r="D14" s="445"/>
      <c r="E14" s="445"/>
      <c r="F14" s="445"/>
      <c r="G14" s="445"/>
      <c r="H14" s="445"/>
    </row>
    <row r="15" spans="2:8">
      <c r="B15" s="445"/>
      <c r="C15" s="445"/>
      <c r="D15" s="445"/>
      <c r="E15" s="445"/>
      <c r="F15" s="445"/>
      <c r="G15" s="445"/>
      <c r="H15" s="445"/>
    </row>
    <row r="16" spans="2:8">
      <c r="B16" s="445"/>
      <c r="C16" s="445"/>
      <c r="D16" s="445"/>
      <c r="E16" s="445"/>
      <c r="F16" s="445"/>
      <c r="G16" s="445"/>
      <c r="H16" s="445"/>
    </row>
    <row r="17" spans="2:8" ht="16.5">
      <c r="B17" s="454" t="s">
        <v>418</v>
      </c>
      <c r="C17" s="454"/>
      <c r="D17" s="454"/>
      <c r="E17" s="445"/>
      <c r="F17" s="445"/>
      <c r="G17" s="445"/>
      <c r="H17" s="445"/>
    </row>
    <row r="18" spans="2:8">
      <c r="B18" s="445"/>
      <c r="C18" s="445"/>
      <c r="D18" s="445"/>
      <c r="E18" s="445"/>
      <c r="F18" s="445"/>
      <c r="G18" s="445"/>
      <c r="H18" s="445"/>
    </row>
    <row r="19" spans="2:8" ht="18.95" customHeight="1" thickBot="1">
      <c r="B19" s="443" t="s">
        <v>240</v>
      </c>
      <c r="C19" s="443" t="s">
        <v>241</v>
      </c>
      <c r="D19" s="443" t="s">
        <v>242</v>
      </c>
      <c r="E19" s="443" t="s">
        <v>243</v>
      </c>
      <c r="F19" s="443" t="s">
        <v>244</v>
      </c>
      <c r="G19" s="415" t="s">
        <v>245</v>
      </c>
      <c r="H19" s="415"/>
    </row>
    <row r="20" spans="2:8" ht="14.25" thickTop="1">
      <c r="B20" s="444">
        <v>1</v>
      </c>
      <c r="C20" s="444" t="s">
        <v>489</v>
      </c>
      <c r="D20" s="444" t="s">
        <v>492</v>
      </c>
      <c r="E20" s="444" t="s">
        <v>490</v>
      </c>
      <c r="F20" s="494">
        <v>174.5</v>
      </c>
      <c r="G20" s="444"/>
      <c r="H20" s="444"/>
    </row>
    <row r="21" spans="2:8">
      <c r="B21" s="770">
        <v>2</v>
      </c>
      <c r="C21" s="770" t="s">
        <v>420</v>
      </c>
      <c r="D21" s="770" t="s">
        <v>421</v>
      </c>
      <c r="E21" s="770" t="s">
        <v>422</v>
      </c>
      <c r="F21" s="463">
        <v>229.67</v>
      </c>
      <c r="G21" s="770"/>
      <c r="H21" s="770" t="s">
        <v>424</v>
      </c>
    </row>
    <row r="22" spans="2:8">
      <c r="B22" s="770">
        <v>3</v>
      </c>
      <c r="C22" s="770" t="s">
        <v>491</v>
      </c>
      <c r="D22" s="770" t="s">
        <v>421</v>
      </c>
      <c r="E22" s="770" t="s">
        <v>490</v>
      </c>
      <c r="F22" s="463">
        <v>143</v>
      </c>
      <c r="G22" s="770"/>
      <c r="H22" s="770"/>
    </row>
    <row r="23" spans="2:8">
      <c r="B23" s="770">
        <v>4</v>
      </c>
      <c r="C23" s="447" t="s">
        <v>493</v>
      </c>
      <c r="D23" s="770" t="s">
        <v>494</v>
      </c>
      <c r="E23" s="770" t="s">
        <v>500</v>
      </c>
      <c r="F23" s="463">
        <v>145.5</v>
      </c>
      <c r="G23" s="770"/>
      <c r="H23" s="770" t="s">
        <v>495</v>
      </c>
    </row>
    <row r="24" spans="2:8">
      <c r="B24" s="770"/>
      <c r="C24" s="447"/>
      <c r="D24" s="770"/>
      <c r="E24" s="770"/>
      <c r="F24" s="463"/>
      <c r="G24" s="770"/>
      <c r="H24" s="770"/>
    </row>
    <row r="25" spans="2:8">
      <c r="B25" s="770"/>
      <c r="C25" s="465"/>
      <c r="D25" s="464"/>
      <c r="E25" s="464"/>
      <c r="F25" s="495"/>
      <c r="G25" s="464"/>
      <c r="H25" s="770"/>
    </row>
    <row r="26" spans="2:8">
      <c r="B26" s="770"/>
      <c r="C26" s="447"/>
      <c r="D26" s="770"/>
      <c r="E26" s="770"/>
      <c r="F26" s="463"/>
      <c r="G26" s="770"/>
      <c r="H26" s="770"/>
    </row>
    <row r="27" spans="2:8">
      <c r="B27" s="770"/>
      <c r="C27" s="447"/>
      <c r="D27" s="770"/>
      <c r="E27" s="770"/>
      <c r="F27" s="463"/>
      <c r="G27" s="770"/>
      <c r="H27" s="770"/>
    </row>
    <row r="28" spans="2:8">
      <c r="B28" s="445"/>
      <c r="C28" s="447"/>
      <c r="D28" s="445"/>
      <c r="E28" s="445"/>
      <c r="F28" s="463"/>
      <c r="G28" s="445"/>
    </row>
    <row r="29" spans="2:8" ht="14.25" thickBot="1">
      <c r="B29" s="445"/>
      <c r="C29" s="447"/>
      <c r="D29" s="445"/>
      <c r="E29" s="445"/>
      <c r="F29" s="463"/>
      <c r="G29" s="445"/>
    </row>
    <row r="30" spans="2:8">
      <c r="B30" s="921" t="s">
        <v>246</v>
      </c>
      <c r="C30" s="936">
        <f>COUNTA(C20:C29)</f>
        <v>4</v>
      </c>
      <c r="D30" s="461" t="s">
        <v>247</v>
      </c>
      <c r="E30" s="461"/>
      <c r="F30" s="488">
        <f>SUM(F20:F29)</f>
        <v>692.67</v>
      </c>
      <c r="G30" s="461"/>
      <c r="H30" s="466"/>
    </row>
    <row r="31" spans="2:8" ht="14.25" thickBot="1">
      <c r="B31" s="933"/>
      <c r="C31" s="937"/>
      <c r="D31" s="460" t="s">
        <v>499</v>
      </c>
      <c r="E31" s="460"/>
      <c r="F31" s="458">
        <f>F30/24</f>
        <v>28.861249999999998</v>
      </c>
      <c r="G31" s="460"/>
      <c r="H31" s="467"/>
    </row>
    <row r="32" spans="2:8">
      <c r="B32" s="445"/>
      <c r="C32" s="445"/>
      <c r="D32" s="445"/>
      <c r="E32" s="445"/>
      <c r="F32" s="445"/>
      <c r="G32" s="468" t="s">
        <v>248</v>
      </c>
      <c r="H32" s="469">
        <f>F12+F30</f>
        <v>724.06999999999994</v>
      </c>
    </row>
    <row r="33" spans="2:8">
      <c r="B33" s="445"/>
      <c r="C33" s="445"/>
      <c r="D33" s="445"/>
      <c r="E33" s="445"/>
      <c r="F33" s="445"/>
      <c r="G33" s="468" t="s">
        <v>249</v>
      </c>
      <c r="H33" s="469">
        <f>H32/24</f>
        <v>30.169583333333332</v>
      </c>
    </row>
    <row r="34" spans="2:8">
      <c r="B34" s="445"/>
      <c r="C34" s="445"/>
      <c r="D34" s="445"/>
      <c r="E34" s="445" t="s">
        <v>250</v>
      </c>
      <c r="F34" s="445"/>
      <c r="G34" s="445"/>
      <c r="H34" s="445"/>
    </row>
    <row r="35" spans="2:8">
      <c r="B35" s="445"/>
      <c r="C35" s="445"/>
      <c r="D35" s="445"/>
      <c r="E35" s="445"/>
      <c r="F35" s="445"/>
      <c r="G35" s="445"/>
      <c r="H35" s="525"/>
    </row>
    <row r="36" spans="2:8">
      <c r="B36" s="445"/>
      <c r="C36" s="445"/>
      <c r="D36" s="445"/>
      <c r="E36" s="445"/>
      <c r="F36" s="445"/>
      <c r="G36" s="445"/>
      <c r="H36" s="445"/>
    </row>
    <row r="37" spans="2:8">
      <c r="B37" s="445"/>
      <c r="C37" s="445"/>
      <c r="D37" s="445"/>
      <c r="E37" s="445"/>
      <c r="F37" s="445"/>
      <c r="G37" s="445"/>
      <c r="H37" s="445"/>
    </row>
    <row r="38" spans="2:8">
      <c r="B38" s="445"/>
      <c r="C38" s="445"/>
      <c r="D38" s="445"/>
      <c r="E38" s="445"/>
      <c r="F38" s="445"/>
      <c r="G38" s="445"/>
      <c r="H38" s="445"/>
    </row>
    <row r="39" spans="2:8">
      <c r="B39" s="445"/>
      <c r="C39" s="445"/>
      <c r="D39" s="445"/>
      <c r="E39" s="445"/>
      <c r="F39" s="445"/>
      <c r="G39" s="445"/>
      <c r="H39" s="445"/>
    </row>
    <row r="40" spans="2:8">
      <c r="B40" s="445"/>
      <c r="C40" s="445"/>
      <c r="D40" s="445"/>
      <c r="E40" s="445"/>
      <c r="F40" s="445"/>
      <c r="G40" s="445"/>
      <c r="H40" s="445"/>
    </row>
    <row r="41" spans="2:8">
      <c r="B41" s="445"/>
      <c r="C41" s="445"/>
      <c r="D41" s="445"/>
      <c r="E41" s="445"/>
      <c r="F41" s="445"/>
      <c r="G41" s="445"/>
      <c r="H41" s="445"/>
    </row>
    <row r="42" spans="2:8">
      <c r="B42" s="445"/>
      <c r="C42" s="445"/>
      <c r="D42" s="445"/>
      <c r="E42" s="445"/>
      <c r="F42" s="445"/>
      <c r="G42" s="445"/>
      <c r="H42" s="445"/>
    </row>
    <row r="43" spans="2:8">
      <c r="B43" s="445"/>
      <c r="C43" s="445"/>
      <c r="D43" s="445"/>
      <c r="E43" s="445"/>
      <c r="F43" s="445"/>
      <c r="G43" s="445"/>
      <c r="H43" s="445"/>
    </row>
    <row r="44" spans="2:8">
      <c r="B44" s="445"/>
      <c r="C44" s="445"/>
      <c r="D44" s="445"/>
      <c r="E44" s="445"/>
      <c r="F44" s="445"/>
      <c r="G44" s="445"/>
      <c r="H44" s="445"/>
    </row>
    <row r="45" spans="2:8">
      <c r="B45" s="445"/>
      <c r="C45" s="445"/>
      <c r="D45" s="445"/>
      <c r="E45" s="445"/>
      <c r="F45" s="445"/>
      <c r="G45" s="445"/>
      <c r="H45" s="445"/>
    </row>
  </sheetData>
  <mergeCells count="5">
    <mergeCell ref="B12:B13"/>
    <mergeCell ref="C12:C13"/>
    <mergeCell ref="G12:G13"/>
    <mergeCell ref="B30:B31"/>
    <mergeCell ref="C30:C3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15"/>
  <sheetViews>
    <sheetView zoomScale="115" zoomScaleNormal="115" workbookViewId="0">
      <selection activeCell="I16" sqref="I16"/>
    </sheetView>
  </sheetViews>
  <sheetFormatPr defaultColWidth="8.625" defaultRowHeight="12"/>
  <cols>
    <col min="1" max="1" width="5.375" style="5" customWidth="1"/>
    <col min="2" max="2" width="8.625" style="5"/>
    <col min="3" max="14" width="9.625" style="5" bestFit="1" customWidth="1"/>
    <col min="15" max="15" width="11.875" style="5" bestFit="1" customWidth="1"/>
    <col min="16" max="16384" width="8.625" style="5"/>
  </cols>
  <sheetData>
    <row r="3" spans="2:16" ht="20.45" customHeight="1" thickBot="1">
      <c r="B3" s="328" t="s">
        <v>44</v>
      </c>
      <c r="C3" s="335" t="s">
        <v>196</v>
      </c>
      <c r="D3" s="328" t="s">
        <v>197</v>
      </c>
      <c r="E3" s="328" t="s">
        <v>84</v>
      </c>
      <c r="F3" s="328" t="s">
        <v>85</v>
      </c>
      <c r="G3" s="328" t="s">
        <v>86</v>
      </c>
      <c r="H3" s="328" t="s">
        <v>87</v>
      </c>
      <c r="I3" s="328" t="s">
        <v>88</v>
      </c>
      <c r="J3" s="328" t="s">
        <v>89</v>
      </c>
      <c r="K3" s="328" t="s">
        <v>90</v>
      </c>
      <c r="L3" s="328" t="s">
        <v>91</v>
      </c>
      <c r="M3" s="328" t="s">
        <v>92</v>
      </c>
      <c r="N3" s="328" t="s">
        <v>93</v>
      </c>
      <c r="O3" s="328" t="s">
        <v>45</v>
      </c>
    </row>
    <row r="4" spans="2:16" ht="20.45" customHeight="1" thickTop="1">
      <c r="B4" s="330" t="s">
        <v>198</v>
      </c>
      <c r="C4" s="331">
        <v>16136.7</v>
      </c>
      <c r="D4" s="331">
        <v>11273.9</v>
      </c>
      <c r="E4" s="331">
        <v>14891.599999999999</v>
      </c>
      <c r="F4" s="331">
        <v>14558.399999999998</v>
      </c>
      <c r="G4" s="331">
        <v>11423.300000000001</v>
      </c>
      <c r="H4" s="331">
        <v>13862.8</v>
      </c>
      <c r="I4" s="331">
        <v>12888.4</v>
      </c>
      <c r="J4" s="331">
        <v>12136.800000000003</v>
      </c>
      <c r="K4" s="331">
        <v>10374.999999999998</v>
      </c>
      <c r="L4" s="331">
        <v>12357.800000000001</v>
      </c>
      <c r="M4" s="331">
        <v>9236.4000000000033</v>
      </c>
      <c r="N4" s="331">
        <v>12297.799999999997</v>
      </c>
      <c r="O4" s="332">
        <f>SUM(C4:N4)</f>
        <v>151438.9</v>
      </c>
      <c r="P4" s="337"/>
    </row>
    <row r="5" spans="2:16" ht="20.45" customHeight="1">
      <c r="B5" s="328" t="s">
        <v>199</v>
      </c>
      <c r="C5" s="329">
        <v>97271500</v>
      </c>
      <c r="D5" s="329">
        <v>75656544.545454547</v>
      </c>
      <c r="E5" s="329">
        <v>86333700</v>
      </c>
      <c r="F5" s="329">
        <v>80534545.454545453</v>
      </c>
      <c r="G5" s="329">
        <v>88906579.090909094</v>
      </c>
      <c r="H5" s="329">
        <v>92472536.36363636</v>
      </c>
      <c r="I5" s="329">
        <v>85970209.090909094</v>
      </c>
      <c r="J5" s="329">
        <v>92287290.909090906</v>
      </c>
      <c r="K5" s="329">
        <v>80412890.909090906</v>
      </c>
      <c r="L5" s="329">
        <v>95014995.454545453</v>
      </c>
      <c r="M5" s="329">
        <v>72445198.181818187</v>
      </c>
      <c r="N5" s="329">
        <v>82566887.272727266</v>
      </c>
      <c r="O5" s="319">
        <f>SUM(C5:N5)</f>
        <v>1029872877.2727273</v>
      </c>
    </row>
    <row r="6" spans="2:16" ht="20.45" customHeight="1">
      <c r="B6" s="333" t="s">
        <v>200</v>
      </c>
      <c r="C6" s="334">
        <f>ROUNDUP(C5/C4,0)</f>
        <v>6028</v>
      </c>
      <c r="D6" s="334">
        <f t="shared" ref="D6:N6" si="0">ROUNDUP(D5/D4,0)</f>
        <v>6711</v>
      </c>
      <c r="E6" s="334">
        <f t="shared" si="0"/>
        <v>5798</v>
      </c>
      <c r="F6" s="334">
        <f t="shared" si="0"/>
        <v>5532</v>
      </c>
      <c r="G6" s="334">
        <f t="shared" si="0"/>
        <v>7783</v>
      </c>
      <c r="H6" s="334">
        <f t="shared" si="0"/>
        <v>6671</v>
      </c>
      <c r="I6" s="334">
        <f t="shared" si="0"/>
        <v>6671</v>
      </c>
      <c r="J6" s="334">
        <f t="shared" si="0"/>
        <v>7604</v>
      </c>
      <c r="K6" s="334">
        <f t="shared" si="0"/>
        <v>7751</v>
      </c>
      <c r="L6" s="334">
        <f t="shared" si="0"/>
        <v>7689</v>
      </c>
      <c r="M6" s="334">
        <f t="shared" si="0"/>
        <v>7844</v>
      </c>
      <c r="N6" s="334">
        <f t="shared" si="0"/>
        <v>6714</v>
      </c>
      <c r="O6" s="334">
        <f>TRUNC(O5/O4,-1)</f>
        <v>6800</v>
      </c>
    </row>
    <row r="9" spans="2:16">
      <c r="B9" s="5" t="s">
        <v>201</v>
      </c>
      <c r="O9" s="339"/>
    </row>
    <row r="10" spans="2:16">
      <c r="O10" s="337"/>
    </row>
    <row r="11" spans="2:16">
      <c r="B11" s="5" t="s">
        <v>203</v>
      </c>
      <c r="D11" s="329">
        <f>139*12</f>
        <v>1668</v>
      </c>
      <c r="E11" s="5" t="s">
        <v>206</v>
      </c>
    </row>
    <row r="12" spans="2:16">
      <c r="B12" s="5" t="s">
        <v>202</v>
      </c>
      <c r="D12" s="5">
        <f>33*12</f>
        <v>396</v>
      </c>
      <c r="E12" s="5" t="s">
        <v>205</v>
      </c>
    </row>
    <row r="13" spans="2:16">
      <c r="B13" s="5" t="s">
        <v>204</v>
      </c>
      <c r="D13" s="5">
        <v>780</v>
      </c>
      <c r="E13" s="5" t="s">
        <v>205</v>
      </c>
    </row>
    <row r="14" spans="2:16">
      <c r="B14" s="5" t="s">
        <v>207</v>
      </c>
      <c r="D14" s="338">
        <f>O5/1000000</f>
        <v>1029.8728772727272</v>
      </c>
      <c r="E14" s="5" t="s">
        <v>205</v>
      </c>
    </row>
    <row r="15" spans="2:16" ht="12.75" thickBot="1">
      <c r="B15" s="5" t="s">
        <v>208</v>
      </c>
      <c r="D15" s="336">
        <f>SUM(D11:D14)</f>
        <v>3873.8728772727272</v>
      </c>
      <c r="E15" s="5" t="s">
        <v>205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1. 운영실적</vt:lpstr>
      <vt:lpstr>2. 운영실적</vt:lpstr>
      <vt:lpstr>3. 세부 운영내역</vt:lpstr>
      <vt:lpstr>3-1. 월별 운영내역</vt:lpstr>
      <vt:lpstr>4. SRF입고내역</vt:lpstr>
      <vt:lpstr>5. 설비개선 비용현황</vt:lpstr>
      <vt:lpstr>5. 25년 설비개선리스트</vt:lpstr>
      <vt:lpstr>6. 25년 사고이력</vt:lpstr>
      <vt:lpstr>유동상 약품 원단위</vt:lpstr>
    </vt:vector>
  </TitlesOfParts>
  <Company>Customer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user</cp:lastModifiedBy>
  <cp:lastPrinted>2024-04-23T23:20:40Z</cp:lastPrinted>
  <dcterms:created xsi:type="dcterms:W3CDTF">2010-12-17T00:32:47Z</dcterms:created>
  <dcterms:modified xsi:type="dcterms:W3CDTF">2026-05-18T00:14:06Z</dcterms:modified>
</cp:coreProperties>
</file>